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3.xml" ContentType="application/vnd.openxmlformats-officedocument.drawing+xml"/>
  <Override PartName="/xl/ctrlProps/ctrlProp18.xml" ContentType="application/vnd.ms-excel.controlproperties+xml"/>
  <Override PartName="/xl/ctrlProps/ctrlProp19.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C:\Users\User\Documents\MedworksProjekt\data\"/>
    </mc:Choice>
  </mc:AlternateContent>
  <xr:revisionPtr revIDLastSave="0" documentId="13_ncr:1_{BF333529-EDA7-48E1-94D5-2EE2A2CBD5B5}" xr6:coauthVersionLast="47" xr6:coauthVersionMax="47" xr10:uidLastSave="{00000000-0000-0000-0000-000000000000}"/>
  <bookViews>
    <workbookView xWindow="2717" yWindow="3206" windowWidth="19562" windowHeight="10162" tabRatio="594" activeTab="4" xr2:uid="{00000000-000D-0000-FFFF-FFFF00000000}"/>
  </bookViews>
  <sheets>
    <sheet name="Összesítő lap" sheetId="12" r:id="rId1"/>
    <sheet name="Kémia" sheetId="17" r:id="rId2"/>
    <sheet name="Csomagok" sheetId="13" r:id="rId3"/>
    <sheet name="Tételek" sheetId="36" r:id="rId4"/>
    <sheet name="Páciensek" sheetId="20" r:id="rId5"/>
    <sheet name="allergia tételek" sheetId="38" r:id="rId6"/>
    <sheet name="Clinomics" sheetId="6" r:id="rId7"/>
    <sheet name="Csőtípusok" sheetId="31" r:id="rId8"/>
    <sheet name="Jelmagyarázat" sheetId="35" r:id="rId9"/>
    <sheet name="MEDICARE 2025.05.01" sheetId="34" r:id="rId10"/>
    <sheet name="Kapcsolat" sheetId="32" r:id="rId11"/>
    <sheet name="Legordulo" sheetId="29" r:id="rId12"/>
    <sheet name="Patológia" sheetId="33" r:id="rId13"/>
    <sheet name="Medicover" sheetId="18" r:id="rId14"/>
    <sheet name="Bianka" sheetId="30" r:id="rId15"/>
    <sheet name="Munka1" sheetId="19" r:id="rId16"/>
    <sheet name="Vizsgálatok" sheetId="1" state="hidden" r:id="rId17"/>
  </sheets>
  <functionGroups builtInGroupCount="19"/>
  <definedNames>
    <definedName name="_xlnm._FilterDatabase" localSheetId="6" hidden="1">Clinomics!$A$1:$G$51</definedName>
    <definedName name="_xlnm._FilterDatabase" localSheetId="1" hidden="1">Kémia!$A$4:$V$430</definedName>
    <definedName name="_xlnm._FilterDatabase" localSheetId="13" hidden="1">Medicover!$A$1:$P$425</definedName>
    <definedName name="_xlnm._FilterDatabase" localSheetId="4" hidden="1">Páciensek!$A$1:$S$6</definedName>
    <definedName name="_xlnm._FilterDatabase" localSheetId="16" hidden="1">Vizsgálatok!$A$1:$D$415</definedName>
    <definedName name="Csövek">Kémia!$B$506</definedName>
    <definedName name="Email">'Összesítő lap'!$B$14</definedName>
    <definedName name="Eszköz">Kémia!$S$517</definedName>
    <definedName name="Lakcim">'Összesítő lap'!$B$15</definedName>
    <definedName name="Minta">Kémia!$S$517</definedName>
    <definedName name="Mintavételi_eszközök">Kémia!$S$517</definedName>
    <definedName name="Nem">'Összesítő lap'!$F$15</definedName>
    <definedName name="Név">'Összesítő lap'!$B$12</definedName>
    <definedName name="_xlnm.Print_Area" localSheetId="6">Clinomics!$A$1:$G$53</definedName>
    <definedName name="_xlnm.Print_Area" localSheetId="1">Kémia!$B$4:$K$474</definedName>
    <definedName name="_xlnm.Print_Area" localSheetId="13">Medicover!$A$1:$P$432</definedName>
    <definedName name="_xlnm.Print_Area" localSheetId="0">'Összesítő lap'!$A$267:$I$551</definedName>
    <definedName name="_xlnm.Print_Area" localSheetId="16">Vizsgálatok!$A$1:$D$419</definedName>
    <definedName name="Születési_idő">'Összesítő lap'!$F$13</definedName>
    <definedName name="TAJ">'Összesítő lap'!$F$12</definedName>
    <definedName name="Telefon">'Összesítő lap'!$F$14</definedName>
    <definedName name="Teljes_pácienstörzs_2025_02_04_12_55_10" localSheetId="4">Páciensek!#REF!</definedName>
    <definedName name="Törvényes_képviselő_neve">'Összesítő lap'!$B$13</definedName>
    <definedName name="Utca">'Összesítő lap'!$B$16</definedName>
    <definedName name="Varos">'Összesítő lap'!$F$16</definedName>
    <definedName name="Z_232BE10E_1E8B_40CB_AA23_F4CE7348D26E_.wvu.FilterData" localSheetId="6" hidden="1">Clinomics!$A$2:$G$95</definedName>
    <definedName name="Z_232BE10E_1E8B_40CB_AA23_F4CE7348D26E_.wvu.FilterData" localSheetId="1" hidden="1">Kémia!$B$10:$K$536</definedName>
    <definedName name="Z_232BE10E_1E8B_40CB_AA23_F4CE7348D26E_.wvu.FilterData" localSheetId="13" hidden="1">Medicover!$A$13:$P$486</definedName>
    <definedName name="Z_232BE10E_1E8B_40CB_AA23_F4CE7348D26E_.wvu.FilterData" localSheetId="16" hidden="1">Vizsgálatok!$A$3:$D$460</definedName>
  </definedNames>
  <calcPr calcId="191029"/>
  <customWorkbookViews>
    <customWorkbookView name="1. szűrő" guid="{232BE10E-1E8B-40CB-AA23-F4CE7348D26E}" maximized="1" windowWidth="0" windowHeight="0" activeSheetId="0"/>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7" i="12" l="1"/>
  <c r="F16" i="12"/>
  <c r="O171" i="17"/>
  <c r="O64" i="17"/>
  <c r="N64" i="17"/>
  <c r="O63" i="17"/>
  <c r="N63" i="17"/>
  <c r="O155" i="17"/>
  <c r="N155" i="17"/>
  <c r="O154" i="17"/>
  <c r="N154" i="17"/>
  <c r="O162" i="17"/>
  <c r="N162" i="17"/>
  <c r="O161" i="17"/>
  <c r="N161" i="17"/>
  <c r="E39" i="12"/>
  <c r="T68" i="17"/>
  <c r="T251" i="17" l="1"/>
  <c r="T345" i="17"/>
  <c r="T150" i="17"/>
  <c r="O150" i="17"/>
  <c r="N150" i="17"/>
  <c r="T171" i="17"/>
  <c r="T173" i="17"/>
  <c r="T144" i="17"/>
  <c r="A358" i="12"/>
  <c r="T218" i="17"/>
  <c r="T115" i="17"/>
  <c r="T217" i="17"/>
  <c r="T114" i="17"/>
  <c r="T306" i="17"/>
  <c r="T120" i="17"/>
  <c r="E675" i="13"/>
  <c r="L857" i="13" l="1"/>
  <c r="D854" i="13"/>
  <c r="C854" i="13"/>
  <c r="F863" i="13"/>
  <c r="F855" i="13"/>
  <c r="L863" i="13"/>
  <c r="O863" i="13" s="1"/>
  <c r="L860" i="13"/>
  <c r="O860" i="13" s="1"/>
  <c r="F860" i="13"/>
  <c r="L855" i="13"/>
  <c r="O855" i="13" s="1"/>
  <c r="L871" i="13"/>
  <c r="F871" i="13"/>
  <c r="L870" i="13"/>
  <c r="F870" i="13"/>
  <c r="L869" i="13"/>
  <c r="F869" i="13"/>
  <c r="L868" i="13"/>
  <c r="N868" i="13" s="1"/>
  <c r="F868" i="13"/>
  <c r="L867" i="13"/>
  <c r="O867" i="13" s="1"/>
  <c r="F867" i="13"/>
  <c r="L866" i="13"/>
  <c r="T866" i="13" s="1"/>
  <c r="F866" i="13"/>
  <c r="L865" i="13"/>
  <c r="T865" i="13" s="1"/>
  <c r="F865" i="13"/>
  <c r="L864" i="13"/>
  <c r="N864" i="13" s="1"/>
  <c r="F864" i="13"/>
  <c r="L862" i="13"/>
  <c r="I862" i="13"/>
  <c r="F862" i="13"/>
  <c r="L861" i="13"/>
  <c r="F861" i="13"/>
  <c r="L859" i="13"/>
  <c r="F859" i="13"/>
  <c r="R858" i="13"/>
  <c r="L858" i="13"/>
  <c r="F858" i="13"/>
  <c r="I857" i="13"/>
  <c r="F857" i="13"/>
  <c r="L856" i="13"/>
  <c r="I856" i="13"/>
  <c r="F856" i="13"/>
  <c r="L851" i="13"/>
  <c r="F851" i="13"/>
  <c r="L849" i="13"/>
  <c r="T849" i="13" s="1"/>
  <c r="F849" i="13"/>
  <c r="L848" i="13"/>
  <c r="N848" i="13" s="1"/>
  <c r="L847" i="13"/>
  <c r="N847" i="13" s="1"/>
  <c r="L846" i="13"/>
  <c r="T846" i="13" s="1"/>
  <c r="F848" i="13"/>
  <c r="F847" i="13"/>
  <c r="F846" i="13"/>
  <c r="F845" i="13"/>
  <c r="D839" i="13"/>
  <c r="C839" i="13"/>
  <c r="F840" i="13"/>
  <c r="L853" i="13"/>
  <c r="F853" i="13"/>
  <c r="L852" i="13"/>
  <c r="F852" i="13"/>
  <c r="L850" i="13"/>
  <c r="T850" i="13" s="1"/>
  <c r="F850" i="13"/>
  <c r="L844" i="13"/>
  <c r="F844" i="13"/>
  <c r="L843" i="13"/>
  <c r="F843" i="13"/>
  <c r="R842" i="13"/>
  <c r="L842" i="13"/>
  <c r="F842" i="13"/>
  <c r="L841" i="13"/>
  <c r="I841" i="13"/>
  <c r="F841" i="13"/>
  <c r="D831" i="13"/>
  <c r="C831" i="13"/>
  <c r="F832" i="13"/>
  <c r="L838" i="13"/>
  <c r="F838" i="13"/>
  <c r="L836" i="13"/>
  <c r="O836" i="13" s="1"/>
  <c r="F836" i="13"/>
  <c r="L837" i="13"/>
  <c r="F837" i="13"/>
  <c r="L835" i="13"/>
  <c r="F835" i="13"/>
  <c r="L834" i="13"/>
  <c r="F834" i="13"/>
  <c r="R833" i="13"/>
  <c r="L833" i="13"/>
  <c r="F833" i="13"/>
  <c r="F828" i="13"/>
  <c r="F827" i="13"/>
  <c r="F826" i="13"/>
  <c r="F825" i="13"/>
  <c r="F824" i="13"/>
  <c r="F823" i="13"/>
  <c r="F822" i="13"/>
  <c r="F821" i="13"/>
  <c r="F820" i="13"/>
  <c r="F819" i="13"/>
  <c r="F818" i="13"/>
  <c r="F817" i="13"/>
  <c r="F816" i="13"/>
  <c r="F815" i="13"/>
  <c r="F814" i="13"/>
  <c r="F813" i="13"/>
  <c r="D812" i="13"/>
  <c r="C812" i="13"/>
  <c r="F810" i="13"/>
  <c r="F809" i="13"/>
  <c r="F808" i="13"/>
  <c r="F807" i="13"/>
  <c r="F806" i="13"/>
  <c r="F805" i="13"/>
  <c r="F804" i="13"/>
  <c r="F803" i="13"/>
  <c r="F802" i="13"/>
  <c r="F801" i="13"/>
  <c r="F800" i="13"/>
  <c r="F799" i="13"/>
  <c r="F798" i="13"/>
  <c r="F797" i="13"/>
  <c r="D796" i="13"/>
  <c r="C796" i="13"/>
  <c r="F793" i="13"/>
  <c r="F792" i="13"/>
  <c r="F791" i="13"/>
  <c r="F790" i="13"/>
  <c r="F789" i="13"/>
  <c r="F788" i="13"/>
  <c r="F787" i="13"/>
  <c r="F786" i="13"/>
  <c r="F785" i="13"/>
  <c r="D784" i="13"/>
  <c r="C784" i="13"/>
  <c r="F781" i="13"/>
  <c r="F780" i="13"/>
  <c r="F779" i="13"/>
  <c r="F778" i="13"/>
  <c r="F777" i="13"/>
  <c r="F776" i="13"/>
  <c r="D775" i="13"/>
  <c r="C775" i="13"/>
  <c r="F772" i="13"/>
  <c r="F771" i="13"/>
  <c r="F770" i="13"/>
  <c r="F769" i="13"/>
  <c r="D768" i="13"/>
  <c r="C768" i="13"/>
  <c r="D675" i="13"/>
  <c r="C675" i="13"/>
  <c r="F831" i="13" l="1"/>
  <c r="F854" i="13"/>
  <c r="O864" i="13"/>
  <c r="N865" i="13"/>
  <c r="T864" i="13"/>
  <c r="O865" i="13"/>
  <c r="O868" i="13"/>
  <c r="T863" i="13"/>
  <c r="T867" i="13"/>
  <c r="T868" i="13"/>
  <c r="N836" i="13"/>
  <c r="O848" i="13"/>
  <c r="N855" i="13"/>
  <c r="T855" i="13"/>
  <c r="N863" i="13"/>
  <c r="T848" i="13"/>
  <c r="N846" i="13"/>
  <c r="N860" i="13"/>
  <c r="T860" i="13"/>
  <c r="O846" i="13"/>
  <c r="N866" i="13"/>
  <c r="O866" i="13"/>
  <c r="N867" i="13"/>
  <c r="F839" i="13"/>
  <c r="O847" i="13"/>
  <c r="T847" i="13"/>
  <c r="N849" i="13"/>
  <c r="O849" i="13"/>
  <c r="N850" i="13"/>
  <c r="O850" i="13"/>
  <c r="T836" i="13"/>
  <c r="F812" i="13"/>
  <c r="F784" i="13"/>
  <c r="F796" i="13"/>
  <c r="F775" i="13"/>
  <c r="F768" i="13"/>
  <c r="E744" i="13"/>
  <c r="D744" i="13"/>
  <c r="C744" i="13"/>
  <c r="I722" i="13"/>
  <c r="I744" i="13"/>
  <c r="T767" i="13"/>
  <c r="O767" i="13"/>
  <c r="N767" i="13"/>
  <c r="F767" i="13"/>
  <c r="T766" i="13"/>
  <c r="O766" i="13"/>
  <c r="N766" i="13"/>
  <c r="F766" i="13"/>
  <c r="T765" i="13"/>
  <c r="O765" i="13"/>
  <c r="N765" i="13"/>
  <c r="F765" i="13"/>
  <c r="F764" i="13"/>
  <c r="F763" i="13"/>
  <c r="L762" i="13"/>
  <c r="F762" i="13"/>
  <c r="L760" i="13"/>
  <c r="F760" i="13"/>
  <c r="F759" i="13"/>
  <c r="F757" i="13"/>
  <c r="F756" i="13"/>
  <c r="F755" i="13"/>
  <c r="F754" i="13"/>
  <c r="F751" i="13"/>
  <c r="F750" i="13"/>
  <c r="F749" i="13"/>
  <c r="L748" i="13"/>
  <c r="F748" i="13"/>
  <c r="L747" i="13"/>
  <c r="F747" i="13"/>
  <c r="L746" i="13"/>
  <c r="F746" i="13"/>
  <c r="L745" i="13"/>
  <c r="F745" i="13"/>
  <c r="E722" i="13"/>
  <c r="D722" i="13"/>
  <c r="F742" i="13"/>
  <c r="F741" i="13"/>
  <c r="L740" i="13"/>
  <c r="F740" i="13"/>
  <c r="L738" i="13"/>
  <c r="F738" i="13"/>
  <c r="F737" i="13"/>
  <c r="F735" i="13"/>
  <c r="F734" i="13"/>
  <c r="F733" i="13"/>
  <c r="F732" i="13"/>
  <c r="F731" i="13"/>
  <c r="F730" i="13"/>
  <c r="F729" i="13"/>
  <c r="F728" i="13"/>
  <c r="F727" i="13"/>
  <c r="L726" i="13"/>
  <c r="F726" i="13"/>
  <c r="L725" i="13"/>
  <c r="F725" i="13"/>
  <c r="L724" i="13"/>
  <c r="F724" i="13"/>
  <c r="L723" i="13"/>
  <c r="F723" i="13"/>
  <c r="C722" i="13"/>
  <c r="L721" i="13"/>
  <c r="F721" i="13"/>
  <c r="L720" i="13"/>
  <c r="I720" i="13"/>
  <c r="F720" i="13"/>
  <c r="I719" i="13"/>
  <c r="E719" i="13"/>
  <c r="D719" i="13"/>
  <c r="C719" i="13"/>
  <c r="F718" i="13"/>
  <c r="F717" i="13"/>
  <c r="F716" i="13"/>
  <c r="F715" i="13"/>
  <c r="F714" i="13"/>
  <c r="F713" i="13"/>
  <c r="F712" i="13"/>
  <c r="F711" i="13"/>
  <c r="F710" i="13"/>
  <c r="F709" i="13"/>
  <c r="F708" i="13"/>
  <c r="F707" i="13"/>
  <c r="F706" i="13"/>
  <c r="F705" i="13"/>
  <c r="F704" i="13"/>
  <c r="F703" i="13"/>
  <c r="F702" i="13"/>
  <c r="F701" i="13"/>
  <c r="F700" i="13"/>
  <c r="F699" i="13"/>
  <c r="F698" i="13"/>
  <c r="F696" i="13"/>
  <c r="F695" i="13"/>
  <c r="F693" i="13"/>
  <c r="F692" i="13"/>
  <c r="F691" i="13"/>
  <c r="F690" i="13"/>
  <c r="F689" i="13"/>
  <c r="F688" i="13"/>
  <c r="F685" i="13"/>
  <c r="F684" i="13"/>
  <c r="F683" i="13"/>
  <c r="F682" i="13"/>
  <c r="F680" i="13"/>
  <c r="F679" i="13"/>
  <c r="F678" i="13"/>
  <c r="F677" i="13"/>
  <c r="R256" i="38"/>
  <c r="L256" i="38"/>
  <c r="R248" i="38" s="1"/>
  <c r="R255" i="38"/>
  <c r="L255" i="38"/>
  <c r="R254" i="38"/>
  <c r="L254" i="38"/>
  <c r="R253" i="38"/>
  <c r="L253" i="38"/>
  <c r="R252" i="38"/>
  <c r="L252" i="38"/>
  <c r="R251" i="38"/>
  <c r="L251" i="38"/>
  <c r="R250" i="38"/>
  <c r="L250" i="38"/>
  <c r="R249" i="38"/>
  <c r="L249" i="38"/>
  <c r="L248" i="38"/>
  <c r="L247" i="38"/>
  <c r="L246" i="38"/>
  <c r="L245" i="38"/>
  <c r="L244" i="38"/>
  <c r="I244" i="38"/>
  <c r="L240" i="38"/>
  <c r="L239" i="38"/>
  <c r="R231" i="38" s="1"/>
  <c r="L238" i="38"/>
  <c r="R230" i="38" s="1"/>
  <c r="L237" i="38"/>
  <c r="R229" i="38" s="1"/>
  <c r="L236" i="38"/>
  <c r="L235" i="38"/>
  <c r="R227" i="38" s="1"/>
  <c r="L234" i="38"/>
  <c r="R226" i="38" s="1"/>
  <c r="L233" i="38"/>
  <c r="R225" i="38" s="1"/>
  <c r="R232" i="38"/>
  <c r="L232" i="38"/>
  <c r="R224" i="38" s="1"/>
  <c r="L231" i="38"/>
  <c r="R223" i="38" s="1"/>
  <c r="L230" i="38"/>
  <c r="R222" i="38" s="1"/>
  <c r="L229" i="38"/>
  <c r="R208" i="38" s="1"/>
  <c r="R228" i="38"/>
  <c r="L228" i="38"/>
  <c r="L227" i="38"/>
  <c r="L226" i="38"/>
  <c r="L225" i="38"/>
  <c r="L224" i="38"/>
  <c r="L223" i="38"/>
  <c r="L222" i="38"/>
  <c r="L221" i="38"/>
  <c r="L220" i="38"/>
  <c r="L219" i="38"/>
  <c r="L218" i="38"/>
  <c r="L217" i="38"/>
  <c r="L216" i="38"/>
  <c r="L215" i="38"/>
  <c r="L214" i="38"/>
  <c r="L213" i="38"/>
  <c r="L212" i="38"/>
  <c r="L211" i="38"/>
  <c r="L210" i="38"/>
  <c r="L209" i="38"/>
  <c r="L208" i="38"/>
  <c r="L207" i="38"/>
  <c r="L206" i="38"/>
  <c r="L205" i="38"/>
  <c r="L204" i="38"/>
  <c r="L203" i="38"/>
  <c r="L202" i="38"/>
  <c r="L201" i="38"/>
  <c r="L200" i="38"/>
  <c r="L199" i="38"/>
  <c r="L198" i="38"/>
  <c r="L197" i="38"/>
  <c r="L196" i="38"/>
  <c r="L195" i="38"/>
  <c r="L194" i="38"/>
  <c r="L193" i="38"/>
  <c r="L192" i="38"/>
  <c r="L191" i="38"/>
  <c r="L190" i="38"/>
  <c r="L189" i="38"/>
  <c r="L188" i="38"/>
  <c r="L187" i="38"/>
  <c r="L186" i="38"/>
  <c r="L185" i="38"/>
  <c r="L184" i="38"/>
  <c r="L183" i="38"/>
  <c r="L182" i="38"/>
  <c r="L181" i="38"/>
  <c r="L180" i="38"/>
  <c r="L179" i="38"/>
  <c r="L178" i="38"/>
  <c r="L177" i="38"/>
  <c r="L176" i="38"/>
  <c r="L175" i="38"/>
  <c r="L174" i="38"/>
  <c r="L173" i="38"/>
  <c r="L172" i="38"/>
  <c r="L171" i="38"/>
  <c r="L170" i="38"/>
  <c r="L169" i="38"/>
  <c r="L168" i="38"/>
  <c r="L167" i="38"/>
  <c r="L166" i="38"/>
  <c r="L165" i="38"/>
  <c r="L164" i="38"/>
  <c r="L163" i="38"/>
  <c r="L162" i="38"/>
  <c r="L161" i="38"/>
  <c r="L160" i="38"/>
  <c r="L159" i="38"/>
  <c r="L158" i="38"/>
  <c r="L157" i="38"/>
  <c r="L156" i="38"/>
  <c r="L155" i="38"/>
  <c r="L154" i="38"/>
  <c r="L153" i="38"/>
  <c r="L152" i="38"/>
  <c r="L151" i="38"/>
  <c r="L150" i="38"/>
  <c r="L149" i="38"/>
  <c r="L148" i="38"/>
  <c r="L147" i="38"/>
  <c r="L146" i="38"/>
  <c r="L145" i="38"/>
  <c r="L144" i="38"/>
  <c r="L143" i="38"/>
  <c r="L142" i="38"/>
  <c r="L141" i="38"/>
  <c r="L140" i="38"/>
  <c r="L139" i="38"/>
  <c r="L138" i="38"/>
  <c r="L137" i="38"/>
  <c r="L136" i="38"/>
  <c r="L135" i="38"/>
  <c r="L134" i="38"/>
  <c r="L133" i="38"/>
  <c r="L132" i="38"/>
  <c r="I132" i="38"/>
  <c r="L129" i="38"/>
  <c r="R121" i="38" s="1"/>
  <c r="L128" i="38"/>
  <c r="R120" i="38" s="1"/>
  <c r="L127" i="38"/>
  <c r="R119" i="38" s="1"/>
  <c r="L126" i="38"/>
  <c r="R96" i="38" s="1"/>
  <c r="L125" i="38"/>
  <c r="R95" i="38" s="1"/>
  <c r="L124" i="38"/>
  <c r="R94" i="38" s="1"/>
  <c r="R123" i="38"/>
  <c r="L123" i="38"/>
  <c r="R122" i="38"/>
  <c r="L122" i="38"/>
  <c r="R81" i="38" s="1"/>
  <c r="L121" i="38"/>
  <c r="R80" i="38" s="1"/>
  <c r="L120" i="38"/>
  <c r="R79" i="38" s="1"/>
  <c r="L119" i="38"/>
  <c r="L118" i="38"/>
  <c r="L117" i="38"/>
  <c r="L116" i="38"/>
  <c r="L115" i="38"/>
  <c r="L114" i="38"/>
  <c r="L113" i="38"/>
  <c r="L112" i="38"/>
  <c r="L111" i="38"/>
  <c r="L110" i="38"/>
  <c r="L109" i="38"/>
  <c r="L108" i="38"/>
  <c r="L107" i="38"/>
  <c r="L106" i="38"/>
  <c r="L105" i="38"/>
  <c r="L104" i="38"/>
  <c r="L103" i="38"/>
  <c r="L102" i="38"/>
  <c r="L101" i="38"/>
  <c r="L100" i="38"/>
  <c r="L99" i="38"/>
  <c r="L98" i="38"/>
  <c r="L97" i="38"/>
  <c r="L96" i="38"/>
  <c r="L95" i="38"/>
  <c r="L94" i="38"/>
  <c r="L93" i="38"/>
  <c r="L92" i="38"/>
  <c r="L91" i="38"/>
  <c r="L90" i="38"/>
  <c r="L89" i="38"/>
  <c r="L88" i="38"/>
  <c r="L87" i="38"/>
  <c r="L86" i="38"/>
  <c r="L85" i="38"/>
  <c r="L84" i="38"/>
  <c r="L83" i="38"/>
  <c r="R82" i="38"/>
  <c r="L82" i="38"/>
  <c r="L81" i="38"/>
  <c r="L80" i="38"/>
  <c r="L79" i="38"/>
  <c r="L78" i="38"/>
  <c r="L77" i="38"/>
  <c r="L76" i="38"/>
  <c r="L75" i="38"/>
  <c r="I75" i="38"/>
  <c r="L72" i="38"/>
  <c r="R64" i="38" s="1"/>
  <c r="L71" i="38"/>
  <c r="R63" i="38" s="1"/>
  <c r="L70" i="38"/>
  <c r="R62" i="38" s="1"/>
  <c r="L69" i="38"/>
  <c r="R61" i="38" s="1"/>
  <c r="L68" i="38"/>
  <c r="R60" i="38" s="1"/>
  <c r="R67" i="38"/>
  <c r="L67" i="38"/>
  <c r="R59" i="38" s="1"/>
  <c r="R66" i="38"/>
  <c r="L66" i="38"/>
  <c r="R58" i="38" s="1"/>
  <c r="R65" i="38"/>
  <c r="L65" i="38"/>
  <c r="R57" i="38" s="1"/>
  <c r="L64" i="38"/>
  <c r="R56" i="38" s="1"/>
  <c r="L63" i="38"/>
  <c r="L62" i="38"/>
  <c r="L61" i="38"/>
  <c r="L60" i="38"/>
  <c r="L59" i="38"/>
  <c r="L58" i="38"/>
  <c r="L57" i="38"/>
  <c r="L56" i="38"/>
  <c r="L55" i="38"/>
  <c r="L54" i="38"/>
  <c r="L53" i="38"/>
  <c r="L52" i="38"/>
  <c r="L51" i="38"/>
  <c r="I51" i="38"/>
  <c r="L48" i="38"/>
  <c r="L47" i="38"/>
  <c r="L46" i="38"/>
  <c r="L45" i="38"/>
  <c r="L44" i="38"/>
  <c r="L43" i="38"/>
  <c r="L42" i="38"/>
  <c r="L41" i="38"/>
  <c r="L40" i="38"/>
  <c r="L39" i="38"/>
  <c r="L38" i="38"/>
  <c r="L37" i="38"/>
  <c r="L36" i="38"/>
  <c r="L35" i="38"/>
  <c r="L34" i="38"/>
  <c r="L33" i="38"/>
  <c r="L32" i="38"/>
  <c r="L31" i="38"/>
  <c r="L30" i="38"/>
  <c r="L29" i="38"/>
  <c r="L28" i="38"/>
  <c r="L27" i="38"/>
  <c r="L26" i="38"/>
  <c r="L25" i="38"/>
  <c r="L24" i="38"/>
  <c r="I24" i="38"/>
  <c r="E494" i="12"/>
  <c r="R55" i="38" l="1"/>
  <c r="R134" i="38"/>
  <c r="R246" i="38"/>
  <c r="R247" i="38"/>
  <c r="R76" i="38"/>
  <c r="R78" i="38"/>
  <c r="R52" i="38"/>
  <c r="R53" i="38"/>
  <c r="R133" i="38"/>
  <c r="R77" i="38"/>
  <c r="R207" i="38"/>
  <c r="R245" i="38"/>
  <c r="F675" i="13"/>
  <c r="F744" i="13"/>
  <c r="F719" i="13"/>
  <c r="F722" i="13"/>
  <c r="L719" i="13"/>
  <c r="E309" i="12"/>
  <c r="E410" i="12"/>
  <c r="E478" i="12"/>
  <c r="E34" i="12" l="1"/>
  <c r="C358" i="12" s="1"/>
  <c r="D411" i="12"/>
  <c r="B484" i="12"/>
  <c r="L12" i="13"/>
  <c r="L25" i="13"/>
  <c r="L24" i="13"/>
  <c r="L23" i="13"/>
  <c r="L22" i="13"/>
  <c r="L21" i="13"/>
  <c r="L20" i="13"/>
  <c r="L19" i="13"/>
  <c r="L18" i="13"/>
  <c r="L17" i="13"/>
  <c r="L16" i="13"/>
  <c r="L15" i="13"/>
  <c r="L14" i="13"/>
  <c r="L13" i="13"/>
  <c r="L11" i="13"/>
  <c r="L10" i="13"/>
  <c r="L9" i="13"/>
  <c r="L8" i="13"/>
  <c r="L7" i="13"/>
  <c r="L6" i="13"/>
  <c r="L5" i="13"/>
  <c r="L4" i="13"/>
  <c r="F461" i="13"/>
  <c r="F458" i="13"/>
  <c r="F457" i="13"/>
  <c r="F459" i="13"/>
  <c r="F456" i="13"/>
  <c r="F455" i="13"/>
  <c r="F454" i="13"/>
  <c r="F453" i="13"/>
  <c r="F452" i="13"/>
  <c r="F451" i="13"/>
  <c r="F449" i="13"/>
  <c r="F448" i="13"/>
  <c r="F447" i="13"/>
  <c r="F446" i="13"/>
  <c r="F443" i="13"/>
  <c r="F442" i="13"/>
  <c r="F441" i="13"/>
  <c r="F440" i="13"/>
  <c r="F439" i="13"/>
  <c r="E439" i="13"/>
  <c r="L439" i="13" s="1"/>
  <c r="F438" i="13"/>
  <c r="F437" i="13"/>
  <c r="F435" i="13"/>
  <c r="F434" i="13"/>
  <c r="F433" i="13"/>
  <c r="F431" i="13"/>
  <c r="F430" i="13"/>
  <c r="F429" i="13"/>
  <c r="F428" i="13"/>
  <c r="F427" i="13"/>
  <c r="F426" i="13"/>
  <c r="F425" i="13"/>
  <c r="F424" i="13"/>
  <c r="F583" i="13"/>
  <c r="F585" i="13"/>
  <c r="I423" i="13"/>
  <c r="L990" i="13"/>
  <c r="L989" i="13"/>
  <c r="L988" i="13"/>
  <c r="L987" i="13"/>
  <c r="L986" i="13"/>
  <c r="L985" i="13"/>
  <c r="L984" i="13"/>
  <c r="L983" i="13"/>
  <c r="L982" i="13"/>
  <c r="L981" i="13"/>
  <c r="L980" i="13"/>
  <c r="L979" i="13"/>
  <c r="L978" i="13"/>
  <c r="L977" i="13"/>
  <c r="L976" i="13"/>
  <c r="L975" i="13"/>
  <c r="L974" i="13"/>
  <c r="L973" i="13"/>
  <c r="L972" i="13"/>
  <c r="L971" i="13"/>
  <c r="L970" i="13"/>
  <c r="L969" i="13"/>
  <c r="L968" i="13"/>
  <c r="L967" i="13"/>
  <c r="L966" i="13"/>
  <c r="L965" i="13"/>
  <c r="L964" i="13"/>
  <c r="L963" i="13"/>
  <c r="L962" i="13"/>
  <c r="L961" i="13"/>
  <c r="L960" i="13"/>
  <c r="L959" i="13"/>
  <c r="L958" i="13"/>
  <c r="L957" i="13"/>
  <c r="L956" i="13"/>
  <c r="L955" i="13"/>
  <c r="L954" i="13"/>
  <c r="L953" i="13"/>
  <c r="L952" i="13"/>
  <c r="L951" i="13"/>
  <c r="L950" i="13"/>
  <c r="L949" i="13"/>
  <c r="L948" i="13"/>
  <c r="L947" i="13"/>
  <c r="L946" i="13"/>
  <c r="L945" i="13"/>
  <c r="L944" i="13"/>
  <c r="L943" i="13"/>
  <c r="L942" i="13"/>
  <c r="L941" i="13"/>
  <c r="L940" i="13"/>
  <c r="L939" i="13"/>
  <c r="L938" i="13"/>
  <c r="L937" i="13"/>
  <c r="L936" i="13"/>
  <c r="L935" i="13"/>
  <c r="L934" i="13"/>
  <c r="L933" i="13"/>
  <c r="L932" i="13"/>
  <c r="L931" i="13"/>
  <c r="L930" i="13"/>
  <c r="L929" i="13"/>
  <c r="L928" i="13"/>
  <c r="L927" i="13"/>
  <c r="L926" i="13"/>
  <c r="L925" i="13"/>
  <c r="L924" i="13"/>
  <c r="L923" i="13"/>
  <c r="L922" i="13"/>
  <c r="L921" i="13"/>
  <c r="L920" i="13"/>
  <c r="L919" i="13"/>
  <c r="L918" i="13"/>
  <c r="L917" i="13"/>
  <c r="L916" i="13"/>
  <c r="L915" i="13"/>
  <c r="L914" i="13"/>
  <c r="L913" i="13"/>
  <c r="L912" i="13"/>
  <c r="L911" i="13"/>
  <c r="L910" i="13"/>
  <c r="L909" i="13"/>
  <c r="L908" i="13"/>
  <c r="L907" i="13"/>
  <c r="L906" i="13"/>
  <c r="L905" i="13"/>
  <c r="L904" i="13"/>
  <c r="L890" i="13"/>
  <c r="L889" i="13"/>
  <c r="L888" i="13"/>
  <c r="L887" i="13"/>
  <c r="L886" i="13"/>
  <c r="L885" i="13"/>
  <c r="L884" i="13"/>
  <c r="L883" i="13"/>
  <c r="L882" i="13"/>
  <c r="L881" i="13"/>
  <c r="L880" i="13"/>
  <c r="L879" i="13"/>
  <c r="L878" i="13"/>
  <c r="L877" i="13"/>
  <c r="L876" i="13"/>
  <c r="L875" i="13"/>
  <c r="L874" i="13"/>
  <c r="L873" i="13"/>
  <c r="L872" i="13"/>
  <c r="L854" i="13"/>
  <c r="L845" i="13"/>
  <c r="L840" i="13"/>
  <c r="L839" i="13"/>
  <c r="L832" i="13"/>
  <c r="L831" i="13"/>
  <c r="L828" i="13"/>
  <c r="L827" i="13"/>
  <c r="L826" i="13"/>
  <c r="L825" i="13"/>
  <c r="L824" i="13"/>
  <c r="L823" i="13"/>
  <c r="L812" i="13"/>
  <c r="L811" i="13"/>
  <c r="L810" i="13"/>
  <c r="L809" i="13"/>
  <c r="L808" i="13"/>
  <c r="L807" i="13"/>
  <c r="L806" i="13"/>
  <c r="L805" i="13"/>
  <c r="L804" i="13"/>
  <c r="L803" i="13"/>
  <c r="L802" i="13"/>
  <c r="L801" i="13"/>
  <c r="L800" i="13"/>
  <c r="L799" i="13"/>
  <c r="L798" i="13"/>
  <c r="L797" i="13"/>
  <c r="L796" i="13"/>
  <c r="L795" i="13"/>
  <c r="L794" i="13"/>
  <c r="L793" i="13"/>
  <c r="L792" i="13"/>
  <c r="L791" i="13"/>
  <c r="L790" i="13"/>
  <c r="L789" i="13"/>
  <c r="L788" i="13"/>
  <c r="L787" i="13"/>
  <c r="L786" i="13"/>
  <c r="L785" i="13"/>
  <c r="L784" i="13"/>
  <c r="L783" i="13"/>
  <c r="L782" i="13"/>
  <c r="L781" i="13"/>
  <c r="L780" i="13"/>
  <c r="L779" i="13"/>
  <c r="L778" i="13"/>
  <c r="L777" i="13"/>
  <c r="L776" i="13"/>
  <c r="L775" i="13"/>
  <c r="L774" i="13"/>
  <c r="L773" i="13"/>
  <c r="L772" i="13"/>
  <c r="L771" i="13"/>
  <c r="L770" i="13"/>
  <c r="L769" i="13"/>
  <c r="L768" i="13"/>
  <c r="L718" i="13"/>
  <c r="L717" i="13"/>
  <c r="L716" i="13"/>
  <c r="L715" i="13"/>
  <c r="L714" i="13"/>
  <c r="L675" i="13"/>
  <c r="L674" i="13"/>
  <c r="L673" i="13"/>
  <c r="L672" i="13"/>
  <c r="L671" i="13"/>
  <c r="L670" i="13"/>
  <c r="L669" i="13"/>
  <c r="L668" i="13"/>
  <c r="L667" i="13"/>
  <c r="L666" i="13"/>
  <c r="L665" i="13"/>
  <c r="L664" i="13"/>
  <c r="L663" i="13"/>
  <c r="L662" i="13"/>
  <c r="L661" i="13"/>
  <c r="L660" i="13"/>
  <c r="L659" i="13"/>
  <c r="L658" i="13"/>
  <c r="L657" i="13"/>
  <c r="L656" i="13"/>
  <c r="L655" i="13"/>
  <c r="L654" i="13"/>
  <c r="L653" i="13"/>
  <c r="L652" i="13"/>
  <c r="L651" i="13"/>
  <c r="L650" i="13"/>
  <c r="L649" i="13"/>
  <c r="L648" i="13"/>
  <c r="L647" i="13"/>
  <c r="L646" i="13"/>
  <c r="L645" i="13"/>
  <c r="L644" i="13"/>
  <c r="L643" i="13"/>
  <c r="L642" i="13"/>
  <c r="L641" i="13"/>
  <c r="L640" i="13"/>
  <c r="L639" i="13"/>
  <c r="L638" i="13"/>
  <c r="L637" i="13"/>
  <c r="L636" i="13"/>
  <c r="L635" i="13"/>
  <c r="L634" i="13"/>
  <c r="L633" i="13"/>
  <c r="L632" i="13"/>
  <c r="L630" i="13"/>
  <c r="L629" i="13"/>
  <c r="L628" i="13"/>
  <c r="L627" i="13"/>
  <c r="L626" i="13"/>
  <c r="L625" i="13"/>
  <c r="L624" i="13"/>
  <c r="L623" i="13"/>
  <c r="L622" i="13"/>
  <c r="L621" i="13"/>
  <c r="L620" i="13"/>
  <c r="L619" i="13"/>
  <c r="L618" i="13"/>
  <c r="L617" i="13"/>
  <c r="L616" i="13"/>
  <c r="L615" i="13"/>
  <c r="L614" i="13"/>
  <c r="L613" i="13"/>
  <c r="L612" i="13"/>
  <c r="L611" i="13"/>
  <c r="L610" i="13"/>
  <c r="L609" i="13"/>
  <c r="L608" i="13"/>
  <c r="L607" i="13"/>
  <c r="L606" i="13"/>
  <c r="L605" i="13"/>
  <c r="L604" i="13"/>
  <c r="L603" i="13"/>
  <c r="L602" i="13"/>
  <c r="L601" i="13"/>
  <c r="L600" i="13"/>
  <c r="L599" i="13"/>
  <c r="L598" i="13"/>
  <c r="L597" i="13"/>
  <c r="L596" i="13"/>
  <c r="L595" i="13"/>
  <c r="L594" i="13"/>
  <c r="L593" i="13"/>
  <c r="L592" i="13"/>
  <c r="L591" i="13"/>
  <c r="L590" i="13"/>
  <c r="L589" i="13"/>
  <c r="L587" i="13"/>
  <c r="L586" i="13"/>
  <c r="L585" i="13"/>
  <c r="L584" i="13"/>
  <c r="L583" i="13"/>
  <c r="L582" i="13"/>
  <c r="L581" i="13"/>
  <c r="L580" i="13"/>
  <c r="L579" i="13"/>
  <c r="L578" i="13"/>
  <c r="L577" i="13"/>
  <c r="L576" i="13"/>
  <c r="L575" i="13"/>
  <c r="L574" i="13"/>
  <c r="L573" i="13"/>
  <c r="L572" i="13"/>
  <c r="L571" i="13"/>
  <c r="L570" i="13"/>
  <c r="L569" i="13"/>
  <c r="L568" i="13"/>
  <c r="L567" i="13"/>
  <c r="L566" i="13"/>
  <c r="L565" i="13"/>
  <c r="L564" i="13"/>
  <c r="L563" i="13"/>
  <c r="L562" i="13"/>
  <c r="L561" i="13"/>
  <c r="L560" i="13"/>
  <c r="L558" i="13"/>
  <c r="L557" i="13"/>
  <c r="L556" i="13"/>
  <c r="L555" i="13"/>
  <c r="L554" i="13"/>
  <c r="L553" i="13"/>
  <c r="L552" i="13"/>
  <c r="L551" i="13"/>
  <c r="L550" i="13"/>
  <c r="L549" i="13"/>
  <c r="L548" i="13"/>
  <c r="L547" i="13"/>
  <c r="L546" i="13"/>
  <c r="L545" i="13"/>
  <c r="L544" i="13"/>
  <c r="L542" i="13"/>
  <c r="L541" i="13"/>
  <c r="L540" i="13"/>
  <c r="L539" i="13"/>
  <c r="L538" i="13"/>
  <c r="L537" i="13"/>
  <c r="L536" i="13"/>
  <c r="L535" i="13"/>
  <c r="L534" i="13"/>
  <c r="L533" i="13"/>
  <c r="L532" i="13"/>
  <c r="L531" i="13"/>
  <c r="L530" i="13"/>
  <c r="L529" i="13"/>
  <c r="L528" i="13"/>
  <c r="L527" i="13"/>
  <c r="L526" i="13"/>
  <c r="L525" i="13"/>
  <c r="L524" i="13"/>
  <c r="L523" i="13"/>
  <c r="L522" i="13"/>
  <c r="L521" i="13"/>
  <c r="L520" i="13"/>
  <c r="L519" i="13"/>
  <c r="L518" i="13"/>
  <c r="L516" i="13"/>
  <c r="L515" i="13"/>
  <c r="L514" i="13"/>
  <c r="L513" i="13"/>
  <c r="L512" i="13"/>
  <c r="L511" i="13"/>
  <c r="L510" i="13"/>
  <c r="L509" i="13"/>
  <c r="L508" i="13"/>
  <c r="L507" i="13"/>
  <c r="L506" i="13"/>
  <c r="L505" i="13"/>
  <c r="L504" i="13"/>
  <c r="L503" i="13"/>
  <c r="L502" i="13"/>
  <c r="L500" i="13"/>
  <c r="L499" i="13"/>
  <c r="L498" i="13"/>
  <c r="L497" i="13"/>
  <c r="L496" i="13"/>
  <c r="L495" i="13"/>
  <c r="L494" i="13"/>
  <c r="L493" i="13"/>
  <c r="L492" i="13"/>
  <c r="L491" i="13"/>
  <c r="L490" i="13"/>
  <c r="L489" i="13"/>
  <c r="L488" i="13"/>
  <c r="L487" i="13"/>
  <c r="L486" i="13"/>
  <c r="L485" i="13"/>
  <c r="L484" i="13"/>
  <c r="L483" i="13"/>
  <c r="L482" i="13"/>
  <c r="L481" i="13"/>
  <c r="L480" i="13"/>
  <c r="L479" i="13"/>
  <c r="L477" i="13"/>
  <c r="L476" i="13"/>
  <c r="L475" i="13"/>
  <c r="L474" i="13"/>
  <c r="L473" i="13"/>
  <c r="L472" i="13"/>
  <c r="L471" i="13"/>
  <c r="L470" i="13"/>
  <c r="L469" i="13"/>
  <c r="L468" i="13"/>
  <c r="L467" i="13"/>
  <c r="L466" i="13"/>
  <c r="L465" i="13"/>
  <c r="L464" i="13"/>
  <c r="L463" i="13"/>
  <c r="L461" i="13"/>
  <c r="L460" i="13"/>
  <c r="L459" i="13"/>
  <c r="L458" i="13"/>
  <c r="L457" i="13"/>
  <c r="L456" i="13"/>
  <c r="L455" i="13"/>
  <c r="L454" i="13"/>
  <c r="L453" i="13"/>
  <c r="L452" i="13"/>
  <c r="L451" i="13"/>
  <c r="L450" i="13"/>
  <c r="L449" i="13"/>
  <c r="L448" i="13"/>
  <c r="L447" i="13"/>
  <c r="L446" i="13"/>
  <c r="L445" i="13"/>
  <c r="L444" i="13"/>
  <c r="L443" i="13"/>
  <c r="L442" i="13"/>
  <c r="L441" i="13"/>
  <c r="L440" i="13"/>
  <c r="L438" i="13"/>
  <c r="L437" i="13"/>
  <c r="L436" i="13"/>
  <c r="L435" i="13"/>
  <c r="L434" i="13"/>
  <c r="L433" i="13"/>
  <c r="L432" i="13"/>
  <c r="L431" i="13"/>
  <c r="L430" i="13"/>
  <c r="L429" i="13"/>
  <c r="L428" i="13"/>
  <c r="L427" i="13"/>
  <c r="L426" i="13"/>
  <c r="L425" i="13"/>
  <c r="L424" i="13"/>
  <c r="L423" i="13"/>
  <c r="L422" i="13"/>
  <c r="L421" i="13"/>
  <c r="L420" i="13"/>
  <c r="L419" i="13"/>
  <c r="L418" i="13"/>
  <c r="L417" i="13"/>
  <c r="L416" i="13"/>
  <c r="L415" i="13"/>
  <c r="L414" i="13"/>
  <c r="L413" i="13"/>
  <c r="L412" i="13"/>
  <c r="L411" i="13"/>
  <c r="L410" i="13"/>
  <c r="L409" i="13"/>
  <c r="L408" i="13"/>
  <c r="L407" i="13"/>
  <c r="L406" i="13"/>
  <c r="L405" i="13"/>
  <c r="L404" i="13"/>
  <c r="L403" i="13"/>
  <c r="L402" i="13"/>
  <c r="L401" i="13"/>
  <c r="L400" i="13"/>
  <c r="L399" i="13"/>
  <c r="L398" i="13"/>
  <c r="L397" i="13"/>
  <c r="L396" i="13"/>
  <c r="L395" i="13"/>
  <c r="L394" i="13"/>
  <c r="L393" i="13"/>
  <c r="L392" i="13"/>
  <c r="L391" i="13"/>
  <c r="L390" i="13"/>
  <c r="L389" i="13"/>
  <c r="L388" i="13"/>
  <c r="L387" i="13"/>
  <c r="L386" i="13"/>
  <c r="L385" i="13"/>
  <c r="L384" i="13"/>
  <c r="L383" i="13"/>
  <c r="L382" i="13"/>
  <c r="L381" i="13"/>
  <c r="L380" i="13"/>
  <c r="L379" i="13"/>
  <c r="L378" i="13"/>
  <c r="L377" i="13"/>
  <c r="L376" i="13"/>
  <c r="L375" i="13"/>
  <c r="L374" i="13"/>
  <c r="L373" i="13"/>
  <c r="L372" i="13"/>
  <c r="L370" i="13"/>
  <c r="L369" i="13"/>
  <c r="L368" i="13"/>
  <c r="L367" i="13"/>
  <c r="L366" i="13"/>
  <c r="L365" i="13"/>
  <c r="L364" i="13"/>
  <c r="L363" i="13"/>
  <c r="L362" i="13"/>
  <c r="L361" i="13"/>
  <c r="L360" i="13"/>
  <c r="L359" i="13"/>
  <c r="L358" i="13"/>
  <c r="L357" i="13"/>
  <c r="L356" i="13"/>
  <c r="L355" i="13"/>
  <c r="L354" i="13"/>
  <c r="L353" i="13"/>
  <c r="L352" i="13"/>
  <c r="L351" i="13"/>
  <c r="L350" i="13"/>
  <c r="L349" i="13"/>
  <c r="L348" i="13"/>
  <c r="L347" i="13"/>
  <c r="L346" i="13"/>
  <c r="L345" i="13"/>
  <c r="L344" i="13"/>
  <c r="L343" i="13"/>
  <c r="L342" i="13"/>
  <c r="L341" i="13"/>
  <c r="L340" i="13"/>
  <c r="L339" i="13"/>
  <c r="L338" i="13"/>
  <c r="L337" i="13"/>
  <c r="L336" i="13"/>
  <c r="L335" i="13"/>
  <c r="L334" i="13"/>
  <c r="L333" i="13"/>
  <c r="L332" i="13"/>
  <c r="L331" i="13"/>
  <c r="L330" i="13"/>
  <c r="L329" i="13"/>
  <c r="L328" i="13"/>
  <c r="L327" i="13"/>
  <c r="L326" i="13"/>
  <c r="L325" i="13"/>
  <c r="L324" i="13"/>
  <c r="L323" i="13"/>
  <c r="L322" i="13"/>
  <c r="L321" i="13"/>
  <c r="L320" i="13"/>
  <c r="L319" i="13"/>
  <c r="L318" i="13"/>
  <c r="L317" i="13"/>
  <c r="L315" i="13"/>
  <c r="L314" i="13"/>
  <c r="L313" i="13"/>
  <c r="L312" i="13"/>
  <c r="L311" i="13"/>
  <c r="L310" i="13"/>
  <c r="L309" i="13"/>
  <c r="L308" i="13"/>
  <c r="L307" i="13"/>
  <c r="L305" i="13"/>
  <c r="L304" i="13"/>
  <c r="L303" i="13"/>
  <c r="L302" i="13"/>
  <c r="L301" i="13"/>
  <c r="L300" i="13"/>
  <c r="L299" i="13"/>
  <c r="L298" i="13"/>
  <c r="L296" i="13"/>
  <c r="L295" i="13"/>
  <c r="L294" i="13"/>
  <c r="L293" i="13"/>
  <c r="L292" i="13"/>
  <c r="L291" i="13"/>
  <c r="L289" i="13"/>
  <c r="L288" i="13"/>
  <c r="L287" i="13"/>
  <c r="L286" i="13"/>
  <c r="L285" i="13"/>
  <c r="L283" i="13"/>
  <c r="L282" i="13"/>
  <c r="L281" i="13"/>
  <c r="L280" i="13"/>
  <c r="L279" i="13"/>
  <c r="L278" i="13"/>
  <c r="L277" i="13"/>
  <c r="L276" i="13"/>
  <c r="L275" i="13"/>
  <c r="L274" i="13"/>
  <c r="L273" i="13"/>
  <c r="L271" i="13"/>
  <c r="L270" i="13"/>
  <c r="L269" i="13"/>
  <c r="L268" i="13"/>
  <c r="L267" i="13"/>
  <c r="L266" i="13"/>
  <c r="L265" i="13"/>
  <c r="L264" i="13"/>
  <c r="L262" i="13"/>
  <c r="L261" i="13"/>
  <c r="L260" i="13"/>
  <c r="L259" i="13"/>
  <c r="L258" i="13"/>
  <c r="L257" i="13"/>
  <c r="L256" i="13"/>
  <c r="L255" i="13"/>
  <c r="L254" i="13"/>
  <c r="L253" i="13"/>
  <c r="L252" i="13"/>
  <c r="L251" i="13"/>
  <c r="L250" i="13"/>
  <c r="L249" i="13"/>
  <c r="L248" i="13"/>
  <c r="L247" i="13"/>
  <c r="L246" i="13"/>
  <c r="L245" i="13"/>
  <c r="L244" i="13"/>
  <c r="L243" i="13"/>
  <c r="L242" i="13"/>
  <c r="L241" i="13"/>
  <c r="L240" i="13"/>
  <c r="L239" i="13"/>
  <c r="L238" i="13"/>
  <c r="L237" i="13"/>
  <c r="L236" i="13"/>
  <c r="L235" i="13"/>
  <c r="L234" i="13"/>
  <c r="L233" i="13"/>
  <c r="L232" i="13"/>
  <c r="L231" i="13"/>
  <c r="L230" i="13"/>
  <c r="L229" i="13"/>
  <c r="L228" i="13"/>
  <c r="L227" i="13"/>
  <c r="L226" i="13"/>
  <c r="L225" i="13"/>
  <c r="L224" i="13"/>
  <c r="L223" i="13"/>
  <c r="L222" i="13"/>
  <c r="L220" i="13"/>
  <c r="L219" i="13"/>
  <c r="L218" i="13"/>
  <c r="L217" i="13"/>
  <c r="L216" i="13"/>
  <c r="L215" i="13"/>
  <c r="L214" i="13"/>
  <c r="L213" i="13"/>
  <c r="L212" i="13"/>
  <c r="L210" i="13"/>
  <c r="L209" i="13"/>
  <c r="L208" i="13"/>
  <c r="L207" i="13"/>
  <c r="L205" i="13"/>
  <c r="L204" i="13"/>
  <c r="L203" i="13"/>
  <c r="L202" i="13"/>
  <c r="L201" i="13"/>
  <c r="L200" i="13"/>
  <c r="L199" i="13"/>
  <c r="L198" i="13"/>
  <c r="L197" i="13"/>
  <c r="L196" i="13"/>
  <c r="L194" i="13"/>
  <c r="L193" i="13"/>
  <c r="L192" i="13"/>
  <c r="L191" i="13"/>
  <c r="L190" i="13"/>
  <c r="L189" i="13"/>
  <c r="L188" i="13"/>
  <c r="L187" i="13"/>
  <c r="L186" i="13"/>
  <c r="L185" i="13"/>
  <c r="L184" i="13"/>
  <c r="L183" i="13"/>
  <c r="L182" i="13"/>
  <c r="L181" i="13"/>
  <c r="L180" i="13"/>
  <c r="L179" i="13"/>
  <c r="L178" i="13"/>
  <c r="L177" i="13"/>
  <c r="L176" i="13"/>
  <c r="L175" i="13"/>
  <c r="L174" i="13"/>
  <c r="L173" i="13"/>
  <c r="L172" i="13"/>
  <c r="L171" i="13"/>
  <c r="L170" i="13"/>
  <c r="L169" i="13"/>
  <c r="L168" i="13"/>
  <c r="L167" i="13"/>
  <c r="L166" i="13"/>
  <c r="L165" i="13"/>
  <c r="L164" i="13"/>
  <c r="L163" i="13"/>
  <c r="L162" i="13"/>
  <c r="L161" i="13"/>
  <c r="L160" i="13"/>
  <c r="L159" i="13"/>
  <c r="L158" i="13"/>
  <c r="L157" i="13"/>
  <c r="L156" i="13"/>
  <c r="L155" i="13"/>
  <c r="L154" i="13"/>
  <c r="L153" i="13"/>
  <c r="L152" i="13"/>
  <c r="L151" i="13"/>
  <c r="L150" i="13"/>
  <c r="L149" i="13"/>
  <c r="L148" i="13"/>
  <c r="L147" i="13"/>
  <c r="L146" i="13"/>
  <c r="L145" i="13"/>
  <c r="L143" i="13"/>
  <c r="L142" i="13"/>
  <c r="L141" i="13"/>
  <c r="L140" i="13"/>
  <c r="L139" i="13"/>
  <c r="L138" i="13"/>
  <c r="L137" i="13"/>
  <c r="L135" i="13"/>
  <c r="L134" i="13"/>
  <c r="L133" i="13"/>
  <c r="L132" i="13"/>
  <c r="L131" i="13"/>
  <c r="L129" i="13"/>
  <c r="L128" i="13"/>
  <c r="L127" i="13"/>
  <c r="L126" i="13"/>
  <c r="L124" i="13"/>
  <c r="L123" i="13"/>
  <c r="L122" i="13"/>
  <c r="L121" i="13"/>
  <c r="L120" i="13"/>
  <c r="L119" i="13"/>
  <c r="L117" i="13"/>
  <c r="L116" i="13"/>
  <c r="L115" i="13"/>
  <c r="L113" i="13"/>
  <c r="L112" i="13"/>
  <c r="L111" i="13"/>
  <c r="L110" i="13"/>
  <c r="L109" i="13"/>
  <c r="L108" i="13"/>
  <c r="L107" i="13"/>
  <c r="L106" i="13"/>
  <c r="L105" i="13"/>
  <c r="L104" i="13"/>
  <c r="L103" i="13"/>
  <c r="L102" i="13"/>
  <c r="L101" i="13"/>
  <c r="L100" i="13"/>
  <c r="L99" i="13"/>
  <c r="L98" i="13"/>
  <c r="L97" i="13"/>
  <c r="L96" i="13"/>
  <c r="L95" i="13"/>
  <c r="L93" i="13"/>
  <c r="L92" i="13"/>
  <c r="L91" i="13"/>
  <c r="L90" i="13"/>
  <c r="L89" i="13"/>
  <c r="L88" i="13"/>
  <c r="L87" i="13"/>
  <c r="L86" i="13"/>
  <c r="L85" i="13"/>
  <c r="L84" i="13"/>
  <c r="L83" i="13"/>
  <c r="L82" i="13"/>
  <c r="L81" i="13"/>
  <c r="L80" i="13"/>
  <c r="L79" i="13"/>
  <c r="L78" i="13"/>
  <c r="L77" i="13"/>
  <c r="L76" i="13"/>
  <c r="L75" i="13"/>
  <c r="L74" i="13"/>
  <c r="L73" i="13"/>
  <c r="L72" i="13"/>
  <c r="L71" i="13"/>
  <c r="L70" i="13"/>
  <c r="L69" i="13"/>
  <c r="L68" i="13"/>
  <c r="L67" i="13"/>
  <c r="L66" i="13"/>
  <c r="L65" i="13"/>
  <c r="L64" i="13"/>
  <c r="L63" i="13"/>
  <c r="L62" i="13"/>
  <c r="L61" i="13"/>
  <c r="L60" i="13"/>
  <c r="L59" i="13"/>
  <c r="L58" i="13"/>
  <c r="L57" i="13"/>
  <c r="L55" i="13"/>
  <c r="L54" i="13"/>
  <c r="L53" i="13"/>
  <c r="L52" i="13"/>
  <c r="L51" i="13"/>
  <c r="L50" i="13"/>
  <c r="L49" i="13"/>
  <c r="L48" i="13"/>
  <c r="L47" i="13"/>
  <c r="L46" i="13"/>
  <c r="L45" i="13"/>
  <c r="L44" i="13"/>
  <c r="L43" i="13"/>
  <c r="L42" i="13"/>
  <c r="L41" i="13"/>
  <c r="L40" i="13"/>
  <c r="L39" i="13"/>
  <c r="L38" i="13"/>
  <c r="L37" i="13"/>
  <c r="L36" i="13"/>
  <c r="L35" i="13"/>
  <c r="L34" i="13"/>
  <c r="L33" i="13"/>
  <c r="L32" i="13"/>
  <c r="L31" i="13"/>
  <c r="L30" i="13"/>
  <c r="L29" i="13"/>
  <c r="L28" i="13"/>
  <c r="L27" i="13"/>
  <c r="C462" i="13"/>
  <c r="L462" i="13" s="1"/>
  <c r="D462" i="13"/>
  <c r="F463" i="13"/>
  <c r="F464" i="13"/>
  <c r="F465" i="13"/>
  <c r="F466" i="13"/>
  <c r="F467" i="13"/>
  <c r="F468" i="13"/>
  <c r="F469" i="13"/>
  <c r="F470" i="13"/>
  <c r="F471" i="13"/>
  <c r="F472" i="13"/>
  <c r="F473" i="13"/>
  <c r="F474" i="13"/>
  <c r="F476" i="13"/>
  <c r="F477" i="13"/>
  <c r="E478" i="13"/>
  <c r="L478" i="13" s="1"/>
  <c r="F478" i="13"/>
  <c r="F479" i="13"/>
  <c r="F480" i="13"/>
  <c r="F481" i="13"/>
  <c r="F482" i="13"/>
  <c r="F483" i="13"/>
  <c r="F486" i="13"/>
  <c r="F487" i="13"/>
  <c r="F488" i="13"/>
  <c r="F489" i="13"/>
  <c r="F491" i="13"/>
  <c r="F492" i="13"/>
  <c r="F493" i="13"/>
  <c r="F494" i="13"/>
  <c r="F495" i="13"/>
  <c r="F496" i="13"/>
  <c r="F497" i="13"/>
  <c r="F498" i="13"/>
  <c r="F499" i="13"/>
  <c r="F500" i="13"/>
  <c r="C136" i="13"/>
  <c r="L136" i="13" s="1"/>
  <c r="F143" i="13"/>
  <c r="F142" i="13"/>
  <c r="F141" i="13"/>
  <c r="F139" i="13"/>
  <c r="F140" i="13"/>
  <c r="F138" i="13"/>
  <c r="F137" i="13"/>
  <c r="C130" i="13"/>
  <c r="L130" i="13" s="1"/>
  <c r="F133" i="13"/>
  <c r="F135" i="13"/>
  <c r="F131" i="13"/>
  <c r="F134" i="13"/>
  <c r="F132" i="13"/>
  <c r="C125" i="13"/>
  <c r="L125" i="13" s="1"/>
  <c r="D631" i="13"/>
  <c r="C631" i="13"/>
  <c r="L631" i="13" s="1"/>
  <c r="F674" i="13"/>
  <c r="F672" i="13"/>
  <c r="F673" i="13"/>
  <c r="F670" i="13"/>
  <c r="F669" i="13"/>
  <c r="F668" i="13"/>
  <c r="F667" i="13"/>
  <c r="F665" i="13"/>
  <c r="F664" i="13"/>
  <c r="F663" i="13"/>
  <c r="F662" i="13"/>
  <c r="F661" i="13"/>
  <c r="F660" i="13"/>
  <c r="F659" i="13"/>
  <c r="F656" i="13"/>
  <c r="F613" i="13"/>
  <c r="F657" i="13"/>
  <c r="F654" i="13"/>
  <c r="F653" i="13"/>
  <c r="F652" i="13"/>
  <c r="F651" i="13"/>
  <c r="F650" i="13"/>
  <c r="F649" i="13"/>
  <c r="F648" i="13"/>
  <c r="F646" i="13"/>
  <c r="F645" i="13"/>
  <c r="F644" i="13"/>
  <c r="F643" i="13"/>
  <c r="F642" i="13"/>
  <c r="F641" i="13"/>
  <c r="F639" i="13"/>
  <c r="F638" i="13"/>
  <c r="F637" i="13"/>
  <c r="F636" i="13"/>
  <c r="F635" i="13"/>
  <c r="F634" i="13"/>
  <c r="F633" i="13"/>
  <c r="F632" i="13"/>
  <c r="D501" i="13"/>
  <c r="C501" i="13"/>
  <c r="L501" i="13" s="1"/>
  <c r="D371" i="13"/>
  <c r="C371" i="13"/>
  <c r="L371" i="13" s="1"/>
  <c r="D588" i="13"/>
  <c r="D543" i="13"/>
  <c r="C588" i="13"/>
  <c r="L588" i="13" s="1"/>
  <c r="F630" i="13"/>
  <c r="F629" i="13"/>
  <c r="F628" i="13"/>
  <c r="F627" i="13"/>
  <c r="F626" i="13"/>
  <c r="F625" i="13"/>
  <c r="F624" i="13"/>
  <c r="F622" i="13"/>
  <c r="F621" i="13"/>
  <c r="F620" i="13"/>
  <c r="F619" i="13"/>
  <c r="F618" i="13"/>
  <c r="F617" i="13"/>
  <c r="F616" i="13"/>
  <c r="F614" i="13"/>
  <c r="F611" i="13"/>
  <c r="F610" i="13"/>
  <c r="F609" i="13"/>
  <c r="F595" i="13"/>
  <c r="F608" i="13"/>
  <c r="F607" i="13"/>
  <c r="F606" i="13"/>
  <c r="F605" i="13"/>
  <c r="F603" i="13"/>
  <c r="F602" i="13"/>
  <c r="F601" i="13"/>
  <c r="F600" i="13"/>
  <c r="F599" i="13"/>
  <c r="F598" i="13"/>
  <c r="F596" i="13"/>
  <c r="F594" i="13"/>
  <c r="F593" i="13"/>
  <c r="F592" i="13"/>
  <c r="F591" i="13"/>
  <c r="F590" i="13"/>
  <c r="F589" i="13"/>
  <c r="C543" i="13"/>
  <c r="F543" i="13" s="1"/>
  <c r="F587" i="13"/>
  <c r="F586" i="13"/>
  <c r="F582" i="13"/>
  <c r="F581" i="13"/>
  <c r="F579" i="13"/>
  <c r="F578" i="13"/>
  <c r="F577" i="13"/>
  <c r="F576" i="13"/>
  <c r="F575" i="13"/>
  <c r="F574" i="13"/>
  <c r="F573" i="13"/>
  <c r="F572" i="13"/>
  <c r="F571" i="13"/>
  <c r="F569" i="13"/>
  <c r="F568" i="13"/>
  <c r="F566" i="13"/>
  <c r="F563" i="13"/>
  <c r="F562" i="13"/>
  <c r="F561" i="13"/>
  <c r="F560" i="13"/>
  <c r="F559" i="13"/>
  <c r="E559" i="13"/>
  <c r="L559" i="13" s="1"/>
  <c r="F558" i="13"/>
  <c r="F557" i="13"/>
  <c r="F555" i="13"/>
  <c r="F554" i="13"/>
  <c r="F553" i="13"/>
  <c r="F551" i="13"/>
  <c r="F550" i="13"/>
  <c r="F549" i="13"/>
  <c r="F548" i="13"/>
  <c r="F547" i="13"/>
  <c r="F546" i="13"/>
  <c r="F545" i="13"/>
  <c r="F544" i="13"/>
  <c r="N44" i="30"/>
  <c r="E37" i="12"/>
  <c r="F358" i="12" s="1"/>
  <c r="E36" i="12"/>
  <c r="E358" i="12" s="1"/>
  <c r="E35" i="12"/>
  <c r="D358" i="12" s="1"/>
  <c r="E265" i="12"/>
  <c r="E264" i="12"/>
  <c r="E263" i="12"/>
  <c r="E94" i="12"/>
  <c r="B99" i="12"/>
  <c r="B114" i="12"/>
  <c r="B117" i="12"/>
  <c r="F118" i="12"/>
  <c r="B119" i="12"/>
  <c r="F119" i="12"/>
  <c r="B120" i="12"/>
  <c r="F120" i="12"/>
  <c r="B121" i="12"/>
  <c r="A127" i="12"/>
  <c r="B183" i="12"/>
  <c r="B201" i="12"/>
  <c r="B204" i="12"/>
  <c r="F205" i="12"/>
  <c r="B206" i="12"/>
  <c r="F206" i="12"/>
  <c r="B207" i="12"/>
  <c r="F207" i="12"/>
  <c r="B208" i="12"/>
  <c r="T20" i="30"/>
  <c r="O20" i="30"/>
  <c r="N20" i="30"/>
  <c r="T19" i="30"/>
  <c r="O19" i="30"/>
  <c r="N19" i="30"/>
  <c r="T18" i="30"/>
  <c r="O18" i="30"/>
  <c r="N18" i="30"/>
  <c r="T17" i="30"/>
  <c r="O17" i="30"/>
  <c r="N17" i="30"/>
  <c r="T16" i="30"/>
  <c r="O16" i="30"/>
  <c r="N16" i="30"/>
  <c r="T15" i="30"/>
  <c r="O15" i="30"/>
  <c r="N15" i="30"/>
  <c r="T14" i="30"/>
  <c r="O14" i="30"/>
  <c r="N14" i="30"/>
  <c r="T13" i="30"/>
  <c r="O13" i="30"/>
  <c r="N13" i="30"/>
  <c r="T12" i="30"/>
  <c r="O12" i="30"/>
  <c r="N12" i="30"/>
  <c r="T11" i="30"/>
  <c r="O11" i="30"/>
  <c r="N11" i="30"/>
  <c r="T10" i="30"/>
  <c r="O10" i="30"/>
  <c r="N10" i="30"/>
  <c r="T9" i="30"/>
  <c r="O9" i="30"/>
  <c r="N9" i="30"/>
  <c r="T8" i="30"/>
  <c r="O8" i="30"/>
  <c r="N8" i="30"/>
  <c r="N27" i="30"/>
  <c r="O27" i="30"/>
  <c r="T27" i="30"/>
  <c r="N28" i="30"/>
  <c r="O28" i="30"/>
  <c r="T28" i="30"/>
  <c r="N29" i="30"/>
  <c r="O29" i="30"/>
  <c r="T29" i="30"/>
  <c r="N30" i="30"/>
  <c r="O30" i="30"/>
  <c r="T30" i="30"/>
  <c r="N31" i="30"/>
  <c r="O31" i="30"/>
  <c r="T31" i="30"/>
  <c r="O306" i="17"/>
  <c r="T152" i="17"/>
  <c r="O152" i="17"/>
  <c r="N152" i="17"/>
  <c r="T388" i="17"/>
  <c r="O388" i="17"/>
  <c r="N388" i="17"/>
  <c r="T310" i="17"/>
  <c r="O310" i="17"/>
  <c r="N310" i="17"/>
  <c r="T186" i="17"/>
  <c r="O186" i="17"/>
  <c r="N186" i="17"/>
  <c r="C495" i="12"/>
  <c r="C494" i="12"/>
  <c r="C493" i="12"/>
  <c r="C492" i="12"/>
  <c r="C491" i="12"/>
  <c r="C490" i="12"/>
  <c r="F490" i="12"/>
  <c r="B312" i="12"/>
  <c r="F542" i="13"/>
  <c r="F541" i="13"/>
  <c r="F540" i="13"/>
  <c r="F539" i="13"/>
  <c r="F538" i="13"/>
  <c r="F537" i="13"/>
  <c r="F536" i="13"/>
  <c r="F535" i="13"/>
  <c r="F534" i="13"/>
  <c r="F533" i="13"/>
  <c r="F532" i="13"/>
  <c r="F531" i="13"/>
  <c r="F530" i="13"/>
  <c r="F528" i="13"/>
  <c r="F527" i="13"/>
  <c r="F525" i="13"/>
  <c r="F522" i="13"/>
  <c r="F521" i="13"/>
  <c r="F520" i="13"/>
  <c r="F519" i="13"/>
  <c r="F518" i="13"/>
  <c r="F517" i="13"/>
  <c r="E517" i="13"/>
  <c r="L517" i="13" s="1"/>
  <c r="F516" i="13"/>
  <c r="F515" i="13"/>
  <c r="F514" i="13"/>
  <c r="F512" i="13"/>
  <c r="F511" i="13"/>
  <c r="F510" i="13"/>
  <c r="F509" i="13"/>
  <c r="F508" i="13"/>
  <c r="F507" i="13"/>
  <c r="F506" i="13"/>
  <c r="F505" i="13"/>
  <c r="F504" i="13"/>
  <c r="F503" i="13"/>
  <c r="F502" i="13"/>
  <c r="F421" i="13"/>
  <c r="F420" i="13"/>
  <c r="F419" i="13"/>
  <c r="F418" i="13"/>
  <c r="F417" i="13"/>
  <c r="F416" i="13"/>
  <c r="F415" i="13"/>
  <c r="F414" i="13"/>
  <c r="F413" i="13"/>
  <c r="F410" i="13"/>
  <c r="F407" i="13"/>
  <c r="F405" i="13"/>
  <c r="F404" i="13"/>
  <c r="F403" i="13"/>
  <c r="F402" i="13"/>
  <c r="F401" i="13"/>
  <c r="F400" i="13"/>
  <c r="F399" i="13"/>
  <c r="F397" i="13"/>
  <c r="F396" i="13"/>
  <c r="F395" i="13"/>
  <c r="F394" i="13"/>
  <c r="F393" i="13"/>
  <c r="F392" i="13"/>
  <c r="F391" i="13"/>
  <c r="F390" i="13"/>
  <c r="F389" i="13"/>
  <c r="F388" i="13"/>
  <c r="F387" i="13"/>
  <c r="F386" i="13"/>
  <c r="F385" i="13"/>
  <c r="F384" i="13"/>
  <c r="F383" i="13"/>
  <c r="F382" i="13"/>
  <c r="F380" i="13"/>
  <c r="F379" i="13"/>
  <c r="F378" i="13"/>
  <c r="F377" i="13"/>
  <c r="F376" i="13"/>
  <c r="F375" i="13"/>
  <c r="F374" i="13"/>
  <c r="F373" i="13"/>
  <c r="F372" i="13"/>
  <c r="F345" i="13"/>
  <c r="F344" i="13"/>
  <c r="F342" i="13"/>
  <c r="F340" i="13"/>
  <c r="F326" i="13"/>
  <c r="D316" i="13"/>
  <c r="C316" i="13"/>
  <c r="L316" i="13" s="1"/>
  <c r="F370" i="13"/>
  <c r="F369" i="13"/>
  <c r="F368" i="13"/>
  <c r="F367" i="13"/>
  <c r="F366" i="13"/>
  <c r="F365" i="13"/>
  <c r="F364" i="13"/>
  <c r="F363" i="13"/>
  <c r="F362" i="13"/>
  <c r="F361" i="13"/>
  <c r="F360" i="13"/>
  <c r="F359" i="13"/>
  <c r="F358" i="13"/>
  <c r="F356" i="13"/>
  <c r="F354" i="13"/>
  <c r="F353" i="13"/>
  <c r="F352" i="13"/>
  <c r="F351" i="13"/>
  <c r="F349" i="13"/>
  <c r="F348" i="13"/>
  <c r="F347" i="13"/>
  <c r="F346" i="13"/>
  <c r="F343" i="13"/>
  <c r="F341" i="13"/>
  <c r="F339" i="13"/>
  <c r="F338" i="13"/>
  <c r="F337" i="13"/>
  <c r="F336" i="13"/>
  <c r="F335" i="13"/>
  <c r="F334" i="13"/>
  <c r="F333" i="13"/>
  <c r="F332" i="13"/>
  <c r="F331" i="13"/>
  <c r="F330" i="13"/>
  <c r="F329" i="13"/>
  <c r="F328" i="13"/>
  <c r="F327" i="13"/>
  <c r="F325" i="13"/>
  <c r="F324" i="13"/>
  <c r="F323" i="13"/>
  <c r="F322" i="13"/>
  <c r="F321" i="13"/>
  <c r="F320" i="13"/>
  <c r="F319" i="13"/>
  <c r="F318" i="13"/>
  <c r="F317" i="13"/>
  <c r="L543" i="13" l="1"/>
  <c r="F462" i="13"/>
  <c r="F136" i="13"/>
  <c r="F130" i="13"/>
  <c r="F371" i="13"/>
  <c r="F501" i="13"/>
  <c r="F588" i="13"/>
  <c r="D310" i="12"/>
  <c r="D481" i="12"/>
  <c r="F208" i="12"/>
  <c r="F121" i="12"/>
  <c r="K14" i="6"/>
  <c r="K13" i="6"/>
  <c r="I14" i="6"/>
  <c r="I15" i="6"/>
  <c r="C3" i="13"/>
  <c r="B546" i="12"/>
  <c r="D483" i="12"/>
  <c r="B483" i="12"/>
  <c r="B486" i="12"/>
  <c r="E482" i="12"/>
  <c r="B465" i="12"/>
  <c r="B360" i="12"/>
  <c r="I490" i="12"/>
  <c r="G490" i="12"/>
  <c r="F308" i="12" l="1"/>
  <c r="E308" i="12"/>
  <c r="E311" i="12"/>
  <c r="C311" i="12"/>
  <c r="B314" i="12"/>
  <c r="B313" i="12"/>
  <c r="B413" i="12"/>
  <c r="F314" i="12"/>
  <c r="E312" i="12"/>
  <c r="B311" i="12"/>
  <c r="B310" i="12"/>
  <c r="B309" i="12"/>
  <c r="B308" i="12"/>
  <c r="T341" i="17"/>
  <c r="T263" i="17"/>
  <c r="T48" i="17"/>
  <c r="T190" i="17"/>
  <c r="T28" i="17"/>
  <c r="T386" i="17"/>
  <c r="T59" i="17"/>
  <c r="T62" i="17"/>
  <c r="T350" i="17"/>
  <c r="T60" i="17"/>
  <c r="T54" i="17"/>
  <c r="T159" i="17"/>
  <c r="T400" i="17"/>
  <c r="T281" i="17"/>
  <c r="T380" i="17"/>
  <c r="T112" i="17"/>
  <c r="T66" i="17"/>
  <c r="T164" i="17"/>
  <c r="T143" i="17"/>
  <c r="T117" i="17"/>
  <c r="T408" i="17"/>
  <c r="T113" i="17"/>
  <c r="T108" i="17"/>
  <c r="T296" i="17"/>
  <c r="T109" i="17"/>
  <c r="T116" i="17"/>
  <c r="T379" i="17"/>
  <c r="T148" i="17"/>
  <c r="T78" i="17"/>
  <c r="T377" i="17"/>
  <c r="T216" i="17"/>
  <c r="T412" i="17"/>
  <c r="T237" i="17"/>
  <c r="T170" i="17"/>
  <c r="T169" i="17"/>
  <c r="T266" i="17"/>
  <c r="T126" i="17"/>
  <c r="T361" i="17"/>
  <c r="T406" i="17"/>
  <c r="T90" i="17"/>
  <c r="T252" i="17"/>
  <c r="T248" i="17"/>
  <c r="T249" i="17"/>
  <c r="T247" i="17"/>
  <c r="T204" i="17"/>
  <c r="T340" i="17"/>
  <c r="T264" i="17"/>
  <c r="T224" i="17"/>
  <c r="T235" i="17"/>
  <c r="T359" i="17"/>
  <c r="T153" i="17"/>
  <c r="T348" i="17"/>
  <c r="T358" i="17"/>
  <c r="T399" i="17"/>
  <c r="T89" i="17"/>
  <c r="T393" i="17"/>
  <c r="T398" i="17"/>
  <c r="T202" i="17"/>
  <c r="T392" i="17"/>
  <c r="T65" i="17"/>
  <c r="T324" i="17"/>
  <c r="T347" i="17"/>
  <c r="T391" i="17"/>
  <c r="T157" i="17"/>
  <c r="T5" i="17"/>
  <c r="T354" i="17"/>
  <c r="T261" i="17"/>
  <c r="T292" i="17"/>
  <c r="T362" i="17"/>
  <c r="T390" i="17"/>
  <c r="T22" i="17"/>
  <c r="T346" i="17"/>
  <c r="T111" i="17"/>
  <c r="T11" i="17"/>
  <c r="T256" i="17"/>
  <c r="T352" i="17"/>
  <c r="T384" i="17"/>
  <c r="T47" i="17"/>
  <c r="T389" i="17"/>
  <c r="T253" i="17"/>
  <c r="T156" i="17"/>
  <c r="T387" i="17"/>
  <c r="T351" i="17"/>
  <c r="T46" i="17"/>
  <c r="T163" i="17"/>
  <c r="T56" i="17"/>
  <c r="T365" i="17"/>
  <c r="T231" i="17"/>
  <c r="T259" i="17"/>
  <c r="T413" i="17"/>
  <c r="T357" i="17"/>
  <c r="T364" i="17"/>
  <c r="T410" i="17"/>
  <c r="T349" i="17"/>
  <c r="T394" i="17"/>
  <c r="T344" i="17"/>
  <c r="T355" i="17"/>
  <c r="T360" i="17"/>
  <c r="T343" i="17"/>
  <c r="T404" i="17"/>
  <c r="T51" i="17"/>
  <c r="T39" i="17"/>
  <c r="T44" i="17"/>
  <c r="T36" i="17"/>
  <c r="T35" i="17"/>
  <c r="T40" i="17"/>
  <c r="T37" i="17"/>
  <c r="T41" i="17"/>
  <c r="T38" i="17"/>
  <c r="T61" i="17"/>
  <c r="T42" i="17"/>
  <c r="T53" i="17"/>
  <c r="T55" i="17"/>
  <c r="T57" i="17"/>
  <c r="T260" i="17"/>
  <c r="T99" i="17"/>
  <c r="T146" i="17"/>
  <c r="T67" i="17"/>
  <c r="T72" i="17"/>
  <c r="T149" i="17"/>
  <c r="T125" i="17"/>
  <c r="T158" i="17"/>
  <c r="T233" i="17"/>
  <c r="T254" i="17"/>
  <c r="T145" i="17"/>
  <c r="T29" i="17"/>
  <c r="T385" i="17"/>
  <c r="T121" i="17"/>
  <c r="T286" i="17"/>
  <c r="T278" i="17"/>
  <c r="T197" i="17"/>
  <c r="T27" i="17"/>
  <c r="T7" i="17"/>
  <c r="T6" i="17"/>
  <c r="T227" i="17"/>
  <c r="T124" i="17"/>
  <c r="T24" i="17"/>
  <c r="T383" i="17"/>
  <c r="T94" i="17"/>
  <c r="T338" i="17"/>
  <c r="T122" i="17"/>
  <c r="T147" i="17"/>
  <c r="T396" i="17"/>
  <c r="T239" i="17"/>
  <c r="T194" i="17"/>
  <c r="T407" i="17"/>
  <c r="T141" i="17"/>
  <c r="T336" i="17"/>
  <c r="T335" i="17"/>
  <c r="T82" i="17"/>
  <c r="T226" i="17"/>
  <c r="T277" i="17"/>
  <c r="T285" i="17"/>
  <c r="T284" i="17"/>
  <c r="T200" i="17"/>
  <c r="T195" i="17"/>
  <c r="T241" i="17"/>
  <c r="T97" i="17"/>
  <c r="T95" i="17"/>
  <c r="T107" i="17"/>
  <c r="T96" i="17"/>
  <c r="T98" i="17"/>
  <c r="T110" i="17"/>
  <c r="T93" i="17"/>
  <c r="T88" i="17"/>
  <c r="T30" i="17"/>
  <c r="T69" i="17"/>
  <c r="T43" i="17"/>
  <c r="T134" i="17"/>
  <c r="T79" i="17"/>
  <c r="T87" i="17"/>
  <c r="T76" i="17"/>
  <c r="T25" i="17"/>
  <c r="T137" i="17"/>
  <c r="T75" i="17"/>
  <c r="T80" i="17"/>
  <c r="T77" i="17"/>
  <c r="T106" i="17"/>
  <c r="T26" i="17"/>
  <c r="T84" i="17"/>
  <c r="T83" i="17"/>
  <c r="T85" i="17"/>
  <c r="T73" i="17"/>
  <c r="T23" i="17"/>
  <c r="T81" i="17"/>
  <c r="T86" i="17"/>
  <c r="T135" i="17"/>
  <c r="T401" i="17"/>
  <c r="T257" i="17"/>
  <c r="T353" i="17"/>
  <c r="T18" i="17"/>
  <c r="T304" i="17"/>
  <c r="T323" i="17"/>
  <c r="T299" i="17"/>
  <c r="T258" i="17"/>
  <c r="T236" i="17"/>
  <c r="T223" i="17"/>
  <c r="T234" i="17"/>
  <c r="T230" i="17"/>
  <c r="T238" i="17"/>
  <c r="T303" i="17"/>
  <c r="T322" i="17"/>
  <c r="T321" i="17"/>
  <c r="T199" i="17"/>
  <c r="T320" i="17"/>
  <c r="T314" i="17"/>
  <c r="T308" i="17"/>
  <c r="T319" i="17"/>
  <c r="T58" i="17"/>
  <c r="T370" i="17"/>
  <c r="T309" i="17"/>
  <c r="T21" i="17"/>
  <c r="T15" i="17"/>
  <c r="T14" i="17"/>
  <c r="T16" i="17"/>
  <c r="T17" i="17"/>
  <c r="T19" i="17"/>
  <c r="T20" i="17"/>
  <c r="T312" i="17"/>
  <c r="T232" i="17"/>
  <c r="T244" i="17"/>
  <c r="T318" i="17"/>
  <c r="T300" i="17"/>
  <c r="T240" i="17"/>
  <c r="T201" i="17"/>
  <c r="T198" i="17"/>
  <c r="T301" i="17"/>
  <c r="T302" i="17"/>
  <c r="T311" i="17"/>
  <c r="T298" i="17"/>
  <c r="T225" i="17"/>
  <c r="T342" i="17"/>
  <c r="T262" i="17"/>
  <c r="T374" i="17"/>
  <c r="T8" i="17"/>
  <c r="T333" i="17"/>
  <c r="T228" i="17"/>
  <c r="T371" i="17"/>
  <c r="T326" i="17"/>
  <c r="T293" i="17"/>
  <c r="T250" i="17"/>
  <c r="T290" i="17"/>
  <c r="T356" i="17"/>
  <c r="T289" i="17"/>
  <c r="T334" i="17"/>
  <c r="T128" i="17"/>
  <c r="T291" i="17"/>
  <c r="T337" i="17"/>
  <c r="T279" i="17"/>
  <c r="T315" i="17"/>
  <c r="T280" i="17"/>
  <c r="T409" i="17"/>
  <c r="T282" i="17"/>
  <c r="T373" i="17"/>
  <c r="T367" i="17"/>
  <c r="T287" i="17"/>
  <c r="T9" i="17"/>
  <c r="T305" i="17"/>
  <c r="T316" i="17"/>
  <c r="T276" i="17"/>
  <c r="T255" i="17"/>
  <c r="T211" i="17"/>
  <c r="T209" i="17"/>
  <c r="T70" i="17"/>
  <c r="T405" i="17"/>
  <c r="T378" i="17"/>
  <c r="T339" i="17"/>
  <c r="T213" i="17"/>
  <c r="T297" i="17"/>
  <c r="T372" i="17"/>
  <c r="T245" i="17"/>
  <c r="T246" i="17"/>
  <c r="T369" i="17"/>
  <c r="T288" i="17"/>
  <c r="T210" i="17"/>
  <c r="T214" i="17"/>
  <c r="T313" i="17"/>
  <c r="T307" i="17"/>
  <c r="T317" i="17"/>
  <c r="T91" i="17"/>
  <c r="T74" i="17"/>
  <c r="T208" i="17"/>
  <c r="T207" i="17"/>
  <c r="T366" i="17"/>
  <c r="T50" i="17"/>
  <c r="T140" i="17"/>
  <c r="T138" i="17"/>
  <c r="T272" i="17"/>
  <c r="T205" i="17"/>
  <c r="T271" i="17"/>
  <c r="T275" i="17"/>
  <c r="T139" i="17"/>
  <c r="T411" i="17"/>
  <c r="T270" i="17"/>
  <c r="T104" i="17"/>
  <c r="T142" i="17"/>
  <c r="T221" i="17"/>
  <c r="T363" i="17"/>
  <c r="T397" i="17"/>
  <c r="T283" i="17"/>
  <c r="T329" i="17"/>
  <c r="T196" i="17"/>
  <c r="T49" i="17"/>
  <c r="T151" i="17"/>
  <c r="T127" i="17"/>
  <c r="T130" i="17"/>
  <c r="T133" i="17"/>
  <c r="T132" i="17"/>
  <c r="T129" i="17"/>
  <c r="T131" i="17"/>
  <c r="T123" i="17"/>
  <c r="T203" i="17"/>
  <c r="T243" i="17"/>
  <c r="T118" i="17"/>
  <c r="T119" i="17"/>
  <c r="T220" i="17"/>
  <c r="T193" i="17"/>
  <c r="T273" i="17"/>
  <c r="T274" i="17"/>
  <c r="T219" i="17"/>
  <c r="T103" i="17"/>
  <c r="T269" i="17"/>
  <c r="T102" i="17"/>
  <c r="T206" i="17"/>
  <c r="T212" i="17"/>
  <c r="T222" i="17"/>
  <c r="T402" i="17"/>
  <c r="T192" i="17"/>
  <c r="T395" i="17"/>
  <c r="T92" i="17"/>
  <c r="T52" i="17"/>
  <c r="T105" i="17"/>
  <c r="T101" i="17"/>
  <c r="T34" i="17"/>
  <c r="T33" i="17"/>
  <c r="T382" i="17"/>
  <c r="T100" i="17"/>
  <c r="T295" i="17"/>
  <c r="T294" i="17"/>
  <c r="T332" i="17"/>
  <c r="T10" i="17"/>
  <c r="T381" i="17"/>
  <c r="T168" i="17"/>
  <c r="T328" i="17"/>
  <c r="T267" i="17"/>
  <c r="T368" i="17"/>
  <c r="T215" i="17"/>
  <c r="T136" i="17"/>
  <c r="T32" i="17"/>
  <c r="T327" i="17"/>
  <c r="T376" i="17"/>
  <c r="T229" i="17"/>
  <c r="T31" i="17"/>
  <c r="T414" i="17"/>
  <c r="T403" i="17"/>
  <c r="T13" i="17"/>
  <c r="T325" i="17"/>
  <c r="T12" i="17"/>
  <c r="T242" i="17"/>
  <c r="T177" i="17"/>
  <c r="T331" i="17"/>
  <c r="T330" i="17"/>
  <c r="T174" i="17"/>
  <c r="T189" i="17"/>
  <c r="T188" i="17"/>
  <c r="T187" i="17"/>
  <c r="T185" i="17"/>
  <c r="T184" i="17"/>
  <c r="T175" i="17"/>
  <c r="T183" i="17"/>
  <c r="T182" i="17"/>
  <c r="T181" i="17"/>
  <c r="T180" i="17"/>
  <c r="T179" i="17"/>
  <c r="T45" i="17"/>
  <c r="T165" i="17"/>
  <c r="T166" i="17"/>
  <c r="T167" i="17"/>
  <c r="T71" i="17"/>
  <c r="T178" i="17"/>
  <c r="T172" i="17"/>
  <c r="T191" i="17"/>
  <c r="T268" i="17"/>
  <c r="T265" i="17"/>
  <c r="T176" i="17"/>
  <c r="T375" i="17"/>
  <c r="O341" i="17"/>
  <c r="O263" i="17"/>
  <c r="O48" i="17"/>
  <c r="O190" i="17"/>
  <c r="O115" i="17"/>
  <c r="O114" i="17"/>
  <c r="O144" i="17"/>
  <c r="O218" i="17"/>
  <c r="O28" i="17"/>
  <c r="O217" i="17"/>
  <c r="O173" i="17"/>
  <c r="O386" i="17"/>
  <c r="O59" i="17"/>
  <c r="O62" i="17"/>
  <c r="O350" i="17"/>
  <c r="O60" i="17"/>
  <c r="O54" i="17"/>
  <c r="O159" i="17"/>
  <c r="O400" i="17"/>
  <c r="O281" i="17"/>
  <c r="O380" i="17"/>
  <c r="O112" i="17"/>
  <c r="O66" i="17"/>
  <c r="O164" i="17"/>
  <c r="O143" i="17"/>
  <c r="O117" i="17"/>
  <c r="O408" i="17"/>
  <c r="O113" i="17"/>
  <c r="O108" i="17"/>
  <c r="O296" i="17"/>
  <c r="O109" i="17"/>
  <c r="O116" i="17"/>
  <c r="O379" i="17"/>
  <c r="O148" i="17"/>
  <c r="O428" i="17"/>
  <c r="O78" i="17"/>
  <c r="O377" i="17"/>
  <c r="O216" i="17"/>
  <c r="O412" i="17"/>
  <c r="O237" i="17"/>
  <c r="O170" i="17"/>
  <c r="O427" i="17"/>
  <c r="O426" i="17"/>
  <c r="O169" i="17"/>
  <c r="O266" i="17"/>
  <c r="O126" i="17"/>
  <c r="O361" i="17"/>
  <c r="O406" i="17"/>
  <c r="O90" i="17"/>
  <c r="O252" i="17"/>
  <c r="O248" i="17"/>
  <c r="O249" i="17"/>
  <c r="O247" i="17"/>
  <c r="O204" i="17"/>
  <c r="O340" i="17"/>
  <c r="O264" i="17"/>
  <c r="O224" i="17"/>
  <c r="O235" i="17"/>
  <c r="O359" i="17"/>
  <c r="O153" i="17"/>
  <c r="O348" i="17"/>
  <c r="O429" i="17"/>
  <c r="O358" i="17"/>
  <c r="O399" i="17"/>
  <c r="O89" i="17"/>
  <c r="O393" i="17"/>
  <c r="O418" i="17"/>
  <c r="O398" i="17"/>
  <c r="O202" i="17"/>
  <c r="O392" i="17"/>
  <c r="O424" i="17"/>
  <c r="O423" i="17"/>
  <c r="O422" i="17"/>
  <c r="O65" i="17"/>
  <c r="O324" i="17"/>
  <c r="O347" i="17"/>
  <c r="O391" i="17"/>
  <c r="O157" i="17"/>
  <c r="O5" i="17"/>
  <c r="O354" i="17"/>
  <c r="O261" i="17"/>
  <c r="O292" i="17"/>
  <c r="O362" i="17"/>
  <c r="O390" i="17"/>
  <c r="O22" i="17"/>
  <c r="O346" i="17"/>
  <c r="O425" i="17"/>
  <c r="O111" i="17"/>
  <c r="O11" i="17"/>
  <c r="O256" i="17"/>
  <c r="O352" i="17"/>
  <c r="O384" i="17"/>
  <c r="O417" i="17"/>
  <c r="O47" i="17"/>
  <c r="O389" i="17"/>
  <c r="O253" i="17"/>
  <c r="O156" i="17"/>
  <c r="O387" i="17"/>
  <c r="O351" i="17"/>
  <c r="O46" i="17"/>
  <c r="O163" i="17"/>
  <c r="O56" i="17"/>
  <c r="O365" i="17"/>
  <c r="O231" i="17"/>
  <c r="O259" i="17"/>
  <c r="O413" i="17"/>
  <c r="O357" i="17"/>
  <c r="O364" i="17"/>
  <c r="O410" i="17"/>
  <c r="O349" i="17"/>
  <c r="O394" i="17"/>
  <c r="O344" i="17"/>
  <c r="O355" i="17"/>
  <c r="O416" i="17"/>
  <c r="O360" i="17"/>
  <c r="O343" i="17"/>
  <c r="O404" i="17"/>
  <c r="O51" i="17"/>
  <c r="O39" i="17"/>
  <c r="O44" i="17"/>
  <c r="O36" i="17"/>
  <c r="O35" i="17"/>
  <c r="O40" i="17"/>
  <c r="O37" i="17"/>
  <c r="O41" i="17"/>
  <c r="O38" i="17"/>
  <c r="O61" i="17"/>
  <c r="O42" i="17"/>
  <c r="O53" i="17"/>
  <c r="O55" i="17"/>
  <c r="O57" i="17"/>
  <c r="O260" i="17"/>
  <c r="O99" i="17"/>
  <c r="O146" i="17"/>
  <c r="O67" i="17"/>
  <c r="O72" i="17"/>
  <c r="O149" i="17"/>
  <c r="O125" i="17"/>
  <c r="O158" i="17"/>
  <c r="O233" i="17"/>
  <c r="O254" i="17"/>
  <c r="O145" i="17"/>
  <c r="O29" i="17"/>
  <c r="O385" i="17"/>
  <c r="O121" i="17"/>
  <c r="O286" i="17"/>
  <c r="O278" i="17"/>
  <c r="O197" i="17"/>
  <c r="O27" i="17"/>
  <c r="O7" i="17"/>
  <c r="O6" i="17"/>
  <c r="O227" i="17"/>
  <c r="O124" i="17"/>
  <c r="O24" i="17"/>
  <c r="O383" i="17"/>
  <c r="O94" i="17"/>
  <c r="O338" i="17"/>
  <c r="O122" i="17"/>
  <c r="O147" i="17"/>
  <c r="O396" i="17"/>
  <c r="O239" i="17"/>
  <c r="O194" i="17"/>
  <c r="O407" i="17"/>
  <c r="O141" i="17"/>
  <c r="O336" i="17"/>
  <c r="O335" i="17"/>
  <c r="O82" i="17"/>
  <c r="O226" i="17"/>
  <c r="O277" i="17"/>
  <c r="O285" i="17"/>
  <c r="O284" i="17"/>
  <c r="O200" i="17"/>
  <c r="O195" i="17"/>
  <c r="O241" i="17"/>
  <c r="O97" i="17"/>
  <c r="O95" i="17"/>
  <c r="O107" i="17"/>
  <c r="O96" i="17"/>
  <c r="O98" i="17"/>
  <c r="O110" i="17"/>
  <c r="O93" i="17"/>
  <c r="O88" i="17"/>
  <c r="O30" i="17"/>
  <c r="O69" i="17"/>
  <c r="O43" i="17"/>
  <c r="O134" i="17"/>
  <c r="O79" i="17"/>
  <c r="O87" i="17"/>
  <c r="O76" i="17"/>
  <c r="O25" i="17"/>
  <c r="O137" i="17"/>
  <c r="O75" i="17"/>
  <c r="O80" i="17"/>
  <c r="O77" i="17"/>
  <c r="O106" i="17"/>
  <c r="O26" i="17"/>
  <c r="O84" i="17"/>
  <c r="O83" i="17"/>
  <c r="O85" i="17"/>
  <c r="O73" i="17"/>
  <c r="O23" i="17"/>
  <c r="O81" i="17"/>
  <c r="O86" i="17"/>
  <c r="O135" i="17"/>
  <c r="O401" i="17"/>
  <c r="O257" i="17"/>
  <c r="O353" i="17"/>
  <c r="O18" i="17"/>
  <c r="O304" i="17"/>
  <c r="O323" i="17"/>
  <c r="O299" i="17"/>
  <c r="O258" i="17"/>
  <c r="O236" i="17"/>
  <c r="O223" i="17"/>
  <c r="O234" i="17"/>
  <c r="O230" i="17"/>
  <c r="O238" i="17"/>
  <c r="O303" i="17"/>
  <c r="O322" i="17"/>
  <c r="O321" i="17"/>
  <c r="O199" i="17"/>
  <c r="O320" i="17"/>
  <c r="O314" i="17"/>
  <c r="O421" i="17"/>
  <c r="O420" i="17"/>
  <c r="O308" i="17"/>
  <c r="O319" i="17"/>
  <c r="O58" i="17"/>
  <c r="O370" i="17"/>
  <c r="O309" i="17"/>
  <c r="O21" i="17"/>
  <c r="O15" i="17"/>
  <c r="O14" i="17"/>
  <c r="O16" i="17"/>
  <c r="O17" i="17"/>
  <c r="O251" i="17"/>
  <c r="O345" i="17"/>
  <c r="O19" i="17"/>
  <c r="O20" i="17"/>
  <c r="O312" i="17"/>
  <c r="O232" i="17"/>
  <c r="O244" i="17"/>
  <c r="O318" i="17"/>
  <c r="O300" i="17"/>
  <c r="O415" i="17"/>
  <c r="O240" i="17"/>
  <c r="O201" i="17"/>
  <c r="O198" i="17"/>
  <c r="O301" i="17"/>
  <c r="O302" i="17"/>
  <c r="O311" i="17"/>
  <c r="O298" i="17"/>
  <c r="O225" i="17"/>
  <c r="O342" i="17"/>
  <c r="O262" i="17"/>
  <c r="O374" i="17"/>
  <c r="O8" i="17"/>
  <c r="O333" i="17"/>
  <c r="O228" i="17"/>
  <c r="O371" i="17"/>
  <c r="O326" i="17"/>
  <c r="O293" i="17"/>
  <c r="O250" i="17"/>
  <c r="O290" i="17"/>
  <c r="O356" i="17"/>
  <c r="O289" i="17"/>
  <c r="O334" i="17"/>
  <c r="O128" i="17"/>
  <c r="O291" i="17"/>
  <c r="O337" i="17"/>
  <c r="O279" i="17"/>
  <c r="O315" i="17"/>
  <c r="O280" i="17"/>
  <c r="O409" i="17"/>
  <c r="O282" i="17"/>
  <c r="O373" i="17"/>
  <c r="O367" i="17"/>
  <c r="O287" i="17"/>
  <c r="O9" i="17"/>
  <c r="O305" i="17"/>
  <c r="O316" i="17"/>
  <c r="O276" i="17"/>
  <c r="O255" i="17"/>
  <c r="O211" i="17"/>
  <c r="O209" i="17"/>
  <c r="O70" i="17"/>
  <c r="O405" i="17"/>
  <c r="O378" i="17"/>
  <c r="O339" i="17"/>
  <c r="O213" i="17"/>
  <c r="O297" i="17"/>
  <c r="O372" i="17"/>
  <c r="O245" i="17"/>
  <c r="O246" i="17"/>
  <c r="O369" i="17"/>
  <c r="O288" i="17"/>
  <c r="O210" i="17"/>
  <c r="O214" i="17"/>
  <c r="O313" i="17"/>
  <c r="O307" i="17"/>
  <c r="O317" i="17"/>
  <c r="O91" i="17"/>
  <c r="O74" i="17"/>
  <c r="O208" i="17"/>
  <c r="O207" i="17"/>
  <c r="O366" i="17"/>
  <c r="O50" i="17"/>
  <c r="O140" i="17"/>
  <c r="O120" i="17"/>
  <c r="O138" i="17"/>
  <c r="O272" i="17"/>
  <c r="O205" i="17"/>
  <c r="O271" i="17"/>
  <c r="O275" i="17"/>
  <c r="O139" i="17"/>
  <c r="O411" i="17"/>
  <c r="O270" i="17"/>
  <c r="O104" i="17"/>
  <c r="O142" i="17"/>
  <c r="O221" i="17"/>
  <c r="O363" i="17"/>
  <c r="O397" i="17"/>
  <c r="O283" i="17"/>
  <c r="O329" i="17"/>
  <c r="O196" i="17"/>
  <c r="O49" i="17"/>
  <c r="O151" i="17"/>
  <c r="O127" i="17"/>
  <c r="O130" i="17"/>
  <c r="O133" i="17"/>
  <c r="O132" i="17"/>
  <c r="O129" i="17"/>
  <c r="O131" i="17"/>
  <c r="O123" i="17"/>
  <c r="O203" i="17"/>
  <c r="O243" i="17"/>
  <c r="O118" i="17"/>
  <c r="O119" i="17"/>
  <c r="O220" i="17"/>
  <c r="O193" i="17"/>
  <c r="O273" i="17"/>
  <c r="O274" i="17"/>
  <c r="O219" i="17"/>
  <c r="O103" i="17"/>
  <c r="O269" i="17"/>
  <c r="O102" i="17"/>
  <c r="O206" i="17"/>
  <c r="O212" i="17"/>
  <c r="O222" i="17"/>
  <c r="O402" i="17"/>
  <c r="O192" i="17"/>
  <c r="O395" i="17"/>
  <c r="O92" i="17"/>
  <c r="O52" i="17"/>
  <c r="O105" i="17"/>
  <c r="O101" i="17"/>
  <c r="O34" i="17"/>
  <c r="O33" i="17"/>
  <c r="O382" i="17"/>
  <c r="O100" i="17"/>
  <c r="O295" i="17"/>
  <c r="O294" i="17"/>
  <c r="O332" i="17"/>
  <c r="O10" i="17"/>
  <c r="O381" i="17"/>
  <c r="O168" i="17"/>
  <c r="O328" i="17"/>
  <c r="O267" i="17"/>
  <c r="O368" i="17"/>
  <c r="O215" i="17"/>
  <c r="O136" i="17"/>
  <c r="O32" i="17"/>
  <c r="O327" i="17"/>
  <c r="O376" i="17"/>
  <c r="O229" i="17"/>
  <c r="O31" i="17"/>
  <c r="O414" i="17"/>
  <c r="O403" i="17"/>
  <c r="O13" i="17"/>
  <c r="O325" i="17"/>
  <c r="O68" i="17"/>
  <c r="O12" i="17"/>
  <c r="O242" i="17"/>
  <c r="O177" i="17"/>
  <c r="O331" i="17"/>
  <c r="O330" i="17"/>
  <c r="O174" i="17"/>
  <c r="O189" i="17"/>
  <c r="O188" i="17"/>
  <c r="O187" i="17"/>
  <c r="O185" i="17"/>
  <c r="O184" i="17"/>
  <c r="O175" i="17"/>
  <c r="O183" i="17"/>
  <c r="O182" i="17"/>
  <c r="O181" i="17"/>
  <c r="O180" i="17"/>
  <c r="O179" i="17"/>
  <c r="O45" i="17"/>
  <c r="O165" i="17"/>
  <c r="O419" i="17"/>
  <c r="O166" i="17"/>
  <c r="O160" i="17"/>
  <c r="O167" i="17"/>
  <c r="O71" i="17"/>
  <c r="O178" i="17"/>
  <c r="O172" i="17"/>
  <c r="O191" i="17"/>
  <c r="O268" i="17"/>
  <c r="O265" i="17"/>
  <c r="O176" i="17"/>
  <c r="O375" i="17"/>
  <c r="N341" i="17"/>
  <c r="N263" i="17"/>
  <c r="N48" i="17"/>
  <c r="N190" i="17"/>
  <c r="N115" i="17"/>
  <c r="N114" i="17"/>
  <c r="N306" i="17"/>
  <c r="N144" i="17"/>
  <c r="N218" i="17"/>
  <c r="N28" i="17"/>
  <c r="N217" i="17"/>
  <c r="N173" i="17"/>
  <c r="N386" i="17"/>
  <c r="N225" i="17"/>
  <c r="N359" i="17"/>
  <c r="N350" i="17"/>
  <c r="N60" i="17"/>
  <c r="N56" i="17"/>
  <c r="N50" i="17"/>
  <c r="N51" i="17"/>
  <c r="N59" i="17"/>
  <c r="N39" i="17"/>
  <c r="N44" i="17"/>
  <c r="N36" i="17"/>
  <c r="N35" i="17"/>
  <c r="N40" i="17"/>
  <c r="N37" i="17"/>
  <c r="N41" i="17"/>
  <c r="N38" i="17"/>
  <c r="N54" i="17"/>
  <c r="N61" i="17"/>
  <c r="N42" i="17"/>
  <c r="N53" i="17"/>
  <c r="N55" i="17"/>
  <c r="N62" i="17"/>
  <c r="N57" i="17"/>
  <c r="N260" i="17"/>
  <c r="N34" i="17"/>
  <c r="N33" i="17"/>
  <c r="N148" i="17"/>
  <c r="N99" i="17"/>
  <c r="N153" i="17"/>
  <c r="N427" i="17"/>
  <c r="N426" i="17"/>
  <c r="N304" i="17"/>
  <c r="N323" i="17"/>
  <c r="N229" i="17"/>
  <c r="N348" i="17"/>
  <c r="N428" i="17"/>
  <c r="N140" i="17"/>
  <c r="N120" i="17"/>
  <c r="N146" i="17"/>
  <c r="N242" i="17"/>
  <c r="N67" i="17"/>
  <c r="N78" i="17"/>
  <c r="N299" i="17"/>
  <c r="N159" i="17"/>
  <c r="N138" i="17"/>
  <c r="N272" i="17"/>
  <c r="N365" i="17"/>
  <c r="N401" i="17"/>
  <c r="N342" i="17"/>
  <c r="N429" i="17"/>
  <c r="N13" i="17"/>
  <c r="N205" i="17"/>
  <c r="N377" i="17"/>
  <c r="N358" i="17"/>
  <c r="N418" i="17"/>
  <c r="N382" i="17"/>
  <c r="N262" i="17"/>
  <c r="N271" i="17"/>
  <c r="N424" i="17"/>
  <c r="N423" i="17"/>
  <c r="N422" i="17"/>
  <c r="N177" i="17"/>
  <c r="N374" i="17"/>
  <c r="N331" i="17"/>
  <c r="N330" i="17"/>
  <c r="N400" i="17"/>
  <c r="N8" i="17"/>
  <c r="N333" i="17"/>
  <c r="N72" i="17"/>
  <c r="N258" i="17"/>
  <c r="N281" i="17"/>
  <c r="N231" i="17"/>
  <c r="N224" i="17"/>
  <c r="N236" i="17"/>
  <c r="N425" i="17"/>
  <c r="N223" i="17"/>
  <c r="N235" i="17"/>
  <c r="N216" i="17"/>
  <c r="N149" i="17"/>
  <c r="N234" i="17"/>
  <c r="N417" i="17"/>
  <c r="N228" i="17"/>
  <c r="N230" i="17"/>
  <c r="N414" i="17"/>
  <c r="N371" i="17"/>
  <c r="N399" i="17"/>
  <c r="N275" i="17"/>
  <c r="N89" i="17"/>
  <c r="N259" i="17"/>
  <c r="N238" i="17"/>
  <c r="N393" i="17"/>
  <c r="N413" i="17"/>
  <c r="N412" i="17"/>
  <c r="N303" i="17"/>
  <c r="N322" i="17"/>
  <c r="N237" i="17"/>
  <c r="N326" i="17"/>
  <c r="N380" i="17"/>
  <c r="N139" i="17"/>
  <c r="N411" i="17"/>
  <c r="N325" i="17"/>
  <c r="N416" i="17"/>
  <c r="N357" i="17"/>
  <c r="N170" i="17"/>
  <c r="N169" i="17"/>
  <c r="N100" i="17"/>
  <c r="N293" i="17"/>
  <c r="N295" i="17"/>
  <c r="N294" i="17"/>
  <c r="N270" i="17"/>
  <c r="N104" i="17"/>
  <c r="N125" i="17"/>
  <c r="N68" i="17"/>
  <c r="N321" i="17"/>
  <c r="N142" i="17"/>
  <c r="N250" i="17"/>
  <c r="N158" i="17"/>
  <c r="N233" i="17"/>
  <c r="N398" i="17"/>
  <c r="N221" i="17"/>
  <c r="N254" i="17"/>
  <c r="N364" i="17"/>
  <c r="N202" i="17"/>
  <c r="N392" i="17"/>
  <c r="N290" i="17"/>
  <c r="N410" i="17"/>
  <c r="N174" i="17"/>
  <c r="N145" i="17"/>
  <c r="N266" i="17"/>
  <c r="N363" i="17"/>
  <c r="N29" i="17"/>
  <c r="N356" i="17"/>
  <c r="N163" i="17"/>
  <c r="N65" i="17"/>
  <c r="N289" i="17"/>
  <c r="N199" i="17"/>
  <c r="N320" i="17"/>
  <c r="N324" i="17"/>
  <c r="N347" i="17"/>
  <c r="N391" i="17"/>
  <c r="N349" i="17"/>
  <c r="N394" i="17"/>
  <c r="N314" i="17"/>
  <c r="N257" i="17"/>
  <c r="N189" i="17"/>
  <c r="N188" i="17"/>
  <c r="N187" i="17"/>
  <c r="N185" i="17"/>
  <c r="N184" i="17"/>
  <c r="N175" i="17"/>
  <c r="N183" i="17"/>
  <c r="N182" i="17"/>
  <c r="N181" i="17"/>
  <c r="N180" i="17"/>
  <c r="N179" i="17"/>
  <c r="N397" i="17"/>
  <c r="N12" i="17"/>
  <c r="N334" i="17"/>
  <c r="N385" i="17"/>
  <c r="N121" i="17"/>
  <c r="N157" i="17"/>
  <c r="N332" i="17"/>
  <c r="N165" i="17"/>
  <c r="N419" i="17"/>
  <c r="N166" i="17"/>
  <c r="N167" i="17"/>
  <c r="N327" i="17"/>
  <c r="N286" i="17"/>
  <c r="N278" i="17"/>
  <c r="N197" i="17"/>
  <c r="N71" i="17"/>
  <c r="N283" i="17"/>
  <c r="N329" i="17"/>
  <c r="N308" i="17"/>
  <c r="N319" i="17"/>
  <c r="N58" i="17"/>
  <c r="N27" i="17"/>
  <c r="N31" i="17"/>
  <c r="N7" i="17"/>
  <c r="N6" i="17"/>
  <c r="N5" i="17"/>
  <c r="N344" i="17"/>
  <c r="N355" i="17"/>
  <c r="N196" i="17"/>
  <c r="N354" i="17"/>
  <c r="N353" i="17"/>
  <c r="N178" i="17"/>
  <c r="N227" i="17"/>
  <c r="N49" i="17"/>
  <c r="N151" i="17"/>
  <c r="N124" i="17"/>
  <c r="N126" i="17"/>
  <c r="N112" i="17"/>
  <c r="N66" i="17"/>
  <c r="N164" i="17"/>
  <c r="N127" i="17"/>
  <c r="N128" i="17"/>
  <c r="N130" i="17"/>
  <c r="N133" i="17"/>
  <c r="N132" i="17"/>
  <c r="N129" i="17"/>
  <c r="N131" i="17"/>
  <c r="N123" i="17"/>
  <c r="N203" i="17"/>
  <c r="N172" i="17"/>
  <c r="N261" i="17"/>
  <c r="N291" i="17"/>
  <c r="N337" i="17"/>
  <c r="N292" i="17"/>
  <c r="N279" i="17"/>
  <c r="N315" i="17"/>
  <c r="N421" i="17"/>
  <c r="N420" i="17"/>
  <c r="N280" i="17"/>
  <c r="N409" i="17"/>
  <c r="N282" i="17"/>
  <c r="N373" i="17"/>
  <c r="N367" i="17"/>
  <c r="N362" i="17"/>
  <c r="N24" i="17"/>
  <c r="N383" i="17"/>
  <c r="N94" i="17"/>
  <c r="N390" i="17"/>
  <c r="N251" i="17"/>
  <c r="N345" i="17"/>
  <c r="N370" i="17"/>
  <c r="N309" i="17"/>
  <c r="N21" i="17"/>
  <c r="N22" i="17"/>
  <c r="N15" i="17"/>
  <c r="N18" i="17"/>
  <c r="N14" i="17"/>
  <c r="N415" i="17"/>
  <c r="N16" i="17"/>
  <c r="N17" i="17"/>
  <c r="N19" i="17"/>
  <c r="N20" i="17"/>
  <c r="N346" i="17"/>
  <c r="N312" i="17"/>
  <c r="N232" i="17"/>
  <c r="N191" i="17"/>
  <c r="N10" i="17"/>
  <c r="N243" i="17"/>
  <c r="N287" i="17"/>
  <c r="N9" i="17"/>
  <c r="N118" i="17"/>
  <c r="N119" i="17"/>
  <c r="N220" i="17"/>
  <c r="N338" i="17"/>
  <c r="N122" i="17"/>
  <c r="N305" i="17"/>
  <c r="N316" i="17"/>
  <c r="N143" i="17"/>
  <c r="N381" i="17"/>
  <c r="N276" i="17"/>
  <c r="N268" i="17"/>
  <c r="N193" i="17"/>
  <c r="N244" i="17"/>
  <c r="N147" i="17"/>
  <c r="N255" i="17"/>
  <c r="N211" i="17"/>
  <c r="N318" i="17"/>
  <c r="N117" i="17"/>
  <c r="N209" i="17"/>
  <c r="N273" i="17"/>
  <c r="N376" i="17"/>
  <c r="N274" i="17"/>
  <c r="N265" i="17"/>
  <c r="N111" i="17"/>
  <c r="N168" i="17"/>
  <c r="N300" i="17"/>
  <c r="N361" i="17"/>
  <c r="N11" i="17"/>
  <c r="N396" i="17"/>
  <c r="N408" i="17"/>
  <c r="N240" i="17"/>
  <c r="N256" i="17"/>
  <c r="N239" i="17"/>
  <c r="N194" i="17"/>
  <c r="N352" i="17"/>
  <c r="N407" i="17"/>
  <c r="N384" i="17"/>
  <c r="N70" i="17"/>
  <c r="N141" i="17"/>
  <c r="N219" i="17"/>
  <c r="N103" i="17"/>
  <c r="N406" i="17"/>
  <c r="N47" i="17"/>
  <c r="N201" i="17"/>
  <c r="N198" i="17"/>
  <c r="N405" i="17"/>
  <c r="N378" i="17"/>
  <c r="N339" i="17"/>
  <c r="N90" i="17"/>
  <c r="N213" i="17"/>
  <c r="N389" i="17"/>
  <c r="N252" i="17"/>
  <c r="N248" i="17"/>
  <c r="N249" i="17"/>
  <c r="N247" i="17"/>
  <c r="N336" i="17"/>
  <c r="N335" i="17"/>
  <c r="N113" i="17"/>
  <c r="N269" i="17"/>
  <c r="N360" i="17"/>
  <c r="N253" i="17"/>
  <c r="N343" i="17"/>
  <c r="N404" i="17"/>
  <c r="N156" i="17"/>
  <c r="N301" i="17"/>
  <c r="N302" i="17"/>
  <c r="N387" i="17"/>
  <c r="N351" i="17"/>
  <c r="N311" i="17"/>
  <c r="N204" i="17"/>
  <c r="N82" i="17"/>
  <c r="N102" i="17"/>
  <c r="N226" i="17"/>
  <c r="N340" i="17"/>
  <c r="N176" i="17"/>
  <c r="N108" i="17"/>
  <c r="N297" i="17"/>
  <c r="N372" i="17"/>
  <c r="N296" i="17"/>
  <c r="N298" i="17"/>
  <c r="N245" i="17"/>
  <c r="N246" i="17"/>
  <c r="N369" i="17"/>
  <c r="N328" i="17"/>
  <c r="N277" i="17"/>
  <c r="N285" i="17"/>
  <c r="N284" i="17"/>
  <c r="N267" i="17"/>
  <c r="N368" i="17"/>
  <c r="N288" i="17"/>
  <c r="N215" i="17"/>
  <c r="N206" i="17"/>
  <c r="N200" i="17"/>
  <c r="N212" i="17"/>
  <c r="N210" i="17"/>
  <c r="N214" i="17"/>
  <c r="N313" i="17"/>
  <c r="N307" i="17"/>
  <c r="N317" i="17"/>
  <c r="N403" i="17"/>
  <c r="N222" i="17"/>
  <c r="N91" i="17"/>
  <c r="N74" i="17"/>
  <c r="N208" i="17"/>
  <c r="N207" i="17"/>
  <c r="N195" i="17"/>
  <c r="N241" i="17"/>
  <c r="N402" i="17"/>
  <c r="N109" i="17"/>
  <c r="N264" i="17"/>
  <c r="N192" i="17"/>
  <c r="N395" i="17"/>
  <c r="N92" i="17"/>
  <c r="N366" i="17"/>
  <c r="N116" i="17"/>
  <c r="N97" i="17"/>
  <c r="N375" i="17"/>
  <c r="N46" i="17"/>
  <c r="N95" i="17"/>
  <c r="N107" i="17"/>
  <c r="N52" i="17"/>
  <c r="N379" i="17"/>
  <c r="N96" i="17"/>
  <c r="N98" i="17"/>
  <c r="N105" i="17"/>
  <c r="N101" i="17"/>
  <c r="N110" i="17"/>
  <c r="N136" i="17"/>
  <c r="N32" i="17"/>
  <c r="N93" i="17"/>
  <c r="N88" i="17"/>
  <c r="N30" i="17"/>
  <c r="N69" i="17"/>
  <c r="N43" i="17"/>
  <c r="N134" i="17"/>
  <c r="N79" i="17"/>
  <c r="N87" i="17"/>
  <c r="N76" i="17"/>
  <c r="N25" i="17"/>
  <c r="N137" i="17"/>
  <c r="N75" i="17"/>
  <c r="N45" i="17"/>
  <c r="N80" i="17"/>
  <c r="N77" i="17"/>
  <c r="N106" i="17"/>
  <c r="N160" i="17"/>
  <c r="N26" i="17"/>
  <c r="N84" i="17"/>
  <c r="N83" i="17"/>
  <c r="N85" i="17"/>
  <c r="N73" i="17"/>
  <c r="N23" i="17"/>
  <c r="N81" i="17"/>
  <c r="N86" i="17"/>
  <c r="N135" i="17"/>
  <c r="E412" i="12"/>
  <c r="C412" i="12"/>
  <c r="B412" i="12"/>
  <c r="F409" i="12"/>
  <c r="F477" i="12"/>
  <c r="F479" i="12"/>
  <c r="E409" i="12"/>
  <c r="F126" i="13"/>
  <c r="F129" i="13"/>
  <c r="F128" i="13"/>
  <c r="F127" i="13"/>
  <c r="F671" i="13"/>
  <c r="F631" i="13" s="1"/>
  <c r="F936" i="13"/>
  <c r="F187" i="13"/>
  <c r="F181" i="13"/>
  <c r="D144" i="13"/>
  <c r="C144" i="13"/>
  <c r="L144" i="13" s="1"/>
  <c r="D306" i="13"/>
  <c r="C306" i="13"/>
  <c r="L306" i="13" s="1"/>
  <c r="F315" i="13"/>
  <c r="F314" i="13"/>
  <c r="F313" i="13"/>
  <c r="F312" i="13"/>
  <c r="F311" i="13"/>
  <c r="F310" i="13"/>
  <c r="F309" i="13"/>
  <c r="F308" i="13"/>
  <c r="F307" i="13"/>
  <c r="D297" i="13"/>
  <c r="C297" i="13"/>
  <c r="L297" i="13" s="1"/>
  <c r="F305" i="13"/>
  <c r="F304" i="13"/>
  <c r="F303" i="13"/>
  <c r="F302" i="13"/>
  <c r="F301" i="13"/>
  <c r="F300" i="13"/>
  <c r="F299" i="13"/>
  <c r="F298" i="13"/>
  <c r="D290" i="13"/>
  <c r="C290" i="13"/>
  <c r="F296" i="13"/>
  <c r="F295" i="13"/>
  <c r="F294" i="13"/>
  <c r="F293" i="13"/>
  <c r="F292" i="13"/>
  <c r="F291" i="13"/>
  <c r="F262" i="13"/>
  <c r="D221" i="13"/>
  <c r="C221" i="13"/>
  <c r="L221" i="13" s="1"/>
  <c r="D272" i="13"/>
  <c r="C272" i="13"/>
  <c r="L272" i="13" s="1"/>
  <c r="F283" i="13"/>
  <c r="F282" i="13"/>
  <c r="F281" i="13"/>
  <c r="F280" i="13"/>
  <c r="F279" i="13"/>
  <c r="F278" i="13"/>
  <c r="F277" i="13"/>
  <c r="F276" i="13"/>
  <c r="F275" i="13"/>
  <c r="F274" i="13"/>
  <c r="F273" i="13"/>
  <c r="F289" i="13"/>
  <c r="F288" i="13"/>
  <c r="F287" i="13"/>
  <c r="F286" i="13"/>
  <c r="F285" i="13"/>
  <c r="D284" i="13"/>
  <c r="C284" i="13"/>
  <c r="L284" i="13" s="1"/>
  <c r="F271" i="13"/>
  <c r="D263" i="13"/>
  <c r="C263" i="13"/>
  <c r="L263" i="13" s="1"/>
  <c r="F270" i="13"/>
  <c r="F269" i="13"/>
  <c r="F268" i="13"/>
  <c r="F267" i="13"/>
  <c r="F266" i="13"/>
  <c r="F265" i="13"/>
  <c r="F264" i="13"/>
  <c r="F261" i="13"/>
  <c r="F260" i="13"/>
  <c r="F259" i="13"/>
  <c r="F258" i="13"/>
  <c r="F257" i="13"/>
  <c r="F256" i="13"/>
  <c r="F255" i="13"/>
  <c r="F254" i="13"/>
  <c r="F253" i="13"/>
  <c r="F252" i="13"/>
  <c r="F251" i="13"/>
  <c r="F250" i="13"/>
  <c r="F249" i="13"/>
  <c r="F248" i="13"/>
  <c r="F247" i="13"/>
  <c r="F246" i="13"/>
  <c r="F245" i="13"/>
  <c r="F244" i="13"/>
  <c r="F243" i="13"/>
  <c r="F242" i="13"/>
  <c r="F241" i="13"/>
  <c r="F240" i="13"/>
  <c r="F239" i="13"/>
  <c r="F238" i="13"/>
  <c r="F237" i="13"/>
  <c r="F236" i="13"/>
  <c r="F235" i="13"/>
  <c r="F234" i="13"/>
  <c r="F233" i="13"/>
  <c r="F232" i="13"/>
  <c r="F231" i="13"/>
  <c r="F230" i="13"/>
  <c r="F229" i="13"/>
  <c r="F228" i="13"/>
  <c r="F227" i="13"/>
  <c r="F226" i="13"/>
  <c r="F225" i="13"/>
  <c r="F224" i="13"/>
  <c r="F223" i="13"/>
  <c r="F222" i="13"/>
  <c r="D211" i="13"/>
  <c r="C211" i="13"/>
  <c r="F210" i="13"/>
  <c r="F209" i="13"/>
  <c r="F208" i="13"/>
  <c r="F207" i="13"/>
  <c r="C206" i="13"/>
  <c r="F220" i="13"/>
  <c r="F219" i="13"/>
  <c r="F218" i="13"/>
  <c r="F217" i="13"/>
  <c r="F216" i="13"/>
  <c r="F215" i="13"/>
  <c r="F214" i="13"/>
  <c r="F213" i="13"/>
  <c r="F212" i="13"/>
  <c r="F177" i="13"/>
  <c r="F199" i="13"/>
  <c r="D195" i="13"/>
  <c r="C195" i="13"/>
  <c r="L195" i="13" s="1"/>
  <c r="F205" i="13"/>
  <c r="F204" i="13"/>
  <c r="F203" i="13"/>
  <c r="F202" i="13"/>
  <c r="F201" i="13"/>
  <c r="F200" i="13"/>
  <c r="F198" i="13"/>
  <c r="F197" i="13"/>
  <c r="F196" i="13"/>
  <c r="F193" i="13"/>
  <c r="F192" i="13"/>
  <c r="F191" i="13"/>
  <c r="F190" i="13"/>
  <c r="F189" i="13"/>
  <c r="F188" i="13"/>
  <c r="F186" i="13"/>
  <c r="F185" i="13"/>
  <c r="F184" i="13"/>
  <c r="F183" i="13"/>
  <c r="F182" i="13"/>
  <c r="F180" i="13"/>
  <c r="F179" i="13"/>
  <c r="F178" i="13"/>
  <c r="F176" i="13"/>
  <c r="F175" i="13"/>
  <c r="F174" i="13"/>
  <c r="F173" i="13"/>
  <c r="F172" i="13"/>
  <c r="F171" i="13"/>
  <c r="F170" i="13"/>
  <c r="F169" i="13"/>
  <c r="F168" i="13"/>
  <c r="F167" i="13"/>
  <c r="F166" i="13"/>
  <c r="F165" i="13"/>
  <c r="F164" i="13"/>
  <c r="F163" i="13"/>
  <c r="F162" i="13"/>
  <c r="F161" i="13"/>
  <c r="F160" i="13"/>
  <c r="F159" i="13"/>
  <c r="F158" i="13"/>
  <c r="F157" i="13"/>
  <c r="F156" i="13"/>
  <c r="F155" i="13"/>
  <c r="F154" i="13"/>
  <c r="F153" i="13"/>
  <c r="F152" i="13"/>
  <c r="F151" i="13"/>
  <c r="F150" i="13"/>
  <c r="F149" i="13"/>
  <c r="F148" i="13"/>
  <c r="F147" i="13"/>
  <c r="F146" i="13"/>
  <c r="F145" i="13"/>
  <c r="C118" i="13"/>
  <c r="L118" i="13" s="1"/>
  <c r="F124" i="13"/>
  <c r="F123" i="13"/>
  <c r="F122" i="13"/>
  <c r="F121" i="13"/>
  <c r="F120" i="13"/>
  <c r="F119" i="13"/>
  <c r="F117" i="13"/>
  <c r="F116" i="13"/>
  <c r="F115" i="13"/>
  <c r="D114" i="13"/>
  <c r="C114" i="13"/>
  <c r="D94" i="13"/>
  <c r="C94" i="13"/>
  <c r="L94" i="13" s="1"/>
  <c r="F113" i="13"/>
  <c r="F112" i="13"/>
  <c r="F111" i="13"/>
  <c r="F110" i="13"/>
  <c r="F109" i="13"/>
  <c r="F108" i="13"/>
  <c r="F107" i="13"/>
  <c r="F106" i="13"/>
  <c r="F105" i="13"/>
  <c r="F104" i="13"/>
  <c r="F103" i="13"/>
  <c r="F102" i="13"/>
  <c r="F101" i="13"/>
  <c r="F100" i="13"/>
  <c r="F99" i="13"/>
  <c r="F98" i="13"/>
  <c r="F97" i="13"/>
  <c r="F36" i="13"/>
  <c r="F37" i="13"/>
  <c r="F96" i="13"/>
  <c r="F95" i="13"/>
  <c r="D56" i="13"/>
  <c r="C56" i="13"/>
  <c r="F93" i="13"/>
  <c r="F92" i="13"/>
  <c r="F91" i="13"/>
  <c r="F90" i="13"/>
  <c r="F89" i="13"/>
  <c r="F88" i="13"/>
  <c r="F87" i="13"/>
  <c r="F86" i="13"/>
  <c r="F85" i="13"/>
  <c r="F84" i="13"/>
  <c r="F82" i="13"/>
  <c r="F81" i="13"/>
  <c r="F80" i="13"/>
  <c r="F79" i="13"/>
  <c r="F78" i="13"/>
  <c r="F77" i="13"/>
  <c r="F76" i="13"/>
  <c r="F75" i="13"/>
  <c r="F74" i="13"/>
  <c r="F73" i="13"/>
  <c r="F72" i="13"/>
  <c r="F71" i="13"/>
  <c r="F70" i="13"/>
  <c r="F69" i="13"/>
  <c r="F68" i="13"/>
  <c r="F67" i="13"/>
  <c r="F66" i="13"/>
  <c r="F65" i="13"/>
  <c r="F64" i="13"/>
  <c r="F63" i="13"/>
  <c r="F62" i="13"/>
  <c r="F61" i="13"/>
  <c r="F60" i="13"/>
  <c r="F59" i="13"/>
  <c r="F58" i="13"/>
  <c r="F57" i="13"/>
  <c r="C26" i="13"/>
  <c r="D26" i="13"/>
  <c r="F55" i="13"/>
  <c r="F52" i="13"/>
  <c r="F51" i="13"/>
  <c r="F50" i="13"/>
  <c r="F49" i="13"/>
  <c r="F48" i="13"/>
  <c r="B556" i="17" l="1"/>
  <c r="L290" i="13"/>
  <c r="L56" i="13"/>
  <c r="L26" i="13"/>
  <c r="L114" i="13"/>
  <c r="L211" i="13"/>
  <c r="L206" i="13"/>
  <c r="F125" i="13"/>
  <c r="F144" i="13"/>
  <c r="F316" i="13"/>
  <c r="F306" i="13"/>
  <c r="F297" i="13"/>
  <c r="F290" i="13"/>
  <c r="F221" i="13"/>
  <c r="F284" i="13"/>
  <c r="F272" i="13"/>
  <c r="F206" i="13"/>
  <c r="F263" i="13"/>
  <c r="F211" i="13"/>
  <c r="F195" i="13"/>
  <c r="F118" i="13"/>
  <c r="F114" i="13"/>
  <c r="F94" i="13"/>
  <c r="F56" i="13"/>
  <c r="F47" i="13" l="1"/>
  <c r="F46" i="13"/>
  <c r="F45" i="13"/>
  <c r="F44" i="13"/>
  <c r="F43" i="13"/>
  <c r="F42" i="13"/>
  <c r="F41" i="13"/>
  <c r="F40" i="13"/>
  <c r="F39" i="13"/>
  <c r="F38" i="13"/>
  <c r="F35" i="13"/>
  <c r="F34" i="13"/>
  <c r="F33" i="13"/>
  <c r="F32" i="13"/>
  <c r="F31" i="13"/>
  <c r="F30" i="13"/>
  <c r="F29" i="13"/>
  <c r="F28" i="13"/>
  <c r="F27" i="13"/>
  <c r="F24" i="13"/>
  <c r="F23" i="13"/>
  <c r="F22" i="13"/>
  <c r="F21" i="13"/>
  <c r="F20" i="13"/>
  <c r="F19" i="13"/>
  <c r="F18" i="13"/>
  <c r="F17" i="13"/>
  <c r="F16" i="13"/>
  <c r="F15" i="13"/>
  <c r="F14" i="13"/>
  <c r="F13" i="13"/>
  <c r="F12" i="13"/>
  <c r="F11" i="13"/>
  <c r="F10" i="13"/>
  <c r="F9" i="13"/>
  <c r="F8" i="13"/>
  <c r="F7" i="13"/>
  <c r="F6" i="13"/>
  <c r="F5" i="13"/>
  <c r="F4" i="13"/>
  <c r="L3" i="13"/>
  <c r="D3" i="13"/>
  <c r="F26" i="13" l="1"/>
  <c r="F3" i="13"/>
  <c r="N472" i="17" l="1"/>
  <c r="B548" i="12"/>
  <c r="B488" i="12" l="1"/>
  <c r="F488" i="12"/>
  <c r="B482" i="12"/>
  <c r="B481" i="12"/>
  <c r="B480" i="12"/>
  <c r="B479" i="12"/>
  <c r="N171" i="17"/>
  <c r="B476" i="17" s="1"/>
  <c r="N467" i="17"/>
  <c r="N468" i="17"/>
  <c r="N469" i="17"/>
  <c r="N470" i="17"/>
  <c r="T470" i="17"/>
  <c r="S516" i="17" s="1"/>
  <c r="B554" i="17" s="1"/>
  <c r="N471" i="17"/>
  <c r="T471" i="17"/>
  <c r="T472" i="17"/>
  <c r="S476" i="17" l="1"/>
  <c r="S530" i="17"/>
  <c r="B552" i="17" s="1"/>
  <c r="S527" i="17"/>
  <c r="B507" i="17" s="1"/>
  <c r="S526" i="17"/>
  <c r="B531" i="17" s="1"/>
  <c r="S498" i="17"/>
  <c r="B540" i="17" s="1"/>
  <c r="S515" i="17"/>
  <c r="B547" i="17" s="1"/>
  <c r="S528" i="17"/>
  <c r="B508" i="17" s="1"/>
  <c r="S525" i="17"/>
  <c r="B553" i="17" s="1"/>
  <c r="S508" i="17"/>
  <c r="B549" i="17" s="1"/>
  <c r="S514" i="17"/>
  <c r="B546" i="17" s="1"/>
  <c r="S513" i="17"/>
  <c r="S523" i="17"/>
  <c r="B550" i="17" s="1"/>
  <c r="S529" i="17"/>
  <c r="B555" i="17" s="1"/>
  <c r="S524" i="17"/>
  <c r="B551" i="17" s="1"/>
  <c r="S507" i="17"/>
  <c r="S506" i="17"/>
  <c r="Z506" i="17" s="1"/>
  <c r="S501" i="17"/>
  <c r="S499" i="17"/>
  <c r="B532" i="17" s="1"/>
  <c r="S500" i="17"/>
  <c r="B533" i="17" s="1"/>
  <c r="S505" i="17"/>
  <c r="Z505" i="17" s="1"/>
  <c r="S504" i="17"/>
  <c r="Z504" i="17" s="1"/>
  <c r="B491" i="17"/>
  <c r="A50" i="12" l="1"/>
  <c r="Z507" i="17"/>
  <c r="B548" i="17"/>
  <c r="B534" i="17"/>
  <c r="Z501" i="17"/>
  <c r="B415" i="12"/>
  <c r="V247" i="18" l="1"/>
  <c r="E42" i="18"/>
  <c r="V422" i="18"/>
  <c r="V371" i="18"/>
  <c r="V368" i="18"/>
  <c r="V367" i="18"/>
  <c r="E360" i="18"/>
  <c r="X360" i="18"/>
  <c r="V360" i="18" s="1"/>
  <c r="T360" i="18"/>
  <c r="R360" i="18"/>
  <c r="V357" i="18"/>
  <c r="V348" i="18"/>
  <c r="V345" i="18"/>
  <c r="V115" i="18"/>
  <c r="T115" i="18"/>
  <c r="R115" i="18"/>
  <c r="E115" i="18"/>
  <c r="V335" i="18"/>
  <c r="T335" i="18"/>
  <c r="R335" i="18"/>
  <c r="V319" i="18"/>
  <c r="T319" i="18"/>
  <c r="R319" i="18"/>
  <c r="T252" i="18"/>
  <c r="T254" i="18"/>
  <c r="V252" i="18"/>
  <c r="V209" i="18"/>
  <c r="V199" i="18"/>
  <c r="V68" i="18"/>
  <c r="T68" i="18"/>
  <c r="R68" i="18"/>
  <c r="V67" i="18"/>
  <c r="T67" i="18"/>
  <c r="R67" i="18"/>
  <c r="V107" i="18"/>
  <c r="T107" i="18"/>
  <c r="R107" i="18"/>
  <c r="V114" i="18"/>
  <c r="T114" i="18"/>
  <c r="R114" i="18"/>
  <c r="E43" i="18"/>
  <c r="E423" i="18"/>
  <c r="E422" i="18"/>
  <c r="E421" i="18"/>
  <c r="E420" i="18"/>
  <c r="E419" i="18"/>
  <c r="E418" i="18"/>
  <c r="E417" i="18"/>
  <c r="E416" i="18"/>
  <c r="E415" i="18"/>
  <c r="E414" i="18"/>
  <c r="E413" i="18"/>
  <c r="E412" i="18"/>
  <c r="E411" i="18"/>
  <c r="E410" i="18"/>
  <c r="E409" i="18"/>
  <c r="E408" i="18"/>
  <c r="E407" i="18"/>
  <c r="E406" i="18"/>
  <c r="E405" i="18"/>
  <c r="E404" i="18"/>
  <c r="E403" i="18"/>
  <c r="E402" i="18"/>
  <c r="E401" i="18"/>
  <c r="E400" i="18"/>
  <c r="E399" i="18"/>
  <c r="E398" i="18"/>
  <c r="E397" i="18"/>
  <c r="E396" i="18"/>
  <c r="E395" i="18"/>
  <c r="E394" i="18"/>
  <c r="E393" i="18"/>
  <c r="E392" i="18"/>
  <c r="E391" i="18"/>
  <c r="E390" i="18"/>
  <c r="E389" i="18"/>
  <c r="E388" i="18"/>
  <c r="E387" i="18"/>
  <c r="E386" i="18"/>
  <c r="E385" i="18"/>
  <c r="E384" i="18"/>
  <c r="E383" i="18"/>
  <c r="E382" i="18"/>
  <c r="E381" i="18"/>
  <c r="E380" i="18"/>
  <c r="E379" i="18"/>
  <c r="E378" i="18"/>
  <c r="E377" i="18"/>
  <c r="E376" i="18"/>
  <c r="E375" i="18"/>
  <c r="E374" i="18"/>
  <c r="E373" i="18"/>
  <c r="E372" i="18"/>
  <c r="E371" i="18"/>
  <c r="E369" i="18"/>
  <c r="E368" i="18"/>
  <c r="E367" i="18"/>
  <c r="E366" i="18"/>
  <c r="E46" i="18"/>
  <c r="E365" i="18"/>
  <c r="E364" i="18"/>
  <c r="E363" i="18"/>
  <c r="E362" i="18"/>
  <c r="E361" i="18"/>
  <c r="E359" i="18"/>
  <c r="E358" i="18"/>
  <c r="E357" i="18"/>
  <c r="E356" i="18"/>
  <c r="E355" i="18"/>
  <c r="E354" i="18"/>
  <c r="E353" i="18"/>
  <c r="E352" i="18"/>
  <c r="E351" i="18"/>
  <c r="E350" i="18"/>
  <c r="E349" i="18"/>
  <c r="E348" i="18"/>
  <c r="E347" i="18"/>
  <c r="E346" i="18"/>
  <c r="E345" i="18"/>
  <c r="E344" i="18"/>
  <c r="E343" i="18"/>
  <c r="E342" i="18"/>
  <c r="E341" i="18"/>
  <c r="E340" i="18"/>
  <c r="E339" i="18"/>
  <c r="E338" i="18"/>
  <c r="E337" i="18"/>
  <c r="E336" i="18"/>
  <c r="E335" i="18"/>
  <c r="E334" i="18"/>
  <c r="E333" i="18"/>
  <c r="E332" i="18"/>
  <c r="E331" i="18"/>
  <c r="E330" i="18"/>
  <c r="E329" i="18"/>
  <c r="E328" i="18"/>
  <c r="E327" i="18"/>
  <c r="E324" i="18"/>
  <c r="E326" i="18"/>
  <c r="E325" i="18"/>
  <c r="E323" i="18"/>
  <c r="E322" i="18"/>
  <c r="E321" i="18"/>
  <c r="E320" i="18"/>
  <c r="E319" i="18"/>
  <c r="E318" i="18"/>
  <c r="E317" i="18"/>
  <c r="E316" i="18"/>
  <c r="E315" i="18"/>
  <c r="E314" i="18"/>
  <c r="E313" i="18"/>
  <c r="E312" i="18"/>
  <c r="E311" i="18"/>
  <c r="E310" i="18"/>
  <c r="E309" i="18"/>
  <c r="E308" i="18"/>
  <c r="E307" i="18"/>
  <c r="E306" i="18"/>
  <c r="E305" i="18"/>
  <c r="E304" i="18"/>
  <c r="E303" i="18"/>
  <c r="E302" i="18"/>
  <c r="E301" i="18"/>
  <c r="E300" i="18"/>
  <c r="E299" i="18"/>
  <c r="E298" i="18"/>
  <c r="E297" i="18"/>
  <c r="E296" i="18"/>
  <c r="E295" i="18"/>
  <c r="E294" i="18"/>
  <c r="E293" i="18"/>
  <c r="E292" i="18"/>
  <c r="E291" i="18"/>
  <c r="E290" i="18"/>
  <c r="E289" i="18"/>
  <c r="E288" i="18"/>
  <c r="E287" i="18"/>
  <c r="E286" i="18"/>
  <c r="E285" i="18"/>
  <c r="E284" i="18"/>
  <c r="E283" i="18"/>
  <c r="E282" i="18"/>
  <c r="E281" i="18"/>
  <c r="E280" i="18"/>
  <c r="E279" i="18"/>
  <c r="E278" i="18"/>
  <c r="E277" i="18"/>
  <c r="E276" i="18"/>
  <c r="E275" i="18"/>
  <c r="E274" i="18"/>
  <c r="E273" i="18"/>
  <c r="E272" i="18"/>
  <c r="E271" i="18"/>
  <c r="E270" i="18"/>
  <c r="E269" i="18"/>
  <c r="E268" i="18"/>
  <c r="E267" i="18"/>
  <c r="E266" i="18"/>
  <c r="E265" i="18"/>
  <c r="E264" i="18"/>
  <c r="E263" i="18"/>
  <c r="E262" i="18"/>
  <c r="E261" i="18"/>
  <c r="E260" i="18"/>
  <c r="E259" i="18"/>
  <c r="E258" i="18"/>
  <c r="E257" i="18"/>
  <c r="E256" i="18"/>
  <c r="E255" i="18"/>
  <c r="E254" i="18"/>
  <c r="E253" i="18"/>
  <c r="E252" i="18"/>
  <c r="E251" i="18"/>
  <c r="E250" i="18"/>
  <c r="E249" i="18"/>
  <c r="E248" i="18"/>
  <c r="E247" i="18"/>
  <c r="E246" i="18"/>
  <c r="E245" i="18"/>
  <c r="E244" i="18"/>
  <c r="E243" i="18"/>
  <c r="E242" i="18"/>
  <c r="E241" i="18"/>
  <c r="E240" i="18"/>
  <c r="E239" i="18"/>
  <c r="E238" i="18"/>
  <c r="E237" i="18"/>
  <c r="E236" i="18"/>
  <c r="E235" i="18"/>
  <c r="E234" i="18"/>
  <c r="E233" i="18"/>
  <c r="E232" i="18"/>
  <c r="E231" i="18"/>
  <c r="E230" i="18"/>
  <c r="E229" i="18"/>
  <c r="E228" i="18"/>
  <c r="E227" i="18"/>
  <c r="E226" i="18"/>
  <c r="E225" i="18"/>
  <c r="E224" i="18"/>
  <c r="E223" i="18"/>
  <c r="E222" i="18"/>
  <c r="E221" i="18"/>
  <c r="E220" i="18"/>
  <c r="E219" i="18"/>
  <c r="E218" i="18"/>
  <c r="E217" i="18"/>
  <c r="E216" i="18"/>
  <c r="E215" i="18"/>
  <c r="E214" i="18"/>
  <c r="E213" i="18"/>
  <c r="E212" i="18"/>
  <c r="E211" i="18"/>
  <c r="E210" i="18"/>
  <c r="E209" i="18"/>
  <c r="E208" i="18"/>
  <c r="E207" i="18"/>
  <c r="E206" i="18"/>
  <c r="E205" i="18"/>
  <c r="E204" i="18"/>
  <c r="E203" i="18"/>
  <c r="E202" i="18"/>
  <c r="E201" i="18"/>
  <c r="E200" i="18"/>
  <c r="E199" i="18"/>
  <c r="E198" i="18"/>
  <c r="E197" i="18"/>
  <c r="E196" i="18"/>
  <c r="E195" i="18"/>
  <c r="E194" i="18"/>
  <c r="E193" i="18"/>
  <c r="E192" i="18"/>
  <c r="E191" i="18"/>
  <c r="E190" i="18"/>
  <c r="E189" i="18"/>
  <c r="E188" i="18"/>
  <c r="E187" i="18"/>
  <c r="E186" i="18"/>
  <c r="E185" i="18"/>
  <c r="E184" i="18"/>
  <c r="E183" i="18"/>
  <c r="E182" i="18"/>
  <c r="E181" i="18"/>
  <c r="E180" i="18"/>
  <c r="E179" i="18"/>
  <c r="E178" i="18"/>
  <c r="E177" i="18"/>
  <c r="E176" i="18"/>
  <c r="E175" i="18"/>
  <c r="E174" i="18"/>
  <c r="E173" i="18"/>
  <c r="E172" i="18"/>
  <c r="E171" i="18"/>
  <c r="E170" i="18"/>
  <c r="E169" i="18"/>
  <c r="E168" i="18"/>
  <c r="E167" i="18"/>
  <c r="E166" i="18"/>
  <c r="E165" i="18"/>
  <c r="E164" i="18"/>
  <c r="E163" i="18"/>
  <c r="E162" i="18"/>
  <c r="E161" i="18"/>
  <c r="E160" i="18"/>
  <c r="E159" i="18"/>
  <c r="E158" i="18"/>
  <c r="E157" i="18"/>
  <c r="E156" i="18"/>
  <c r="E155" i="18"/>
  <c r="E154" i="18"/>
  <c r="E153" i="18"/>
  <c r="E152" i="18"/>
  <c r="E151" i="18"/>
  <c r="E150" i="18"/>
  <c r="E149" i="18"/>
  <c r="E148" i="18"/>
  <c r="E147" i="18"/>
  <c r="E146" i="18"/>
  <c r="E145" i="18"/>
  <c r="E144" i="18"/>
  <c r="E143" i="18"/>
  <c r="E142" i="18"/>
  <c r="E141" i="18"/>
  <c r="E140" i="18"/>
  <c r="E139" i="18"/>
  <c r="E138" i="18"/>
  <c r="E137" i="18"/>
  <c r="E136" i="18"/>
  <c r="E135" i="18"/>
  <c r="E134" i="18"/>
  <c r="E133" i="18"/>
  <c r="E132" i="18"/>
  <c r="E131" i="18"/>
  <c r="E129" i="18"/>
  <c r="E128" i="18"/>
  <c r="E127" i="18"/>
  <c r="E126" i="18"/>
  <c r="E125" i="18"/>
  <c r="E124" i="18"/>
  <c r="E123" i="18"/>
  <c r="E122" i="18"/>
  <c r="E121" i="18"/>
  <c r="E120" i="18"/>
  <c r="E119" i="18"/>
  <c r="E118" i="18"/>
  <c r="E117" i="18"/>
  <c r="E116" i="18"/>
  <c r="E114" i="18"/>
  <c r="E113" i="18"/>
  <c r="E112" i="18"/>
  <c r="E111" i="18"/>
  <c r="E110" i="18"/>
  <c r="E109" i="18"/>
  <c r="E108" i="18"/>
  <c r="E107" i="18"/>
  <c r="E106" i="18"/>
  <c r="E105" i="18"/>
  <c r="E104" i="18"/>
  <c r="E103" i="18"/>
  <c r="E102" i="18"/>
  <c r="E101" i="18"/>
  <c r="E100" i="18"/>
  <c r="E99" i="18"/>
  <c r="E98" i="18"/>
  <c r="E97" i="18"/>
  <c r="E96" i="18"/>
  <c r="E95" i="18"/>
  <c r="E94" i="18"/>
  <c r="E93" i="18"/>
  <c r="E92" i="18"/>
  <c r="E91" i="18"/>
  <c r="E90" i="18"/>
  <c r="E89" i="18"/>
  <c r="E88" i="18"/>
  <c r="E87" i="18"/>
  <c r="E86" i="18"/>
  <c r="E85" i="18"/>
  <c r="E84" i="18"/>
  <c r="E83" i="18"/>
  <c r="E82" i="18"/>
  <c r="E81" i="18"/>
  <c r="E80" i="18"/>
  <c r="E79" i="18"/>
  <c r="E78" i="18"/>
  <c r="E77" i="18"/>
  <c r="E76" i="18"/>
  <c r="E75" i="18"/>
  <c r="E74" i="18"/>
  <c r="E73" i="18"/>
  <c r="E72" i="18"/>
  <c r="E71" i="18"/>
  <c r="E70" i="18"/>
  <c r="E69" i="18"/>
  <c r="E68" i="18"/>
  <c r="E67" i="18"/>
  <c r="E66" i="18"/>
  <c r="E65" i="18"/>
  <c r="E64" i="18"/>
  <c r="E63" i="18"/>
  <c r="E62" i="18"/>
  <c r="E61" i="18"/>
  <c r="E60" i="18"/>
  <c r="E59" i="18"/>
  <c r="E58" i="18"/>
  <c r="E57" i="18"/>
  <c r="E56" i="18"/>
  <c r="E55" i="18"/>
  <c r="E54" i="18"/>
  <c r="E53" i="18"/>
  <c r="E52" i="18"/>
  <c r="E51" i="18"/>
  <c r="E50" i="18"/>
  <c r="E49" i="18"/>
  <c r="E48" i="18"/>
  <c r="E47" i="18"/>
  <c r="E45" i="18"/>
  <c r="E44" i="18"/>
  <c r="E41" i="18"/>
  <c r="E40" i="18"/>
  <c r="E39" i="18"/>
  <c r="E38" i="18"/>
  <c r="E37" i="18"/>
  <c r="E36" i="18"/>
  <c r="E35" i="18"/>
  <c r="E34" i="18"/>
  <c r="E33" i="18"/>
  <c r="E32" i="18"/>
  <c r="E31" i="18"/>
  <c r="E30" i="18"/>
  <c r="E29" i="18"/>
  <c r="E28" i="18"/>
  <c r="E27" i="18"/>
  <c r="E26" i="18"/>
  <c r="E25" i="18"/>
  <c r="E24" i="18"/>
  <c r="E23" i="18"/>
  <c r="E22" i="18"/>
  <c r="E21" i="18"/>
  <c r="E20" i="18"/>
  <c r="E19" i="18"/>
  <c r="E18" i="18"/>
  <c r="E17" i="18"/>
  <c r="E16" i="18"/>
  <c r="E15" i="18"/>
  <c r="E14" i="18"/>
  <c r="E13" i="18"/>
  <c r="E12" i="18"/>
  <c r="E11" i="18"/>
  <c r="E10" i="18"/>
  <c r="E9" i="18"/>
  <c r="E8" i="18"/>
  <c r="E7" i="18"/>
  <c r="E6" i="18"/>
  <c r="E5" i="18"/>
  <c r="E4" i="18"/>
  <c r="E3" i="18"/>
  <c r="K458" i="18"/>
  <c r="V412" i="18"/>
  <c r="T412" i="18"/>
  <c r="R412" i="18"/>
  <c r="E2" i="18"/>
  <c r="R2" i="18"/>
  <c r="R3" i="18"/>
  <c r="R5" i="18"/>
  <c r="R8" i="18"/>
  <c r="R12" i="18"/>
  <c r="R13" i="18"/>
  <c r="R14" i="18"/>
  <c r="R16" i="18"/>
  <c r="R17" i="18"/>
  <c r="V8" i="18"/>
  <c r="V5" i="18"/>
  <c r="V3" i="18"/>
  <c r="L458" i="18"/>
  <c r="T430" i="18"/>
  <c r="R430" i="18"/>
  <c r="T429" i="18"/>
  <c r="R429" i="18"/>
  <c r="T428" i="18"/>
  <c r="R428" i="18"/>
  <c r="R427" i="18"/>
  <c r="R426" i="18"/>
  <c r="R425" i="18"/>
  <c r="V423" i="18"/>
  <c r="T423" i="18"/>
  <c r="R423" i="18"/>
  <c r="V421" i="18"/>
  <c r="T421" i="18"/>
  <c r="R421" i="18"/>
  <c r="V420" i="18"/>
  <c r="T420" i="18"/>
  <c r="R420" i="18"/>
  <c r="V419" i="18"/>
  <c r="T419" i="18"/>
  <c r="R419" i="18"/>
  <c r="V418" i="18"/>
  <c r="T418" i="18"/>
  <c r="R418" i="18"/>
  <c r="V417" i="18"/>
  <c r="T417" i="18"/>
  <c r="R417" i="18"/>
  <c r="V416" i="18"/>
  <c r="T416" i="18"/>
  <c r="R416" i="18"/>
  <c r="V415" i="18"/>
  <c r="T415" i="18"/>
  <c r="R415" i="18"/>
  <c r="V403" i="18"/>
  <c r="T403" i="18"/>
  <c r="R403" i="18"/>
  <c r="V414" i="18"/>
  <c r="T414" i="18"/>
  <c r="R414" i="18"/>
  <c r="V411" i="18"/>
  <c r="T411" i="18"/>
  <c r="R411" i="18"/>
  <c r="V410" i="18"/>
  <c r="T410" i="18"/>
  <c r="R410" i="18"/>
  <c r="V409" i="18"/>
  <c r="T409" i="18"/>
  <c r="R409" i="18"/>
  <c r="V408" i="18"/>
  <c r="T408" i="18"/>
  <c r="R408" i="18"/>
  <c r="V407" i="18"/>
  <c r="T407" i="18"/>
  <c r="R407" i="18"/>
  <c r="V406" i="18"/>
  <c r="T406" i="18"/>
  <c r="R406" i="18"/>
  <c r="V405" i="18"/>
  <c r="T405" i="18"/>
  <c r="R405" i="18"/>
  <c r="V404" i="18"/>
  <c r="T404" i="18"/>
  <c r="R404" i="18"/>
  <c r="V413" i="18"/>
  <c r="T413" i="18"/>
  <c r="R413" i="18"/>
  <c r="V402" i="18"/>
  <c r="T402" i="18"/>
  <c r="R402" i="18"/>
  <c r="V401" i="18"/>
  <c r="T401" i="18"/>
  <c r="R401" i="18"/>
  <c r="V400" i="18"/>
  <c r="T400" i="18"/>
  <c r="R400" i="18"/>
  <c r="V399" i="18"/>
  <c r="T399" i="18"/>
  <c r="R399" i="18"/>
  <c r="V397" i="18"/>
  <c r="T397" i="18"/>
  <c r="R397" i="18"/>
  <c r="V396" i="18"/>
  <c r="T396" i="18"/>
  <c r="R396" i="18"/>
  <c r="V395" i="18"/>
  <c r="T395" i="18"/>
  <c r="R395" i="18"/>
  <c r="V392" i="18"/>
  <c r="T392" i="18"/>
  <c r="R392" i="18"/>
  <c r="V391" i="18"/>
  <c r="T391" i="18"/>
  <c r="R391" i="18"/>
  <c r="V390" i="18"/>
  <c r="T390" i="18"/>
  <c r="R390" i="18"/>
  <c r="V389" i="18"/>
  <c r="T389" i="18"/>
  <c r="R389" i="18"/>
  <c r="V388" i="18"/>
  <c r="T388" i="18"/>
  <c r="R388" i="18"/>
  <c r="V387" i="18"/>
  <c r="T387" i="18"/>
  <c r="R387" i="18"/>
  <c r="V385" i="18"/>
  <c r="T385" i="18"/>
  <c r="R385" i="18"/>
  <c r="V384" i="18"/>
  <c r="T384" i="18"/>
  <c r="R384" i="18"/>
  <c r="V383" i="18"/>
  <c r="T383" i="18"/>
  <c r="R383" i="18"/>
  <c r="V382" i="18"/>
  <c r="T382" i="18"/>
  <c r="R382" i="18"/>
  <c r="V381" i="18"/>
  <c r="T381" i="18"/>
  <c r="R381" i="18"/>
  <c r="V380" i="18"/>
  <c r="T380" i="18"/>
  <c r="R380" i="18"/>
  <c r="V379" i="18"/>
  <c r="T379" i="18"/>
  <c r="R379" i="18"/>
  <c r="V378" i="18"/>
  <c r="T378" i="18"/>
  <c r="R378" i="18"/>
  <c r="V376" i="18"/>
  <c r="T376" i="18"/>
  <c r="R376" i="18"/>
  <c r="V375" i="18"/>
  <c r="T375" i="18"/>
  <c r="R375" i="18"/>
  <c r="V374" i="18"/>
  <c r="T374" i="18"/>
  <c r="R374" i="18"/>
  <c r="V373" i="18"/>
  <c r="T373" i="18"/>
  <c r="R373" i="18"/>
  <c r="V370" i="18"/>
  <c r="T370" i="18"/>
  <c r="R370" i="18"/>
  <c r="V372" i="18"/>
  <c r="T372" i="18"/>
  <c r="R372" i="18"/>
  <c r="V318" i="18"/>
  <c r="T318" i="18"/>
  <c r="R318" i="18"/>
  <c r="V369" i="18"/>
  <c r="T369" i="18"/>
  <c r="R369" i="18"/>
  <c r="V366" i="18"/>
  <c r="T366" i="18"/>
  <c r="R366" i="18"/>
  <c r="V365" i="18"/>
  <c r="T365" i="18"/>
  <c r="R365" i="18"/>
  <c r="V363" i="18"/>
  <c r="T363" i="18"/>
  <c r="R363" i="18"/>
  <c r="V362" i="18"/>
  <c r="T362" i="18"/>
  <c r="R362" i="18"/>
  <c r="V359" i="18"/>
  <c r="T359" i="18"/>
  <c r="R359" i="18"/>
  <c r="V358" i="18"/>
  <c r="T358" i="18"/>
  <c r="R358" i="18"/>
  <c r="V356" i="18"/>
  <c r="T356" i="18"/>
  <c r="R356" i="18"/>
  <c r="V355" i="18"/>
  <c r="T355" i="18"/>
  <c r="R355" i="18"/>
  <c r="V354" i="18"/>
  <c r="T354" i="18"/>
  <c r="R354" i="18"/>
  <c r="V353" i="18"/>
  <c r="T353" i="18"/>
  <c r="R353" i="18"/>
  <c r="V352" i="18"/>
  <c r="T352" i="18"/>
  <c r="R352" i="18"/>
  <c r="V351" i="18"/>
  <c r="T351" i="18"/>
  <c r="R351" i="18"/>
  <c r="V350" i="18"/>
  <c r="T350" i="18"/>
  <c r="R350" i="18"/>
  <c r="V349" i="18"/>
  <c r="T349" i="18"/>
  <c r="R349" i="18"/>
  <c r="V347" i="18"/>
  <c r="T347" i="18"/>
  <c r="R347" i="18"/>
  <c r="V346" i="18"/>
  <c r="T346" i="18"/>
  <c r="R346" i="18"/>
  <c r="V344" i="18"/>
  <c r="T344" i="18"/>
  <c r="R344" i="18"/>
  <c r="V343" i="18"/>
  <c r="T343" i="18"/>
  <c r="R343" i="18"/>
  <c r="V342" i="18"/>
  <c r="T342" i="18"/>
  <c r="R342" i="18"/>
  <c r="V341" i="18"/>
  <c r="T341" i="18"/>
  <c r="R341" i="18"/>
  <c r="V340" i="18"/>
  <c r="T340" i="18"/>
  <c r="R340" i="18"/>
  <c r="V339" i="18"/>
  <c r="T339" i="18"/>
  <c r="R339" i="18"/>
  <c r="V338" i="18"/>
  <c r="T338" i="18"/>
  <c r="R338" i="18"/>
  <c r="V337" i="18"/>
  <c r="T337" i="18"/>
  <c r="R337" i="18"/>
  <c r="V336" i="18"/>
  <c r="T336" i="18"/>
  <c r="R336" i="18"/>
  <c r="V334" i="18"/>
  <c r="T334" i="18"/>
  <c r="R334" i="18"/>
  <c r="V331" i="18"/>
  <c r="T331" i="18"/>
  <c r="R331" i="18"/>
  <c r="V330" i="18"/>
  <c r="T330" i="18"/>
  <c r="R330" i="18"/>
  <c r="V329" i="18"/>
  <c r="T329" i="18"/>
  <c r="R329" i="18"/>
  <c r="V328" i="18"/>
  <c r="T328" i="18"/>
  <c r="R328" i="18"/>
  <c r="V327" i="18"/>
  <c r="T327" i="18"/>
  <c r="R327" i="18"/>
  <c r="V326" i="18"/>
  <c r="T326" i="18"/>
  <c r="R326" i="18"/>
  <c r="V325" i="18"/>
  <c r="T325" i="18"/>
  <c r="R325" i="18"/>
  <c r="V324" i="18"/>
  <c r="T324" i="18"/>
  <c r="R324" i="18"/>
  <c r="V323" i="18"/>
  <c r="T323" i="18"/>
  <c r="R323" i="18"/>
  <c r="V322" i="18"/>
  <c r="T322" i="18"/>
  <c r="R322" i="18"/>
  <c r="V321" i="18"/>
  <c r="T321" i="18"/>
  <c r="R321" i="18"/>
  <c r="V320" i="18"/>
  <c r="T320" i="18"/>
  <c r="R320" i="18"/>
  <c r="V317" i="18"/>
  <c r="T317" i="18"/>
  <c r="R317" i="18"/>
  <c r="V316" i="18"/>
  <c r="T316" i="18"/>
  <c r="R316" i="18"/>
  <c r="V315" i="18"/>
  <c r="T315" i="18"/>
  <c r="R315" i="18"/>
  <c r="V314" i="18"/>
  <c r="T314" i="18"/>
  <c r="R314" i="18"/>
  <c r="V313" i="18"/>
  <c r="T313" i="18"/>
  <c r="R313" i="18"/>
  <c r="V312" i="18"/>
  <c r="T312" i="18"/>
  <c r="R312" i="18"/>
  <c r="V311" i="18"/>
  <c r="T311" i="18"/>
  <c r="R311" i="18"/>
  <c r="V310" i="18"/>
  <c r="T310" i="18"/>
  <c r="R310" i="18"/>
  <c r="V309" i="18"/>
  <c r="T309" i="18"/>
  <c r="R309" i="18"/>
  <c r="V308" i="18"/>
  <c r="T308" i="18"/>
  <c r="R308" i="18"/>
  <c r="V307" i="18"/>
  <c r="T307" i="18"/>
  <c r="R307" i="18"/>
  <c r="V306" i="18"/>
  <c r="T306" i="18"/>
  <c r="R306" i="18"/>
  <c r="V305" i="18"/>
  <c r="T305" i="18"/>
  <c r="R305" i="18"/>
  <c r="V304" i="18"/>
  <c r="T304" i="18"/>
  <c r="R304" i="18"/>
  <c r="V303" i="18"/>
  <c r="T303" i="18"/>
  <c r="R303" i="18"/>
  <c r="V302" i="18"/>
  <c r="T302" i="18"/>
  <c r="R302" i="18"/>
  <c r="V301" i="18"/>
  <c r="T301" i="18"/>
  <c r="R301" i="18"/>
  <c r="V300" i="18"/>
  <c r="T300" i="18"/>
  <c r="R300" i="18"/>
  <c r="V299" i="18"/>
  <c r="T299" i="18"/>
  <c r="R299" i="18"/>
  <c r="V298" i="18"/>
  <c r="T298" i="18"/>
  <c r="R298" i="18"/>
  <c r="V297" i="18"/>
  <c r="T297" i="18"/>
  <c r="R297" i="18"/>
  <c r="V296" i="18"/>
  <c r="T296" i="18"/>
  <c r="R296" i="18"/>
  <c r="V295" i="18"/>
  <c r="T295" i="18"/>
  <c r="R295" i="18"/>
  <c r="V294" i="18"/>
  <c r="T294" i="18"/>
  <c r="R294" i="18"/>
  <c r="V293" i="18"/>
  <c r="T293" i="18"/>
  <c r="R293" i="18"/>
  <c r="V292" i="18"/>
  <c r="T292" i="18"/>
  <c r="R292" i="18"/>
  <c r="V291" i="18"/>
  <c r="T291" i="18"/>
  <c r="R291" i="18"/>
  <c r="V290" i="18"/>
  <c r="T290" i="18"/>
  <c r="R290" i="18"/>
  <c r="V289" i="18"/>
  <c r="T289" i="18"/>
  <c r="R289" i="18"/>
  <c r="V288" i="18"/>
  <c r="T288" i="18"/>
  <c r="R288" i="18"/>
  <c r="V287" i="18"/>
  <c r="T287" i="18"/>
  <c r="R287" i="18"/>
  <c r="V286" i="18"/>
  <c r="T286" i="18"/>
  <c r="R286" i="18"/>
  <c r="V285" i="18"/>
  <c r="T285" i="18"/>
  <c r="R285" i="18"/>
  <c r="V284" i="18"/>
  <c r="T284" i="18"/>
  <c r="R284" i="18"/>
  <c r="V283" i="18"/>
  <c r="T283" i="18"/>
  <c r="R283" i="18"/>
  <c r="V282" i="18"/>
  <c r="T282" i="18"/>
  <c r="R282" i="18"/>
  <c r="V281" i="18"/>
  <c r="T281" i="18"/>
  <c r="R281" i="18"/>
  <c r="V280" i="18"/>
  <c r="T280" i="18"/>
  <c r="R280" i="18"/>
  <c r="V277" i="18"/>
  <c r="T277" i="18"/>
  <c r="R277" i="18"/>
  <c r="V276" i="18"/>
  <c r="T276" i="18"/>
  <c r="R276" i="18"/>
  <c r="V275" i="18"/>
  <c r="T275" i="18"/>
  <c r="R275" i="18"/>
  <c r="V274" i="18"/>
  <c r="T274" i="18"/>
  <c r="R274" i="18"/>
  <c r="V273" i="18"/>
  <c r="T273" i="18"/>
  <c r="R273" i="18"/>
  <c r="V272" i="18"/>
  <c r="T272" i="18"/>
  <c r="R272" i="18"/>
  <c r="V271" i="18"/>
  <c r="T271" i="18"/>
  <c r="R271" i="18"/>
  <c r="V270" i="18"/>
  <c r="T270" i="18"/>
  <c r="R270" i="18"/>
  <c r="V269" i="18"/>
  <c r="T269" i="18"/>
  <c r="R269" i="18"/>
  <c r="V268" i="18"/>
  <c r="T268" i="18"/>
  <c r="R268" i="18"/>
  <c r="V267" i="18"/>
  <c r="T267" i="18"/>
  <c r="R267" i="18"/>
  <c r="V266" i="18"/>
  <c r="T266" i="18"/>
  <c r="R266" i="18"/>
  <c r="V265" i="18"/>
  <c r="T265" i="18"/>
  <c r="R265" i="18"/>
  <c r="V264" i="18"/>
  <c r="T264" i="18"/>
  <c r="R264" i="18"/>
  <c r="V263" i="18"/>
  <c r="T263" i="18"/>
  <c r="R263" i="18"/>
  <c r="V262" i="18"/>
  <c r="T262" i="18"/>
  <c r="R262" i="18"/>
  <c r="V261" i="18"/>
  <c r="T261" i="18"/>
  <c r="R261" i="18"/>
  <c r="V260" i="18"/>
  <c r="T260" i="18"/>
  <c r="R260" i="18"/>
  <c r="V259" i="18"/>
  <c r="T259" i="18"/>
  <c r="R259" i="18"/>
  <c r="V258" i="18"/>
  <c r="T258" i="18"/>
  <c r="R258" i="18"/>
  <c r="V257" i="18"/>
  <c r="T257" i="18"/>
  <c r="R257" i="18"/>
  <c r="V256" i="18"/>
  <c r="T256" i="18"/>
  <c r="R256" i="18"/>
  <c r="V255" i="18"/>
  <c r="T255" i="18"/>
  <c r="R255" i="18"/>
  <c r="V254" i="18"/>
  <c r="R254" i="18"/>
  <c r="V251" i="18"/>
  <c r="T251" i="18"/>
  <c r="R251" i="18"/>
  <c r="V250" i="18"/>
  <c r="T250" i="18"/>
  <c r="R250" i="18"/>
  <c r="V249" i="18"/>
  <c r="T249" i="18"/>
  <c r="R249" i="18"/>
  <c r="V248" i="18"/>
  <c r="T248" i="18"/>
  <c r="R248" i="18"/>
  <c r="V246" i="18"/>
  <c r="T246" i="18"/>
  <c r="R246" i="18"/>
  <c r="V245" i="18"/>
  <c r="T245" i="18"/>
  <c r="R245" i="18"/>
  <c r="V244" i="18"/>
  <c r="T244" i="18"/>
  <c r="R244" i="18"/>
  <c r="V243" i="18"/>
  <c r="T243" i="18"/>
  <c r="R243" i="18"/>
  <c r="V242" i="18"/>
  <c r="T242" i="18"/>
  <c r="R242" i="18"/>
  <c r="V241" i="18"/>
  <c r="T241" i="18"/>
  <c r="R241" i="18"/>
  <c r="V240" i="18"/>
  <c r="T240" i="18"/>
  <c r="R240" i="18"/>
  <c r="V239" i="18"/>
  <c r="T239" i="18"/>
  <c r="R239" i="18"/>
  <c r="V238" i="18"/>
  <c r="T238" i="18"/>
  <c r="R238" i="18"/>
  <c r="V237" i="18"/>
  <c r="T237" i="18"/>
  <c r="R237" i="18"/>
  <c r="V236" i="18"/>
  <c r="T236" i="18"/>
  <c r="R236" i="18"/>
  <c r="V235" i="18"/>
  <c r="T235" i="18"/>
  <c r="R235" i="18"/>
  <c r="V234" i="18"/>
  <c r="T234" i="18"/>
  <c r="R234" i="18"/>
  <c r="V233" i="18"/>
  <c r="T233" i="18"/>
  <c r="R233" i="18"/>
  <c r="V232" i="18"/>
  <c r="T232" i="18"/>
  <c r="R232" i="18"/>
  <c r="V229" i="18"/>
  <c r="T229" i="18"/>
  <c r="R229" i="18"/>
  <c r="V227" i="18"/>
  <c r="T227" i="18"/>
  <c r="R227" i="18"/>
  <c r="V226" i="18"/>
  <c r="T226" i="18"/>
  <c r="R226" i="18"/>
  <c r="V224" i="18"/>
  <c r="T224" i="18"/>
  <c r="R224" i="18"/>
  <c r="V223" i="18"/>
  <c r="T223" i="18"/>
  <c r="R223" i="18"/>
  <c r="V222" i="18"/>
  <c r="T222" i="18"/>
  <c r="R222" i="18"/>
  <c r="V220" i="18"/>
  <c r="T220" i="18"/>
  <c r="R220" i="18"/>
  <c r="V219" i="18"/>
  <c r="T219" i="18"/>
  <c r="R219" i="18"/>
  <c r="V218" i="18"/>
  <c r="T218" i="18"/>
  <c r="R218" i="18"/>
  <c r="V215" i="18"/>
  <c r="T215" i="18"/>
  <c r="R215" i="18"/>
  <c r="V214" i="18"/>
  <c r="T214" i="18"/>
  <c r="R214" i="18"/>
  <c r="V217" i="18"/>
  <c r="T217" i="18"/>
  <c r="R217" i="18"/>
  <c r="V213" i="18"/>
  <c r="T213" i="18"/>
  <c r="R213" i="18"/>
  <c r="V212" i="18"/>
  <c r="T212" i="18"/>
  <c r="R212" i="18"/>
  <c r="V211" i="18"/>
  <c r="T211" i="18"/>
  <c r="R211" i="18"/>
  <c r="V210" i="18"/>
  <c r="T210" i="18"/>
  <c r="R210" i="18"/>
  <c r="V208" i="18"/>
  <c r="T208" i="18"/>
  <c r="R208" i="18"/>
  <c r="V207" i="18"/>
  <c r="T207" i="18"/>
  <c r="R207" i="18"/>
  <c r="V206" i="18"/>
  <c r="T206" i="18"/>
  <c r="R206" i="18"/>
  <c r="V205" i="18"/>
  <c r="T205" i="18"/>
  <c r="R205" i="18"/>
  <c r="V204" i="18"/>
  <c r="T204" i="18"/>
  <c r="R204" i="18"/>
  <c r="V203" i="18"/>
  <c r="T203" i="18"/>
  <c r="R203" i="18"/>
  <c r="V202" i="18"/>
  <c r="T202" i="18"/>
  <c r="R202" i="18"/>
  <c r="V201" i="18"/>
  <c r="T201" i="18"/>
  <c r="R201" i="18"/>
  <c r="V200" i="18"/>
  <c r="T200" i="18"/>
  <c r="R200" i="18"/>
  <c r="V198" i="18"/>
  <c r="T198" i="18"/>
  <c r="R198" i="18"/>
  <c r="V197" i="18"/>
  <c r="T197" i="18"/>
  <c r="R197" i="18"/>
  <c r="V196" i="18"/>
  <c r="T196" i="18"/>
  <c r="R196" i="18"/>
  <c r="V195" i="18"/>
  <c r="T195" i="18"/>
  <c r="R195" i="18"/>
  <c r="V194" i="18"/>
  <c r="T194" i="18"/>
  <c r="R194" i="18"/>
  <c r="V193" i="18"/>
  <c r="T193" i="18"/>
  <c r="R193" i="18"/>
  <c r="T192" i="18"/>
  <c r="R192" i="18"/>
  <c r="V191" i="18"/>
  <c r="T191" i="18"/>
  <c r="R191" i="18"/>
  <c r="T190" i="18"/>
  <c r="R190" i="18"/>
  <c r="T189" i="18"/>
  <c r="R189" i="18"/>
  <c r="V187" i="18"/>
  <c r="T187" i="18"/>
  <c r="R187" i="18"/>
  <c r="V186" i="18"/>
  <c r="T186" i="18"/>
  <c r="R186" i="18"/>
  <c r="V185" i="18"/>
  <c r="T185" i="18"/>
  <c r="R185" i="18"/>
  <c r="V184" i="18"/>
  <c r="T184" i="18"/>
  <c r="R184" i="18"/>
  <c r="T183" i="18"/>
  <c r="R183" i="18"/>
  <c r="V182" i="18"/>
  <c r="T182" i="18"/>
  <c r="R182" i="18"/>
  <c r="V181" i="18"/>
  <c r="T181" i="18"/>
  <c r="R181" i="18"/>
  <c r="V180" i="18"/>
  <c r="T180" i="18"/>
  <c r="R180" i="18"/>
  <c r="V179" i="18"/>
  <c r="T179" i="18"/>
  <c r="R179" i="18"/>
  <c r="V178" i="18"/>
  <c r="T178" i="18"/>
  <c r="R178" i="18"/>
  <c r="V176" i="18"/>
  <c r="T176" i="18"/>
  <c r="R176" i="18"/>
  <c r="V175" i="18"/>
  <c r="T175" i="18"/>
  <c r="R175" i="18"/>
  <c r="V174" i="18"/>
  <c r="T174" i="18"/>
  <c r="R174" i="18"/>
  <c r="V173" i="18"/>
  <c r="T173" i="18"/>
  <c r="R173" i="18"/>
  <c r="V170" i="18"/>
  <c r="T170" i="18"/>
  <c r="R170" i="18"/>
  <c r="V172" i="18"/>
  <c r="T172" i="18"/>
  <c r="R172" i="18"/>
  <c r="V171" i="18"/>
  <c r="T171" i="18"/>
  <c r="R171" i="18"/>
  <c r="V169" i="18"/>
  <c r="T169" i="18"/>
  <c r="R169" i="18"/>
  <c r="V168" i="18"/>
  <c r="T168" i="18"/>
  <c r="R168" i="18"/>
  <c r="V167" i="18"/>
  <c r="T167" i="18"/>
  <c r="R167" i="18"/>
  <c r="T166" i="18"/>
  <c r="R166" i="18"/>
  <c r="V165" i="18"/>
  <c r="T165" i="18"/>
  <c r="R165" i="18"/>
  <c r="V164" i="18"/>
  <c r="T164" i="18"/>
  <c r="R164" i="18"/>
  <c r="V163" i="18"/>
  <c r="T163" i="18"/>
  <c r="R163" i="18"/>
  <c r="V162" i="18"/>
  <c r="T162" i="18"/>
  <c r="R162" i="18"/>
  <c r="V161" i="18"/>
  <c r="T161" i="18"/>
  <c r="R161" i="18"/>
  <c r="T160" i="18"/>
  <c r="R160" i="18"/>
  <c r="V159" i="18"/>
  <c r="T159" i="18"/>
  <c r="R159" i="18"/>
  <c r="V158" i="18"/>
  <c r="T158" i="18"/>
  <c r="R158" i="18"/>
  <c r="V157" i="18"/>
  <c r="T157" i="18"/>
  <c r="R157" i="18"/>
  <c r="T156" i="18"/>
  <c r="R156" i="18"/>
  <c r="T151" i="18"/>
  <c r="R151" i="18"/>
  <c r="V155" i="18"/>
  <c r="T155" i="18"/>
  <c r="R155" i="18"/>
  <c r="V154" i="18"/>
  <c r="T154" i="18"/>
  <c r="R154" i="18"/>
  <c r="V153" i="18"/>
  <c r="T153" i="18"/>
  <c r="R153" i="18"/>
  <c r="T152" i="18"/>
  <c r="R152" i="18"/>
  <c r="V150" i="18"/>
  <c r="T150" i="18"/>
  <c r="R150" i="18"/>
  <c r="V149" i="18"/>
  <c r="T149" i="18"/>
  <c r="R149" i="18"/>
  <c r="V148" i="18"/>
  <c r="T148" i="18"/>
  <c r="R148" i="18"/>
  <c r="V147" i="18"/>
  <c r="T147" i="18"/>
  <c r="R147" i="18"/>
  <c r="V146" i="18"/>
  <c r="T146" i="18"/>
  <c r="R146" i="18"/>
  <c r="V144" i="18"/>
  <c r="T144" i="18"/>
  <c r="R144" i="18"/>
  <c r="V143" i="18"/>
  <c r="T143" i="18"/>
  <c r="R143" i="18"/>
  <c r="V142" i="18"/>
  <c r="T142" i="18"/>
  <c r="R142" i="18"/>
  <c r="V141" i="18"/>
  <c r="T141" i="18"/>
  <c r="R141" i="18"/>
  <c r="V140" i="18"/>
  <c r="T140" i="18"/>
  <c r="R140" i="18"/>
  <c r="V139" i="18"/>
  <c r="T139" i="18"/>
  <c r="R139" i="18"/>
  <c r="V138" i="18"/>
  <c r="T138" i="18"/>
  <c r="R138" i="18"/>
  <c r="V137" i="18"/>
  <c r="T137" i="18"/>
  <c r="R137" i="18"/>
  <c r="V136" i="18"/>
  <c r="T136" i="18"/>
  <c r="R136" i="18"/>
  <c r="V135" i="18"/>
  <c r="T135" i="18"/>
  <c r="R135" i="18"/>
  <c r="V134" i="18"/>
  <c r="T134" i="18"/>
  <c r="R134" i="18"/>
  <c r="V133" i="18"/>
  <c r="T133" i="18"/>
  <c r="R133" i="18"/>
  <c r="V132" i="18"/>
  <c r="T132" i="18"/>
  <c r="R132" i="18"/>
  <c r="V131" i="18"/>
  <c r="T131" i="18"/>
  <c r="R131" i="18"/>
  <c r="V130" i="18"/>
  <c r="T130" i="18"/>
  <c r="R130" i="18"/>
  <c r="V129" i="18"/>
  <c r="T129" i="18"/>
  <c r="R129" i="18"/>
  <c r="V128" i="18"/>
  <c r="T128" i="18"/>
  <c r="R128" i="18"/>
  <c r="V127" i="18"/>
  <c r="T127" i="18"/>
  <c r="R127" i="18"/>
  <c r="V126" i="18"/>
  <c r="T126" i="18"/>
  <c r="R126" i="18"/>
  <c r="V125" i="18"/>
  <c r="T125" i="18"/>
  <c r="R125" i="18"/>
  <c r="V124" i="18"/>
  <c r="T124" i="18"/>
  <c r="R124" i="18"/>
  <c r="V123" i="18"/>
  <c r="T123" i="18"/>
  <c r="R123" i="18"/>
  <c r="V122" i="18"/>
  <c r="T122" i="18"/>
  <c r="R122" i="18"/>
  <c r="V121" i="18"/>
  <c r="T121" i="18"/>
  <c r="R121" i="18"/>
  <c r="T120" i="18"/>
  <c r="R120" i="18"/>
  <c r="V119" i="18"/>
  <c r="T119" i="18"/>
  <c r="R119" i="18"/>
  <c r="V118" i="18"/>
  <c r="T118" i="18"/>
  <c r="R118" i="18"/>
  <c r="V117" i="18"/>
  <c r="T117" i="18"/>
  <c r="R117" i="18"/>
  <c r="V228" i="18"/>
  <c r="T228" i="18"/>
  <c r="R228" i="18"/>
  <c r="V116" i="18"/>
  <c r="T116" i="18"/>
  <c r="R116" i="18"/>
  <c r="V113" i="18"/>
  <c r="T113" i="18"/>
  <c r="R113" i="18"/>
  <c r="V112" i="18"/>
  <c r="T112" i="18"/>
  <c r="R112" i="18"/>
  <c r="V111" i="18"/>
  <c r="T111" i="18"/>
  <c r="R111" i="18"/>
  <c r="V110" i="18"/>
  <c r="T110" i="18"/>
  <c r="R110" i="18"/>
  <c r="V109" i="18"/>
  <c r="T109" i="18"/>
  <c r="R109" i="18"/>
  <c r="V108" i="18"/>
  <c r="T108" i="18"/>
  <c r="R108" i="18"/>
  <c r="V106" i="18"/>
  <c r="T106" i="18"/>
  <c r="R106" i="18"/>
  <c r="V105" i="18"/>
  <c r="T105" i="18"/>
  <c r="R105" i="18"/>
  <c r="V103" i="18"/>
  <c r="T103" i="18"/>
  <c r="R103" i="18"/>
  <c r="V102" i="18"/>
  <c r="T102" i="18"/>
  <c r="R102" i="18"/>
  <c r="V99" i="18"/>
  <c r="T99" i="18"/>
  <c r="R99" i="18"/>
  <c r="V98" i="18"/>
  <c r="T98" i="18"/>
  <c r="R98" i="18"/>
  <c r="V97" i="18"/>
  <c r="T97" i="18"/>
  <c r="R97" i="18"/>
  <c r="V96" i="18"/>
  <c r="T96" i="18"/>
  <c r="R96" i="18"/>
  <c r="V95" i="18"/>
  <c r="T95" i="18"/>
  <c r="R95" i="18"/>
  <c r="V94" i="18"/>
  <c r="T94" i="18"/>
  <c r="R94" i="18"/>
  <c r="T93" i="18"/>
  <c r="R93" i="18"/>
  <c r="T92" i="18"/>
  <c r="R92" i="18"/>
  <c r="T91" i="18"/>
  <c r="R91" i="18"/>
  <c r="V90" i="18"/>
  <c r="T90" i="18"/>
  <c r="R90" i="18"/>
  <c r="V89" i="18"/>
  <c r="T89" i="18"/>
  <c r="R89" i="18"/>
  <c r="T88" i="18"/>
  <c r="R88" i="18"/>
  <c r="T87" i="18"/>
  <c r="R87" i="18"/>
  <c r="V86" i="18"/>
  <c r="T86" i="18"/>
  <c r="R86" i="18"/>
  <c r="V85" i="18"/>
  <c r="T85" i="18"/>
  <c r="R85" i="18"/>
  <c r="V84" i="18"/>
  <c r="T84" i="18"/>
  <c r="R84" i="18"/>
  <c r="V216" i="18"/>
  <c r="T216" i="18"/>
  <c r="R216" i="18"/>
  <c r="V83" i="18"/>
  <c r="T83" i="18"/>
  <c r="R83" i="18"/>
  <c r="V82" i="18"/>
  <c r="T82" i="18"/>
  <c r="R82" i="18"/>
  <c r="V81" i="18"/>
  <c r="T81" i="18"/>
  <c r="R81" i="18"/>
  <c r="V80" i="18"/>
  <c r="T80" i="18"/>
  <c r="R80" i="18"/>
  <c r="T79" i="18"/>
  <c r="R79" i="18"/>
  <c r="V78" i="18"/>
  <c r="T78" i="18"/>
  <c r="R78" i="18"/>
  <c r="T77" i="18"/>
  <c r="R77" i="18"/>
  <c r="T76" i="18"/>
  <c r="R76" i="18"/>
  <c r="T75" i="18"/>
  <c r="R75" i="18"/>
  <c r="V74" i="18"/>
  <c r="T74" i="18"/>
  <c r="R74" i="18"/>
  <c r="V73" i="18"/>
  <c r="T73" i="18"/>
  <c r="R73" i="18"/>
  <c r="V69" i="18"/>
  <c r="T69" i="18"/>
  <c r="R69" i="18"/>
  <c r="V66" i="18"/>
  <c r="T66" i="18"/>
  <c r="R66" i="18"/>
  <c r="V65" i="18"/>
  <c r="T65" i="18"/>
  <c r="R65" i="18"/>
  <c r="V64" i="18"/>
  <c r="T64" i="18"/>
  <c r="R64" i="18"/>
  <c r="V63" i="18"/>
  <c r="T63" i="18"/>
  <c r="R63" i="18"/>
  <c r="T62" i="18"/>
  <c r="R62" i="18"/>
  <c r="V61" i="18"/>
  <c r="T61" i="18"/>
  <c r="R61" i="18"/>
  <c r="V60" i="18"/>
  <c r="T60" i="18"/>
  <c r="R60" i="18"/>
  <c r="T59" i="18"/>
  <c r="R59" i="18"/>
  <c r="T58" i="18"/>
  <c r="R58" i="18"/>
  <c r="T57" i="18"/>
  <c r="R57" i="18"/>
  <c r="T56" i="18"/>
  <c r="R56" i="18"/>
  <c r="V55" i="18"/>
  <c r="T55" i="18"/>
  <c r="R55" i="18"/>
  <c r="V54" i="18"/>
  <c r="T54" i="18"/>
  <c r="R54" i="18"/>
  <c r="V53" i="18"/>
  <c r="T53" i="18"/>
  <c r="R53" i="18"/>
  <c r="V52" i="18"/>
  <c r="T52" i="18"/>
  <c r="R52" i="18"/>
  <c r="V51" i="18"/>
  <c r="T51" i="18"/>
  <c r="R51" i="18"/>
  <c r="V50" i="18"/>
  <c r="T50" i="18"/>
  <c r="R50" i="18"/>
  <c r="V49" i="18"/>
  <c r="T49" i="18"/>
  <c r="R49" i="18"/>
  <c r="V48" i="18"/>
  <c r="T48" i="18"/>
  <c r="R48" i="18"/>
  <c r="V47" i="18"/>
  <c r="T47" i="18"/>
  <c r="R47" i="18"/>
  <c r="V46" i="18"/>
  <c r="T46" i="18"/>
  <c r="R46" i="18"/>
  <c r="V45" i="18"/>
  <c r="T45" i="18"/>
  <c r="R45" i="18"/>
  <c r="V44" i="18"/>
  <c r="T44" i="18"/>
  <c r="R44" i="18"/>
  <c r="V43" i="18"/>
  <c r="T43" i="18"/>
  <c r="R43" i="18"/>
  <c r="V42" i="18"/>
  <c r="T42" i="18"/>
  <c r="R42" i="18"/>
  <c r="V41" i="18"/>
  <c r="T41" i="18"/>
  <c r="R41" i="18"/>
  <c r="V40" i="18"/>
  <c r="T40" i="18"/>
  <c r="R40" i="18"/>
  <c r="T39" i="18"/>
  <c r="R39" i="18"/>
  <c r="T37" i="18"/>
  <c r="R37" i="18"/>
  <c r="T36" i="18"/>
  <c r="R36" i="18"/>
  <c r="T35" i="18"/>
  <c r="R35" i="18"/>
  <c r="V34" i="18"/>
  <c r="T34" i="18"/>
  <c r="R34" i="18"/>
  <c r="V33" i="18"/>
  <c r="T33" i="18"/>
  <c r="R33" i="18"/>
  <c r="V32" i="18"/>
  <c r="T32" i="18"/>
  <c r="R32" i="18"/>
  <c r="V31" i="18"/>
  <c r="T31" i="18"/>
  <c r="R31" i="18"/>
  <c r="V30" i="18"/>
  <c r="T30" i="18"/>
  <c r="R30" i="18"/>
  <c r="V29" i="18"/>
  <c r="T29" i="18"/>
  <c r="R29" i="18"/>
  <c r="V28" i="18"/>
  <c r="T28" i="18"/>
  <c r="R28" i="18"/>
  <c r="V27" i="18"/>
  <c r="T27" i="18"/>
  <c r="R27" i="18"/>
  <c r="V26" i="18"/>
  <c r="T26" i="18"/>
  <c r="R26" i="18"/>
  <c r="V25" i="18"/>
  <c r="T25" i="18"/>
  <c r="R25" i="18"/>
  <c r="V24" i="18"/>
  <c r="T24" i="18"/>
  <c r="R24" i="18"/>
  <c r="V23" i="18"/>
  <c r="T23" i="18"/>
  <c r="R23" i="18"/>
  <c r="V22" i="18"/>
  <c r="T22" i="18"/>
  <c r="R22" i="18"/>
  <c r="V21" i="18"/>
  <c r="T21" i="18"/>
  <c r="R21" i="18"/>
  <c r="V20" i="18"/>
  <c r="T20" i="18"/>
  <c r="R20" i="18"/>
  <c r="V19" i="18"/>
  <c r="T19" i="18"/>
  <c r="R19" i="18"/>
  <c r="V18" i="18"/>
  <c r="T18" i="18"/>
  <c r="R18" i="18"/>
  <c r="V17" i="18"/>
  <c r="T17" i="18"/>
  <c r="V16" i="18"/>
  <c r="T16" i="18"/>
  <c r="V14" i="18"/>
  <c r="T14" i="18"/>
  <c r="T13" i="18"/>
  <c r="T12" i="18"/>
  <c r="T8" i="18"/>
  <c r="T5" i="18"/>
  <c r="T3" i="18"/>
  <c r="V2" i="18"/>
  <c r="T2" i="18"/>
  <c r="I831" i="13"/>
  <c r="I832" i="13"/>
  <c r="I839" i="13"/>
  <c r="I840" i="13"/>
  <c r="I845" i="13"/>
  <c r="I854" i="13"/>
  <c r="I872" i="13"/>
  <c r="I873" i="13"/>
  <c r="I874" i="13"/>
  <c r="I875" i="13"/>
  <c r="I876" i="13"/>
  <c r="I877" i="13"/>
  <c r="I878" i="13"/>
  <c r="I879" i="13"/>
  <c r="I880" i="13"/>
  <c r="I881" i="13"/>
  <c r="I882" i="13"/>
  <c r="I883" i="13"/>
  <c r="I884" i="13"/>
  <c r="I885" i="13"/>
  <c r="I886" i="13"/>
  <c r="I888" i="13"/>
  <c r="I889" i="13"/>
  <c r="I890" i="13"/>
  <c r="I904" i="13"/>
  <c r="I905" i="13"/>
  <c r="I906" i="13"/>
  <c r="I908" i="13"/>
  <c r="I909" i="13"/>
  <c r="I910" i="13"/>
  <c r="I911" i="13"/>
  <c r="I914" i="13"/>
  <c r="I915" i="13"/>
  <c r="I916" i="13"/>
  <c r="I917" i="13"/>
  <c r="I918" i="13"/>
  <c r="I919" i="13"/>
  <c r="I920" i="13"/>
  <c r="I921" i="13"/>
  <c r="I922" i="13"/>
  <c r="I923" i="13"/>
  <c r="I924" i="13"/>
  <c r="I925" i="13"/>
  <c r="I926" i="13"/>
  <c r="I927" i="13"/>
  <c r="I928" i="13"/>
  <c r="I929" i="13"/>
  <c r="I930" i="13"/>
  <c r="I931" i="13"/>
  <c r="I932" i="13"/>
  <c r="I933" i="13"/>
  <c r="I934" i="13"/>
  <c r="I935" i="13"/>
  <c r="I937" i="13"/>
  <c r="I938" i="13"/>
  <c r="I939" i="13"/>
  <c r="I941" i="13"/>
  <c r="I942" i="13"/>
  <c r="I943" i="13"/>
  <c r="I944" i="13"/>
  <c r="I945" i="13"/>
  <c r="I946" i="13"/>
  <c r="I947" i="13"/>
  <c r="I948" i="13"/>
  <c r="I949" i="13"/>
  <c r="I950" i="13"/>
  <c r="I951" i="13"/>
  <c r="I952" i="13"/>
  <c r="I953" i="13"/>
  <c r="I954" i="13"/>
  <c r="I955" i="13"/>
  <c r="I956" i="13"/>
  <c r="I957" i="13"/>
  <c r="I958" i="13"/>
  <c r="I959" i="13"/>
  <c r="I960" i="13"/>
  <c r="I961" i="13"/>
  <c r="I962" i="13"/>
  <c r="I963" i="13"/>
  <c r="I964" i="13"/>
  <c r="I966" i="13"/>
  <c r="I967" i="13"/>
  <c r="I968" i="13"/>
  <c r="I969" i="13"/>
  <c r="I970" i="13"/>
  <c r="I971" i="13"/>
  <c r="I973" i="13"/>
  <c r="I974" i="13"/>
  <c r="I975" i="13"/>
  <c r="I976" i="13"/>
  <c r="I977" i="13"/>
  <c r="I768" i="13"/>
  <c r="I812" i="13"/>
  <c r="I1055" i="13"/>
  <c r="I1056" i="13"/>
  <c r="I1057" i="13"/>
  <c r="I1070" i="13"/>
  <c r="I1071" i="13"/>
  <c r="I1072" i="13"/>
  <c r="I1074" i="13"/>
  <c r="A434" i="18" l="1"/>
  <c r="S466" i="18"/>
  <c r="A494" i="18" s="1"/>
  <c r="S438" i="18"/>
  <c r="A467" i="18" s="1"/>
  <c r="S446" i="18"/>
  <c r="A475" i="18" s="1"/>
  <c r="S454" i="18"/>
  <c r="A483" i="18" s="1"/>
  <c r="S439" i="18"/>
  <c r="A468" i="18" s="1"/>
  <c r="S447" i="18"/>
  <c r="A476" i="18" s="1"/>
  <c r="S455" i="18"/>
  <c r="A484" i="18" s="1"/>
  <c r="S463" i="18"/>
  <c r="A491" i="18" s="1"/>
  <c r="S467" i="18"/>
  <c r="A495" i="18" s="1"/>
  <c r="S440" i="18"/>
  <c r="A469" i="18" s="1"/>
  <c r="S448" i="18"/>
  <c r="A477" i="18" s="1"/>
  <c r="S456" i="18"/>
  <c r="A485" i="18" s="1"/>
  <c r="S441" i="18"/>
  <c r="A470" i="18" s="1"/>
  <c r="S449" i="18"/>
  <c r="A478" i="18" s="1"/>
  <c r="S457" i="18"/>
  <c r="A486" i="18" s="1"/>
  <c r="S464" i="18"/>
  <c r="A492" i="18" s="1"/>
  <c r="S468" i="18"/>
  <c r="A496" i="18" s="1"/>
  <c r="S434" i="18"/>
  <c r="A463" i="18" s="1"/>
  <c r="S442" i="18"/>
  <c r="A471" i="18" s="1"/>
  <c r="S450" i="18"/>
  <c r="A479" i="18" s="1"/>
  <c r="S435" i="18"/>
  <c r="A464" i="18" s="1"/>
  <c r="S443" i="18"/>
  <c r="A472" i="18" s="1"/>
  <c r="S451" i="18"/>
  <c r="A480" i="18" s="1"/>
  <c r="S458" i="18"/>
  <c r="A487" i="18" s="1"/>
  <c r="S465" i="18"/>
  <c r="A493" i="18" s="1"/>
  <c r="S436" i="18"/>
  <c r="A465" i="18" s="1"/>
  <c r="S444" i="18"/>
  <c r="A473" i="18" s="1"/>
  <c r="S452" i="18"/>
  <c r="A481" i="18" s="1"/>
  <c r="S459" i="18"/>
  <c r="A488" i="18" s="1"/>
  <c r="S437" i="18"/>
  <c r="A466" i="18" s="1"/>
  <c r="S445" i="18"/>
  <c r="A474" i="18" s="1"/>
  <c r="S453" i="18"/>
  <c r="A482" i="18" s="1"/>
  <c r="S460" i="18"/>
  <c r="A489" i="18" s="1"/>
  <c r="J504" i="17"/>
  <c r="B414" i="12"/>
  <c r="K43" i="6"/>
  <c r="K42" i="6"/>
  <c r="K41" i="6"/>
  <c r="K39" i="6"/>
  <c r="I43" i="6"/>
  <c r="I42" i="6"/>
  <c r="I41" i="6"/>
  <c r="I39" i="6"/>
  <c r="S472" i="18" l="1"/>
  <c r="B10" i="12"/>
  <c r="B363" i="12" l="1"/>
  <c r="K37" i="6"/>
  <c r="K36" i="6"/>
  <c r="K35" i="6"/>
  <c r="K34" i="6"/>
  <c r="K33" i="6"/>
  <c r="K32" i="6"/>
  <c r="K31" i="6"/>
  <c r="K30" i="6"/>
  <c r="K29" i="6"/>
  <c r="K28" i="6"/>
  <c r="K27" i="6"/>
  <c r="K26" i="6"/>
  <c r="K25" i="6"/>
  <c r="K24" i="6"/>
  <c r="K23" i="6"/>
  <c r="K22" i="6"/>
  <c r="K21" i="6"/>
  <c r="K20" i="6"/>
  <c r="K19" i="6"/>
  <c r="K18" i="6"/>
  <c r="K17" i="6"/>
  <c r="K16" i="6"/>
  <c r="K15" i="6"/>
  <c r="K12" i="6"/>
  <c r="K11" i="6"/>
  <c r="K10" i="6"/>
  <c r="K9" i="6"/>
  <c r="K8" i="6"/>
  <c r="K7" i="6"/>
  <c r="K6" i="6"/>
  <c r="K5" i="6"/>
  <c r="K4" i="6"/>
  <c r="K3" i="6"/>
  <c r="K2" i="6"/>
  <c r="J75" i="6" l="1"/>
  <c r="A75" i="6" s="1"/>
  <c r="J77" i="6"/>
  <c r="A77" i="6" s="1"/>
  <c r="J76" i="6"/>
  <c r="A76" i="6" s="1"/>
  <c r="J73" i="6"/>
  <c r="J74" i="6"/>
  <c r="A74" i="6" s="1"/>
  <c r="F415" i="12" l="1"/>
  <c r="I30" i="6" l="1"/>
  <c r="I29" i="6"/>
  <c r="I28" i="6"/>
  <c r="I26" i="6"/>
  <c r="I25" i="6"/>
  <c r="I23" i="6"/>
  <c r="I22" i="6"/>
  <c r="I20" i="6"/>
  <c r="I19" i="6"/>
  <c r="I18" i="6"/>
  <c r="I17" i="6"/>
  <c r="I16" i="6"/>
  <c r="I13" i="6"/>
  <c r="I12" i="6"/>
  <c r="I11" i="6"/>
  <c r="I10" i="6"/>
  <c r="I9" i="6"/>
  <c r="I8" i="6"/>
  <c r="I7" i="6"/>
  <c r="I6" i="6"/>
  <c r="I5" i="6"/>
  <c r="I4" i="6"/>
  <c r="I2" i="6"/>
  <c r="I27" i="6"/>
  <c r="I31" i="6"/>
  <c r="F66" i="6" l="1"/>
  <c r="I37" i="6"/>
  <c r="I36" i="6"/>
  <c r="I35" i="6"/>
  <c r="I34" i="6"/>
  <c r="I33" i="6"/>
  <c r="I32" i="6"/>
  <c r="B468" i="12"/>
  <c r="B410" i="12" l="1"/>
  <c r="B409" i="12"/>
  <c r="I501" i="13" l="1"/>
  <c r="I462" i="13"/>
  <c r="I371" i="13"/>
  <c r="I316" i="13"/>
  <c r="I306" i="13"/>
  <c r="I297" i="13"/>
  <c r="I284" i="13"/>
  <c r="I272" i="13"/>
  <c r="I263" i="13"/>
  <c r="I221" i="13"/>
  <c r="I211" i="13"/>
  <c r="I206" i="13"/>
  <c r="I195" i="13"/>
  <c r="I144" i="13"/>
  <c r="I114" i="13"/>
  <c r="I94" i="13"/>
  <c r="I56" i="13"/>
  <c r="I26" i="13" l="1"/>
  <c r="I3" i="13"/>
  <c r="B411" i="12" l="1"/>
  <c r="B257" i="12" l="1"/>
  <c r="I136" i="13"/>
  <c r="I130" i="13"/>
  <c r="I125" i="13"/>
  <c r="I796" i="13"/>
  <c r="I784" i="13"/>
  <c r="I775" i="13"/>
  <c r="I675" i="13"/>
  <c r="I631" i="13"/>
  <c r="I588" i="13"/>
  <c r="I543" i="13"/>
  <c r="A1077" i="13" l="1"/>
  <c r="R788" i="13"/>
  <c r="R790" i="13"/>
  <c r="R791" i="13"/>
  <c r="R789" i="13"/>
  <c r="R828" i="13"/>
  <c r="R826" i="13"/>
  <c r="R827" i="13"/>
  <c r="R783" i="13"/>
  <c r="R780" i="13"/>
  <c r="R781" i="13"/>
  <c r="R782" i="13"/>
  <c r="A142" i="12" l="1"/>
  <c r="A76" i="12"/>
  <c r="R776" i="13"/>
  <c r="R786" i="13"/>
  <c r="R823" i="13"/>
  <c r="R785" i="13"/>
  <c r="R824" i="13"/>
  <c r="R825" i="13"/>
  <c r="R787" i="13"/>
  <c r="R779" i="13"/>
  <c r="R777" i="13"/>
  <c r="A73" i="6"/>
  <c r="J83" i="6" s="1"/>
  <c r="A92" i="12" s="1"/>
  <c r="I52" i="6"/>
  <c r="A55" i="6" s="1"/>
  <c r="A449" i="12" s="1"/>
  <c r="A346" i="12" l="1"/>
  <c r="A84" i="12"/>
  <c r="A501" i="12"/>
  <c r="A243" i="12"/>
  <c r="C432" i="1" l="1"/>
  <c r="F418" i="1"/>
  <c r="F417" i="1"/>
  <c r="F416" i="1"/>
  <c r="F415" i="1"/>
  <c r="F414" i="1"/>
  <c r="F413" i="1"/>
  <c r="F412" i="1"/>
  <c r="F411" i="1"/>
  <c r="F410" i="1"/>
  <c r="F409" i="1"/>
  <c r="F408" i="1"/>
  <c r="F407" i="1"/>
  <c r="F406" i="1"/>
  <c r="F405" i="1"/>
  <c r="F404" i="1"/>
  <c r="F403" i="1"/>
  <c r="F402" i="1"/>
  <c r="F401" i="1"/>
  <c r="F400" i="1"/>
  <c r="F399" i="1"/>
  <c r="F398" i="1"/>
  <c r="F397" i="1"/>
  <c r="F396" i="1"/>
  <c r="F395" i="1"/>
  <c r="F394" i="1"/>
  <c r="F393" i="1"/>
  <c r="F392" i="1"/>
  <c r="F391" i="1"/>
  <c r="F390" i="1"/>
  <c r="F389" i="1"/>
  <c r="F388" i="1"/>
  <c r="F387" i="1"/>
  <c r="F386" i="1"/>
  <c r="F385" i="1"/>
  <c r="F384" i="1"/>
  <c r="F383" i="1"/>
  <c r="F382" i="1"/>
  <c r="F381" i="1"/>
  <c r="F380" i="1"/>
  <c r="F379" i="1"/>
  <c r="F378" i="1"/>
  <c r="F377" i="1"/>
  <c r="F376" i="1"/>
  <c r="F375" i="1"/>
  <c r="F374" i="1"/>
  <c r="F373" i="1"/>
  <c r="F372" i="1"/>
  <c r="F371" i="1"/>
  <c r="F370" i="1"/>
  <c r="F369" i="1"/>
  <c r="F368" i="1"/>
  <c r="F367" i="1"/>
  <c r="F366" i="1"/>
  <c r="F365" i="1"/>
  <c r="F364" i="1"/>
  <c r="F363" i="1"/>
  <c r="F362" i="1"/>
  <c r="F361" i="1"/>
  <c r="F360" i="1"/>
  <c r="F359" i="1"/>
  <c r="F358" i="1"/>
  <c r="F357" i="1"/>
  <c r="F356" i="1"/>
  <c r="F355" i="1"/>
  <c r="F354" i="1"/>
  <c r="F353" i="1"/>
  <c r="F352" i="1"/>
  <c r="F351" i="1"/>
  <c r="F350" i="1"/>
  <c r="F349" i="1"/>
  <c r="F348" i="1"/>
  <c r="F347" i="1"/>
  <c r="F346" i="1"/>
  <c r="F345" i="1"/>
  <c r="F344" i="1"/>
  <c r="F343" i="1"/>
  <c r="F342" i="1"/>
  <c r="F341" i="1"/>
  <c r="F340" i="1"/>
  <c r="F339" i="1"/>
  <c r="F338" i="1"/>
  <c r="F337" i="1"/>
  <c r="F336" i="1"/>
  <c r="F335" i="1"/>
  <c r="F334" i="1"/>
  <c r="F333" i="1"/>
  <c r="F332" i="1"/>
  <c r="F331" i="1"/>
  <c r="F330" i="1"/>
  <c r="F329" i="1"/>
  <c r="F328" i="1"/>
  <c r="F327" i="1"/>
  <c r="F326" i="1"/>
  <c r="F325" i="1"/>
  <c r="F324" i="1"/>
  <c r="F323" i="1"/>
  <c r="F322" i="1"/>
  <c r="F321" i="1"/>
  <c r="F320" i="1"/>
  <c r="F319" i="1"/>
  <c r="F318" i="1"/>
  <c r="F317" i="1"/>
  <c r="F316" i="1"/>
  <c r="F315" i="1"/>
  <c r="F314" i="1"/>
  <c r="F313" i="1"/>
  <c r="F312" i="1"/>
  <c r="F311" i="1"/>
  <c r="F310" i="1"/>
  <c r="F309" i="1"/>
  <c r="F308" i="1"/>
  <c r="F307" i="1"/>
  <c r="F306" i="1"/>
  <c r="F305" i="1"/>
  <c r="F304" i="1"/>
  <c r="F303" i="1"/>
  <c r="F302" i="1"/>
  <c r="F301" i="1"/>
  <c r="F300" i="1"/>
  <c r="F299" i="1"/>
  <c r="F298" i="1"/>
  <c r="F297" i="1"/>
  <c r="F296" i="1"/>
  <c r="F295" i="1"/>
  <c r="F294" i="1"/>
  <c r="F293" i="1"/>
  <c r="F292" i="1"/>
  <c r="F291" i="1"/>
  <c r="F290" i="1"/>
  <c r="F289" i="1"/>
  <c r="F288" i="1"/>
  <c r="F287" i="1"/>
  <c r="F286" i="1"/>
  <c r="F285" i="1"/>
  <c r="F284" i="1"/>
  <c r="F283" i="1"/>
  <c r="F282" i="1"/>
  <c r="F281" i="1"/>
  <c r="F280" i="1"/>
  <c r="F279" i="1"/>
  <c r="F278" i="1"/>
  <c r="F277" i="1"/>
  <c r="F276" i="1"/>
  <c r="F275" i="1"/>
  <c r="F274" i="1"/>
  <c r="F273" i="1"/>
  <c r="F272" i="1"/>
  <c r="F271" i="1"/>
  <c r="F270" i="1"/>
  <c r="F269" i="1"/>
  <c r="F268" i="1"/>
  <c r="F267" i="1"/>
  <c r="F266" i="1"/>
  <c r="F265" i="1"/>
  <c r="F264" i="1"/>
  <c r="F263" i="1"/>
  <c r="F262" i="1"/>
  <c r="F261" i="1"/>
  <c r="F260" i="1"/>
  <c r="F259" i="1"/>
  <c r="F258" i="1"/>
  <c r="F257" i="1"/>
  <c r="F256" i="1"/>
  <c r="F255" i="1"/>
  <c r="F254" i="1"/>
  <c r="F253" i="1"/>
  <c r="F252" i="1"/>
  <c r="F251" i="1"/>
  <c r="F250" i="1"/>
  <c r="F249" i="1"/>
  <c r="F248" i="1"/>
  <c r="F247" i="1"/>
  <c r="F246" i="1"/>
  <c r="F245" i="1"/>
  <c r="F244" i="1"/>
  <c r="F243" i="1"/>
  <c r="F242" i="1"/>
  <c r="F241" i="1"/>
  <c r="F240" i="1"/>
  <c r="F239" i="1"/>
  <c r="F238" i="1"/>
  <c r="F237" i="1"/>
  <c r="F236" i="1"/>
  <c r="F235" i="1"/>
  <c r="F234" i="1"/>
  <c r="F233" i="1"/>
  <c r="F232" i="1"/>
  <c r="F231"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F100" i="1"/>
  <c r="F99" i="1"/>
  <c r="F98" i="1"/>
  <c r="F97" i="1"/>
  <c r="F96" i="1"/>
  <c r="F95" i="1"/>
  <c r="F94" i="1"/>
  <c r="F93" i="1"/>
  <c r="F92" i="1"/>
  <c r="F91" i="1"/>
  <c r="F90" i="1"/>
  <c r="F89" i="1"/>
  <c r="F88" i="1"/>
  <c r="F87" i="1"/>
  <c r="F86" i="1"/>
  <c r="F85" i="1"/>
  <c r="F84" i="1"/>
  <c r="F83" i="1"/>
  <c r="F82" i="1"/>
  <c r="F81" i="1"/>
  <c r="F80" i="1"/>
  <c r="F79" i="1"/>
  <c r="F78" i="1"/>
  <c r="F77" i="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F3" i="1"/>
  <c r="F2" i="1"/>
  <c r="A421" i="1" l="1"/>
  <c r="A214" i="12" l="1"/>
  <c r="A229" i="12" l="1"/>
  <c r="S488" i="17" l="1"/>
  <c r="B521" i="17" s="1"/>
  <c r="S497" i="17"/>
  <c r="B530" i="17" s="1"/>
  <c r="B545" i="17"/>
  <c r="S478" i="17"/>
  <c r="B511" i="17" s="1"/>
  <c r="S512" i="17"/>
  <c r="B544" i="17" s="1"/>
  <c r="S511" i="17"/>
  <c r="B543" i="17" s="1"/>
  <c r="B538" i="17"/>
  <c r="S486" i="17"/>
  <c r="B519" i="17" s="1"/>
  <c r="B509" i="17"/>
  <c r="S494" i="17"/>
  <c r="B527" i="17" s="1"/>
  <c r="B539" i="17"/>
  <c r="S496" i="17"/>
  <c r="B529" i="17" s="1"/>
  <c r="S509" i="17"/>
  <c r="B541" i="17" s="1"/>
  <c r="S482" i="17"/>
  <c r="B515" i="17" s="1"/>
  <c r="S479" i="17"/>
  <c r="B512" i="17" s="1"/>
  <c r="S492" i="17"/>
  <c r="B525" i="17" s="1"/>
  <c r="S489" i="17"/>
  <c r="B522" i="17" s="1"/>
  <c r="S485" i="17"/>
  <c r="B518" i="17" s="1"/>
  <c r="S495" i="17"/>
  <c r="B528" i="17" s="1"/>
  <c r="S481" i="17"/>
  <c r="B514" i="17" s="1"/>
  <c r="S483" i="17"/>
  <c r="B516" i="17" s="1"/>
  <c r="I516" i="17" s="1"/>
  <c r="S503" i="17"/>
  <c r="S487" i="17"/>
  <c r="B520" i="17" s="1"/>
  <c r="S480" i="17"/>
  <c r="B513" i="17" s="1"/>
  <c r="S493" i="17"/>
  <c r="B526" i="17" s="1"/>
  <c r="B537" i="17"/>
  <c r="S491" i="17"/>
  <c r="B524" i="17" s="1"/>
  <c r="S490" i="17"/>
  <c r="B523" i="17" s="1"/>
  <c r="S477" i="17"/>
  <c r="B510" i="17" s="1"/>
  <c r="S502" i="17"/>
  <c r="S510" i="17"/>
  <c r="B542" i="17" s="1"/>
  <c r="S484" i="17"/>
  <c r="B517" i="17" s="1"/>
  <c r="B535" i="17" l="1"/>
  <c r="Z502" i="17"/>
  <c r="B536" i="17"/>
  <c r="Z503" i="17"/>
  <c r="D1088" i="13"/>
  <c r="B34" i="12" s="1"/>
  <c r="B358" i="12" l="1"/>
  <c r="F34" i="12"/>
  <c r="S518" i="17"/>
  <c r="A41" i="12" s="1"/>
  <c r="A536" i="12" s="1"/>
  <c r="B94" i="12"/>
  <c r="F96" i="12" s="1"/>
  <c r="B254" i="12"/>
  <c r="I1123" i="13"/>
  <c r="A1123" i="13" s="1"/>
  <c r="I1124" i="13"/>
  <c r="A1124" i="13" s="1"/>
  <c r="I1115" i="13"/>
  <c r="A1115" i="13" s="1"/>
  <c r="I1099" i="13"/>
  <c r="A1099" i="13" s="1"/>
  <c r="I1113" i="13"/>
  <c r="A1113" i="13" s="1"/>
  <c r="I1104" i="13"/>
  <c r="A1104" i="13" s="1"/>
  <c r="I1132" i="13"/>
  <c r="A1132" i="13" s="1"/>
  <c r="I1112" i="13"/>
  <c r="A1112" i="13" s="1"/>
  <c r="I1130" i="13"/>
  <c r="A1130" i="13" s="1"/>
  <c r="I1110" i="13"/>
  <c r="A1110" i="13" s="1"/>
  <c r="I1098" i="13"/>
  <c r="A1098" i="13" s="1"/>
  <c r="I1131" i="13"/>
  <c r="A1131" i="13" s="1"/>
  <c r="I1128" i="13"/>
  <c r="A1128" i="13" s="1"/>
  <c r="I1134" i="13"/>
  <c r="A1134" i="13" s="1"/>
  <c r="I1102" i="13"/>
  <c r="A1102" i="13" s="1"/>
  <c r="I1117" i="13"/>
  <c r="A1117" i="13" s="1"/>
  <c r="I1121" i="13"/>
  <c r="A1121" i="13" s="1"/>
  <c r="I1111" i="13"/>
  <c r="A1111" i="13" s="1"/>
  <c r="I1108" i="13"/>
  <c r="A1108" i="13" s="1"/>
  <c r="I1118" i="13"/>
  <c r="A1118" i="13" s="1"/>
  <c r="I1122" i="13"/>
  <c r="A1122" i="13" s="1"/>
  <c r="I1116" i="13"/>
  <c r="A1116" i="13" s="1"/>
  <c r="I1127" i="13"/>
  <c r="A1127" i="13" s="1"/>
  <c r="I1101" i="13"/>
  <c r="A1101" i="13" s="1"/>
  <c r="I1120" i="13"/>
  <c r="A1120" i="13" s="1"/>
  <c r="I1100" i="13"/>
  <c r="A1100" i="13" s="1"/>
  <c r="I1103" i="13"/>
  <c r="A1103" i="13" s="1"/>
  <c r="I1119" i="13"/>
  <c r="A1119" i="13" s="1"/>
  <c r="I1107" i="13"/>
  <c r="A1107" i="13" s="1"/>
  <c r="I1105" i="13"/>
  <c r="A1105" i="13" s="1"/>
  <c r="I1125" i="13"/>
  <c r="A1125" i="13" s="1"/>
  <c r="I1126" i="13"/>
  <c r="A1126" i="13" s="1"/>
  <c r="I1097" i="13"/>
  <c r="A1097" i="13" s="1"/>
  <c r="I1114" i="13"/>
  <c r="A1114" i="13" s="1"/>
  <c r="I1129" i="13"/>
  <c r="A1129" i="13" s="1"/>
  <c r="I1133" i="13"/>
  <c r="A1133" i="13" s="1"/>
  <c r="I1109" i="13"/>
  <c r="A1109" i="13" s="1"/>
  <c r="I1106" i="13"/>
  <c r="A1106" i="13" s="1"/>
  <c r="B463" i="12" l="1"/>
  <c r="J2" i="17"/>
  <c r="C6" i="12"/>
  <c r="B357" i="12"/>
  <c r="H358" i="12" s="1"/>
  <c r="F94" i="12"/>
  <c r="J1137" i="13"/>
  <c r="E1" i="1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tc={E88B5DD5-60B8-4236-81B6-556480C8482F}</author>
    <author>tc={06049701-F830-44AA-9351-0FF8C601F8B0}</author>
    <author>tc={2F3093D7-D79A-47BC-8104-486626850863}</author>
    <author>tc={A03A91DC-CB3F-4457-B718-A10F093A73E0}</author>
  </authors>
  <commentList>
    <comment ref="B121" authorId="0" shapeId="0" xr:uid="{E88B5DD5-60B8-4236-81B6-556480C8482F}">
      <text>
        <t>[Témakörökbe rendezett megjegyzés]
Ebben az Excel-verzióban olvasni tudja ezt a témakörökbe rendezett megjegyzést, ha viszont újabb Excel-verzióban nyitja meg a fájlt, eltávolítjuk a módosításait a megjegyzésből. További információ: https://go.microsoft.com/fwlink/?linkid=870924
Megjegyzés:
    Csak akkor írd felül, ha nincs TAJ száma a páciensnek!</t>
      </text>
    </comment>
    <comment ref="F121" authorId="1" shapeId="0" xr:uid="{06049701-F830-44AA-9351-0FF8C601F8B0}">
      <text>
        <t>[Témakörökbe rendezett megjegyzés]
Ebben az Excel-verzióban olvasni tudja ezt a témakörökbe rendezett megjegyzést, ha viszont újabb Excel-verzióban nyitja meg a fájlt, eltávolítjuk a módosításait a megjegyzésből. További információ: https://go.microsoft.com/fwlink/?linkid=870924
Megjegyzés:
    Csak akkor írd felül, ha nincs TAJ száma a páciensnek!</t>
      </text>
    </comment>
    <comment ref="B208" authorId="2" shapeId="0" xr:uid="{2F3093D7-D79A-47BC-8104-486626850863}">
      <text>
        <t>[Témakörökbe rendezett megjegyzés]
Ebben az Excel-verzióban olvasni tudja ezt a témakörökbe rendezett megjegyzést, ha viszont újabb Excel-verzióban nyitja meg a fájlt, eltávolítjuk a módosításait a megjegyzésből. További információ: https://go.microsoft.com/fwlink/?linkid=870924
Megjegyzés:
    Csak akkor írd felül, ha nincs TAJ száma a páciensnek!</t>
      </text>
    </comment>
    <comment ref="F208" authorId="3" shapeId="0" xr:uid="{A03A91DC-CB3F-4457-B718-A10F093A73E0}">
      <text>
        <t>[Témakörökbe rendezett megjegyzés]
Ebben az Excel-verzióban olvasni tudja ezt a témakörökbe rendezett megjegyzést, ha viszont újabb Excel-verzióban nyitja meg a fájlt, eltávolítjuk a módosításait a megjegyzésből. További információ: https://go.microsoft.com/fwlink/?linkid=870924
Megjegyzés:
    Csak akkor írd felül, ha nincs TAJ száma a páciensnek!</t>
      </text>
    </comment>
  </commentList>
</comments>
</file>

<file path=xl/sharedStrings.xml><?xml version="1.0" encoding="utf-8"?>
<sst xmlns="http://schemas.openxmlformats.org/spreadsheetml/2006/main" count="18326" uniqueCount="6167">
  <si>
    <t>Elkészülési idő</t>
  </si>
  <si>
    <t>Vérkép</t>
  </si>
  <si>
    <t>Hematológia</t>
  </si>
  <si>
    <t>Retikulocita</t>
  </si>
  <si>
    <t>Vörösvérsejt süllyedés</t>
  </si>
  <si>
    <t>Protrombin (INR)</t>
  </si>
  <si>
    <t>Hemosztázis</t>
  </si>
  <si>
    <t>Aktivált parciális tromboplasztin idő (APTI)</t>
  </si>
  <si>
    <t>Trombin idő</t>
  </si>
  <si>
    <t>Fibrinogén</t>
  </si>
  <si>
    <t>D-dimer</t>
  </si>
  <si>
    <t>Glükóz</t>
  </si>
  <si>
    <t>Klinikai kémia</t>
  </si>
  <si>
    <t>GOT (ASAT)</t>
  </si>
  <si>
    <t>GPT (ALAT)</t>
  </si>
  <si>
    <t>Gamma GT (GGT)</t>
  </si>
  <si>
    <t>Totál bilirubin</t>
  </si>
  <si>
    <t>Direkt bilirubin</t>
  </si>
  <si>
    <t>Alkalikus foszfatáz</t>
  </si>
  <si>
    <t>Karbamid</t>
  </si>
  <si>
    <t>Kreatinin</t>
  </si>
  <si>
    <t>Nátrium (Na)</t>
  </si>
  <si>
    <t>Kálium (K)</t>
  </si>
  <si>
    <t>Klorid (Cl)</t>
  </si>
  <si>
    <t>Magnézium (Mg)</t>
  </si>
  <si>
    <t>Összfehérje</t>
  </si>
  <si>
    <t>Albumin</t>
  </si>
  <si>
    <t>Húgysav</t>
  </si>
  <si>
    <t>C reaktív protein (CRP)</t>
  </si>
  <si>
    <t>Vas (Fe)</t>
  </si>
  <si>
    <t>Transzferrin</t>
  </si>
  <si>
    <t>Ferritin</t>
  </si>
  <si>
    <t>Koleszterin</t>
  </si>
  <si>
    <t>Trigliceridek</t>
  </si>
  <si>
    <t>HDL-koleszterin</t>
  </si>
  <si>
    <t>LDL-koleszterin</t>
  </si>
  <si>
    <t>Laktát-dehidrogenáz (LDH)</t>
  </si>
  <si>
    <t>Kreatin-kináz (CK)</t>
  </si>
  <si>
    <t>Amiláz</t>
  </si>
  <si>
    <t>Lipáz</t>
  </si>
  <si>
    <t>B12 vitamin</t>
  </si>
  <si>
    <t>Folsav</t>
  </si>
  <si>
    <t>Pszeudo-kolinészteráz</t>
  </si>
  <si>
    <t>Cink (Zn)</t>
  </si>
  <si>
    <t>Réz (Cu) szérumból</t>
  </si>
  <si>
    <t>Hemoglobin A1c (HbA1c)</t>
  </si>
  <si>
    <t>Fruktózamin</t>
  </si>
  <si>
    <t>Cöruloplazmin</t>
  </si>
  <si>
    <t>Homocisztein</t>
  </si>
  <si>
    <t>Lítium (Li)</t>
  </si>
  <si>
    <t>Karbamazepin</t>
  </si>
  <si>
    <t>D-vitamin (25OH)</t>
  </si>
  <si>
    <t>Endokrinológia</t>
  </si>
  <si>
    <t>Inzulin</t>
  </si>
  <si>
    <t>TSH</t>
  </si>
  <si>
    <t>Szabad T4 (fT4)</t>
  </si>
  <si>
    <t>Szabad T3 (fT3)</t>
  </si>
  <si>
    <t>Anti-TPO</t>
  </si>
  <si>
    <t>Anti-tireoglobulin (anti-TG)</t>
  </si>
  <si>
    <t>Tireoglobulin</t>
  </si>
  <si>
    <t>Reverz T3 (rT3)</t>
  </si>
  <si>
    <t>Parathormon (PTH)</t>
  </si>
  <si>
    <t>Kalcitonin</t>
  </si>
  <si>
    <t>Follikulus stimuláló hormon (FSH)</t>
  </si>
  <si>
    <t>Luteinizáló hormon (LH)</t>
  </si>
  <si>
    <t>Progeszteron</t>
  </si>
  <si>
    <t>Prolaktin</t>
  </si>
  <si>
    <t>Ösztradiol (E2)</t>
  </si>
  <si>
    <t>17-OH progeszteron</t>
  </si>
  <si>
    <t>Totál tesztoszteron</t>
  </si>
  <si>
    <t>DHEA-szulfát (DHEAS)</t>
  </si>
  <si>
    <t>SHBG</t>
  </si>
  <si>
    <t>Anti-Müllerian hormon (AMH)</t>
  </si>
  <si>
    <t>hCG (humán korion-gonadotropin)</t>
  </si>
  <si>
    <t>Kortizol (szérum)</t>
  </si>
  <si>
    <t>ACTH</t>
  </si>
  <si>
    <t>Aldoszteron</t>
  </si>
  <si>
    <t>Androsztendion</t>
  </si>
  <si>
    <t>Renin</t>
  </si>
  <si>
    <t>Növekedési hormon (hGH)</t>
  </si>
  <si>
    <t>Inzulinszerű növekedési faktor (IGF-1)</t>
  </si>
  <si>
    <t>C-peptid</t>
  </si>
  <si>
    <t>Oszteokalcin</t>
  </si>
  <si>
    <t>Béta-crosslaps (kollagén keresztkötés)</t>
  </si>
  <si>
    <t>Gasztrin</t>
  </si>
  <si>
    <t>Kortizol (nyál)</t>
  </si>
  <si>
    <t>Szabad és biológiailag aktív tesztoszteron (totál tesztoszteron, SHBG, albumin méréssel együtt)</t>
  </si>
  <si>
    <t>Anti-streptolizin O (ASO)</t>
  </si>
  <si>
    <t>Immunológia</t>
  </si>
  <si>
    <t>Reuma faktor (RF)</t>
  </si>
  <si>
    <t>IgG</t>
  </si>
  <si>
    <t>IgA</t>
  </si>
  <si>
    <t>IgM</t>
  </si>
  <si>
    <t>Anti-CCP (anti-filaggrin)</t>
  </si>
  <si>
    <t>TSH receptor elleni antitest (TRAK)</t>
  </si>
  <si>
    <t>Cöliákia szűrés (tTg IgA, tTg IgG)</t>
  </si>
  <si>
    <t>ENA panel (ELISA)</t>
  </si>
  <si>
    <t>Hiszton elleni antitest</t>
  </si>
  <si>
    <t>Glutamát-dekarboxiláz (GAD) elleni antitest</t>
  </si>
  <si>
    <t>Pankreász szigetsejt elleni antitest (ICA)</t>
  </si>
  <si>
    <t>Szérum elektroforézis (ELFO)</t>
  </si>
  <si>
    <t>Triptáz</t>
  </si>
  <si>
    <t>CEA</t>
  </si>
  <si>
    <t>Tumormarkerek</t>
  </si>
  <si>
    <t>Prosztata specifikus antigén (PSA)</t>
  </si>
  <si>
    <t>Szabad PSA (fPSA)</t>
  </si>
  <si>
    <t>CA 125</t>
  </si>
  <si>
    <t>CA 19-9</t>
  </si>
  <si>
    <t>CA 15-3</t>
  </si>
  <si>
    <t>CA 72-4</t>
  </si>
  <si>
    <t>Alfa-fötoprotein (AFP)</t>
  </si>
  <si>
    <t>Neuronspecifikus enoláz (NSE)</t>
  </si>
  <si>
    <t>Cyfra 21-1</t>
  </si>
  <si>
    <t>S100 protein</t>
  </si>
  <si>
    <t>Szöveti polipeptid antigén (TPA)</t>
  </si>
  <si>
    <t>Béta-2-mikroglobulin</t>
  </si>
  <si>
    <t>Kromogranin A</t>
  </si>
  <si>
    <t>HE4 + CA 125 ROMA score számítással</t>
  </si>
  <si>
    <t>Vércsoport és ellenanyagszűrés</t>
  </si>
  <si>
    <t>Vércsoport szerológia</t>
  </si>
  <si>
    <t>Teljes vizelet (általános és üledék)</t>
  </si>
  <si>
    <t>Vizeletvizsgálatok</t>
  </si>
  <si>
    <t>Vizelet fehérje</t>
  </si>
  <si>
    <t>Vizelet mikroalbumin</t>
  </si>
  <si>
    <t>Vizelet glükóz</t>
  </si>
  <si>
    <t>Vizelet foszfát</t>
  </si>
  <si>
    <t>Vizelet karbamid</t>
  </si>
  <si>
    <t>Vizelet kreatinin</t>
  </si>
  <si>
    <t>Vizelet húgysav</t>
  </si>
  <si>
    <t>Vizelet amiláz</t>
  </si>
  <si>
    <t>Vizelet kálium</t>
  </si>
  <si>
    <t>Vizelet klorid</t>
  </si>
  <si>
    <t>Vizelet nátrium</t>
  </si>
  <si>
    <t>Vizelet fehérje (gyűjtött vizeletből)</t>
  </si>
  <si>
    <t>Vizelet mikroalbumin (gyűjtött vizeletből)</t>
  </si>
  <si>
    <t>Vizelet glükóz (gyűjtött vizeletből)</t>
  </si>
  <si>
    <t>Vizelet foszfát (gyűjtött vizeletből)</t>
  </si>
  <si>
    <t>Vizelet karbamid (gyűjtött vizeletből)</t>
  </si>
  <si>
    <t>Vizelet kreatinin (gyűjtött vizeletből)</t>
  </si>
  <si>
    <t>Vizelet húgysav (gyűjtött vizeletből)</t>
  </si>
  <si>
    <t>Vizelet magnézium (gyűjtött vizeletből)</t>
  </si>
  <si>
    <t>Vizelet nátrium (gyűjtött vizeletből)</t>
  </si>
  <si>
    <t>Vizelet kálium (gyűjtött vizeletből)</t>
  </si>
  <si>
    <t>Vizelet klorid (gyűjtött vizeletből)</t>
  </si>
  <si>
    <t>Totál IgE</t>
  </si>
  <si>
    <t>Fertőzés Szerológia</t>
  </si>
  <si>
    <t>Hepatitis B vírus s. antigén (HBsAg)</t>
  </si>
  <si>
    <t>Anti-HBs antitest</t>
  </si>
  <si>
    <t>Anti-HBc IgM antitest</t>
  </si>
  <si>
    <t>HIV-1,2 elleni antitestek, HIV 1 antigén</t>
  </si>
  <si>
    <t>Epstein-Barr vírus (EBV) elleni antitestek (IgM, VCA IgG, EBNA IgG)</t>
  </si>
  <si>
    <t>Herpes simplex vírus (HSV) 1,2 elleni antitestek (IgG, IgM)</t>
  </si>
  <si>
    <t>Cytomegalovírus (CMV) elleni antitestek (IgG, IgM)</t>
  </si>
  <si>
    <t>Toxoplasma gondii elleni antitestek (IgG, IgM)</t>
  </si>
  <si>
    <t>Varicella-zoster vírus elleni antitest (IgG)</t>
  </si>
  <si>
    <t>Rubeola vírus elleni antitestek (IgG, IgM)</t>
  </si>
  <si>
    <t>Helicobacter pylori elleni antitest (IgG)</t>
  </si>
  <si>
    <t>RPR, TPHA (szifilisz szerológia)</t>
  </si>
  <si>
    <t>Mikrobiológia</t>
  </si>
  <si>
    <t>Calicivírus/Norovírus antigén kimutatása székletből</t>
  </si>
  <si>
    <t>Helicobacter pylori antigén kimutatása székletből</t>
  </si>
  <si>
    <t>Protozoon kimutatása székletből (Giardia, Entamoeba, Cryptosporidium)</t>
  </si>
  <si>
    <t>Rotavírus/Adenovírus antigén kimutatása székletből</t>
  </si>
  <si>
    <t>Streptococcus pneumoniae kimutatása vizeletből</t>
  </si>
  <si>
    <t>Molekuláris mikrobiológia</t>
  </si>
  <si>
    <t>Chlamydia trachomatis PCR</t>
  </si>
  <si>
    <t>Neisseria gonorrhoeae PCR</t>
  </si>
  <si>
    <t>Molekuláris genetika</t>
  </si>
  <si>
    <t>MTHFR C677T mutáció</t>
  </si>
  <si>
    <t>Székletvizsgálatok</t>
  </si>
  <si>
    <t>Kalprotektin</t>
  </si>
  <si>
    <t>APC-rezisztencia</t>
  </si>
  <si>
    <t>Protein S aktivitás</t>
  </si>
  <si>
    <t>Protein C aktivitás</t>
  </si>
  <si>
    <t>Antitrombin III</t>
  </si>
  <si>
    <t>Lupusz antikoaguláns</t>
  </si>
  <si>
    <t>12. heti szűrés kockázatelemzéssel (szabad béta-hCG, PAPP-A)</t>
  </si>
  <si>
    <t>Magzati kockázatelemzés</t>
  </si>
  <si>
    <t>gyógyszerszint</t>
  </si>
  <si>
    <t>1,25-dihidroxi-D3 vitamin</t>
  </si>
  <si>
    <t>Vitaminok, nyomelemek</t>
  </si>
  <si>
    <t>5-HIAA (vizelet)</t>
  </si>
  <si>
    <t>Endotél elleni antitest</t>
  </si>
  <si>
    <t>Mellékvesekéreg elleni antitest</t>
  </si>
  <si>
    <t>Spermium elleni antitest</t>
  </si>
  <si>
    <t>Apolipoprotein A1</t>
  </si>
  <si>
    <t>Apolipoprotein A2</t>
  </si>
  <si>
    <t>Apolipoprotein B</t>
  </si>
  <si>
    <t>Ólom</t>
  </si>
  <si>
    <t>C1-észteráz inhibitor aktivitás</t>
  </si>
  <si>
    <t>C1-észteráz inhibitor koncentráció</t>
  </si>
  <si>
    <t>CT-pro-ADH (kopeptin)</t>
  </si>
  <si>
    <t>Hisztamin intolerancia (DAO)</t>
  </si>
  <si>
    <t>Epesav (széklet)</t>
  </si>
  <si>
    <t>Hisztamin</t>
  </si>
  <si>
    <t>Jód</t>
  </si>
  <si>
    <t>Leptin</t>
  </si>
  <si>
    <t>Lipid protein profil (LIPODENS)</t>
  </si>
  <si>
    <t>Lipoprotein (a)</t>
  </si>
  <si>
    <t>Omega-zsírsav profil</t>
  </si>
  <si>
    <t>Pankreász specifikus elasztáz (szérum)</t>
  </si>
  <si>
    <t>Pankreász specifikus elasztáz (széklet)</t>
  </si>
  <si>
    <t>SCC</t>
  </si>
  <si>
    <t>Szelén</t>
  </si>
  <si>
    <t>Szérum Amiloid A (SAA)</t>
  </si>
  <si>
    <t>Zonulin (széklet)</t>
  </si>
  <si>
    <t>Interleukin-6 (IL-6)</t>
  </si>
  <si>
    <t>CK-MB koncentráció</t>
  </si>
  <si>
    <t>Sarjadzó gomba tenyésztése bakteriológia nélkül</t>
  </si>
  <si>
    <t>Széklet munkaalkalmassági vizsgálata</t>
  </si>
  <si>
    <t>B csoportú Streptococcus szűrő és rezisztencia vizsgálat</t>
  </si>
  <si>
    <t>Clostridium difficile AG és toxin kimutatása székletből</t>
  </si>
  <si>
    <t>Legionella antigén kimutatása vizeletmintából</t>
  </si>
  <si>
    <t>Laktóz-intolerancia (LCT 13910 C/T)</t>
  </si>
  <si>
    <t>Baktérium tenyésztés és rezisztencia vizsgálat (aerob+anaerob)</t>
  </si>
  <si>
    <t>MRSA szűrővizsgálat</t>
  </si>
  <si>
    <t>Trichomonas vaginalis PCR</t>
  </si>
  <si>
    <t>Makroprolaktin</t>
  </si>
  <si>
    <t>IgG alosztályok (IgG1, IgG2, IgG3, IgG4)</t>
  </si>
  <si>
    <t xml:space="preserve">C reaktív protein ultraszenzitív (hsCRP) </t>
  </si>
  <si>
    <t>Morbilli (kanyaró) elleni antitest (IgG)</t>
  </si>
  <si>
    <t>ASCA IgG</t>
  </si>
  <si>
    <t>ASCA IgA</t>
  </si>
  <si>
    <t>ANCA profil (MPO, PR-3, elasztáz, laktoferrin, BPI, katepszin G)</t>
  </si>
  <si>
    <t>Annexin V IgG autoantitest</t>
  </si>
  <si>
    <t>Annexin V IgM autoantitest</t>
  </si>
  <si>
    <t>C3 komplement faktor</t>
  </si>
  <si>
    <t>C4 komplement faktor</t>
  </si>
  <si>
    <t>Celluláris immun státusz</t>
  </si>
  <si>
    <t>Celluláris immun státusz és NK funkció</t>
  </si>
  <si>
    <t>TH1-TH2 citokin dominancia</t>
  </si>
  <si>
    <t>Foszfatidilszerin IgG autoantitest</t>
  </si>
  <si>
    <t>Foszfatidilszerin IgM autoantitest</t>
  </si>
  <si>
    <t>Inzulin elleni antitest</t>
  </si>
  <si>
    <t>Protrombin elleni antitest</t>
  </si>
  <si>
    <t>Immunfixáció (paraprotein kimutatás)</t>
  </si>
  <si>
    <t>Szövet specifikus autoantitestek (mitokondrium, simaizom, parietális sejt, LKM és retikulin elleni antitestek)</t>
  </si>
  <si>
    <t>Endomízium elleni antitestek (EMA) IgA/IgG</t>
  </si>
  <si>
    <t>Melatonin</t>
  </si>
  <si>
    <t>Haptoglobin</t>
  </si>
  <si>
    <t>Digoxin</t>
  </si>
  <si>
    <t>Valproinsav</t>
  </si>
  <si>
    <t>Cink (szeminális plazma)</t>
  </si>
  <si>
    <t>ANCA (MPO és PR-3)</t>
  </si>
  <si>
    <t>Koenzim Q10</t>
  </si>
  <si>
    <t>CK-izoenzimek</t>
  </si>
  <si>
    <t>dsDNS elleni antitest</t>
  </si>
  <si>
    <t>Anti-Xa (LMW-Heparin)</t>
  </si>
  <si>
    <t>Anti-foszfolipid antitestek (kardiolipin és B2-GPI IgG, IgM)</t>
  </si>
  <si>
    <t>Anémia pernicióza panel</t>
  </si>
  <si>
    <t>Autoimmun bőrbetegségek autoantitestjei</t>
  </si>
  <si>
    <t>Féregpete kimutatás mikroszkópos vizsgálattal</t>
  </si>
  <si>
    <t>Intrinzik faktor elleni antitest</t>
  </si>
  <si>
    <t>Teljes panel - 295 allergén</t>
  </si>
  <si>
    <t>1-2</t>
  </si>
  <si>
    <t>Szérum ozmolalitás</t>
  </si>
  <si>
    <t>Dió (rJug r1, rJug r3)</t>
  </si>
  <si>
    <t>Földimogyoró (rAra h1, rAra h2, rAra h3, rAra h8, rAra h9, rBet v1, nMux f3)</t>
  </si>
  <si>
    <t>Mogyoró (rCor a14, rCor a1, rCor a8, rCor a9)</t>
  </si>
  <si>
    <t>Szójabab (rGly m4, nGly m5, nGly m6)</t>
  </si>
  <si>
    <t>Bromelain - CCD marker nMUX F3</t>
  </si>
  <si>
    <t>Nyírfa (PR-10-Protein, Profilin és polcalcin, rBet v6)</t>
  </si>
  <si>
    <t>Parlagfű (Pektát-liáz)</t>
  </si>
  <si>
    <t>Búza (rTri a14, Omega-5-gliadin, Alfa-, béta-, gamma-, omega-gliadin)</t>
  </si>
  <si>
    <t>Tehéntej (Alfa-laktalbumin, Béta-laktoglobulin, Kazein)</t>
  </si>
  <si>
    <t>Tojásfehérje (Ovomucoid, Ovalbumin, Conalbumin)</t>
  </si>
  <si>
    <t>M2-PK (plazma)</t>
  </si>
  <si>
    <t>CA 50</t>
  </si>
  <si>
    <t>Kalcium (Ca)</t>
  </si>
  <si>
    <t>Foszfát (P)</t>
  </si>
  <si>
    <t>Troponin-I (hs-cTnI)</t>
  </si>
  <si>
    <t>Allergiapanel, rovarok - 4 allergén</t>
  </si>
  <si>
    <t>Inhalatív allergiapanel, állatok - 9 allergén</t>
  </si>
  <si>
    <t>Nutritív allergiapanel, húsok - 9 allergén</t>
  </si>
  <si>
    <t>Inhalatív allergiapanel, penész és por - 9 allergén</t>
  </si>
  <si>
    <t>Parvovírus B19 elleni antitest (IgM)</t>
  </si>
  <si>
    <t>Neisseria gonorrhoeae tenyésztés genitális váladékból rezisztenciával</t>
  </si>
  <si>
    <t>Parvovírus B19 elleni antitest (IgG)</t>
  </si>
  <si>
    <t xml:space="preserve">Körömkaparék gomba vizsgálata: sarjadzó és fonalas gombák tenyésztése </t>
  </si>
  <si>
    <t>Baktérium tenyésztés és rezisztencia vizsgálat (aerob+gomba)</t>
  </si>
  <si>
    <t>Aquaporin-4 elleni antitest</t>
  </si>
  <si>
    <t>Onkoneuronális antitestek</t>
  </si>
  <si>
    <t>Acetilkolin receptor elleni antitest</t>
  </si>
  <si>
    <t>Anti-MuSK antitest</t>
  </si>
  <si>
    <t>Petefészek szteroidtermelő sejtjei elleni antitest</t>
  </si>
  <si>
    <t>Prokalcitonin</t>
  </si>
  <si>
    <t>Faktor V (FV) / Leiden mutáció</t>
  </si>
  <si>
    <t>MTHFR A1298C mutáció</t>
  </si>
  <si>
    <t>Y-kromoszóma mikrodeléció</t>
  </si>
  <si>
    <t>CFTR gén 36 leggyakoribb (hot-spot) mutációja</t>
  </si>
  <si>
    <t>Wilson-kór - H1069Q mutáció</t>
  </si>
  <si>
    <t>Gardnerella vaginalis/Atopobium vaginae PCR</t>
  </si>
  <si>
    <t>Vizelet kalcium</t>
  </si>
  <si>
    <t>Vizelet kalcium (gyűjtött vizeletből)</t>
  </si>
  <si>
    <t>Csontspecifikus alkalikus foszfatáz (BAP)</t>
  </si>
  <si>
    <t>Eritropoetin</t>
  </si>
  <si>
    <t>Szolubilis transzferrin receptor</t>
  </si>
  <si>
    <t>Cisztatin C</t>
  </si>
  <si>
    <t>Faktor VIII</t>
  </si>
  <si>
    <t>Adiponektin</t>
  </si>
  <si>
    <t>Dihidro-tesztoszteron</t>
  </si>
  <si>
    <t>Inhibin B</t>
  </si>
  <si>
    <t>Szerotonin</t>
  </si>
  <si>
    <t>M2-PK</t>
  </si>
  <si>
    <t>Anti C 1 q antitest</t>
  </si>
  <si>
    <t>Epidermális bazálmembrán elleni antitest</t>
  </si>
  <si>
    <t>Harántcsíkolt izom elleni antitest</t>
  </si>
  <si>
    <t>TNF-alfa</t>
  </si>
  <si>
    <t>B1 vitamin</t>
  </si>
  <si>
    <t>B2 vitamin</t>
  </si>
  <si>
    <t>B3 vitamin</t>
  </si>
  <si>
    <t>B5 vitamin</t>
  </si>
  <si>
    <t>B6 vitamin</t>
  </si>
  <si>
    <t>C-vitamin</t>
  </si>
  <si>
    <t>E vitamin</t>
  </si>
  <si>
    <t>H vitamin</t>
  </si>
  <si>
    <t>K vitamin</t>
  </si>
  <si>
    <t>A vitamin</t>
  </si>
  <si>
    <t>Protrombin gén (FII) G20210 mutáció</t>
  </si>
  <si>
    <t>ANA (antinukleáris antitest) ELISA</t>
  </si>
  <si>
    <t>ANA (antinukleáris antitest) Hep-2</t>
  </si>
  <si>
    <t>Ciklosporin A</t>
  </si>
  <si>
    <t>HPV Quant-21 PCR (21 genotípus DNS alapú kimutatása kópiaszám meghatározással)</t>
  </si>
  <si>
    <t>Treponema pallidum PCR</t>
  </si>
  <si>
    <t>Ureaplasma Complex PCR</t>
  </si>
  <si>
    <t>Mycoplasma hominis PCR</t>
  </si>
  <si>
    <t>Herpes simplex (HSV) PCR</t>
  </si>
  <si>
    <t>Allergia</t>
  </si>
  <si>
    <t>Intolerancia</t>
  </si>
  <si>
    <t>Táplálékintolerancia (IgG) panel (220) - Ingyenes dietetikai tanácsadással</t>
  </si>
  <si>
    <t>von Willebrand faktor antigén (vWF Ag)</t>
  </si>
  <si>
    <t>Faktor XIII</t>
  </si>
  <si>
    <t>Foszfatidilinozitol elleni antitest (IgG)</t>
  </si>
  <si>
    <t>Foszfatidilinozitol elleni antitest (IgM)</t>
  </si>
  <si>
    <t>Szabad protein S antigén</t>
  </si>
  <si>
    <t>Toxocara elleni antitest</t>
  </si>
  <si>
    <t>von Willebrand faktor multimer analízis</t>
  </si>
  <si>
    <t>Őszibarack (rPru p1, rPru p3, rPru p4)</t>
  </si>
  <si>
    <t>Alma (rMal d1, rMal d3)</t>
  </si>
  <si>
    <t>Aminosav differenciálás</t>
  </si>
  <si>
    <t>Fenilalanin</t>
  </si>
  <si>
    <t>Táplálékintolerancia (IgG) panel (46 tápanyag)</t>
  </si>
  <si>
    <t>IA-2 antitest (tirozinfoszfatáz elleni antitest)</t>
  </si>
  <si>
    <t>Táplálékintolerancia (IgG) panel (108 tápanyag)</t>
  </si>
  <si>
    <t>Inhalatív allergiapanel, pollenek - 19 allergén</t>
  </si>
  <si>
    <t>Nutritív allergiapanel - 26 allergén</t>
  </si>
  <si>
    <t>Speciális allergia LTT teszt fogászati fémekre, kerámiára és cementre</t>
  </si>
  <si>
    <t>LTT titánötvözetekre</t>
  </si>
  <si>
    <t>LTT fémekre</t>
  </si>
  <si>
    <t>3</t>
  </si>
  <si>
    <t>2-4</t>
  </si>
  <si>
    <t>2-6</t>
  </si>
  <si>
    <t>Inhalatív allergiapanel - teljes, 37 allergén</t>
  </si>
  <si>
    <t>Hepatitis B vírus e. antigén (HBeAg)</t>
  </si>
  <si>
    <t>Anti-HBe antitest</t>
  </si>
  <si>
    <t>ANA profil IgG (immunoblot, 18 paraméter)</t>
  </si>
  <si>
    <t>Dopamin</t>
  </si>
  <si>
    <t>Holo-transzkobalamin (aktív B12 vitamin)</t>
  </si>
  <si>
    <t>HLA B27</t>
  </si>
  <si>
    <t>Nutritív allergiapanel - teljes, 34 allergén</t>
  </si>
  <si>
    <t>Cöliákia genetikai vizsgálata</t>
  </si>
  <si>
    <t>5-15</t>
  </si>
  <si>
    <t>Vesekő-analízis</t>
  </si>
  <si>
    <t>1</t>
  </si>
  <si>
    <t>Epesav</t>
  </si>
  <si>
    <t>Rubeola védettség (IgG)</t>
  </si>
  <si>
    <t>Trombózis mutáció panel (3)</t>
  </si>
  <si>
    <t>Trombózis mutáció panel (4)</t>
  </si>
  <si>
    <t>Vegyes allergiapanel - 20 allergén</t>
  </si>
  <si>
    <t>Parvovírus B19 elleni antitestek (IgG, IgM)</t>
  </si>
  <si>
    <t>TORCH csomag (teljes): CMV, HSV, Rubeola, Toxoplasma, Parvovírus, VZV, Treponema</t>
  </si>
  <si>
    <t>TORCH csomag (alap): CMV, HSV, Rubeola, Toxoplasma</t>
  </si>
  <si>
    <t xml:space="preserve">Hepatitis B vírus (HBV) csomag: HBsAg, anti-HBs, anti-HBc </t>
  </si>
  <si>
    <t>Borrelia antitestek (IgG, IgM) - reaktivitás esetén megerősítés Immunoblottal</t>
  </si>
  <si>
    <t>Hepatitis A vírus elleni antitestek (összellenanyag) reaktivitás esetén IgM meghatározásIgM)</t>
  </si>
  <si>
    <t>SARS-CoV-2 IgG (S1) antitest</t>
  </si>
  <si>
    <t>Anti-HBs antitest + HBsAg</t>
  </si>
  <si>
    <t>Széklet bakteriológiai tenyésztése (Salmonella, Shigella, Yersinia, Campylobacter, E. coli)</t>
  </si>
  <si>
    <t>Alfa1-antitripszin</t>
  </si>
  <si>
    <t>NT-proBNP</t>
  </si>
  <si>
    <t>Chlamydia pneumoniae elleni antitestek</t>
  </si>
  <si>
    <t>Chlamydia trachomatis elleni antitestek</t>
  </si>
  <si>
    <t>Deamidált gliadin elleni antitest (IgA)</t>
  </si>
  <si>
    <t>Deamidált gliadin elleni antitest (IgG)</t>
  </si>
  <si>
    <t>Varicella-zoster vírus elleni antitestek (IgG, IgM)</t>
  </si>
  <si>
    <t>Glutation reduktáz</t>
  </si>
  <si>
    <t>Vizelet réz ürítés</t>
  </si>
  <si>
    <t>Bone Trap 5b</t>
  </si>
  <si>
    <t>Adrenalin</t>
  </si>
  <si>
    <t>Katekolaminok vérből (adrenalin, noradrenalin, dopamin)</t>
  </si>
  <si>
    <t>Noradrenalin</t>
  </si>
  <si>
    <t>CH50</t>
  </si>
  <si>
    <t>Gangliozid autoantitest profil</t>
  </si>
  <si>
    <t>Deamidált gliadinpeptid (DGP) IgA</t>
  </si>
  <si>
    <t>Deamidált gliadinpeptid (DGP) IgG</t>
  </si>
  <si>
    <t>Ásványi anyag profil (magnézium, szelén, cink, króm, réz, mangán, molibdén, kadmium, nikkel)</t>
  </si>
  <si>
    <t>Toxikus fémek profilja vérből (alumínium, antimon, arzén, berillium, bizmut, ólom, kadmium, króm, kobalt, réz, nikkel, palládium, higany,
ezüst, tallium, ón)</t>
  </si>
  <si>
    <t>Szuperoxid dizmutáz</t>
  </si>
  <si>
    <t>Vizelet porfirin frakciók</t>
  </si>
  <si>
    <t>Vizelet porfobilinogén</t>
  </si>
  <si>
    <t>ESBL (Extended-spectrum beta-lactamase) szűrés</t>
  </si>
  <si>
    <t>MACI (Multirezisztens Acinetobacter baumanni) szűrés</t>
  </si>
  <si>
    <t>VRE (Vancomycin rezisztens Enteococcus) szűrés</t>
  </si>
  <si>
    <t>CRE  (Carbapenem rezisztens Enterobacteriaceae) szűrés</t>
  </si>
  <si>
    <t>CBS 844ins68 mutáció</t>
  </si>
  <si>
    <t>18</t>
  </si>
  <si>
    <t>5-7</t>
  </si>
  <si>
    <t>8-10</t>
  </si>
  <si>
    <t>VLCFA (hosszú szénláncú zsírsavak: C22-26)</t>
  </si>
  <si>
    <t>Metanefrin</t>
  </si>
  <si>
    <t>Hemokromatózis panel (HFE C282Y, HFE H63D)</t>
  </si>
  <si>
    <t>Lipoprotein asszociált foszfolipáz A2 (PLAC)</t>
  </si>
  <si>
    <t>Bartonella henselae antitestek (IgG, IgM)</t>
  </si>
  <si>
    <t>Legionella pneumophila antitestek (IgG, IgM)</t>
  </si>
  <si>
    <t>Yersinia antitestek (IgA, IgG)</t>
  </si>
  <si>
    <t>Echinococcus antitest</t>
  </si>
  <si>
    <t>Diphteria toxin antitest (IgG)</t>
  </si>
  <si>
    <t>Pertussis toxin antitest (IgG)</t>
  </si>
  <si>
    <t>Tetanus antitoxin (IgG)</t>
  </si>
  <si>
    <t>Autoimmun májprofil</t>
  </si>
  <si>
    <t>Mielin oligodendrocita glikoprotein (MOG) antitest</t>
  </si>
  <si>
    <t>Cink-transzporter 8 antitest (ZnT8)</t>
  </si>
  <si>
    <t>Multirezisztens Pseudomonas szűrés</t>
  </si>
  <si>
    <t>2-3</t>
  </si>
  <si>
    <t>PAI-1 gén polimorfizmus</t>
  </si>
  <si>
    <t>Egyedi allergének</t>
  </si>
  <si>
    <t>Mumps vírus elleni antitest (IgG)</t>
  </si>
  <si>
    <t>ColonAiQ (kolorektális rák rizikó)</t>
  </si>
  <si>
    <t>Hagyományos kariotipizálás (kromoszómafestés G-sávozással)</t>
  </si>
  <si>
    <t>Hepatitis C vírus elleni antitest</t>
  </si>
  <si>
    <t>sFLT1/PLGF arány</t>
  </si>
  <si>
    <t>SARS-CoV-2/Influenza A/B PCR</t>
  </si>
  <si>
    <t>Urethritis (STD 4-es) panel (Chlamydia trachomatis, Mycoplasma genitalium, Ureaplasma, Neisseria gonorrhoeae)</t>
  </si>
  <si>
    <t>Fekély PCR alap (STD 2-es) panel (Treponema pallidum, HSV 1/2)</t>
  </si>
  <si>
    <t>Nagy STD panel (Chlamydia trachomatis, Mycoplasma genitalium, Ureaplasma, Neisseria gonorrhoea, Trichomonas vaginalis)</t>
  </si>
  <si>
    <t>NK limfocita funkció</t>
  </si>
  <si>
    <t>Fekély PCR bővített panel (Treponema pallidum, HSV 1/2, Chlamydia trachomatis)</t>
  </si>
  <si>
    <t>Vaginitis/Vaginosis PCR (STD 3-as) panel (Trichomonas, Gardnerella/Atopobium)</t>
  </si>
  <si>
    <t>Lakossági ár 2024</t>
  </si>
  <si>
    <t>Vizsgálat</t>
  </si>
  <si>
    <t>Vizsgálati csoport</t>
  </si>
  <si>
    <t>Széklet vér</t>
  </si>
  <si>
    <t>Mycoplasma genitalium PCR (pozitivitás esetén rezisztencia meghatározással)</t>
  </si>
  <si>
    <t>Cervicitis panel (Chlamydia trachomatis, Mycoplasma genitalium, Neisseria gonorrhoeae)</t>
  </si>
  <si>
    <t>Vérvételi díj</t>
  </si>
  <si>
    <t>1 alkalom</t>
  </si>
  <si>
    <t>3 alkalom</t>
  </si>
  <si>
    <t>5 alkalom</t>
  </si>
  <si>
    <t>Jelölő oszlop</t>
  </si>
  <si>
    <t>Kiválasztott tételek</t>
  </si>
  <si>
    <t>Kiválasztott vizsgálatok:</t>
  </si>
  <si>
    <t>Összesen fizetendő:</t>
  </si>
  <si>
    <t>Kenet festése, értékelése (hüvely, húgycső)tenyésztés nélkül</t>
  </si>
  <si>
    <t>Szezámmag</t>
  </si>
  <si>
    <t>TAJ</t>
  </si>
  <si>
    <t>Neme:</t>
  </si>
  <si>
    <t>Mintavétel dátuma, időpontja: </t>
  </si>
  <si>
    <t xml:space="preserve">Név: </t>
  </si>
  <si>
    <t xml:space="preserve">E-mail cím: </t>
  </si>
  <si>
    <t xml:space="preserve">Telefon: </t>
  </si>
  <si>
    <t xml:space="preserve">Lakcíme: </t>
  </si>
  <si>
    <t>Kért vizsgálatok:</t>
  </si>
  <si>
    <t>mintatípusok</t>
  </si>
  <si>
    <t>S</t>
  </si>
  <si>
    <t>L</t>
  </si>
  <si>
    <t>S2</t>
  </si>
  <si>
    <t>SF</t>
  </si>
  <si>
    <t>S3</t>
  </si>
  <si>
    <t>SF2</t>
  </si>
  <si>
    <t>LPF</t>
  </si>
  <si>
    <t>K</t>
  </si>
  <si>
    <t>KPF</t>
  </si>
  <si>
    <t>S4</t>
  </si>
  <si>
    <t>LP</t>
  </si>
  <si>
    <t>SF3</t>
  </si>
  <si>
    <t>NY</t>
  </si>
  <si>
    <t>V</t>
  </si>
  <si>
    <t>F</t>
  </si>
  <si>
    <t>F@</t>
  </si>
  <si>
    <t>FF</t>
  </si>
  <si>
    <t>SZ</t>
  </si>
  <si>
    <t>Inzulin 30 perc</t>
  </si>
  <si>
    <t>Inzulin 60 perc</t>
  </si>
  <si>
    <t>Inzulin 90 perc</t>
  </si>
  <si>
    <t>Inzulin 120 perc</t>
  </si>
  <si>
    <t>S5</t>
  </si>
  <si>
    <t>VCS</t>
  </si>
  <si>
    <t>S1</t>
  </si>
  <si>
    <t>L2</t>
  </si>
  <si>
    <t>Csomagok</t>
  </si>
  <si>
    <t>csomag</t>
  </si>
  <si>
    <t>Kiválasztott mintatípusok</t>
  </si>
  <si>
    <t>Kiválasztott vizsgálatokhoz szükséges csővek:</t>
  </si>
  <si>
    <t>NA</t>
  </si>
  <si>
    <t>Nincs megadva</t>
  </si>
  <si>
    <t>sárga vérvételi cső (natív, géles)</t>
  </si>
  <si>
    <t>szérum fagyasztott</t>
  </si>
  <si>
    <t>lila vérvételi cső (EDTA)</t>
  </si>
  <si>
    <t>EDTA Plazma</t>
  </si>
  <si>
    <t>EDTA Plazma fagyasztott</t>
  </si>
  <si>
    <t>Minta leadási díj</t>
  </si>
  <si>
    <t>Kémia</t>
  </si>
  <si>
    <t>2-3 alkalom</t>
  </si>
  <si>
    <t>aláírás</t>
  </si>
  <si>
    <t>.................................................</t>
  </si>
  <si>
    <t>Triglicerid</t>
  </si>
  <si>
    <t>Ösztradiol</t>
  </si>
  <si>
    <t>B12-vitamin</t>
  </si>
  <si>
    <t>LDH</t>
  </si>
  <si>
    <t>CK-MB</t>
  </si>
  <si>
    <t>darab sárga vérvételi cső (natív, géles)</t>
  </si>
  <si>
    <t>darab lila vérvételi cső (EDTA)</t>
  </si>
  <si>
    <t>darab szérum fagyasztott</t>
  </si>
  <si>
    <t>darab vizeletes cső</t>
  </si>
  <si>
    <t>darab széklet fagyasztott</t>
  </si>
  <si>
    <t>darab kék vérvételi cső (Citrát)</t>
  </si>
  <si>
    <t>darab EDTA Plazma</t>
  </si>
  <si>
    <t>darab lila vércsoportos cső</t>
  </si>
  <si>
    <t>darab széklet speciális mintavevő</t>
  </si>
  <si>
    <t>darab citrát Plazma fagyasztott</t>
  </si>
  <si>
    <t>darab szürke vérvételi cső (NaF)</t>
  </si>
  <si>
    <t>darab széklet</t>
  </si>
  <si>
    <t>darab nyál</t>
  </si>
  <si>
    <t>további sárga vérvételi cső (natív, géles)</t>
  </si>
  <si>
    <t>további lila vérvételi cső (EDTA)</t>
  </si>
  <si>
    <t>további szérum fagyasztott</t>
  </si>
  <si>
    <t>Mintatípusok</t>
  </si>
  <si>
    <t>VK</t>
  </si>
  <si>
    <t>SZT</t>
  </si>
  <si>
    <t>darab nincs megadva</t>
  </si>
  <si>
    <t>Kelt: Budapest</t>
  </si>
  <si>
    <t>széklet fagyasztott</t>
  </si>
  <si>
    <t>vizeletes cső</t>
  </si>
  <si>
    <t>kék vérvételi cső (Citrát)</t>
  </si>
  <si>
    <t>lila vércsoportos cső</t>
  </si>
  <si>
    <t>széklet speciális mintavevő</t>
  </si>
  <si>
    <t>citrát Plazma fagyasztott</t>
  </si>
  <si>
    <t>szürke vérvételi cső (NaF)</t>
  </si>
  <si>
    <t>nyál</t>
  </si>
  <si>
    <t>széklet</t>
  </si>
  <si>
    <t>_____________________________</t>
  </si>
  <si>
    <t>nyilatkozó aláírása</t>
  </si>
  <si>
    <t>Személyazonosító okmány tipusa:</t>
  </si>
  <si>
    <t>Okmány száma:</t>
  </si>
  <si>
    <t>BEKÜLDŐ KÓD:</t>
  </si>
  <si>
    <t xml:space="preserve">Privát Doktor Zrt.              </t>
  </si>
  <si>
    <t>VIZSGÁLATKÉRŐ LAP ÖSSZESÍTŐ</t>
  </si>
  <si>
    <t>PÁCIENS példánya</t>
  </si>
  <si>
    <t>-</t>
  </si>
  <si>
    <t>1,25 OH D3 vitamin</t>
  </si>
  <si>
    <t>Klinikai kémiai vizsgálatok</t>
  </si>
  <si>
    <t>G</t>
  </si>
  <si>
    <t>17-19</t>
  </si>
  <si>
    <t>Molekuláris Diagnosztika (PCR)</t>
  </si>
  <si>
    <t>GM</t>
  </si>
  <si>
    <t>6-7</t>
  </si>
  <si>
    <t>10 STD kórokozó PCR kimnutatása genitális mintából20c</t>
  </si>
  <si>
    <t>Partneri ár</t>
  </si>
  <si>
    <t>17 OH Progeszteron</t>
  </si>
  <si>
    <t>Hormonok</t>
  </si>
  <si>
    <t>9-11</t>
  </si>
  <si>
    <t>24 órás rézürítés</t>
  </si>
  <si>
    <t>Vitaminok, ásványi anyagok és nyomelemek</t>
  </si>
  <si>
    <t>15-16</t>
  </si>
  <si>
    <t>3 STD (Trichomonas, Chlamydia, Neisseria)  PCR Genitális mintából20a</t>
  </si>
  <si>
    <t>3 STD (Trichomonas, Chlamydia, Neisseria)  PCR Vizeletből20a, *5</t>
  </si>
  <si>
    <t>40-es ételintolerancia15d</t>
  </si>
  <si>
    <t>Allergia és intolerancia vizsgálatok</t>
  </si>
  <si>
    <t>5 STD (Trichomonas, Chlamydia, Neisseria, Mycoplasma, Ureaplasma) PCR Genitális mintából20b</t>
  </si>
  <si>
    <t>5 STD (Trichomonas, Chlamydia, Neisseria, Mycoplasma, Ureaplasma) PCR Vizeletből20b, *5</t>
  </si>
  <si>
    <t xml:space="preserve">A vitamin </t>
  </si>
  <si>
    <t>Acethylcholin receptor elleni antitest</t>
  </si>
  <si>
    <t>ADH (CT-pro-Vasopressin)</t>
  </si>
  <si>
    <t>Adiponectin</t>
  </si>
  <si>
    <t>Adrenocorticotrop hormon (ACTH)</t>
  </si>
  <si>
    <t>EP</t>
  </si>
  <si>
    <t>AFP</t>
  </si>
  <si>
    <t>Aktív B12 vitamin</t>
  </si>
  <si>
    <t>Alfa-1 antitripszin</t>
  </si>
  <si>
    <t>Általános vizelet+üledék</t>
  </si>
  <si>
    <t>ANA (anti-nukleáris antitest) ELISA</t>
  </si>
  <si>
    <t>11-12</t>
  </si>
  <si>
    <t>ANA (anti-nukleáris antitest) Hep-2 IIF</t>
  </si>
  <si>
    <t>ANCA vasculitis screen</t>
  </si>
  <si>
    <t>7-9</t>
  </si>
  <si>
    <t>Angol laborlelet</t>
  </si>
  <si>
    <t>Egyéb</t>
  </si>
  <si>
    <t>3-5</t>
  </si>
  <si>
    <t>Anti-C1q- antitest</t>
  </si>
  <si>
    <t>Anti-foszfolipid antitestek (kardiolipin és béta-2-glikoprotein IgG és IgM)</t>
  </si>
  <si>
    <t>Antinukleáris antitest profil IgG (immunoblot, 18 paraméter)</t>
  </si>
  <si>
    <t>Anti-Tg</t>
  </si>
  <si>
    <t>Antithrombin III</t>
  </si>
  <si>
    <t>Hematológia és véralvadás</t>
  </si>
  <si>
    <t>21-23</t>
  </si>
  <si>
    <t>CP</t>
  </si>
  <si>
    <t>Anti-Xa</t>
  </si>
  <si>
    <t>APC-Rezisztencia</t>
  </si>
  <si>
    <t>APTI</t>
  </si>
  <si>
    <t>C</t>
  </si>
  <si>
    <t>Aquaporin 4 elleni antitest</t>
  </si>
  <si>
    <t>Aspergillus fumigatus IgG, IgA, IgM</t>
  </si>
  <si>
    <t>Infekciós szerológia, Fertőzés Diagnosztika</t>
  </si>
  <si>
    <t>Ásványi anyag profil18</t>
  </si>
  <si>
    <t>E</t>
  </si>
  <si>
    <t>Autoimmun bőrbetegség autoantitestjei</t>
  </si>
  <si>
    <t>B csoportú Streptococcus hüvelyváladékból</t>
  </si>
  <si>
    <t>Mikrobiológia tenyésztés</t>
  </si>
  <si>
    <t>SP4</t>
  </si>
  <si>
    <t>Bazofil granulocita aktivációs teszt (BAT) 1 allergénre*7</t>
  </si>
  <si>
    <t>13-14</t>
  </si>
  <si>
    <t>Béta HCG</t>
  </si>
  <si>
    <t>Béta-cross laps (kollagén keresztkötés)</t>
  </si>
  <si>
    <t>Bone Trap 5b (Csontdaganat, csontmetastasis)</t>
  </si>
  <si>
    <t>Borrelia antitest kimutatása (IgG, IgM)</t>
  </si>
  <si>
    <t>Borrelia antitestek (IgG, IgM) + Western blot</t>
  </si>
  <si>
    <t>Borrelia burgdorferi (Lyme-kór) - PCR vérből és/vagy kullancsból</t>
  </si>
  <si>
    <t>Bőr MRSA tenyésztés</t>
  </si>
  <si>
    <t xml:space="preserve">Bőr váladék/kaparék vizsgálat </t>
  </si>
  <si>
    <t>BRCA gén mutáció</t>
  </si>
  <si>
    <t xml:space="preserve">Bronchus váladék tenyésztés </t>
  </si>
  <si>
    <t>C peptid</t>
  </si>
  <si>
    <t>C vitamin</t>
  </si>
  <si>
    <t>CA 72-4 (Gyomor)</t>
  </si>
  <si>
    <t>CBS 844 ins 68 mutáció PCR vizsgálat</t>
  </si>
  <si>
    <t>CCP elleni antitest (Anti-CCP)</t>
  </si>
  <si>
    <t>Celluláris immunstatus és NK lymphocyta funkció25, *6</t>
  </si>
  <si>
    <t>H</t>
  </si>
  <si>
    <t>Celluláris immunstatus24, *6</t>
  </si>
  <si>
    <t xml:space="preserve">Cervix váladék tenyésztés </t>
  </si>
  <si>
    <t>Chlamydia pneumoniae antitestek (IgG, IgM, IgA)</t>
  </si>
  <si>
    <t>Chlamydia trachomatis (genitális minta) PCR vizsgálat</t>
  </si>
  <si>
    <t>Chlamydia trachomatis (IgG, IgA, IgM)</t>
  </si>
  <si>
    <t>Chlamydia trachomatis (vizelet) PCR vizsgálat*5</t>
  </si>
  <si>
    <t>V*</t>
  </si>
  <si>
    <t>Chromogranin</t>
  </si>
  <si>
    <t>Cink</t>
  </si>
  <si>
    <t>Cink transzporter 8 elleni antitest</t>
  </si>
  <si>
    <t>Citogenetika, kariotipizálás*6</t>
  </si>
  <si>
    <t>6-8 hét</t>
  </si>
  <si>
    <t>Clopidrogél szedés genetikai háttere PCR vizsgálat</t>
  </si>
  <si>
    <t>Clostridium difficile antigén és toxin</t>
  </si>
  <si>
    <t>SZM</t>
  </si>
  <si>
    <t>Coenzim Q10</t>
  </si>
  <si>
    <t>Coeruloplasmin</t>
  </si>
  <si>
    <t>ColonAiQ</t>
  </si>
  <si>
    <t>12-13</t>
  </si>
  <si>
    <t>Cöliakia genetika (HLA DQ2, HLA-DQ8) PCR vizsgálat</t>
  </si>
  <si>
    <t>Creatinin</t>
  </si>
  <si>
    <t>CRP</t>
  </si>
  <si>
    <t>Cyfra 21 (Nem kissejtes tüdőrák)</t>
  </si>
  <si>
    <t>Cytomegalovírus (CMV) antitestek (IgG, IgM)</t>
  </si>
  <si>
    <t>D3-vitamin receptor génmutáció (VDR)</t>
  </si>
  <si>
    <t>10-12</t>
  </si>
  <si>
    <t>DAO (hisztamin intolerancia)</t>
  </si>
  <si>
    <t>Digoxin gyógyszerszint meghatározása</t>
  </si>
  <si>
    <t xml:space="preserve">Gyógyszerszint </t>
  </si>
  <si>
    <t>Dihidrotesztoszteron</t>
  </si>
  <si>
    <t>dsDNS elleni antitest (anti-dsDNA)</t>
  </si>
  <si>
    <t>D-vitamin</t>
  </si>
  <si>
    <t xml:space="preserve">E vitamin </t>
  </si>
  <si>
    <t>Echinococcus antitest IgG</t>
  </si>
  <si>
    <t>eGFR</t>
  </si>
  <si>
    <t>EMA IgA, IgG (anti-endomysium antitestek)</t>
  </si>
  <si>
    <t>5-10</t>
  </si>
  <si>
    <t>ENA panel (SS-A, SS-B, RNP, Jo1, Scl70, Sm)</t>
  </si>
  <si>
    <t>Epstein-Barr vírus antitestek (EBV-capsid IgG és IgM, EBNA)</t>
  </si>
  <si>
    <t>Fehérje elektroforézis</t>
  </si>
  <si>
    <t>FOODTEST 200+</t>
  </si>
  <si>
    <t>Allergia és Intolerancia</t>
  </si>
  <si>
    <t>6-8</t>
  </si>
  <si>
    <t>Foszfát</t>
  </si>
  <si>
    <t>Free PSA</t>
  </si>
  <si>
    <t>Fruktozamin</t>
  </si>
  <si>
    <t>FSH</t>
  </si>
  <si>
    <t>fT3 - szabad T3 funkció</t>
  </si>
  <si>
    <t>fT4 - szabad T4 funkció</t>
  </si>
  <si>
    <t>GAD (glutamát-dekarboxiláz autoantitest)</t>
  </si>
  <si>
    <t>Gangliozid IgG, IgM autoantitest profil</t>
  </si>
  <si>
    <t>Gardnerella vaginalis PCR</t>
  </si>
  <si>
    <t>Gardnerella vaginalis/ Atopobium vaginae Duo- real time PCR</t>
  </si>
  <si>
    <t>GGT</t>
  </si>
  <si>
    <t>Glükóz (éhgyomri)</t>
  </si>
  <si>
    <t>NaE</t>
  </si>
  <si>
    <t>GOT</t>
  </si>
  <si>
    <t>GPT</t>
  </si>
  <si>
    <t>Gyógyszerallergia 1 gyógyszerre (LTT)*3</t>
  </si>
  <si>
    <t>*8</t>
  </si>
  <si>
    <t>HE4</t>
  </si>
  <si>
    <t>Helicobacter pylori antigén székletből</t>
  </si>
  <si>
    <t>SZS</t>
  </si>
  <si>
    <t>Helicobacter pylori antitest (IgA, IgG)</t>
  </si>
  <si>
    <t>Hemoglobin A1C</t>
  </si>
  <si>
    <t>Hemokromatózis genetikai vizsgálata PCR vizsgálat</t>
  </si>
  <si>
    <t>Hepatitis A friss fertőzés (HAV-IgM)</t>
  </si>
  <si>
    <t>Hepatitis A vírus (HAV) antitestek (IgG, IgM)</t>
  </si>
  <si>
    <t>Hepatitis B core antigén elleni antitest (anti - HBc)</t>
  </si>
  <si>
    <t>Hepatitis B surface elleni antitest (Anti-HBs -védettség vizsgálata)</t>
  </si>
  <si>
    <t>Hepatitis B vírus (HBV) PCR vizsgálat</t>
  </si>
  <si>
    <t xml:space="preserve">Infekciós szerológia, Fertőzés Diagnosztika </t>
  </si>
  <si>
    <t>Hepatitis C vírus (HCV) antitest</t>
  </si>
  <si>
    <t>Hepatitis C vírus PCR</t>
  </si>
  <si>
    <t>Hepatitis E vírus IgG, gM (HEV)</t>
  </si>
  <si>
    <t>Herpes simplex vírus I/II (IgG, IgM)</t>
  </si>
  <si>
    <t>HIV (HIV 1, 2 antitest+p24, p26 antigén)</t>
  </si>
  <si>
    <t>HLAB27 PCR vizsgálat</t>
  </si>
  <si>
    <t>HOMA index</t>
  </si>
  <si>
    <t>hsCRP(ultraszenzitív)</t>
  </si>
  <si>
    <t>Húgycsőváladék tenyésztés</t>
  </si>
  <si>
    <t>Humán Papilloma Vírus (HPV) PCR 15 szerotípusra (genitális mintából)</t>
  </si>
  <si>
    <t>Humán Papilloma Vírus (HPV) PCR 21 szerotípusra (genitális mintából)</t>
  </si>
  <si>
    <t>Humán Papilloma Vírus (HPV) PCR 30 szerotípusra (genitális/orális mintából)21</t>
  </si>
  <si>
    <t>Hüvelykenet mikroszkópos vizsgálata</t>
  </si>
  <si>
    <t>Kenet</t>
  </si>
  <si>
    <t>Hüvelyváladék bakteriológiai tenyésztése</t>
  </si>
  <si>
    <t>SP4+kenet</t>
  </si>
  <si>
    <t>IA2 tirozinfoszfatáz elleni antitest</t>
  </si>
  <si>
    <t>IDDM autoantitestjei</t>
  </si>
  <si>
    <t>IgE</t>
  </si>
  <si>
    <t>II. faktor prothrombin génmutáció PCR vizsgálat</t>
  </si>
  <si>
    <t>Immunfixációs elektroforézis/paraprotein kimutatására</t>
  </si>
  <si>
    <t xml:space="preserve">Influenza vírus és korona vírus komplex PCR vizsgálata </t>
  </si>
  <si>
    <t>SP2</t>
  </si>
  <si>
    <t>Inhalatív allergiapanel 20 allergénnel1</t>
  </si>
  <si>
    <t>Inzulin-szerű növekedési faktor (IGF-1)</t>
  </si>
  <si>
    <t>Jód (vér)</t>
  </si>
  <si>
    <t>Jód (vizelet)</t>
  </si>
  <si>
    <t xml:space="preserve">K vitamin </t>
  </si>
  <si>
    <t>Kalcitonin (Pajzsmirigy tumormarker; hormon)</t>
  </si>
  <si>
    <t>Katecholamin (adrenalin, noradrenalin, dopamin) vérből</t>
  </si>
  <si>
    <t>Katecholaminok vizeletből (adrenalin, noradrenalin, dopamin)</t>
  </si>
  <si>
    <t>SGY</t>
  </si>
  <si>
    <t>Kolinészteráz (pszeudokolinészteráz)</t>
  </si>
  <si>
    <t>Kombinált allergiapanel 54 allergénnel3</t>
  </si>
  <si>
    <t>Kortizol</t>
  </si>
  <si>
    <t>Köpettenyésztés</t>
  </si>
  <si>
    <t>ST</t>
  </si>
  <si>
    <t xml:space="preserve">Körömkaparék gomba vizsgálat </t>
  </si>
  <si>
    <t>KK</t>
  </si>
  <si>
    <t>Laktózintolerancia PCR (C13.9kbT és G22018A mutáció) PCR vizsgálat</t>
  </si>
  <si>
    <t>E/SZT</t>
  </si>
  <si>
    <t>Lamotrigin gyógyszerszint vizsgálata</t>
  </si>
  <si>
    <t>Gyógyszerszint</t>
  </si>
  <si>
    <t>Legionella antigén kimutatása vizeletből</t>
  </si>
  <si>
    <t>Legionella IgG antitest</t>
  </si>
  <si>
    <t>Legionella IgM antitest</t>
  </si>
  <si>
    <t>LH</t>
  </si>
  <si>
    <t>Limfocita transzformációs teszt (LTT) 1 allergénre*8</t>
  </si>
  <si>
    <t>Lítium</t>
  </si>
  <si>
    <t>LTT fémekre17, *3</t>
  </si>
  <si>
    <t>*3</t>
  </si>
  <si>
    <t>LTT fogászati kerámiára, cementre és fémekre16, *3</t>
  </si>
  <si>
    <t>LTT titánötvözetekre (titán, vanádium, alumínium, nikkel) *3</t>
  </si>
  <si>
    <t>Lupus antikoaguláns</t>
  </si>
  <si>
    <t>Lymphogranuloma Venereum (LGV)</t>
  </si>
  <si>
    <t xml:space="preserve">Magas vérnyomásra hajlamosító genetikai eltérések PCR vizsgálat </t>
  </si>
  <si>
    <t>Makrolid-rezisztenciával összefüggő mutációk</t>
  </si>
  <si>
    <t>Mellékvese kéreg elleni antitest</t>
  </si>
  <si>
    <t>Merkaptánok és tioéterek okozta túlérzékenység*3</t>
  </si>
  <si>
    <t>DENTAL laborvizsgálatok</t>
  </si>
  <si>
    <t>Metanephrin22</t>
  </si>
  <si>
    <t>Mikroalbumin</t>
  </si>
  <si>
    <t>Mikroalbumin kreatinin arány</t>
  </si>
  <si>
    <t>Molekuláris búzaallergia4</t>
  </si>
  <si>
    <t>Molekuláris dióallergia5</t>
  </si>
  <si>
    <t>Molekuláris földimogyoró-allergia13</t>
  </si>
  <si>
    <t>Molekuláris gyümölcsallergia9</t>
  </si>
  <si>
    <t>Molekuláris kesudióallergia6</t>
  </si>
  <si>
    <t>Molekuláris macska hám/szőr allergia11</t>
  </si>
  <si>
    <t>Molekuláris méh-darázs allergia</t>
  </si>
  <si>
    <t>Molekuláris mogyoróallergia7</t>
  </si>
  <si>
    <t>Molekuláris rákallergia8</t>
  </si>
  <si>
    <t>Molekuláris szójaallergia10</t>
  </si>
  <si>
    <t>Molekuláris tojásallergia12</t>
  </si>
  <si>
    <t>Morbilli (kanyaró) IgG</t>
  </si>
  <si>
    <t>MRSA szűrővizsgálat (orr)</t>
  </si>
  <si>
    <t>MRSA szűrővizsgálat (torok)</t>
  </si>
  <si>
    <t>MRSA vizsgálat bőrről (PCR)</t>
  </si>
  <si>
    <t>PS</t>
  </si>
  <si>
    <t>MRSA vizsgálat torokból és orrból (PCR)</t>
  </si>
  <si>
    <t>MTHFR C677T és A1298C mutáció genetikai teszt PCR vizsgálat</t>
  </si>
  <si>
    <t>Mumpsz IGG</t>
  </si>
  <si>
    <t>Mycoplasma pneumoniae antitestek (IgG, IgM, IgA)</t>
  </si>
  <si>
    <t xml:space="preserve">Myelin oligodendrocytás glikoprotein antitest (MOG) </t>
  </si>
  <si>
    <t>Neisseria gonorrhoea (genitális minta) PCR vizsgálat</t>
  </si>
  <si>
    <t>Neisseria gonorrhoea (vizelet) PCR vizsgálat*5</t>
  </si>
  <si>
    <t>NIFTY (NIPD anyai vérből)*3</t>
  </si>
  <si>
    <t>Molekuláris Diagnosztika (NIPT)</t>
  </si>
  <si>
    <t>SP1</t>
  </si>
  <si>
    <t>NK lymphocyta funkció*6</t>
  </si>
  <si>
    <t>Non-HDL koleszterin</t>
  </si>
  <si>
    <t>Növekedési hormon (h-GH)</t>
  </si>
  <si>
    <t>NSE</t>
  </si>
  <si>
    <t>NT-pro BNP</t>
  </si>
  <si>
    <t>Nutritív allergiapanel 20 allergénnel2</t>
  </si>
  <si>
    <t>OGTT 120 perc</t>
  </si>
  <si>
    <t>OGTT 30 perc</t>
  </si>
  <si>
    <t>OGTT 60 perc</t>
  </si>
  <si>
    <t>OGTT 90 perc</t>
  </si>
  <si>
    <t>Ondótenyésztés</t>
  </si>
  <si>
    <t>Onkoneuronális antitest profil (Hu, Yo, Ri, CV2, Amphiphysin, Ma2/Ta)23</t>
  </si>
  <si>
    <t>Orális HPV PCR vizsgálat21</t>
  </si>
  <si>
    <t>Orrváladék tenyésztés</t>
  </si>
  <si>
    <t>Osteocalcin</t>
  </si>
  <si>
    <t>Pancreas specifikus elasztáz (széklet)</t>
  </si>
  <si>
    <t>Pancreas specifikus elasztáz (vér)</t>
  </si>
  <si>
    <t>Pancreas szigetsejt elleni antitest (ICA)</t>
  </si>
  <si>
    <t>Parvovírus B19 IgG</t>
  </si>
  <si>
    <t>Periodontitishez kötődő mikrobák DNS analízise, szájüregi mikrobiom*3</t>
  </si>
  <si>
    <t>Procalcitonin</t>
  </si>
  <si>
    <t>Protein C</t>
  </si>
  <si>
    <t>Protein S</t>
  </si>
  <si>
    <t>Prothrombin elleni antitest</t>
  </si>
  <si>
    <t>Psoriasis/pikkelysömör HLA-Cw6 allél vizsgálata PCR vizsgálat</t>
  </si>
  <si>
    <t>Punktátum tenyésztése</t>
  </si>
  <si>
    <t>Rantes teszt*3</t>
  </si>
  <si>
    <t>Reuma faktor</t>
  </si>
  <si>
    <t>Reverz T3</t>
  </si>
  <si>
    <t>Réz</t>
  </si>
  <si>
    <t>ROMA index</t>
  </si>
  <si>
    <t>Rubeola vírus antitestek (IgG, IgM)</t>
  </si>
  <si>
    <t>S-100 (Melanoma)</t>
  </si>
  <si>
    <t xml:space="preserve">Sarjadzó gomba tenyésztés és rezisztencia </t>
  </si>
  <si>
    <t xml:space="preserve">Sebváladék/váladék aerob és anaerob tenyésztése </t>
  </si>
  <si>
    <t>4-10</t>
  </si>
  <si>
    <t>STD 4 panel (Chlamydia, Neisseria, Mycoplasma, Ureoplasma)</t>
  </si>
  <si>
    <t>Sürgősségi felár</t>
  </si>
  <si>
    <t>Széklet Calicivírus</t>
  </si>
  <si>
    <t>Széklet calprotectin</t>
  </si>
  <si>
    <t>Széklet féregpete kimutatás*9</t>
  </si>
  <si>
    <t>Széklet humán vér</t>
  </si>
  <si>
    <t>Széklet M2PK+ Széklet Humán Hemoglobin</t>
  </si>
  <si>
    <t>Széklet protozon (Giardia, Entamoeba, Cryptosporidium)</t>
  </si>
  <si>
    <t>Széklet Rotavírus és Adenovírus</t>
  </si>
  <si>
    <t>Széklettenyésztés vizsgálat (Salmonella, Campylobacter, Shigella, Yersinia, E. coli O157)</t>
  </si>
  <si>
    <t>Szifilisz szerológia (Treponema ellenanyag + RPR)</t>
  </si>
  <si>
    <t>Szöveti transzglutamináz (tTG) IgG, IgA</t>
  </si>
  <si>
    <t>Táplálékintolerancia vizsgálat (46 tápanyag)15a</t>
  </si>
  <si>
    <t>TBC/Quantiferon-TB Gold*6</t>
  </si>
  <si>
    <t>Tejallergia molekuláris teszt14</t>
  </si>
  <si>
    <t>TH1-TH2 citokin dominancia26, *6</t>
  </si>
  <si>
    <t>Thrombin idő</t>
  </si>
  <si>
    <t>Thyreoglobulin</t>
  </si>
  <si>
    <t>Titánérzékenység vizsgálata*3</t>
  </si>
  <si>
    <t>Torokváladék tenyésztés</t>
  </si>
  <si>
    <t>Total PSA</t>
  </si>
  <si>
    <t>Totál T3</t>
  </si>
  <si>
    <t>Toxikus fémek (vér)19</t>
  </si>
  <si>
    <t>2E</t>
  </si>
  <si>
    <t>Toxoplasma antitestek (IgG, IgM)</t>
  </si>
  <si>
    <t>TPA (Általános tumormarker: emlő, tüdő, húgyhólyag és ovárium daganatnál)</t>
  </si>
  <si>
    <t xml:space="preserve">Treponem pallidum PCR ár </t>
  </si>
  <si>
    <t>Troponin I HS</t>
  </si>
  <si>
    <t>TSH receptor elleni autoantitest (TRAK)</t>
  </si>
  <si>
    <t>Újszülött vércsoport</t>
  </si>
  <si>
    <t>Vércsoport</t>
  </si>
  <si>
    <t>E6</t>
  </si>
  <si>
    <t>V. faktor Leiden mutáció PCR vizsgálat</t>
  </si>
  <si>
    <t>Valproat gyógyszerszint meghatározása</t>
  </si>
  <si>
    <t>Varicella zoster védettség (IgG)</t>
  </si>
  <si>
    <t>Varicella zoster vírus antitestek (IgG, IgM)</t>
  </si>
  <si>
    <t>Vas</t>
  </si>
  <si>
    <t>Véralvadási zavarokra hajlamosító genetikai eltérések (II-Prothrombin, : Leiden,VII. véralvadási faktor, XIII faktor, FGB, -ITGA2, ITGB3, PAI-1 )</t>
  </si>
  <si>
    <t>Vérkép + Reticulocyta</t>
  </si>
  <si>
    <t>Vesekő kémiai analízise</t>
  </si>
  <si>
    <t>Vizelet creatinin</t>
  </si>
  <si>
    <t>v</t>
  </si>
  <si>
    <t>Vizelet delta-aminolevulinsav</t>
  </si>
  <si>
    <t>Vizsgálatok vizeletből</t>
  </si>
  <si>
    <t>Vizelet drogteszt 12 paraméterre</t>
  </si>
  <si>
    <t>Vizelet foszfor (P)</t>
  </si>
  <si>
    <t>Vizelet glükóz (mennyiségi)</t>
  </si>
  <si>
    <t>Vizelet higany</t>
  </si>
  <si>
    <t>Vizelet kalcium (Ca)</t>
  </si>
  <si>
    <t>Vizelet kálcium/kreatinin hányados</t>
  </si>
  <si>
    <t>Vizelet kálium (K)</t>
  </si>
  <si>
    <t>Vizelet nátrium (Na)</t>
  </si>
  <si>
    <t>Vizelet pregnandiol</t>
  </si>
  <si>
    <t>17-23</t>
  </si>
  <si>
    <t>Vizelet tenyésztés</t>
  </si>
  <si>
    <t>BST</t>
  </si>
  <si>
    <t>Vizelet toxikus fémek panel27</t>
  </si>
  <si>
    <t>VLCFA (hosszú szénlácú zsírsavak: C2, C4, C6, C22)</t>
  </si>
  <si>
    <t>Zonulin</t>
  </si>
  <si>
    <t>bórsavas steril edény</t>
  </si>
  <si>
    <t>speciális mintavevő</t>
  </si>
  <si>
    <t>citrátos cső</t>
  </si>
  <si>
    <t>garat törlet speciális mintavevőbe</t>
  </si>
  <si>
    <t>citrát plazma</t>
  </si>
  <si>
    <t>steril swab transzport táptalajba</t>
  </si>
  <si>
    <t>EDTA-s cső</t>
  </si>
  <si>
    <t>steril edény</t>
  </si>
  <si>
    <t>6 ml-s EDTA-s cső</t>
  </si>
  <si>
    <t>széklettartály</t>
  </si>
  <si>
    <t>E9</t>
  </si>
  <si>
    <t>9 ml-s EDTA-s cső</t>
  </si>
  <si>
    <t>speciális széklet mintavevő</t>
  </si>
  <si>
    <t>EDTA plazma</t>
  </si>
  <si>
    <t>szájnyálkahártya törlet</t>
  </si>
  <si>
    <t>géles cső</t>
  </si>
  <si>
    <t>vizelet</t>
  </si>
  <si>
    <t>G+E</t>
  </si>
  <si>
    <t>géles+EDTA-s</t>
  </si>
  <si>
    <t>vizeletes csőbe helyezett kő</t>
  </si>
  <si>
    <t>NaEDTA (fluoridos) cső</t>
  </si>
  <si>
    <t>Preprapid+swab</t>
  </si>
  <si>
    <t>genitális minta</t>
  </si>
  <si>
    <t>reggeli első vizelet első sugarából</t>
  </si>
  <si>
    <t>10 ml heparinos cső</t>
  </si>
  <si>
    <t>V**</t>
  </si>
  <si>
    <t>24 órás vizelet jégecettel</t>
  </si>
  <si>
    <t>körömkaparék - kétféle, antibiotikumos Sabraud ferde agart tartalmazó kémcsőbe</t>
  </si>
  <si>
    <t>2LH+G</t>
  </si>
  <si>
    <t>2 db lithium heparinos cső + géles cső</t>
  </si>
  <si>
    <t>24 órás vizelet sósavval</t>
  </si>
  <si>
    <t>darab citrátos cső</t>
  </si>
  <si>
    <t>darab 6 ml-es EDTA-s cső</t>
  </si>
  <si>
    <t>darab bórsavas steril edény</t>
  </si>
  <si>
    <t xml:space="preserve">darab citrát plazma </t>
  </si>
  <si>
    <t>darab 9 ml-es EDTA-s cső</t>
  </si>
  <si>
    <t>darab EDTA plazma</t>
  </si>
  <si>
    <t>darab géles cső</t>
  </si>
  <si>
    <t>Citrát plazma</t>
  </si>
  <si>
    <t>darab géles+EDTA-s</t>
  </si>
  <si>
    <t>darab NaEDTA (fluoridos) cső</t>
  </si>
  <si>
    <t>darab genitális minta</t>
  </si>
  <si>
    <t>darab10 ml heparinos cső</t>
  </si>
  <si>
    <t>darab körömkaparék - kétféle, antibiotikumos Sabraud ferde agart tartalmazó kémcsőbe</t>
  </si>
  <si>
    <t>darab 24 órás vizelet sósavval</t>
  </si>
  <si>
    <t xml:space="preserve"> darab speciális mintavevő</t>
  </si>
  <si>
    <t>darab garat törlet speciális mintavevőbe</t>
  </si>
  <si>
    <t>darab steril swab transzport táptalajba</t>
  </si>
  <si>
    <t>darab steril edény</t>
  </si>
  <si>
    <t>darab széklettartály</t>
  </si>
  <si>
    <t>darab speciális széklet mintavevő</t>
  </si>
  <si>
    <t>darab szájnyálkahártya törlet</t>
  </si>
  <si>
    <t>darab vizeletes csőbe helyezett kő</t>
  </si>
  <si>
    <t>darab Preprapid+swab</t>
  </si>
  <si>
    <t>darab reggeli első vizelet első sugarából</t>
  </si>
  <si>
    <t>darab 24 órás vizelet jégecettel</t>
  </si>
  <si>
    <t>darab 2 db lithium heparinos cső + géles cső</t>
  </si>
  <si>
    <t>Visegrádi40 Magánrendelő</t>
  </si>
  <si>
    <t>WhiteLab Laboratórium Hálózat</t>
  </si>
  <si>
    <t>E-mail: rendelo@visegradi40.hu</t>
  </si>
  <si>
    <t>VÉRVÉTELI PONT: 1132 Budapest Visegrádi 40.</t>
  </si>
  <si>
    <t>HDL</t>
  </si>
  <si>
    <t>INR</t>
  </si>
  <si>
    <t>Vizelet üledék</t>
  </si>
  <si>
    <t>LDL</t>
  </si>
  <si>
    <t>hsCRP</t>
  </si>
  <si>
    <t>Női Pro laborvizsgálati csomag</t>
  </si>
  <si>
    <t>Férfi Pro laborvizsgálati csomag</t>
  </si>
  <si>
    <t>30+ laborvizsgálati csomag</t>
  </si>
  <si>
    <t>40+ laborvizsgálati csomag</t>
  </si>
  <si>
    <t>50+ laborvizsgálati csomag</t>
  </si>
  <si>
    <t>Női sport laborvizsgálati csomag</t>
  </si>
  <si>
    <t>Férfi sport laborvizsgálati csomag</t>
  </si>
  <si>
    <t>Súlykontroll laborvizsgálati csomag</t>
  </si>
  <si>
    <t>Nutritív allergia laborvizsgálat 20-as panel</t>
  </si>
  <si>
    <t>Tojásfehérje</t>
  </si>
  <si>
    <t>Földimogyoró</t>
  </si>
  <si>
    <t>Szójabab</t>
  </si>
  <si>
    <t>Mogyoró</t>
  </si>
  <si>
    <t>Tehéntej</t>
  </si>
  <si>
    <t>Mandula</t>
  </si>
  <si>
    <t>Garnéla - Rák keverék</t>
  </si>
  <si>
    <t>Sárgabarack</t>
  </si>
  <si>
    <t>Paradicsom</t>
  </si>
  <si>
    <t>Tőkehal</t>
  </si>
  <si>
    <t>Sárgarépa</t>
  </si>
  <si>
    <t>Burgonya</t>
  </si>
  <si>
    <t>Búzaliszt</t>
  </si>
  <si>
    <t>Amaránt (disznóparéj)</t>
  </si>
  <si>
    <t>Alma</t>
  </si>
  <si>
    <t>Rozsliszt</t>
  </si>
  <si>
    <t>Tojássárgája</t>
  </si>
  <si>
    <t>Kiwi</t>
  </si>
  <si>
    <t>Zeller</t>
  </si>
  <si>
    <t>Rizs</t>
  </si>
  <si>
    <t>Inhalatív allergia laborvizsgálat 20-as panel</t>
  </si>
  <si>
    <t>Háziporatka (Dermatophagoides pter.)</t>
  </si>
  <si>
    <t>Háziporatka (Dermatophagoides farinae)</t>
  </si>
  <si>
    <t>Macska</t>
  </si>
  <si>
    <t>Kutya</t>
  </si>
  <si>
    <t>Ló</t>
  </si>
  <si>
    <t>Édes tavaszi fű</t>
  </si>
  <si>
    <t>Rozs</t>
  </si>
  <si>
    <t>Gyümölcsös fű</t>
  </si>
  <si>
    <t>Timothy fű</t>
  </si>
  <si>
    <t>Ecsetpenész (Penicillium notatum)</t>
  </si>
  <si>
    <t>Korompenész (Cladosporium herbarum)</t>
  </si>
  <si>
    <t xml:space="preserve">Kannapenész (Aspergillus fumigatus) </t>
  </si>
  <si>
    <t>Penészgomba (Alternaria alternata)</t>
  </si>
  <si>
    <t>Égerfa</t>
  </si>
  <si>
    <t>Nyír</t>
  </si>
  <si>
    <t>Mogyoró (pollen)</t>
  </si>
  <si>
    <t>Tölgy</t>
  </si>
  <si>
    <t>Közönséges parlagfű</t>
  </si>
  <si>
    <t>Fekete üröm</t>
  </si>
  <si>
    <t>Angol útifű</t>
  </si>
  <si>
    <t>Kombinált allergia laborvizsgálat 54-es panel</t>
  </si>
  <si>
    <t>Csótány</t>
  </si>
  <si>
    <t>Méh méreg</t>
  </si>
  <si>
    <t>Közönséges darázsméreg</t>
  </si>
  <si>
    <t>Házi por</t>
  </si>
  <si>
    <t>Ciprus</t>
  </si>
  <si>
    <t>Latex</t>
  </si>
  <si>
    <t>Garnélarák</t>
  </si>
  <si>
    <t>Bovin szérumalbumin</t>
  </si>
  <si>
    <t>Alfa-laktalbumin</t>
  </si>
  <si>
    <t>Béta-laktoglobulin</t>
  </si>
  <si>
    <t>Kazein</t>
  </si>
  <si>
    <t>Marha</t>
  </si>
  <si>
    <t>Bárány</t>
  </si>
  <si>
    <t>Szezám</t>
  </si>
  <si>
    <t>Táplálék intolerancia laborvizsgálat 108-as panel</t>
  </si>
  <si>
    <t>Árpa liszt</t>
  </si>
  <si>
    <t>Cseresznye</t>
  </si>
  <si>
    <t>Brokkoli</t>
  </si>
  <si>
    <t>Szőlőkeverék</t>
  </si>
  <si>
    <t>Kesudió</t>
  </si>
  <si>
    <t>Zab liszt</t>
  </si>
  <si>
    <t>Kakaóbab</t>
  </si>
  <si>
    <t>Rozs liszt</t>
  </si>
  <si>
    <t>Citrom</t>
  </si>
  <si>
    <t>Tönköly búza</t>
  </si>
  <si>
    <t>Nektarin</t>
  </si>
  <si>
    <t>Uborka</t>
  </si>
  <si>
    <t>Búza liszt</t>
  </si>
  <si>
    <t>Narancs</t>
  </si>
  <si>
    <t>Torma</t>
  </si>
  <si>
    <t>Pisztácia</t>
  </si>
  <si>
    <t>Hajdina liszt</t>
  </si>
  <si>
    <t>Ananász</t>
  </si>
  <si>
    <t>Póréhagyma</t>
  </si>
  <si>
    <t>Lenmag</t>
  </si>
  <si>
    <t>Eper</t>
  </si>
  <si>
    <t>Olajbogyó</t>
  </si>
  <si>
    <t>Napraforgómag</t>
  </si>
  <si>
    <t>Kukorica</t>
  </si>
  <si>
    <t>Görögdinnye</t>
  </si>
  <si>
    <t>Hagymakeverék</t>
  </si>
  <si>
    <t>Dió</t>
  </si>
  <si>
    <t>Köles</t>
  </si>
  <si>
    <t>Körte</t>
  </si>
  <si>
    <t>Kókusz</t>
  </si>
  <si>
    <t>Szilva</t>
  </si>
  <si>
    <t>Vöröskáposzta</t>
  </si>
  <si>
    <t>Gomba mix 1</t>
  </si>
  <si>
    <t>Grapefruit</t>
  </si>
  <si>
    <t>Gomba mix 2</t>
  </si>
  <si>
    <t>Csirke</t>
  </si>
  <si>
    <t>Őszibarack</t>
  </si>
  <si>
    <t>Fehér répa</t>
  </si>
  <si>
    <t>Folyami rák</t>
  </si>
  <si>
    <t>Datolya</t>
  </si>
  <si>
    <t>Cukkini</t>
  </si>
  <si>
    <t>Lazac</t>
  </si>
  <si>
    <t>Bazsalikom</t>
  </si>
  <si>
    <t>Articsóka</t>
  </si>
  <si>
    <t>Tonhal</t>
  </si>
  <si>
    <t>Pulyka</t>
  </si>
  <si>
    <t>Bors (fekete/fehér)</t>
  </si>
  <si>
    <t>Spárga</t>
  </si>
  <si>
    <t>Vénusz kagyló</t>
  </si>
  <si>
    <t>Fahéj</t>
  </si>
  <si>
    <t>Spenót</t>
  </si>
  <si>
    <t>Fokhagyma</t>
  </si>
  <si>
    <t>Babkeverék</t>
  </si>
  <si>
    <t>Szardella/ajóka</t>
  </si>
  <si>
    <t>Mustármag</t>
  </si>
  <si>
    <t>Kardhal</t>
  </si>
  <si>
    <t>Kecsketej/Kecskesajt</t>
  </si>
  <si>
    <t>Szerecsendió</t>
  </si>
  <si>
    <t>Szivárványos pisztráng</t>
  </si>
  <si>
    <t>Quinoa</t>
  </si>
  <si>
    <t>Oregánó</t>
  </si>
  <si>
    <t>Lencse</t>
  </si>
  <si>
    <t>Nyelvhal</t>
  </si>
  <si>
    <t>Juhtej/Juhsajt</t>
  </si>
  <si>
    <t>Petrezselyem</t>
  </si>
  <si>
    <t>Édesburgonya</t>
  </si>
  <si>
    <t>Csicseriborsó</t>
  </si>
  <si>
    <t>Menta keverék</t>
  </si>
  <si>
    <t>Saláta mix 1</t>
  </si>
  <si>
    <t>Élesztőmix</t>
  </si>
  <si>
    <t>Joghurt</t>
  </si>
  <si>
    <t>Mák</t>
  </si>
  <si>
    <t>Padlizsán</t>
  </si>
  <si>
    <t>Rozmaring</t>
  </si>
  <si>
    <t>Méz</t>
  </si>
  <si>
    <t>Cékla</t>
  </si>
  <si>
    <t>Kakukkfű</t>
  </si>
  <si>
    <t>Kávé</t>
  </si>
  <si>
    <t>Vanília</t>
  </si>
  <si>
    <t>Banán</t>
  </si>
  <si>
    <t>Fekete tea</t>
  </si>
  <si>
    <t>Glutén</t>
  </si>
  <si>
    <t>Főtt disznóhús</t>
  </si>
  <si>
    <t>Zöld paprika</t>
  </si>
  <si>
    <t>Csili</t>
  </si>
  <si>
    <t>Zöldborsó</t>
  </si>
  <si>
    <t>Kukorica saláta</t>
  </si>
  <si>
    <t>Foodtest 200 + ingyenes dietetikai tanácsadással</t>
  </si>
  <si>
    <t>tej, tejkészítmények, tojás: alfa- lactalbumin, béta-lactoglobulin, bivalytej, kazein, tehéntej, tojás fehérje, tojás sárgája, kecsketej, juh tej.</t>
  </si>
  <si>
    <t>Halak, tenger gyümölcsei: alga espaguette, alga spirulina, alga wakame, ajóka, kacsakagyló, fekete sügér, ponty, kaviár, kemény- vagy pénzkagyló, szívkagyló, fekete tőkehal, tarisznyarák, tintahal, szépia, tengeri keszeg, angolna, foltos tőkehal, tőkehal, hering, homár, makréla, ördöghal, kék kagyló, polip, osztriga, sügér, csuka, lepényhal, hüvelykagyló, lazac, szardínia, fésüs kagyló, garnélarák, nyelvhal, tintahal, kalamári, kardhal, pisztráng, tonhal, rombuszhal, parti csiga.</t>
  </si>
  <si>
    <t>Gyümölcsök: alma, sárgabarack, avokádó, banán, szeder, fekete ribizli, fekete áfonya, cseresznye, vörösáfonya, datolya, füge, szőlő, grapefruit, guava, kivi, citrom, lime, licsi, mangó, sárgadinnye, faeper, nektarin, olajbogyó, narancs, papaja, őszibarack, körte, ananász, szilva, gránátalma, mazsola, málna, ribizli, rebarbara, eper, mandarin, paradicsom, görögdinnye.</t>
  </si>
  <si>
    <t>Glutén tartalmú gabonák: árpa, kuszkusz, durumbúza, gliadin, maláta, zab, rozsliszt, tönkölybúza,</t>
  </si>
  <si>
    <t>búzakorkorpa, búza, transzglutamináz.</t>
  </si>
  <si>
    <t>Glutén mentes gabonák: hajdina, kukorica, köles, puliszka, quinoa, rizs, amaránt, tápióka.</t>
  </si>
  <si>
    <t>Gyógynövények és fűszernövények: aloe vera, ánizs, bazsalikom, babérlevél, kamilla, cayenne-bors, fahéj, szegfűszeg, koriander (levél), kömény, curry, kapor, fokhagyma, gyömbér, gingkó, ginzeng, komló, édesgyökér, majoranna, menta, mustármag, csalán, szerecsendió, petrezselyem, bors (fekete / fehér), borsmenta, vörös chili , rozmaring, sáfrány, zsálya, tárkony, kakukkfű, vanília.</t>
  </si>
  <si>
    <t>Húsok: marhahús, kecskehús, csirkehús, kacsahús, lóhús, bárányhús, strucc, bivaly, fogolyhús, disznóhús, fürjhús, nyúlhús, pulykahús, borjúhús, rőtvad (szarvas-, őzhús), vaddisznóhús.</t>
  </si>
  <si>
    <t>Olajos magvak: Mandula, paradió, kesudió, lenmag, kókusz, mogyoró, makadámdió, földimogyoró, fenyőmag, pisztácia, tigrisdió / földimandula, dió, napraforgómag, repcemag, szezámmag.</t>
  </si>
  <si>
    <t>Zöldségfélék: articsóka, spárga, padlizsán, széles bab, zöldbab, vörös vesebab, fehér karóbab, cékla, brokkoli, kelbimbó, káposzta, vöröskáposzta, kapribogyó, sárgarépa, karfiol, zeller, mángold, csicseriborsó, cikória, uborka, édeskömény levél, sütőtök, póréhagyma, lencse, fejes saláta, tök /spárgatök, hagyma, borsó, paprika, burgonya, retek, ruccola, mogyoróhagyma, szója bab, spenót, édesburgonya, fehérrépa, vizitorma, manióka.</t>
  </si>
  <si>
    <t>Egyebek: agar-agar, nádcukor, szentjánoskenyér, gesztenye, kakaóbab, kávé, kóladió, méz, gomba,</t>
  </si>
  <si>
    <t>tea (fekete), tea (zöld), élesztő (sütő), élesztő (sör).</t>
  </si>
  <si>
    <t>Inzulinrezisztencia 2 pontos vizsgálat</t>
  </si>
  <si>
    <t>Inzulinrezisztencia 3 pontos vizsgálat</t>
  </si>
  <si>
    <t>Inzulinrezisztencia 5 pontos vizsgálat</t>
  </si>
  <si>
    <t>Rutin Pro laborvizsgálati csomag</t>
  </si>
  <si>
    <t>Post-covid laborvizsgálati csomag</t>
  </si>
  <si>
    <t>Rutin Plus laborvizsgálati csomag</t>
  </si>
  <si>
    <t>Rutin laborvizsgálati csomag</t>
  </si>
  <si>
    <t>Pajzsmirigy laborvizsgálati csomag</t>
  </si>
  <si>
    <t>Pajzsmirigy Plus laborvizsgálati csomag</t>
  </si>
  <si>
    <t>Endokrinológiai Pro laborvizsgálati csomag</t>
  </si>
  <si>
    <t>Női hormon laborvizsgálati csomag 
(ciklus 3.-5. napja között)"</t>
  </si>
  <si>
    <t>AMH</t>
  </si>
  <si>
    <t>Női hormon laborvizsgálati csomag (ciklus 21.-23. napja között)"</t>
  </si>
  <si>
    <t>Férfi hormon laborvizsgálati csomag</t>
  </si>
  <si>
    <t>PCOS laborvizsgálati csomag</t>
  </si>
  <si>
    <t>Férfi változókori laborvizsgálati csomag</t>
  </si>
  <si>
    <t>Menopauza laborvizsgálati csomag</t>
  </si>
  <si>
    <t>Női tumormarker laborvizsgálati csomag</t>
  </si>
  <si>
    <t>Férfi tumormarker laborvizsgálati csomag</t>
  </si>
  <si>
    <t>Női tumormarker Plus laborvizsgálati csomag</t>
  </si>
  <si>
    <t>Férfi tumormarker Plus laborvizsgálat</t>
  </si>
  <si>
    <t>Clinomics genetika</t>
  </si>
  <si>
    <t>X20200812</t>
  </si>
  <si>
    <t>HOZZÁJÁRULÓ NYILATKOZAT ADATKEZELÉSHEZ</t>
  </si>
  <si>
    <t>Külsős G</t>
  </si>
  <si>
    <t>NaE120</t>
  </si>
  <si>
    <t>G120</t>
  </si>
  <si>
    <t>G60</t>
  </si>
  <si>
    <t>Külsős E8</t>
  </si>
  <si>
    <t>ZöldSz</t>
  </si>
  <si>
    <t>NaE30</t>
  </si>
  <si>
    <t>NaE90</t>
  </si>
  <si>
    <t>G30</t>
  </si>
  <si>
    <t>G90</t>
  </si>
  <si>
    <t>Zöld kupakos széklet mintavevő</t>
  </si>
  <si>
    <t>darab zöld kupakos széklet mintavevő</t>
  </si>
  <si>
    <t>Telefon:                +36 20 3443733</t>
  </si>
  <si>
    <t>Telefon:            +36 20 3443733</t>
  </si>
  <si>
    <t>Telefonszám:</t>
  </si>
  <si>
    <t>E-mail cím:</t>
  </si>
  <si>
    <t>Születési idő:</t>
  </si>
  <si>
    <t>Lakcím:</t>
  </si>
  <si>
    <t xml:space="preserve">Személyazonosító okmány típusa*: </t>
  </si>
  <si>
    <t>Diagnosztikai laborvizsgálat: az egészségügyi szolgáltatóhoz forduló beteg panasza okának feltárására irányuló vizsgálat.</t>
  </si>
  <si>
    <t>Név:</t>
  </si>
  <si>
    <t>Külsős géles cső</t>
  </si>
  <si>
    <t>darab külsős E8</t>
  </si>
  <si>
    <t>WhiteLab példánya</t>
  </si>
  <si>
    <t>V. faktor (Leiden) mutáció vizsgálata</t>
  </si>
  <si>
    <t>Szív - és érrendszer, trombózis genetikai hajlam</t>
  </si>
  <si>
    <t xml:space="preserve">II. faktor (G20210A) vizsgálata </t>
  </si>
  <si>
    <t>Metiléntetrahidrofolát-reduktáz génpolimorfizmus vizsgálata (MTHFR C677T)</t>
  </si>
  <si>
    <t xml:space="preserve">Metiléntetrahidrofolát-reduktáz génpolimorfizmus vizsgálata (MTHFR A1298C) </t>
  </si>
  <si>
    <t>Nutrigenetika</t>
  </si>
  <si>
    <t>Családtervezés, infertilitás</t>
  </si>
  <si>
    <t>a-aktinin-3 polimorfizmusának vizsgálata (ACTN3 R577X)</t>
  </si>
  <si>
    <t>AMP-deamináz enzim polimorfizmusának vizsgálata (AMPD1 C34T)</t>
  </si>
  <si>
    <t>Kollagént kódoló gének polimorfizmusának vizsgálata (COLIAI, COL5A1 COL12A1)</t>
  </si>
  <si>
    <t>Angiotenzin konvertáló enzim polimorfizmusának vizsgálata (ACE)</t>
  </si>
  <si>
    <t>Sportgenetika csomag</t>
  </si>
  <si>
    <t>Speciális vizsgálatok</t>
  </si>
  <si>
    <t>A genetikai tanácsadás partnereink páciensei részére elérhető a Clinomics Europe Kft. klinikai genetikusa által, a genetikai vizsgálatok</t>
  </si>
  <si>
    <t>elvégzése előtt, valamint az eredmények értelmezése céljából. Az időpontegyeztetés részleteiről, valamint aktuális árainkról</t>
  </si>
  <si>
    <t>érdeklődjön kapcsolattartójánál.</t>
  </si>
  <si>
    <t>Genetikai tanácsadás 30 perc (Személyes vagy online konzultáció klinikai genetikussal)</t>
  </si>
  <si>
    <t>Genetikai tanácsadás 60 perc (Személyes vagy online konzultáció klinikai genetikussal)</t>
  </si>
  <si>
    <t>Genetikai tanácsadás</t>
  </si>
  <si>
    <t xml:space="preserve">13-as véralvadási faktor betegségokozó variáns vizsgálata (Faktor XIII) </t>
  </si>
  <si>
    <t>Plazminogén aktivátor inhibitor génpolimorfizmus vizsgálata (PAI-I)</t>
  </si>
  <si>
    <t xml:space="preserve">Angiotenzin konvertáló enzim génpolimorfizmus vizsgálata (ACE) </t>
  </si>
  <si>
    <t xml:space="preserve">Béta fibrinogén génpolimorfizmus vizsgálata (FGB) </t>
  </si>
  <si>
    <t xml:space="preserve">ApoB (ApoB-100 R3500Q) polimorfizmusok </t>
  </si>
  <si>
    <t xml:space="preserve">ApoE (ApoE C112Rés R158C) polimorfizmusok </t>
  </si>
  <si>
    <t xml:space="preserve">Laktózintolerancia vizsgálat (MCM6 C13910T) </t>
  </si>
  <si>
    <t xml:space="preserve">Laktózintolerancia extra vizsgálat (MCM6 C13910T és G22018A) </t>
  </si>
  <si>
    <t xml:space="preserve">Fruktózintolerancia vizsgálat (ALDOB) </t>
  </si>
  <si>
    <t xml:space="preserve">Cöliákia vizsgálat (HLA) </t>
  </si>
  <si>
    <t xml:space="preserve">Vasfelszívódási zavar (hemokromatózis) vizsgálat (HFE) </t>
  </si>
  <si>
    <t xml:space="preserve">Y-kromoszóma mikrodeléció vizsgálat (AZFa, AZFb, AZFc) </t>
  </si>
  <si>
    <t xml:space="preserve">Cisztás fibrózis leggyakoribb mutáció (CFTR dF508) </t>
  </si>
  <si>
    <t xml:space="preserve">Születési idő: </t>
  </si>
  <si>
    <t>Myostatin polimorfizmusának vizsgálata (MSTN1 K153R)</t>
  </si>
  <si>
    <t>HLA- B27 genetikai meghatározása</t>
  </si>
  <si>
    <t>Multigénes DNS metilációs teszt kolorektális rák vizsgálatához</t>
  </si>
  <si>
    <t xml:space="preserve">Vérvételi díj; </t>
  </si>
  <si>
    <t>darab NaEDTA (fluoridos) cső 30</t>
  </si>
  <si>
    <t>darab NaEDTA (fluoridos) cső 60</t>
  </si>
  <si>
    <t>darab NaEDTA (fluoridos) cső 90</t>
  </si>
  <si>
    <t>darab NaEDTA (fluoridos) cső 120</t>
  </si>
  <si>
    <t>darab géles cső 30</t>
  </si>
  <si>
    <t>darab géles cső 60</t>
  </si>
  <si>
    <t>darab géles cső 90</t>
  </si>
  <si>
    <t>darab géles cső 120</t>
  </si>
  <si>
    <t>Mintavételi eszközök:</t>
  </si>
  <si>
    <t>darab *8</t>
  </si>
  <si>
    <t>darab Kenet</t>
  </si>
  <si>
    <t>darab SP4+kenet</t>
  </si>
  <si>
    <t>darab E/SZT</t>
  </si>
  <si>
    <t>darab *3</t>
  </si>
  <si>
    <t>darab 2E</t>
  </si>
  <si>
    <t>Orális STD (Mycoplasma gen., Chlamydia tra., Neisseria) PCR</t>
  </si>
  <si>
    <t>?</t>
  </si>
  <si>
    <r>
      <t>(*</t>
    </r>
    <r>
      <rPr>
        <sz val="11"/>
        <color theme="1"/>
        <rFont val="Century Gothic"/>
        <family val="1"/>
      </rPr>
      <t>Amennyiben nem rendelkezik TAJ számmal,</t>
    </r>
    <r>
      <rPr>
        <sz val="11"/>
        <color rgb="FFFDFD00"/>
        <rFont val="Century Gothic"/>
        <family val="1"/>
      </rPr>
      <t xml:space="preserve"> </t>
    </r>
    <r>
      <rPr>
        <sz val="11"/>
        <color theme="1"/>
        <rFont val="Century Gothic"/>
        <family val="1"/>
      </rPr>
      <t xml:space="preserve">EU </t>
    </r>
    <r>
      <rPr>
        <sz val="11"/>
        <color rgb="FF010100"/>
        <rFont val="Century Gothic"/>
        <family val="1"/>
      </rPr>
      <t xml:space="preserve">kártya </t>
    </r>
    <r>
      <rPr>
        <sz val="11"/>
        <color theme="1"/>
        <rFont val="Century Gothic"/>
        <family val="1"/>
      </rPr>
      <t>száma,</t>
    </r>
    <r>
      <rPr>
        <sz val="11"/>
        <color rgb="FFFEFE00"/>
        <rFont val="Century Gothic"/>
        <family val="1"/>
      </rPr>
      <t xml:space="preserve"> </t>
    </r>
    <r>
      <rPr>
        <sz val="11"/>
        <color theme="1"/>
        <rFont val="Century Gothic"/>
        <family val="1"/>
      </rPr>
      <t>nem EU</t>
    </r>
    <r>
      <rPr>
        <sz val="11"/>
        <color rgb="FFFDFD00"/>
        <rFont val="Century Gothic"/>
        <family val="1"/>
      </rPr>
      <t>-</t>
    </r>
    <r>
      <rPr>
        <sz val="11"/>
        <color theme="1"/>
        <rFont val="Century Gothic"/>
        <family val="1"/>
      </rPr>
      <t>országból származó betegek esetén útlevélszám.</t>
    </r>
    <r>
      <rPr>
        <sz val="11"/>
        <color rgb="FF010100"/>
        <rFont val="Century Gothic"/>
        <family val="1"/>
      </rPr>
      <t>)</t>
    </r>
  </si>
  <si>
    <t xml:space="preserve">Laborvizsgálat helye, időpontja: </t>
  </si>
  <si>
    <t>Törvényes képviselő neve:</t>
  </si>
  <si>
    <t>Aláírásommal elismerem, hogy a fent felsorolt vizsgálatok elvégzését, kiértékelését kértem.</t>
  </si>
  <si>
    <t>Külsős EDTA 9ml</t>
  </si>
  <si>
    <t>Külsős EDTA 9ml vérvételi cső</t>
  </si>
  <si>
    <t xml:space="preserve">darab  Külsős EDTA 9ml vérvételi cső 		</t>
  </si>
  <si>
    <t xml:space="preserve">darab  EDTA-s vérvételi cső 		</t>
  </si>
  <si>
    <t>AX00-külsős szérum (piros/sárga)</t>
  </si>
  <si>
    <t>ALI- EDTA (lila)</t>
  </si>
  <si>
    <t>AVI- vizeletes cső (sárga)</t>
  </si>
  <si>
    <t>AKE- citrátos cső (kék)</t>
  </si>
  <si>
    <t>ASZ00- NaEDTA (szürke)</t>
  </si>
  <si>
    <t>ASZ30- terhelés 30 perc (glükóz-szürke)</t>
  </si>
  <si>
    <t>ASZ60- terhelés 60 perc (glükóz- szürke)</t>
  </si>
  <si>
    <t>VIT- borsavas vizelet azaz  vizelet tenyésztés (külön kis tartály van hozzá, fehér vagy piros kupakos)</t>
  </si>
  <si>
    <t>SZT- széklet tenyésztés (zöld/fehér, piros/átlátszó)</t>
  </si>
  <si>
    <t>CAL- calprotectin (székletből történik a mintavétel)</t>
  </si>
  <si>
    <t>HEL-helocbacter H.Pilori (nem tudom a mintavevő eszközt)</t>
  </si>
  <si>
    <t>M2PK- szintén széklet (piros/átlátszó, zöld/fehér)</t>
  </si>
  <si>
    <t>speciális széklet mintavevő (CAL)</t>
  </si>
  <si>
    <t>széklettartály (SZT, M2PK)</t>
  </si>
  <si>
    <t>EDTA-s cső (ALI)</t>
  </si>
  <si>
    <t>vizelet (AVI)</t>
  </si>
  <si>
    <t>citrátos cső (AKE)</t>
  </si>
  <si>
    <t>NaEDTA (fluoridos) szürke cső (ASZ)</t>
  </si>
  <si>
    <t>géles  szérum cső (ASA00) (ASA30) (ASA60) (ASA90) (ASA120)</t>
  </si>
  <si>
    <t>darab géles szérum cső (ASA)</t>
  </si>
  <si>
    <t>ASA00-szérum cső (piros/sárga) géles cső G</t>
  </si>
  <si>
    <t>ASA30-terhelés 30 perc (inzulin,piros/sárga) géles cső G30</t>
  </si>
  <si>
    <t>ASA60- terhelés 60 perc (inzulin,piros/sárga) géles cső G60</t>
  </si>
  <si>
    <t>Külsős G (AX00)</t>
  </si>
  <si>
    <t>Külsős G szérum</t>
  </si>
  <si>
    <t xml:space="preserve">darab  Külsős G szérum vérvételi cső (AX00)	</t>
  </si>
  <si>
    <t>darab külsős géles szérum cső (AX)</t>
  </si>
  <si>
    <t>darab EDTA-s cső (ALI)</t>
  </si>
  <si>
    <t>darab vizelet (AVI)</t>
  </si>
  <si>
    <t>darab citrátos cső (AKE)</t>
  </si>
  <si>
    <t>darab NaEDTA (fluoridos) szürke cső (ASZ)</t>
  </si>
  <si>
    <t>darab bórsavas steril edény (VIT)</t>
  </si>
  <si>
    <t>bórsavas steril edény (VIT)</t>
  </si>
  <si>
    <t>EDTA lila cső (most ez edta vagy edta plazma?)</t>
  </si>
  <si>
    <t>vizelet sárga cső 10 ml</t>
  </si>
  <si>
    <t>szérum (sárga)</t>
  </si>
  <si>
    <t>Külsős szérum (külsős sárga cső)</t>
  </si>
  <si>
    <t>ez a 9700 forintos albumin, biol aktív teszt, shbg, szabad teszt, totál teszt? Szérum (sárga)</t>
  </si>
  <si>
    <t>Nasopharingeális pálca</t>
  </si>
  <si>
    <t>Külsős EDTA 8ml (külsős 8ml lila cső)</t>
  </si>
  <si>
    <t>Citrát plazma (kék cső)? Vagy cs citrát?</t>
  </si>
  <si>
    <t>külsős citrát plazma (kék cső)? Vs csak citrát?</t>
  </si>
  <si>
    <t>NaEDTA (szürke cső)</t>
  </si>
  <si>
    <t xml:space="preserve"> </t>
  </si>
  <si>
    <t xml:space="preserve"> 5-7</t>
  </si>
  <si>
    <t xml:space="preserve"> 1-2</t>
  </si>
  <si>
    <t>9-12</t>
  </si>
  <si>
    <t>11</t>
  </si>
  <si>
    <t>9</t>
  </si>
  <si>
    <t>5</t>
  </si>
  <si>
    <t>7-17</t>
  </si>
  <si>
    <t>2</t>
  </si>
  <si>
    <t>7</t>
  </si>
  <si>
    <t>16</t>
  </si>
  <si>
    <t>14-15</t>
  </si>
  <si>
    <t>23</t>
  </si>
  <si>
    <t>17</t>
  </si>
  <si>
    <t>19</t>
  </si>
  <si>
    <t>14</t>
  </si>
  <si>
    <t>12</t>
  </si>
  <si>
    <t>7-12</t>
  </si>
  <si>
    <t>7-8</t>
  </si>
  <si>
    <t>4</t>
  </si>
  <si>
    <t>1-9</t>
  </si>
  <si>
    <t>4-6</t>
  </si>
  <si>
    <t>21</t>
  </si>
  <si>
    <t>Vizelet mikroalbumin (mennyiségi)</t>
  </si>
  <si>
    <t>Vizelet összfehérje (mennyiségi)</t>
  </si>
  <si>
    <t>Hüvelyi mikrobiom laborvizsgálati csomag</t>
  </si>
  <si>
    <t>Széklet mikrobiom</t>
  </si>
  <si>
    <t>iBio kardiomiopátia - teljes panel genetikai tanácsadással. Gének: 202</t>
  </si>
  <si>
    <t>Kardiológia</t>
  </si>
  <si>
    <t>iBio örökletes emlő- és petefészekrák panel / kibővített BRCA panel genetikai tanácsadással. Gének: 20</t>
  </si>
  <si>
    <t>ONKOLÓGIA</t>
  </si>
  <si>
    <t>iBio örökletes vastagbélrák panel (HNPCC-Lynch-szindróma, FAP) genetikai tanácsadással. Gének:22</t>
  </si>
  <si>
    <t>iBio örökletes tumor szindróma panel genetikai tanácsadással</t>
  </si>
  <si>
    <t>Pre - genetikai tanácsadás (30 perc) a Clinomics Europe szervezésében (az onkológia vizsgálatok tartalmazzák ennek az árát). Gének: 133</t>
  </si>
  <si>
    <t>GENETIKAI TANÁCSADÁS</t>
  </si>
  <si>
    <t>Az onkológiai tesztek esetén kötelező a pre-tanácsadás és a vizsgálati eredmény függvényében ajánlott a poszt- tanácsadás. Az egyéb kategóriában szereplő NGS vizsgálatoknál a vizsgálati eredmény függvényében ajánlott a poszt-tanácsadás. A pre-tanácsadást a vizsgálat elvégzése előtt külön rendezi a
páciens, a poszt- tanácsadás díját a kért vizsgálat ára tartalmazza.</t>
  </si>
  <si>
    <t>x</t>
  </si>
  <si>
    <t>VR</t>
  </si>
  <si>
    <t>V24</t>
  </si>
  <si>
    <t>EDTA (K2/K3) 3ml</t>
  </si>
  <si>
    <t>EDTA-s cső (K2/K3) 3ml</t>
  </si>
  <si>
    <t xml:space="preserve"> darab EDTA-s cső (K2/K3) 3ml vérvételi cső</t>
  </si>
  <si>
    <t>nincs</t>
  </si>
  <si>
    <r>
      <t>Adrenocorticotrop hormon (</t>
    </r>
    <r>
      <rPr>
        <b/>
        <sz val="11"/>
        <rFont val="Calibri"/>
        <family val="2"/>
      </rPr>
      <t>ACTH</t>
    </r>
    <r>
      <rPr>
        <sz val="11"/>
        <rFont val="Calibri"/>
        <family val="2"/>
        <charset val="238"/>
      </rPr>
      <t>)</t>
    </r>
  </si>
  <si>
    <t>létezik olyan, hogy ebből csak az egyiket kérik vagy mindig együtt? Vigyázz, a W-ben külön-külön szerepel!</t>
  </si>
  <si>
    <r>
      <t xml:space="preserve">ANA (anti-nukleáris antitest) Hep-2 IIF </t>
    </r>
    <r>
      <rPr>
        <b/>
        <sz val="11"/>
        <rFont val="Calibri"/>
        <family val="2"/>
      </rPr>
      <t>Antinukleáris antitest (HEP-2) titer és mintázat</t>
    </r>
  </si>
  <si>
    <r>
      <t>Anti-Müllerian hormon (</t>
    </r>
    <r>
      <rPr>
        <b/>
        <sz val="11"/>
        <rFont val="Calibri"/>
        <family val="2"/>
      </rPr>
      <t>AMH</t>
    </r>
    <r>
      <rPr>
        <sz val="11"/>
        <rFont val="Calibri"/>
        <family val="2"/>
        <charset val="238"/>
      </rPr>
      <t>)</t>
    </r>
  </si>
  <si>
    <t>külsős citrát plazma (kék cső)</t>
  </si>
  <si>
    <t>most nem találtam meg a wt-ben</t>
  </si>
  <si>
    <r>
      <rPr>
        <i/>
        <sz val="11"/>
        <rFont val="Calibri"/>
        <family val="2"/>
      </rPr>
      <t>Biológiailag aktív és szabad tesztoszteron</t>
    </r>
    <r>
      <rPr>
        <sz val="11"/>
        <rFont val="Calibri"/>
        <family val="2"/>
        <charset val="238"/>
      </rPr>
      <t>, albumin, SHBG, totál tesztoszteron</t>
    </r>
  </si>
  <si>
    <r>
      <t xml:space="preserve">BRCA gén mutáció </t>
    </r>
    <r>
      <rPr>
        <b/>
        <sz val="11"/>
        <color rgb="FFFF0000"/>
        <rFont val="Calibri"/>
        <family val="2"/>
      </rPr>
      <t>CLINOMICS fülön keresd!</t>
    </r>
  </si>
  <si>
    <t>Clostridium difficile antigén és toxin (széklet)</t>
  </si>
  <si>
    <r>
      <t xml:space="preserve">ColonAiQ </t>
    </r>
    <r>
      <rPr>
        <b/>
        <sz val="11"/>
        <color rgb="FFFF0000"/>
        <rFont val="Calibri"/>
        <family val="2"/>
      </rPr>
      <t>CLINOMICS fülön keresd, ha megoldható a szállítás</t>
    </r>
  </si>
  <si>
    <r>
      <t xml:space="preserve">Cöliakia genetika (HLA DQ2, HLA-DQ8) PCR vizsgálat </t>
    </r>
    <r>
      <rPr>
        <b/>
        <sz val="11"/>
        <color rgb="FFFF0000"/>
        <rFont val="Calibri"/>
        <family val="2"/>
      </rPr>
      <t>CLINOMICS fülön keresd!</t>
    </r>
  </si>
  <si>
    <t>32370-ért adja a clinomics</t>
  </si>
  <si>
    <r>
      <t xml:space="preserve">DHEA-Szulfát </t>
    </r>
    <r>
      <rPr>
        <b/>
        <sz val="11"/>
        <rFont val="Calibri"/>
        <family val="2"/>
      </rPr>
      <t>DHEA-S</t>
    </r>
  </si>
  <si>
    <t>D-vitamin D vitamin</t>
  </si>
  <si>
    <t>eGFR (creatinin és karbamid alapján számított érték). Önmagában ingyen. Kreatininnnel és karbamiddal együtt 1000 Ft, de őket kell kiválasztani)</t>
  </si>
  <si>
    <t>eddig ki volt húzva, mintha nem lenne. Most megtaláltam a wt-ben</t>
  </si>
  <si>
    <r>
      <t xml:space="preserve">Ételintolerancia 108 tápanyagra, 127 összetevőre 15b </t>
    </r>
    <r>
      <rPr>
        <b/>
        <sz val="11"/>
        <rFont val="Calibri"/>
        <family val="2"/>
      </rPr>
      <t>Táplálékintolerancia 108-as panel</t>
    </r>
  </si>
  <si>
    <t>széklet helicobacter mintavevő</t>
  </si>
  <si>
    <t>EDTA lila cső</t>
  </si>
  <si>
    <t>Hepatitis B vírus surface Ag (HBsAg)</t>
  </si>
  <si>
    <t>Kálcium (Ca)</t>
  </si>
  <si>
    <t>Klór (Cl)</t>
  </si>
  <si>
    <t>HOMA index (Glükóz éhgyomri és Inzulin értékekből számítják)</t>
  </si>
  <si>
    <t>Immunerő laborcsomag</t>
  </si>
  <si>
    <t>Immunerő Plus laborcsomag</t>
  </si>
  <si>
    <t>Immunerő Pro laborcsomag</t>
  </si>
  <si>
    <t>Prosztata laborcsomag</t>
  </si>
  <si>
    <t>Általános vizelet + üledék</t>
  </si>
  <si>
    <t>2 nap</t>
  </si>
  <si>
    <t>Összkoleszterin</t>
  </si>
  <si>
    <t>Férfi Anti-Aging laborcsomag</t>
  </si>
  <si>
    <t>1-5 nap</t>
  </si>
  <si>
    <t>DHEA-S</t>
  </si>
  <si>
    <t>Szabad tesztoszteron</t>
  </si>
  <si>
    <t xml:space="preserve">Totál PSA </t>
  </si>
  <si>
    <t>Női Anti-Aging laborcsomag</t>
  </si>
  <si>
    <t>1-11 nap</t>
  </si>
  <si>
    <t>Beavatkozás Előtti laborcsomag</t>
  </si>
  <si>
    <t>Aktivált parciális troboplasztin</t>
  </si>
  <si>
    <t>Általáno vizelet + üledék</t>
  </si>
  <si>
    <t>Hepatitis Bsurface elleni antitest (Anti-HBs-védettség vizsgálata)</t>
  </si>
  <si>
    <t>Hepatitis B surface Ag (HBsAg)</t>
  </si>
  <si>
    <t>Nutritív allergia laborvizsgálat 25-ös panel</t>
  </si>
  <si>
    <t>Háziszárnyasok tollkeveréke</t>
  </si>
  <si>
    <t>Sütőélesztő</t>
  </si>
  <si>
    <t>Szója</t>
  </si>
  <si>
    <t>D3</t>
  </si>
  <si>
    <t>STDPCR</t>
  </si>
  <si>
    <t>12H</t>
  </si>
  <si>
    <t>12 hetes magzati kockázat biokémiai szűrése (free béta-HCG, PAPP-A)</t>
  </si>
  <si>
    <t>17OHPROG</t>
  </si>
  <si>
    <t>Akciós</t>
  </si>
  <si>
    <t>GLU180</t>
  </si>
  <si>
    <t>180 perces vércukor</t>
  </si>
  <si>
    <t>VT2</t>
  </si>
  <si>
    <t>2 pontos 75 g-os vércukor terhelés (0’-120’)</t>
  </si>
  <si>
    <t>UREZ</t>
  </si>
  <si>
    <t>VCORT</t>
  </si>
  <si>
    <t>24 órás vizelet cortisol</t>
  </si>
  <si>
    <t>DVIT</t>
  </si>
  <si>
    <t>25-OH D3 vitamin</t>
  </si>
  <si>
    <t>VT3</t>
  </si>
  <si>
    <t>3 pontos 75 g-os vércukor terhelés (0’-60’-120’)</t>
  </si>
  <si>
    <t>STDPCR3</t>
  </si>
  <si>
    <r>
      <t>3 STD (Trichomonas, Chlamydia, Neisseria)  PCR Genitális mintából</t>
    </r>
    <r>
      <rPr>
        <b/>
        <vertAlign val="superscript"/>
        <sz val="11"/>
        <color theme="1"/>
        <rFont val="Poppins"/>
        <charset val="238"/>
      </rPr>
      <t>20a</t>
    </r>
  </si>
  <si>
    <r>
      <t>3 STD (Trichomonas, Chlamydia, Neisseria)  PCR Vizeletből</t>
    </r>
    <r>
      <rPr>
        <b/>
        <vertAlign val="superscript"/>
        <sz val="11"/>
        <color theme="1"/>
        <rFont val="Poppins"/>
        <charset val="238"/>
      </rPr>
      <t>20a, *5</t>
    </r>
  </si>
  <si>
    <t>UJETEL40</t>
  </si>
  <si>
    <r>
      <t>40-es ételintolerancia</t>
    </r>
    <r>
      <rPr>
        <vertAlign val="superscript"/>
        <sz val="11"/>
        <color theme="1"/>
        <rFont val="Poppins"/>
        <charset val="238"/>
      </rPr>
      <t>15d</t>
    </r>
  </si>
  <si>
    <t>VT5</t>
  </si>
  <si>
    <t>5 pontos 75 g-os vércukor terhelés (0’-30’-60’-90’-120’)</t>
  </si>
  <si>
    <t>STDPCR5</t>
  </si>
  <si>
    <r>
      <t>5 STD (Trichomonas, Chlamydia, Neisseria, Mycoplasma, Ureaplasma) PCR Genitális mintából</t>
    </r>
    <r>
      <rPr>
        <b/>
        <vertAlign val="superscript"/>
        <sz val="11"/>
        <color theme="1"/>
        <rFont val="Poppins"/>
        <charset val="238"/>
      </rPr>
      <t>20b</t>
    </r>
  </si>
  <si>
    <r>
      <t>5 STD (Trichomonas, Chlamydia, Neisseria, Mycoplasma, Ureaplasma) PCR Vizeletből</t>
    </r>
    <r>
      <rPr>
        <b/>
        <vertAlign val="superscript"/>
        <sz val="11"/>
        <color theme="1"/>
        <rFont val="Poppins"/>
        <charset val="238"/>
      </rPr>
      <t>20b, *5</t>
    </r>
  </si>
  <si>
    <t>AVIT</t>
  </si>
  <si>
    <t>ACHR</t>
  </si>
  <si>
    <t>ADH</t>
  </si>
  <si>
    <t>ADIPO</t>
  </si>
  <si>
    <t>AFP (Máj- és csírasejtes tumorok)</t>
  </si>
  <si>
    <t>VB12AK</t>
  </si>
  <si>
    <t>ALB</t>
  </si>
  <si>
    <t xml:space="preserve">Albumin </t>
  </si>
  <si>
    <t>ALDOST</t>
  </si>
  <si>
    <t>AAT</t>
  </si>
  <si>
    <t>AP</t>
  </si>
  <si>
    <t>Alkalikus foszfatáz (ALP)</t>
  </si>
  <si>
    <t>AMY</t>
  </si>
  <si>
    <t>ANAEL</t>
  </si>
  <si>
    <t>7-10</t>
  </si>
  <si>
    <t>HEP2</t>
  </si>
  <si>
    <t>ANCAPR</t>
  </si>
  <si>
    <t>ANCAS</t>
  </si>
  <si>
    <t>ANDRO</t>
  </si>
  <si>
    <t>ANGLE</t>
  </si>
  <si>
    <t>ANNEG</t>
  </si>
  <si>
    <t>ANNEM</t>
  </si>
  <si>
    <t>GLIAG</t>
  </si>
  <si>
    <t xml:space="preserve">Anti Deamidált Gliadin IgA IgG </t>
  </si>
  <si>
    <t>C1Q</t>
  </si>
  <si>
    <t>FOLIP</t>
  </si>
  <si>
    <t>AST</t>
  </si>
  <si>
    <t>Anti-Streptolizin titer (ASLO)</t>
  </si>
  <si>
    <t>ATG</t>
  </si>
  <si>
    <t>Anti-thyreoglobulin antitest (anti-TG)</t>
  </si>
  <si>
    <t>AXA</t>
  </si>
  <si>
    <t>ANABL</t>
  </si>
  <si>
    <t>ATIII</t>
  </si>
  <si>
    <t>APC</t>
  </si>
  <si>
    <t>APOL1</t>
  </si>
  <si>
    <t>APOL2</t>
  </si>
  <si>
    <t>APOLB</t>
  </si>
  <si>
    <t>AQP</t>
  </si>
  <si>
    <t>ASCAA</t>
  </si>
  <si>
    <t>ASCAG</t>
  </si>
  <si>
    <t>ASP</t>
  </si>
  <si>
    <t>ASV</t>
  </si>
  <si>
    <r>
      <t>Ásványi anyag profil</t>
    </r>
    <r>
      <rPr>
        <b/>
        <vertAlign val="superscript"/>
        <sz val="11"/>
        <color theme="1"/>
        <rFont val="Poppins"/>
        <charset val="238"/>
      </rPr>
      <t>18</t>
    </r>
  </si>
  <si>
    <t>BORAAT</t>
  </si>
  <si>
    <t>LIVERPROFIL</t>
  </si>
  <si>
    <t>HUVB</t>
  </si>
  <si>
    <t>B12</t>
  </si>
  <si>
    <t>BATEST1</t>
  </si>
  <si>
    <r>
      <t>Bazofil granulocita aktivációs teszt (BAT) 1 allergénre</t>
    </r>
    <r>
      <rPr>
        <b/>
        <vertAlign val="superscript"/>
        <sz val="11"/>
        <color theme="1"/>
        <rFont val="Poppins"/>
        <charset val="238"/>
      </rPr>
      <t>*7</t>
    </r>
  </si>
  <si>
    <t>B2MCG</t>
  </si>
  <si>
    <t>CROSSL</t>
  </si>
  <si>
    <t>HCG</t>
  </si>
  <si>
    <t>Béta-HCG</t>
  </si>
  <si>
    <t>DBIL</t>
  </si>
  <si>
    <t>Bilirubin direkt</t>
  </si>
  <si>
    <t>SEBI</t>
  </si>
  <si>
    <t>Bilirubin totál</t>
  </si>
  <si>
    <t>BONE</t>
  </si>
  <si>
    <t>PERT</t>
  </si>
  <si>
    <t>Bordetella  pertussis toxin IgA/IgG  (szamárköhögés)</t>
  </si>
  <si>
    <t>B PERTUSSIS PCR</t>
  </si>
  <si>
    <t>Bordetella Pertussis-szamárköhögés PCR</t>
  </si>
  <si>
    <t>STF</t>
  </si>
  <si>
    <t>Bordetella pertussis/Bordetella parapertussis Multiplex PCR</t>
  </si>
  <si>
    <t>BOGM</t>
  </si>
  <si>
    <t>BOWGM</t>
  </si>
  <si>
    <t>BORPCR</t>
  </si>
  <si>
    <t>BMRSA</t>
  </si>
  <si>
    <t>BOKA</t>
  </si>
  <si>
    <t>BRCA</t>
  </si>
  <si>
    <t>BTENY</t>
  </si>
  <si>
    <t>CPEP</t>
  </si>
  <si>
    <t>CVIT</t>
  </si>
  <si>
    <t>C3</t>
  </si>
  <si>
    <t>C4</t>
  </si>
  <si>
    <t>CA125</t>
  </si>
  <si>
    <t>CA 125 (Petefészek tumor)</t>
  </si>
  <si>
    <t>CA15</t>
  </si>
  <si>
    <t>CA 15-3 (Emlőrák)</t>
  </si>
  <si>
    <t>CA19</t>
  </si>
  <si>
    <t>CA 19-9 (Hasnyálmirigy, Máj)</t>
  </si>
  <si>
    <t>CA72</t>
  </si>
  <si>
    <t>CBS</t>
  </si>
  <si>
    <t>CCP</t>
  </si>
  <si>
    <t>CEA (Vastagbél, Tüdő)</t>
  </si>
  <si>
    <t>CELLNK</t>
  </si>
  <si>
    <r>
      <t>Celluláris immunstatus és NK lymphocyta funkció</t>
    </r>
    <r>
      <rPr>
        <b/>
        <vertAlign val="superscript"/>
        <sz val="11"/>
        <color theme="1"/>
        <rFont val="Poppins"/>
        <charset val="238"/>
      </rPr>
      <t>25, *6</t>
    </r>
  </si>
  <si>
    <t>CELL</t>
  </si>
  <si>
    <r>
      <t>Celluláris immunstatus</t>
    </r>
    <r>
      <rPr>
        <b/>
        <vertAlign val="superscript"/>
        <sz val="11"/>
        <color theme="1"/>
        <rFont val="Poppins"/>
        <charset val="238"/>
      </rPr>
      <t>24, *6</t>
    </r>
  </si>
  <si>
    <t>CERV</t>
  </si>
  <si>
    <t>CHPGAM</t>
  </si>
  <si>
    <t>CHLAPCR</t>
  </si>
  <si>
    <t>CHTGAM</t>
  </si>
  <si>
    <t>CHLAPCRV</t>
  </si>
  <si>
    <r>
      <t>Chlamydia trachomatis (vizelet) PCR vizsgálat</t>
    </r>
    <r>
      <rPr>
        <b/>
        <vertAlign val="superscript"/>
        <sz val="11"/>
        <color theme="4" tint="-0.249977111117893"/>
        <rFont val="Poppins"/>
        <charset val="238"/>
      </rPr>
      <t>*5</t>
    </r>
  </si>
  <si>
    <t>CHROMO</t>
  </si>
  <si>
    <t>PROG</t>
  </si>
  <si>
    <t>Ciklus 21. napi hormon (progeszteron)</t>
  </si>
  <si>
    <t>CIKLUS3</t>
  </si>
  <si>
    <t>Ciklus 3. napi hormonok (AMH, FSH, LH, ösztradiol, prolaktin)</t>
  </si>
  <si>
    <t>CINK</t>
  </si>
  <si>
    <t>ZNT8AK</t>
  </si>
  <si>
    <t>Cisztásfibrózis (139 mutáció)</t>
  </si>
  <si>
    <t>15-20</t>
  </si>
  <si>
    <t>CISZC</t>
  </si>
  <si>
    <t>KROMO</t>
  </si>
  <si>
    <r>
      <t>Citogenetika, kariotipizálás</t>
    </r>
    <r>
      <rPr>
        <b/>
        <vertAlign val="superscript"/>
        <sz val="11"/>
        <color theme="4" tint="-0.249977111117893"/>
        <rFont val="Poppins"/>
        <charset val="238"/>
      </rPr>
      <t>*6</t>
    </r>
  </si>
  <si>
    <t>CK</t>
  </si>
  <si>
    <t>CKMB</t>
  </si>
  <si>
    <t>CLOP</t>
  </si>
  <si>
    <t>CLOST</t>
  </si>
  <si>
    <t>CQ</t>
  </si>
  <si>
    <t>COER</t>
  </si>
  <si>
    <t>CORT</t>
  </si>
  <si>
    <t>Cortizol</t>
  </si>
  <si>
    <t>HLADQ</t>
  </si>
  <si>
    <t>CYF</t>
  </si>
  <si>
    <t>CMV</t>
  </si>
  <si>
    <t>DDI</t>
  </si>
  <si>
    <t>D-Dimer teszt</t>
  </si>
  <si>
    <t>VDRTPC</t>
  </si>
  <si>
    <t>DAO</t>
  </si>
  <si>
    <t>DEAS</t>
  </si>
  <si>
    <t>DHEA-szulfát (DHEA-S)</t>
  </si>
  <si>
    <t>DIG</t>
  </si>
  <si>
    <t>DHT</t>
  </si>
  <si>
    <t>DS</t>
  </si>
  <si>
    <t>EVIT</t>
  </si>
  <si>
    <t>ECHI</t>
  </si>
  <si>
    <t>EMAAG</t>
  </si>
  <si>
    <t>ENAP</t>
  </si>
  <si>
    <t>GALLEN</t>
  </si>
  <si>
    <t>EBV</t>
  </si>
  <si>
    <t>EPO</t>
  </si>
  <si>
    <t>INTOL108</t>
  </si>
  <si>
    <r>
      <t xml:space="preserve">Ételintolerancia 108 tápanyagra, 127 összetevőre </t>
    </r>
    <r>
      <rPr>
        <b/>
        <vertAlign val="superscript"/>
        <sz val="11"/>
        <color theme="4" tint="-0.249977111117893"/>
        <rFont val="Poppins"/>
        <charset val="238"/>
      </rPr>
      <t>15b</t>
    </r>
  </si>
  <si>
    <t>ELFO</t>
  </si>
  <si>
    <t>FERR</t>
  </si>
  <si>
    <t>FIBR</t>
  </si>
  <si>
    <t>FOLS</t>
  </si>
  <si>
    <t>APSAG</t>
  </si>
  <si>
    <t>APSAM</t>
  </si>
  <si>
    <t>FOSZ</t>
  </si>
  <si>
    <t>Foszfor (P)</t>
  </si>
  <si>
    <t>FRU</t>
  </si>
  <si>
    <t>FT3</t>
  </si>
  <si>
    <t>FT4</t>
  </si>
  <si>
    <t>GAD</t>
  </si>
  <si>
    <t>GANG</t>
  </si>
  <si>
    <t>GARDPCR</t>
  </si>
  <si>
    <t>ATOPOBIUM_GARDNE</t>
  </si>
  <si>
    <t>GAST</t>
  </si>
  <si>
    <t>GLUT</t>
  </si>
  <si>
    <t>GOT (AST)</t>
  </si>
  <si>
    <t>GPT (ALT)</t>
  </si>
  <si>
    <t>LTT1</t>
  </si>
  <si>
    <r>
      <t>Gyógyszerallergia 1 gyógyszerre (LTT)</t>
    </r>
    <r>
      <rPr>
        <b/>
        <vertAlign val="superscript"/>
        <sz val="11"/>
        <color theme="4" tint="-0.249977111117893"/>
        <rFont val="Poppins"/>
        <charset val="238"/>
      </rPr>
      <t>*3</t>
    </r>
  </si>
  <si>
    <t>HDL koleszterin</t>
  </si>
  <si>
    <t>SZHP</t>
  </si>
  <si>
    <t>HPGM</t>
  </si>
  <si>
    <t>HGBA1C</t>
  </si>
  <si>
    <t>Hemoglobin A1C (HbA1c)</t>
  </si>
  <si>
    <t>HEMOC</t>
  </si>
  <si>
    <t>HAVM</t>
  </si>
  <si>
    <t>HEPA</t>
  </si>
  <si>
    <t>HBC</t>
  </si>
  <si>
    <t>HBSAG</t>
  </si>
  <si>
    <t>Hepatitis B surface antigén (HBsAg -fertőzés vizsgálata)</t>
  </si>
  <si>
    <t>HBEA</t>
  </si>
  <si>
    <t>HBPCR</t>
  </si>
  <si>
    <t>HCV</t>
  </si>
  <si>
    <t>HCVPCR</t>
  </si>
  <si>
    <t>HEV</t>
  </si>
  <si>
    <t>HSV</t>
  </si>
  <si>
    <t>HSVPCR2</t>
  </si>
  <si>
    <t xml:space="preserve">Herpes Simplex Vírus PCR genitális mintából </t>
  </si>
  <si>
    <t>HIV</t>
  </si>
  <si>
    <t>HIV (HIV 1, 2 antitest+p24 antigén)</t>
  </si>
  <si>
    <t>HLAB27</t>
  </si>
  <si>
    <t>HOMAI</t>
  </si>
  <si>
    <t>HOMA index számolás (éhgyomri vércukor+éhgyomri inzulin)</t>
  </si>
  <si>
    <t>HOMO</t>
  </si>
  <si>
    <t>HSCRP</t>
  </si>
  <si>
    <t>HVTENY</t>
  </si>
  <si>
    <t>HS</t>
  </si>
  <si>
    <t>HPVPCRQ15</t>
  </si>
  <si>
    <t>HPVPCRQ21</t>
  </si>
  <si>
    <t>HPVPCR</t>
  </si>
  <si>
    <t>HMIKRO</t>
  </si>
  <si>
    <r>
      <t>Hüvelyi mikrobiom</t>
    </r>
    <r>
      <rPr>
        <b/>
        <vertAlign val="superscript"/>
        <sz val="11"/>
        <color theme="4" tint="-0.249977111117893"/>
        <rFont val="Poppins"/>
        <charset val="238"/>
      </rPr>
      <t>*3</t>
    </r>
  </si>
  <si>
    <t>HKEN</t>
  </si>
  <si>
    <t>HTENY</t>
  </si>
  <si>
    <t>IA2</t>
  </si>
  <si>
    <t>DIABCS</t>
  </si>
  <si>
    <t>IGA</t>
  </si>
  <si>
    <t>IGE</t>
  </si>
  <si>
    <t>IGG</t>
  </si>
  <si>
    <t>IGAL</t>
  </si>
  <si>
    <t>IGM</t>
  </si>
  <si>
    <t>PROTPCR</t>
  </si>
  <si>
    <t>IL6</t>
  </si>
  <si>
    <t xml:space="preserve">IL-6 (interleukin 6) </t>
  </si>
  <si>
    <t>FIXI</t>
  </si>
  <si>
    <t>COMB PCR</t>
  </si>
  <si>
    <t>INH20UJ</t>
  </si>
  <si>
    <r>
      <t>Inhalatív allergiapanel 20 allergénnel</t>
    </r>
    <r>
      <rPr>
        <b/>
        <vertAlign val="superscript"/>
        <sz val="11"/>
        <color theme="4" tint="-0.249977111117893"/>
        <rFont val="Poppins"/>
        <charset val="238"/>
      </rPr>
      <t>1</t>
    </r>
  </si>
  <si>
    <t>INHB</t>
  </si>
  <si>
    <t>INZ</t>
  </si>
  <si>
    <t>INZ90</t>
  </si>
  <si>
    <t>Inzulin  90 perc</t>
  </si>
  <si>
    <t>INZ120</t>
  </si>
  <si>
    <t>INZ180</t>
  </si>
  <si>
    <t>Inzulin 180 perc</t>
  </si>
  <si>
    <t>INZ30</t>
  </si>
  <si>
    <t>INZ60</t>
  </si>
  <si>
    <t>INZU</t>
  </si>
  <si>
    <t>IGF</t>
  </si>
  <si>
    <t>JOD</t>
  </si>
  <si>
    <t>JODV</t>
  </si>
  <si>
    <t>KVITFR</t>
  </si>
  <si>
    <t>CALC</t>
  </si>
  <si>
    <t>KALC</t>
  </si>
  <si>
    <t>SK</t>
  </si>
  <si>
    <t>KARB</t>
  </si>
  <si>
    <t>KAT</t>
  </si>
  <si>
    <t>KATV</t>
  </si>
  <si>
    <t>KL</t>
  </si>
  <si>
    <t>Klorid</t>
  </si>
  <si>
    <t>KOL</t>
  </si>
  <si>
    <t>CHE</t>
  </si>
  <si>
    <t>KOMBI</t>
  </si>
  <si>
    <r>
      <t>Kombinált allergiapanel 54 allergénnel</t>
    </r>
    <r>
      <rPr>
        <b/>
        <vertAlign val="superscript"/>
        <sz val="11"/>
        <color rgb="FF0053A8"/>
        <rFont val="Poppins"/>
        <charset val="238"/>
      </rPr>
      <t>3</t>
    </r>
  </si>
  <si>
    <t>KOMPLEX_LEGUTI</t>
  </si>
  <si>
    <r>
      <t>Komplex légúti PCR</t>
    </r>
    <r>
      <rPr>
        <b/>
        <vertAlign val="superscript"/>
        <sz val="11"/>
        <color theme="1"/>
        <rFont val="Poppins"/>
        <charset val="238"/>
      </rPr>
      <t>29</t>
    </r>
  </si>
  <si>
    <t>KTENY</t>
  </si>
  <si>
    <t>KOGO</t>
  </si>
  <si>
    <t>KRE</t>
  </si>
  <si>
    <t>LAKTAZ</t>
  </si>
  <si>
    <t>LT</t>
  </si>
  <si>
    <t>Laktózterhelés 3 pontos (0'-60'-120')</t>
  </si>
  <si>
    <t>LT5</t>
  </si>
  <si>
    <t>Laktózterhelés 5 pontos (0'-30'-60'-90'-120')</t>
  </si>
  <si>
    <t xml:space="preserve"> LAMOTR</t>
  </si>
  <si>
    <t>LDL koleszterin</t>
  </si>
  <si>
    <t>LEGV</t>
  </si>
  <si>
    <t>LEGG</t>
  </si>
  <si>
    <t>LEGM</t>
  </si>
  <si>
    <t>LEP</t>
  </si>
  <si>
    <t>LTTEST1</t>
  </si>
  <si>
    <r>
      <t>Limfocita transzformációs teszt (LTT) 1 allergénre</t>
    </r>
    <r>
      <rPr>
        <b/>
        <vertAlign val="superscript"/>
        <sz val="11"/>
        <color theme="1"/>
        <rFont val="Poppins"/>
        <charset val="238"/>
      </rPr>
      <t>*8</t>
    </r>
  </si>
  <si>
    <t>LIP</t>
  </si>
  <si>
    <t>LIPOA</t>
  </si>
  <si>
    <t>PLAC</t>
  </si>
  <si>
    <t>LIT</t>
  </si>
  <si>
    <t>LTTM</t>
  </si>
  <si>
    <r>
      <t>LTT fémekre</t>
    </r>
    <r>
      <rPr>
        <b/>
        <vertAlign val="superscript"/>
        <sz val="11"/>
        <color theme="1"/>
        <rFont val="Poppins"/>
        <charset val="238"/>
      </rPr>
      <t>17, *3</t>
    </r>
  </si>
  <si>
    <t>LTTKZ</t>
  </si>
  <si>
    <r>
      <t>LTT fogászati kerámiára, cementre és fémekre</t>
    </r>
    <r>
      <rPr>
        <b/>
        <vertAlign val="superscript"/>
        <sz val="11"/>
        <color theme="1"/>
        <rFont val="Poppins"/>
        <charset val="238"/>
      </rPr>
      <t>16a</t>
    </r>
  </si>
  <si>
    <t>LTTKOMB</t>
  </si>
  <si>
    <r>
      <t>LTT fogászati kombinált vizsgálat</t>
    </r>
    <r>
      <rPr>
        <b/>
        <vertAlign val="superscript"/>
        <sz val="11"/>
        <color theme="4" tint="-0.249977111117893"/>
        <rFont val="Poppins"/>
        <charset val="238"/>
      </rPr>
      <t>16b</t>
    </r>
  </si>
  <si>
    <t>LTTTI</t>
  </si>
  <si>
    <r>
      <t>LTT titánötvözetekre (titán, vanádium, alumínium, nikkel)</t>
    </r>
    <r>
      <rPr>
        <b/>
        <vertAlign val="superscript"/>
        <sz val="11"/>
        <color theme="1"/>
        <rFont val="Poppins"/>
        <charset val="238"/>
      </rPr>
      <t xml:space="preserve"> *3</t>
    </r>
  </si>
  <si>
    <t>LA</t>
  </si>
  <si>
    <t>C.TRACHOM.LGV</t>
  </si>
  <si>
    <t>HYP</t>
  </si>
  <si>
    <t>MG</t>
  </si>
  <si>
    <t>FIB4</t>
  </si>
  <si>
    <t>Máj fibrózis score</t>
  </si>
  <si>
    <t>MAKROLID_REZ</t>
  </si>
  <si>
    <t>MV</t>
  </si>
  <si>
    <t>MERTI</t>
  </si>
  <si>
    <r>
      <t>Merkaptánok és tioéterek okozta túlérzékenység</t>
    </r>
    <r>
      <rPr>
        <b/>
        <vertAlign val="superscript"/>
        <sz val="11"/>
        <color theme="4" tint="-0.249977111117893"/>
        <rFont val="Poppins"/>
        <charset val="238"/>
      </rPr>
      <t>*3</t>
    </r>
  </si>
  <si>
    <t>METANP</t>
  </si>
  <si>
    <r>
      <t>Metanephrin</t>
    </r>
    <r>
      <rPr>
        <b/>
        <vertAlign val="superscript"/>
        <sz val="11"/>
        <color theme="4" tint="-0.249977111117893"/>
        <rFont val="Poppins"/>
        <charset val="238"/>
      </rPr>
      <t>22</t>
    </r>
  </si>
  <si>
    <t>MOLBUZA</t>
  </si>
  <si>
    <r>
      <t>Molekuláris búzaallergia</t>
    </r>
    <r>
      <rPr>
        <b/>
        <vertAlign val="superscript"/>
        <sz val="11"/>
        <color theme="1"/>
        <rFont val="Poppins"/>
        <charset val="238"/>
      </rPr>
      <t>4</t>
    </r>
  </si>
  <si>
    <t>MOLDIO</t>
  </si>
  <si>
    <r>
      <t>Molekuláris dióallergia</t>
    </r>
    <r>
      <rPr>
        <b/>
        <vertAlign val="superscript"/>
        <sz val="11"/>
        <color theme="1"/>
        <rFont val="Poppins"/>
        <charset val="238"/>
      </rPr>
      <t>5</t>
    </r>
  </si>
  <si>
    <t>MOLFMOGY</t>
  </si>
  <si>
    <r>
      <t>Molekuláris földimogyoró-allergia</t>
    </r>
    <r>
      <rPr>
        <b/>
        <vertAlign val="superscript"/>
        <sz val="11"/>
        <color theme="1"/>
        <rFont val="Poppins"/>
        <charset val="238"/>
      </rPr>
      <t>13</t>
    </r>
  </si>
  <si>
    <t>MOLGYUM</t>
  </si>
  <si>
    <r>
      <t>Molekuláris gyümölcsallergia</t>
    </r>
    <r>
      <rPr>
        <b/>
        <vertAlign val="superscript"/>
        <sz val="11"/>
        <color theme="1"/>
        <rFont val="Poppins"/>
        <charset val="238"/>
      </rPr>
      <t>9</t>
    </r>
  </si>
  <si>
    <t>MOLKESU</t>
  </si>
  <si>
    <r>
      <t>Molekuláris kesudióallergia</t>
    </r>
    <r>
      <rPr>
        <b/>
        <vertAlign val="superscript"/>
        <sz val="11"/>
        <color theme="1"/>
        <rFont val="Poppins"/>
        <charset val="238"/>
      </rPr>
      <t>6</t>
    </r>
  </si>
  <si>
    <t>MOLMACS</t>
  </si>
  <si>
    <r>
      <t>Molekuláris macska hám/szőr allergia</t>
    </r>
    <r>
      <rPr>
        <b/>
        <vertAlign val="superscript"/>
        <sz val="11"/>
        <color theme="1"/>
        <rFont val="Poppins"/>
        <charset val="238"/>
      </rPr>
      <t>11</t>
    </r>
  </si>
  <si>
    <t>MEHA</t>
  </si>
  <si>
    <t>MOLMOGY</t>
  </si>
  <si>
    <r>
      <t>Molekuláris mogyoróallergia</t>
    </r>
    <r>
      <rPr>
        <b/>
        <vertAlign val="superscript"/>
        <sz val="11"/>
        <color theme="1"/>
        <rFont val="Poppins"/>
        <charset val="238"/>
      </rPr>
      <t>7</t>
    </r>
  </si>
  <si>
    <t>MOLRAK</t>
  </si>
  <si>
    <r>
      <t>Molekuláris rákallergia</t>
    </r>
    <r>
      <rPr>
        <b/>
        <vertAlign val="superscript"/>
        <sz val="11"/>
        <color theme="1"/>
        <rFont val="Poppins"/>
        <charset val="238"/>
      </rPr>
      <t>8</t>
    </r>
  </si>
  <si>
    <t>MOLSZOJA</t>
  </si>
  <si>
    <r>
      <t>Molekuláris szójaallergia</t>
    </r>
    <r>
      <rPr>
        <b/>
        <vertAlign val="superscript"/>
        <sz val="11"/>
        <color theme="1"/>
        <rFont val="Poppins"/>
        <charset val="238"/>
      </rPr>
      <t>10</t>
    </r>
  </si>
  <si>
    <t>MOLTOJ</t>
  </si>
  <si>
    <r>
      <t>Molekuláris tojásallergia</t>
    </r>
    <r>
      <rPr>
        <b/>
        <vertAlign val="superscript"/>
        <sz val="11"/>
        <color theme="1"/>
        <rFont val="Poppins"/>
        <charset val="238"/>
      </rPr>
      <t>12</t>
    </r>
  </si>
  <si>
    <t>MORB</t>
  </si>
  <si>
    <t>OMRSA</t>
  </si>
  <si>
    <t>TMRSA</t>
  </si>
  <si>
    <t>MRSAB</t>
  </si>
  <si>
    <t>MRSA1</t>
  </si>
  <si>
    <t>MTHFR</t>
  </si>
  <si>
    <t>MUMG</t>
  </si>
  <si>
    <t>MYPCR2</t>
  </si>
  <si>
    <t xml:space="preserve">Mycoplasma genitalium PCR genitális mintából </t>
  </si>
  <si>
    <t>MYHPCR2</t>
  </si>
  <si>
    <t xml:space="preserve">Mycoplasma hominis PCR genitális mintából </t>
  </si>
  <si>
    <t>MPGAM</t>
  </si>
  <si>
    <t>MOGS</t>
  </si>
  <si>
    <t>SNA</t>
  </si>
  <si>
    <t>GOPCR2</t>
  </si>
  <si>
    <t>GOPCRV</t>
  </si>
  <si>
    <r>
      <t>Neisseria gonorrhoea (vizelet) PCR vizsgálat</t>
    </r>
    <r>
      <rPr>
        <b/>
        <vertAlign val="superscript"/>
        <sz val="11"/>
        <color theme="1"/>
        <rFont val="Poppins"/>
        <charset val="238"/>
      </rPr>
      <t>*5</t>
    </r>
  </si>
  <si>
    <t>NIFTY</t>
  </si>
  <si>
    <r>
      <t>NIFTY (NIPD anyai vérből)</t>
    </r>
    <r>
      <rPr>
        <b/>
        <vertAlign val="superscript"/>
        <sz val="11"/>
        <color theme="1"/>
        <rFont val="Poppins"/>
        <charset val="238"/>
      </rPr>
      <t>*3</t>
    </r>
  </si>
  <si>
    <t>NKAKT</t>
  </si>
  <si>
    <r>
      <t>NK lymphocyta funkció</t>
    </r>
    <r>
      <rPr>
        <b/>
        <vertAlign val="superscript"/>
        <sz val="11"/>
        <color theme="1"/>
        <rFont val="Poppins"/>
        <charset val="238"/>
      </rPr>
      <t>*6</t>
    </r>
  </si>
  <si>
    <t>NHDL</t>
  </si>
  <si>
    <t>HGH</t>
  </si>
  <si>
    <t>NSE (Neuronspecifikus enoláz)</t>
  </si>
  <si>
    <t>NTPRO</t>
  </si>
  <si>
    <t>NUTR20UJ</t>
  </si>
  <si>
    <r>
      <t>Nutritív allergiapanel 20 allergénnel</t>
    </r>
    <r>
      <rPr>
        <b/>
        <vertAlign val="superscript"/>
        <sz val="11"/>
        <color theme="4" tint="-0.249977111117893"/>
        <rFont val="Poppins"/>
        <charset val="238"/>
      </rPr>
      <t>2</t>
    </r>
  </si>
  <si>
    <t>ONDOB</t>
  </si>
  <si>
    <t>ONKO</t>
  </si>
  <si>
    <r>
      <t>Onkoneuronális antitest profil (Hu, Yo, Ri, CV2, Amphiphysin, Ma2/Ta)</t>
    </r>
    <r>
      <rPr>
        <b/>
        <vertAlign val="superscript"/>
        <sz val="11"/>
        <color theme="4" tint="-0.249977111117893"/>
        <rFont val="Poppins"/>
        <charset val="238"/>
      </rPr>
      <t>23</t>
    </r>
  </si>
  <si>
    <t>OHPV</t>
  </si>
  <si>
    <r>
      <t>Orális HPV PCR vizsgálat</t>
    </r>
    <r>
      <rPr>
        <b/>
        <vertAlign val="superscript"/>
        <sz val="11"/>
        <color theme="4" tint="-0.249977111117893"/>
        <rFont val="Poppins"/>
        <charset val="238"/>
      </rPr>
      <t>21</t>
    </r>
  </si>
  <si>
    <t>OSTD</t>
  </si>
  <si>
    <t>Orális STD (Mycoplasma gen., Chlamydia tra., Neisseria)  PCR</t>
  </si>
  <si>
    <t>ORRV</t>
  </si>
  <si>
    <t>OSTEO</t>
  </si>
  <si>
    <t>OFEH</t>
  </si>
  <si>
    <t>OEST</t>
  </si>
  <si>
    <t>PAIG</t>
  </si>
  <si>
    <t>SZPSE</t>
  </si>
  <si>
    <t>ELASTA</t>
  </si>
  <si>
    <t>INSEL</t>
  </si>
  <si>
    <t>PTH</t>
  </si>
  <si>
    <t>PARVO</t>
  </si>
  <si>
    <t>PAROD</t>
  </si>
  <si>
    <t>PROC</t>
  </si>
  <si>
    <t>PRL</t>
  </si>
  <si>
    <t>PC</t>
  </si>
  <si>
    <t>APROT</t>
  </si>
  <si>
    <t>PSA</t>
  </si>
  <si>
    <t>PSA (Prosztatarák)</t>
  </si>
  <si>
    <t>FPSA</t>
  </si>
  <si>
    <t>PUNKT</t>
  </si>
  <si>
    <t>RANTES</t>
  </si>
  <si>
    <r>
      <t>Rantes teszt</t>
    </r>
    <r>
      <rPr>
        <b/>
        <vertAlign val="superscript"/>
        <sz val="11"/>
        <color theme="1"/>
        <rFont val="Poppins"/>
        <charset val="238"/>
      </rPr>
      <t>*3</t>
    </r>
  </si>
  <si>
    <t>RENS</t>
  </si>
  <si>
    <t>RT3</t>
  </si>
  <si>
    <t>REZ</t>
  </si>
  <si>
    <t>ROMA index (HE4+CA125+kockázatbecslés)</t>
  </si>
  <si>
    <t>RUBV</t>
  </si>
  <si>
    <t>RUBGM</t>
  </si>
  <si>
    <t>S100</t>
  </si>
  <si>
    <t>SARJ</t>
  </si>
  <si>
    <t>COVID19 PCR</t>
  </si>
  <si>
    <t>SARS-CoV-2 RT PCR vizsgálat</t>
  </si>
  <si>
    <t>COVIDBAU</t>
  </si>
  <si>
    <t>SARS-CoV-2 spike RBD  IgG ellenanyag/ SARS CoV2 spike RBD IgG antibody (Beckman MCLIA)</t>
  </si>
  <si>
    <t>1-4</t>
  </si>
  <si>
    <t>VALT</t>
  </si>
  <si>
    <t>SEPT9+</t>
  </si>
  <si>
    <t>Septin 9 + panel – ColonaIQ (Vastagbél tumor szűrés molekuláris teszttel)</t>
  </si>
  <si>
    <t>CW</t>
  </si>
  <si>
    <t>SPERM</t>
  </si>
  <si>
    <t>STDPCR4</t>
  </si>
  <si>
    <r>
      <t>STD 4 panel (Chlamydia, Neisseria, Mycoplasma, Ureoplasma)</t>
    </r>
    <r>
      <rPr>
        <b/>
        <vertAlign val="superscript"/>
        <sz val="11"/>
        <color theme="4" tint="-0.249977111117893"/>
        <rFont val="Poppins"/>
        <charset val="238"/>
      </rPr>
      <t>20d</t>
    </r>
  </si>
  <si>
    <t>SURG</t>
  </si>
  <si>
    <t>SZCALICI</t>
  </si>
  <si>
    <t>KALP</t>
  </si>
  <si>
    <t>SZFP</t>
  </si>
  <si>
    <r>
      <t>Széklet féregpete kimutatás</t>
    </r>
    <r>
      <rPr>
        <b/>
        <vertAlign val="superscript"/>
        <sz val="11"/>
        <color theme="1"/>
        <rFont val="Poppins"/>
        <charset val="238"/>
      </rPr>
      <t>*9</t>
    </r>
  </si>
  <si>
    <t>SZVER</t>
  </si>
  <si>
    <t>M2PK2</t>
  </si>
  <si>
    <t>SZMIKRO</t>
  </si>
  <si>
    <r>
      <t>Széklet mikrobiom</t>
    </r>
    <r>
      <rPr>
        <b/>
        <vertAlign val="superscript"/>
        <sz val="11"/>
        <color theme="4" tint="-0.249977111117893"/>
        <rFont val="Poppins"/>
        <charset val="238"/>
      </rPr>
      <t>*3</t>
    </r>
  </si>
  <si>
    <t>SZGL</t>
  </si>
  <si>
    <t>SZROTA</t>
  </si>
  <si>
    <t>ZONSZ</t>
  </si>
  <si>
    <t>Széklet Zonulin</t>
  </si>
  <si>
    <t>SZTENY</t>
  </si>
  <si>
    <t>SZEL</t>
  </si>
  <si>
    <t>TP</t>
  </si>
  <si>
    <t>SZTR</t>
  </si>
  <si>
    <t>LKS</t>
  </si>
  <si>
    <t>TTGS</t>
  </si>
  <si>
    <t>SUPER</t>
  </si>
  <si>
    <t>ETEL46</t>
  </si>
  <si>
    <r>
      <t>Táplálékintolerancia vizsgálat (46 tápanyag)</t>
    </r>
    <r>
      <rPr>
        <b/>
        <vertAlign val="superscript"/>
        <sz val="11"/>
        <color rgb="FF0053A8"/>
        <rFont val="Poppins"/>
        <charset val="238"/>
      </rPr>
      <t>15a</t>
    </r>
  </si>
  <si>
    <t>ETEL220</t>
  </si>
  <si>
    <t>Táplálékintolerancia vizsgálatok (220+ tápanyag) – Ingyenes dietetikai tanácsadás</t>
  </si>
  <si>
    <t>QUANTI</t>
  </si>
  <si>
    <t>MTEJ</t>
  </si>
  <si>
    <r>
      <t>Tejallergia molekuláris teszt</t>
    </r>
    <r>
      <rPr>
        <b/>
        <vertAlign val="superscript"/>
        <sz val="11"/>
        <color theme="4" tint="-0.249977111117893"/>
        <rFont val="Poppins"/>
        <charset val="238"/>
      </rPr>
      <t>14</t>
    </r>
  </si>
  <si>
    <t>VSTIX</t>
  </si>
  <si>
    <t>TEST</t>
  </si>
  <si>
    <t>Tesztoszteron</t>
  </si>
  <si>
    <t>TH12</t>
  </si>
  <si>
    <r>
      <t>TH1-TH2 citokin dominancia</t>
    </r>
    <r>
      <rPr>
        <b/>
        <vertAlign val="superscript"/>
        <sz val="11"/>
        <color theme="1"/>
        <rFont val="Poppins"/>
        <charset val="238"/>
      </rPr>
      <t>26, *6</t>
    </r>
  </si>
  <si>
    <t>TI</t>
  </si>
  <si>
    <t>F2_F5_MTHFR_2</t>
  </si>
  <si>
    <t>Thrombophylia szűkített genetikai panel (II- Phrothrombin, Leiden, MTHFR_677, MTHR_1298)</t>
  </si>
  <si>
    <t>THY</t>
  </si>
  <si>
    <t>Thyreoglobulin (Pajzsmirigy)</t>
  </si>
  <si>
    <t>TPO</t>
  </si>
  <si>
    <t>TISTM</t>
  </si>
  <si>
    <r>
      <t>Titánérzékenység vizsgálata</t>
    </r>
    <r>
      <rPr>
        <b/>
        <vertAlign val="superscript"/>
        <sz val="11"/>
        <color theme="1"/>
        <rFont val="Poppins"/>
        <charset val="238"/>
      </rPr>
      <t>*3</t>
    </r>
  </si>
  <si>
    <t>TNFA</t>
  </si>
  <si>
    <t>TNF-alfa (tumornekrózis-faktor)</t>
  </si>
  <si>
    <t>TORCH</t>
  </si>
  <si>
    <r>
      <t>Torch Plus Panel</t>
    </r>
    <r>
      <rPr>
        <vertAlign val="superscript"/>
        <sz val="11"/>
        <color theme="1"/>
        <rFont val="Poppins"/>
        <charset val="238"/>
      </rPr>
      <t>28</t>
    </r>
  </si>
  <si>
    <t>TTENY</t>
  </si>
  <si>
    <t>TESTKOMB</t>
  </si>
  <si>
    <t>Totál és szabad tesztoszteron</t>
  </si>
  <si>
    <t>TT3</t>
  </si>
  <si>
    <t>FEM</t>
  </si>
  <si>
    <r>
      <t>Toxikus fémek (vér)</t>
    </r>
    <r>
      <rPr>
        <b/>
        <vertAlign val="superscript"/>
        <sz val="11"/>
        <color theme="1"/>
        <rFont val="Poppins"/>
        <charset val="238"/>
      </rPr>
      <t>19</t>
    </r>
  </si>
  <si>
    <t>TOXO</t>
  </si>
  <si>
    <t>TPA</t>
  </si>
  <si>
    <t>TRF</t>
  </si>
  <si>
    <t>TRFS</t>
  </si>
  <si>
    <t>Transzferrin szaturáció számolás (vas + transzferrin)</t>
  </si>
  <si>
    <t>TREPCR</t>
  </si>
  <si>
    <t xml:space="preserve">Treponema pallidum PCR ár </t>
  </si>
  <si>
    <t>TRIPCR2</t>
  </si>
  <si>
    <t>TRIG</t>
  </si>
  <si>
    <t>TRYP</t>
  </si>
  <si>
    <t>TROP</t>
  </si>
  <si>
    <t>Troponin (high sensitiv-kardiális)</t>
  </si>
  <si>
    <t>TRAK</t>
  </si>
  <si>
    <t>UJSZVCS</t>
  </si>
  <si>
    <t>UREAPLASMA_KOMP</t>
  </si>
  <si>
    <t>LEID</t>
  </si>
  <si>
    <t>VALP</t>
  </si>
  <si>
    <t>VARV</t>
  </si>
  <si>
    <t>VAR</t>
  </si>
  <si>
    <t>VAS</t>
  </si>
  <si>
    <t>THROMBO</t>
  </si>
  <si>
    <t>GLU</t>
  </si>
  <si>
    <t>Vércukor éhgyomri</t>
  </si>
  <si>
    <t>GLUETK</t>
  </si>
  <si>
    <t>Vércukor étkezés után</t>
  </si>
  <si>
    <t>VERCSOP</t>
  </si>
  <si>
    <t>Vérkép (22 paraméterrel)</t>
  </si>
  <si>
    <t>VKR</t>
  </si>
  <si>
    <t>VKCITR</t>
  </si>
  <si>
    <t>Vérkép citrátos vérből (csak thrombocyta)</t>
  </si>
  <si>
    <t>VESE</t>
  </si>
  <si>
    <t>UAMY</t>
  </si>
  <si>
    <t>DELTA</t>
  </si>
  <si>
    <t>UDROGCS</t>
  </si>
  <si>
    <t>UFEH</t>
  </si>
  <si>
    <t>Vizelet fehérje (mennyiségi)</t>
  </si>
  <si>
    <t>UP</t>
  </si>
  <si>
    <t>UGLU</t>
  </si>
  <si>
    <t>UHG</t>
  </si>
  <si>
    <t>UHU</t>
  </si>
  <si>
    <t>UCA</t>
  </si>
  <si>
    <t>UCAKREA</t>
  </si>
  <si>
    <t>UK</t>
  </si>
  <si>
    <t>UKARB</t>
  </si>
  <si>
    <t>UKREA</t>
  </si>
  <si>
    <t>UALB</t>
  </si>
  <si>
    <t>UNA</t>
  </si>
  <si>
    <t>PORFV</t>
  </si>
  <si>
    <t>UPBG</t>
  </si>
  <si>
    <t>VPREG</t>
  </si>
  <si>
    <t>v**</t>
  </si>
  <si>
    <t xml:space="preserve">17-22 </t>
  </si>
  <si>
    <t>VTENYF</t>
  </si>
  <si>
    <t>NYOMU</t>
  </si>
  <si>
    <r>
      <t>Vizelet toxikus fémek panel</t>
    </r>
    <r>
      <rPr>
        <b/>
        <vertAlign val="superscript"/>
        <sz val="11"/>
        <color theme="1"/>
        <rFont val="Poppins"/>
        <charset val="238"/>
      </rPr>
      <t>27</t>
    </r>
  </si>
  <si>
    <t>VLCFA</t>
  </si>
  <si>
    <t>WE</t>
  </si>
  <si>
    <t>Vvt. Süllyedés</t>
  </si>
  <si>
    <t>X- és Y-kromoszóma aneuploidiája</t>
  </si>
  <si>
    <t>ZON</t>
  </si>
  <si>
    <r>
      <t>10 STD kórokozó PCR kimnutatása genitális mintából</t>
    </r>
    <r>
      <rPr>
        <b/>
        <strike/>
        <vertAlign val="superscript"/>
        <sz val="11"/>
        <color theme="1"/>
        <rFont val="Poppins"/>
        <charset val="238"/>
      </rPr>
      <t>20c</t>
    </r>
  </si>
  <si>
    <t>WL Lakossági ár 2024</t>
  </si>
  <si>
    <t>MC Lakossági ár 2025</t>
  </si>
  <si>
    <t>Anti-TPO  (Thyreoidea-peroxidáz elleni antitest)</t>
  </si>
  <si>
    <t>Synlab</t>
  </si>
  <si>
    <t>Corden</t>
  </si>
  <si>
    <t>Kálcium (Ca) (Calcium)</t>
  </si>
  <si>
    <t>Kreatinin + eGFR (Creatinin)</t>
  </si>
  <si>
    <t>CK Kreatin-kináz</t>
  </si>
  <si>
    <r>
      <t>Humán Papilloma Vírus (HPV) PCR 30 szerotípusra (genitális/orális mintából)</t>
    </r>
    <r>
      <rPr>
        <b/>
        <strike/>
        <vertAlign val="superscript"/>
        <sz val="11"/>
        <color theme="4" tint="-0.249977111117893"/>
        <rFont val="Poppins"/>
        <charset val="238"/>
      </rPr>
      <t>21</t>
    </r>
  </si>
  <si>
    <t>LH Luteinizáló hormon</t>
  </si>
  <si>
    <t>Mintavétel típusa</t>
  </si>
  <si>
    <t>Genitális mintavétel</t>
  </si>
  <si>
    <t>fogorvosi</t>
  </si>
  <si>
    <r>
      <t>Periodontitishez kötődő mikrobák DNS analízise, szájüregi mikrobiom</t>
    </r>
    <r>
      <rPr>
        <b/>
        <strike/>
        <vertAlign val="superscript"/>
        <sz val="11"/>
        <color theme="1"/>
        <rFont val="Poppins"/>
        <charset val="238"/>
      </rPr>
      <t>*3</t>
    </r>
  </si>
  <si>
    <t>Procalcitonin / prokalcitonin</t>
  </si>
  <si>
    <t>Prothrombin INR / Protrombin (INR)</t>
  </si>
  <si>
    <t>PSA free (Prosztatarák) / Szabad PSA</t>
  </si>
  <si>
    <t>Reuma faktor / Rheumatoid faktor</t>
  </si>
  <si>
    <r>
      <t>TBC/Quantiferon-TB Gold</t>
    </r>
    <r>
      <rPr>
        <b/>
        <strike/>
        <vertAlign val="superscript"/>
        <sz val="11"/>
        <color theme="4" tint="-0.249977111117893"/>
        <rFont val="Poppins"/>
        <charset val="238"/>
      </rPr>
      <t>*6</t>
    </r>
  </si>
  <si>
    <t>Teljes vizelet + üledék / Általános vizelet+üledék</t>
  </si>
  <si>
    <t>Ureaplasma Komplex vizsgálataink ( U.parvum+ U. urealiticum)</t>
  </si>
  <si>
    <t>Vizelet porfirin frakciók / Vizelet porphyrin frakciók</t>
  </si>
  <si>
    <t>WhiteLab név</t>
  </si>
  <si>
    <t>Medicover kód</t>
  </si>
  <si>
    <t>Medicover név</t>
  </si>
  <si>
    <t>Medicover Partneri ár</t>
  </si>
  <si>
    <t>Medicover kategória</t>
  </si>
  <si>
    <t>Medicover</t>
  </si>
  <si>
    <t>Medicover kémcső</t>
  </si>
  <si>
    <t>Medicover vállalási idő</t>
  </si>
  <si>
    <t>Paciens/Azonosito</t>
  </si>
  <si>
    <t>Paciens/SzuletesiDatum</t>
  </si>
  <si>
    <t>Paciens/SzuletesiHely</t>
  </si>
  <si>
    <t>Paciens/AnyjaNeve</t>
  </si>
  <si>
    <t>Paciens/SzuletesiNev</t>
  </si>
  <si>
    <t>Paciens/Telefon</t>
  </si>
  <si>
    <t>Paciens/Mobiltelefon</t>
  </si>
  <si>
    <t>Paciens/Iranyitoszam</t>
  </si>
  <si>
    <t>Paciens/Telepules</t>
  </si>
  <si>
    <t>Paciens/Cim</t>
  </si>
  <si>
    <t>Paciens/Email</t>
  </si>
  <si>
    <t>Paciens/SzigSzam</t>
  </si>
  <si>
    <t>Paciens/KozgyogyTol</t>
  </si>
  <si>
    <t>Paciens/KozgyogyIg</t>
  </si>
  <si>
    <t>Paciens/KozgyogySzam</t>
  </si>
  <si>
    <t>Paciens/FelvetelDatuma</t>
  </si>
  <si>
    <t>Paciens/UtolsoModositasDatuma</t>
  </si>
  <si>
    <t>Paciens/Nem</t>
  </si>
  <si>
    <t>Budapest</t>
  </si>
  <si>
    <t>férfi</t>
  </si>
  <si>
    <t>Győr</t>
  </si>
  <si>
    <t>nő</t>
  </si>
  <si>
    <t>Esztergom</t>
  </si>
  <si>
    <t>Pilisborosjenő</t>
  </si>
  <si>
    <t>Szolnok</t>
  </si>
  <si>
    <t>Tarján</t>
  </si>
  <si>
    <t>Dunakeszi</t>
  </si>
  <si>
    <t>Miskolc</t>
  </si>
  <si>
    <t>Ináncs</t>
  </si>
  <si>
    <t>Bana</t>
  </si>
  <si>
    <t>Szigetvár</t>
  </si>
  <si>
    <t>Kaposvár</t>
  </si>
  <si>
    <t>Szekszárd</t>
  </si>
  <si>
    <t>Szentendre</t>
  </si>
  <si>
    <t>Sarkad</t>
  </si>
  <si>
    <t>Szada</t>
  </si>
  <si>
    <t>Szombathely</t>
  </si>
  <si>
    <t>Heves</t>
  </si>
  <si>
    <t>Budakeszi</t>
  </si>
  <si>
    <t>Fót</t>
  </si>
  <si>
    <t>Pilisszántó</t>
  </si>
  <si>
    <t>Jánosháza</t>
  </si>
  <si>
    <t>Gödöllő</t>
  </si>
  <si>
    <t>Balassagyarmat</t>
  </si>
  <si>
    <t>Vecsés</t>
  </si>
  <si>
    <t>Békéscsaba</t>
  </si>
  <si>
    <t>Tura</t>
  </si>
  <si>
    <t>Ráckeve</t>
  </si>
  <si>
    <t>Hévízgyörk</t>
  </si>
  <si>
    <t>Nagykovácsi</t>
  </si>
  <si>
    <t>Dány</t>
  </si>
  <si>
    <t>Salgótarján</t>
  </si>
  <si>
    <t>Jászfényszaru</t>
  </si>
  <si>
    <t>Öttevény</t>
  </si>
  <si>
    <t>Nyíregyháza</t>
  </si>
  <si>
    <t>Dombóvár</t>
  </si>
  <si>
    <t>Abony</t>
  </si>
  <si>
    <t>Tatabánya</t>
  </si>
  <si>
    <t>Kisvárda</t>
  </si>
  <si>
    <t>Záhony</t>
  </si>
  <si>
    <t>Egyházasdengeleg</t>
  </si>
  <si>
    <t>Pilisvörösvár</t>
  </si>
  <si>
    <t>Székesfehérvár</t>
  </si>
  <si>
    <t>Cegléd</t>
  </si>
  <si>
    <t>Gyál</t>
  </si>
  <si>
    <t>Mátészalka</t>
  </si>
  <si>
    <t>Kecskemét</t>
  </si>
  <si>
    <t>Tapolca</t>
  </si>
  <si>
    <t>Parád</t>
  </si>
  <si>
    <t>Pécs</t>
  </si>
  <si>
    <t>Hort</t>
  </si>
  <si>
    <t>Kiskunfélegyháza</t>
  </si>
  <si>
    <t>Hévíz</t>
  </si>
  <si>
    <t>Pápa</t>
  </si>
  <si>
    <t>Dánszentmiklós</t>
  </si>
  <si>
    <t>Érd</t>
  </si>
  <si>
    <t>Verseg</t>
  </si>
  <si>
    <t>Veszprém</t>
  </si>
  <si>
    <t>Makó</t>
  </si>
  <si>
    <t>Ádánd</t>
  </si>
  <si>
    <t>Hatvan</t>
  </si>
  <si>
    <t>Pécel</t>
  </si>
  <si>
    <t>Recsk</t>
  </si>
  <si>
    <t>Dunaújváros</t>
  </si>
  <si>
    <t>Csömör</t>
  </si>
  <si>
    <t>Szigetmonostor</t>
  </si>
  <si>
    <t>Balatonfüred</t>
  </si>
  <si>
    <t>Mohács</t>
  </si>
  <si>
    <t>Bátonyterenye</t>
  </si>
  <si>
    <t>Tahitótfalu</t>
  </si>
  <si>
    <t>Baja</t>
  </si>
  <si>
    <t>Kazincbarcika</t>
  </si>
  <si>
    <t>Mogyoród</t>
  </si>
  <si>
    <t>Tinnye</t>
  </si>
  <si>
    <t>Pásztó</t>
  </si>
  <si>
    <t>Kemence</t>
  </si>
  <si>
    <t>Kiskunhalas</t>
  </si>
  <si>
    <t>Jászboldogháza</t>
  </si>
  <si>
    <t>Ózd</t>
  </si>
  <si>
    <t>Tata</t>
  </si>
  <si>
    <t>Szigethalom</t>
  </si>
  <si>
    <t>Eger</t>
  </si>
  <si>
    <t>Héhalom</t>
  </si>
  <si>
    <t>Tököl</t>
  </si>
  <si>
    <t>Budaörs</t>
  </si>
  <si>
    <t>Debrecen</t>
  </si>
  <si>
    <t>Nagykanizsa</t>
  </si>
  <si>
    <t>Kisnémedi</t>
  </si>
  <si>
    <t>Tabajd</t>
  </si>
  <si>
    <t>Göd</t>
  </si>
  <si>
    <t>Kétsoprony</t>
  </si>
  <si>
    <t>Ófehértó</t>
  </si>
  <si>
    <t>Szomód</t>
  </si>
  <si>
    <t>Nagysáp</t>
  </si>
  <si>
    <t>Zsámbék</t>
  </si>
  <si>
    <t>Újkígyós</t>
  </si>
  <si>
    <t>Szentes</t>
  </si>
  <si>
    <t>Vác</t>
  </si>
  <si>
    <t>Dabas</t>
  </si>
  <si>
    <t>Nagyatád</t>
  </si>
  <si>
    <t>Dorog</t>
  </si>
  <si>
    <t>Pánd</t>
  </si>
  <si>
    <t>Gyügye</t>
  </si>
  <si>
    <t>Jászberény</t>
  </si>
  <si>
    <t>Örkény</t>
  </si>
  <si>
    <t>Kalocsa</t>
  </si>
  <si>
    <t>Komló</t>
  </si>
  <si>
    <t>Pomáz</t>
  </si>
  <si>
    <t>Tiszapüspöki</t>
  </si>
  <si>
    <t>Tolnanémedi</t>
  </si>
  <si>
    <t>Újszilvás</t>
  </si>
  <si>
    <t>Káptalantóti</t>
  </si>
  <si>
    <t>Kővágóörs</t>
  </si>
  <si>
    <t>Körösladány</t>
  </si>
  <si>
    <t>Sopron</t>
  </si>
  <si>
    <t>Ebes</t>
  </si>
  <si>
    <t>Nagyesztergár</t>
  </si>
  <si>
    <t>Kóka</t>
  </si>
  <si>
    <t>Dunaharaszti</t>
  </si>
  <si>
    <t>Fényeslitke</t>
  </si>
  <si>
    <t>Kistelek</t>
  </si>
  <si>
    <t>Kiskunlacháza</t>
  </si>
  <si>
    <t>Siófok</t>
  </si>
  <si>
    <t>Sátoraljaújhely</t>
  </si>
  <si>
    <t>Diósd</t>
  </si>
  <si>
    <t>Zalaegerszeg</t>
  </si>
  <si>
    <t>Kosd</t>
  </si>
  <si>
    <t>Albertirsa</t>
  </si>
  <si>
    <t>Mende</t>
  </si>
  <si>
    <t>Tokodaltáró</t>
  </si>
  <si>
    <t>Diósjenő</t>
  </si>
  <si>
    <t>Vértestolna</t>
  </si>
  <si>
    <t>Nagykáta</t>
  </si>
  <si>
    <t>Rácalmás</t>
  </si>
  <si>
    <t>Szeged</t>
  </si>
  <si>
    <t>Orosháza</t>
  </si>
  <si>
    <t>Gyula</t>
  </si>
  <si>
    <t>Mártély</t>
  </si>
  <si>
    <t>Kisújszállás</t>
  </si>
  <si>
    <t>Budakalász</t>
  </si>
  <si>
    <t>Oroszlány</t>
  </si>
  <si>
    <t>Gyömrő</t>
  </si>
  <si>
    <t>Nagymaros</t>
  </si>
  <si>
    <t>Vácduka</t>
  </si>
  <si>
    <t>Szárföld</t>
  </si>
  <si>
    <t>Garáb</t>
  </si>
  <si>
    <t>Vácrátót</t>
  </si>
  <si>
    <t>Iklad</t>
  </si>
  <si>
    <t>Kunszentmárton</t>
  </si>
  <si>
    <t>Pilisszentiván</t>
  </si>
  <si>
    <t>Üllő</t>
  </si>
  <si>
    <t>Leányfalu</t>
  </si>
  <si>
    <t>Berettyóújfalu</t>
  </si>
  <si>
    <t>Tiszaföldvár</t>
  </si>
  <si>
    <t>Mecsekpölöske</t>
  </si>
  <si>
    <t>Sóskút</t>
  </si>
  <si>
    <t>Domoszló</t>
  </si>
  <si>
    <t>Lesencefalu</t>
  </si>
  <si>
    <t>Kozárd</t>
  </si>
  <si>
    <t>Bátorliget</t>
  </si>
  <si>
    <t>Csorna</t>
  </si>
  <si>
    <t>Üröm</t>
  </si>
  <si>
    <t>Veresegyház</t>
  </si>
  <si>
    <t>Sárkeresztúr</t>
  </si>
  <si>
    <t>Apc</t>
  </si>
  <si>
    <t>Sükösd</t>
  </si>
  <si>
    <t>Újhartyán</t>
  </si>
  <si>
    <t>Sokorópátka</t>
  </si>
  <si>
    <t>Kátoly</t>
  </si>
  <si>
    <t>Körmend</t>
  </si>
  <si>
    <t>Mezőtúr</t>
  </si>
  <si>
    <t>Szigetszentmiklós</t>
  </si>
  <si>
    <t>Bicske</t>
  </si>
  <si>
    <t>Tiszakécske</t>
  </si>
  <si>
    <t>Sződ</t>
  </si>
  <si>
    <t>Pusztaszabolcs</t>
  </si>
  <si>
    <t>Tóalmás</t>
  </si>
  <si>
    <t>Bócsa</t>
  </si>
  <si>
    <t>Keszthely</t>
  </si>
  <si>
    <t>Kunhegyes</t>
  </si>
  <si>
    <t>Tiszagyenda</t>
  </si>
  <si>
    <t>Nyírbátor</t>
  </si>
  <si>
    <t>Szentpéterszeg</t>
  </si>
  <si>
    <t>Olaszfalu</t>
  </si>
  <si>
    <t>Törökbálint</t>
  </si>
  <si>
    <t>Nagyréde</t>
  </si>
  <si>
    <t>Mezőkövesd</t>
  </si>
  <si>
    <t>Balatonboglár</t>
  </si>
  <si>
    <t>Solymár</t>
  </si>
  <si>
    <t>Bercel</t>
  </si>
  <si>
    <t>Isaszeg</t>
  </si>
  <si>
    <t>Százhalombatta</t>
  </si>
  <si>
    <t>Monor</t>
  </si>
  <si>
    <t>Gyöngyös</t>
  </si>
  <si>
    <t>Kartal</t>
  </si>
  <si>
    <t>Tállya</t>
  </si>
  <si>
    <t>Káld</t>
  </si>
  <si>
    <t>Pilis</t>
  </si>
  <si>
    <t>Terpes</t>
  </si>
  <si>
    <t>Hódmezővásárhely</t>
  </si>
  <si>
    <t>Balatonszemes</t>
  </si>
  <si>
    <t>Galgamácsa</t>
  </si>
  <si>
    <t>Verőce</t>
  </si>
  <si>
    <t>Petőfiszállás</t>
  </si>
  <si>
    <t>Csongrád</t>
  </si>
  <si>
    <t>Szabadbattyán</t>
  </si>
  <si>
    <t>Aszód</t>
  </si>
  <si>
    <t>Ceglédbercel</t>
  </si>
  <si>
    <t>Szécsényfelfalu</t>
  </si>
  <si>
    <t>Fehérgyarmat</t>
  </si>
  <si>
    <t>Karcag</t>
  </si>
  <si>
    <t>Feked</t>
  </si>
  <si>
    <t>Pócsmegyer</t>
  </si>
  <si>
    <t>Barcs</t>
  </si>
  <si>
    <t>Szögliget</t>
  </si>
  <si>
    <t>Jászfelsőszentgyörgy</t>
  </si>
  <si>
    <t>Pirtó</t>
  </si>
  <si>
    <t>Felsőnyárád</t>
  </si>
  <si>
    <t>Szeghalom</t>
  </si>
  <si>
    <t>Adács</t>
  </si>
  <si>
    <t>Komádi</t>
  </si>
  <si>
    <t>Csobánka</t>
  </si>
  <si>
    <t>Csabdi</t>
  </si>
  <si>
    <t>Dömsöd</t>
  </si>
  <si>
    <t>Devecser</t>
  </si>
  <si>
    <t>Komárom</t>
  </si>
  <si>
    <t>Csécse</t>
  </si>
  <si>
    <t>Győrújfalu</t>
  </si>
  <si>
    <t>Fadd</t>
  </si>
  <si>
    <t>Markaz</t>
  </si>
  <si>
    <t>Galgagyörk</t>
  </si>
  <si>
    <t>Csepreg</t>
  </si>
  <si>
    <t>Váncsod</t>
  </si>
  <si>
    <t>Geszteréd</t>
  </si>
  <si>
    <t>Csemő</t>
  </si>
  <si>
    <t>Prügy</t>
  </si>
  <si>
    <t>Szentgotthárd</t>
  </si>
  <si>
    <t>Erdőkertes</t>
  </si>
  <si>
    <t>Herceghalom</t>
  </si>
  <si>
    <t>Marcali</t>
  </si>
  <si>
    <t>Érsekvadkert</t>
  </si>
  <si>
    <t>Erdőtelek</t>
  </si>
  <si>
    <t>Kistarcsa</t>
  </si>
  <si>
    <t>Mosonmagyaróvár</t>
  </si>
  <si>
    <t>Kiskőrös</t>
  </si>
  <si>
    <t>Nagyhalász</t>
  </si>
  <si>
    <t>Balatonfenyves</t>
  </si>
  <si>
    <t>Csernely</t>
  </si>
  <si>
    <t>Tarjánpuszta</t>
  </si>
  <si>
    <t>Jászapáti</t>
  </si>
  <si>
    <t>Ecser</t>
  </si>
  <si>
    <t>Balatonalmádi</t>
  </si>
  <si>
    <t>Gégény</t>
  </si>
  <si>
    <t>Ajka</t>
  </si>
  <si>
    <t>Alsópetény</t>
  </si>
  <si>
    <t>Olaszfa</t>
  </si>
  <si>
    <t>Tolna</t>
  </si>
  <si>
    <t>Vaja</t>
  </si>
  <si>
    <t>Balmazújváros</t>
  </si>
  <si>
    <t>Vámospércs</t>
  </si>
  <si>
    <t>Bábolna</t>
  </si>
  <si>
    <t>Boldog</t>
  </si>
  <si>
    <t>Kántorjánosi</t>
  </si>
  <si>
    <t>Hajdúböszörmény</t>
  </si>
  <si>
    <t>Ladánybene</t>
  </si>
  <si>
    <t>Mezőszilas</t>
  </si>
  <si>
    <t>Mándok</t>
  </si>
  <si>
    <t>Kemecse</t>
  </si>
  <si>
    <t>Biatorbágy</t>
  </si>
  <si>
    <t>Tápióbicske</t>
  </si>
  <si>
    <t>Tiszanána</t>
  </si>
  <si>
    <t>Szokolya</t>
  </si>
  <si>
    <t>Sárbogárd</t>
  </si>
  <si>
    <t>Sárvár</t>
  </si>
  <si>
    <t>Pilismarót</t>
  </si>
  <si>
    <t>Zamárdi</t>
  </si>
  <si>
    <t>Fehértó</t>
  </si>
  <si>
    <t>Kompolt</t>
  </si>
  <si>
    <t>Pétfürdő</t>
  </si>
  <si>
    <t>Nyúl</t>
  </si>
  <si>
    <t>Tiszafüred</t>
  </si>
  <si>
    <t>Vál</t>
  </si>
  <si>
    <t>Debercsény</t>
  </si>
  <si>
    <t>Várpalota</t>
  </si>
  <si>
    <t>Palotás</t>
  </si>
  <si>
    <t>Csévharaszt</t>
  </si>
  <si>
    <t>Ócsa</t>
  </si>
  <si>
    <t>Rimóc</t>
  </si>
  <si>
    <t>Litke</t>
  </si>
  <si>
    <t>Békés</t>
  </si>
  <si>
    <t>Sárisáp</t>
  </si>
  <si>
    <t>Őrbottyán</t>
  </si>
  <si>
    <t>Homokmégy</t>
  </si>
  <si>
    <t>Réde</t>
  </si>
  <si>
    <t>Páty</t>
  </si>
  <si>
    <t>Nagymányok</t>
  </si>
  <si>
    <t>Hajdúszoboszló</t>
  </si>
  <si>
    <t>Bajót</t>
  </si>
  <si>
    <t>Jászárokszállás</t>
  </si>
  <si>
    <t>Pusztamonostor</t>
  </si>
  <si>
    <t>Remeteszőlős</t>
  </si>
  <si>
    <t>Kevermes</t>
  </si>
  <si>
    <t>Dunaföldvár</t>
  </si>
  <si>
    <t>Parádsasvár</t>
  </si>
  <si>
    <t>Tiszajenő</t>
  </si>
  <si>
    <t>Szentmártonkáta</t>
  </si>
  <si>
    <t>Vácszentlászló</t>
  </si>
  <si>
    <t>Bucsa</t>
  </si>
  <si>
    <t>Üllés</t>
  </si>
  <si>
    <t>Szabadszállás</t>
  </si>
  <si>
    <t>Újszentiván</t>
  </si>
  <si>
    <t>Bősárkány</t>
  </si>
  <si>
    <t>Csány</t>
  </si>
  <si>
    <t>Maglód</t>
  </si>
  <si>
    <t>Vásárosnamény</t>
  </si>
  <si>
    <t>Homokbödöge</t>
  </si>
  <si>
    <t>Dusnok</t>
  </si>
  <si>
    <t>Nagyszentjános</t>
  </si>
  <si>
    <t>Alsónémedi</t>
  </si>
  <si>
    <t>Úri</t>
  </si>
  <si>
    <t>Telki</t>
  </si>
  <si>
    <t>Kiskorpád</t>
  </si>
  <si>
    <t>Szár</t>
  </si>
  <si>
    <t>Bonyhád</t>
  </si>
  <si>
    <t>Borsodszirák</t>
  </si>
  <si>
    <t>Halásztelek</t>
  </si>
  <si>
    <t>Sárhida</t>
  </si>
  <si>
    <t>Püspökladány</t>
  </si>
  <si>
    <t>Mór</t>
  </si>
  <si>
    <t>Hajdúsámson</t>
  </si>
  <si>
    <t>Sződliget</t>
  </si>
  <si>
    <t>Bánk</t>
  </si>
  <si>
    <t>Paks</t>
  </si>
  <si>
    <t>Törökszentmiklós</t>
  </si>
  <si>
    <t>Szegvár</t>
  </si>
  <si>
    <t>Koroncó</t>
  </si>
  <si>
    <t>Izsák</t>
  </si>
  <si>
    <t>Szigetbecse</t>
  </si>
  <si>
    <t>Csanádpalota</t>
  </si>
  <si>
    <t>Bihartorda</t>
  </si>
  <si>
    <t>Nagyszénás</t>
  </si>
  <si>
    <t>Székkutas</t>
  </si>
  <si>
    <t>Lesenceistvánd</t>
  </si>
  <si>
    <t>Vértesszőlős</t>
  </si>
  <si>
    <t>Hajdúhadház</t>
  </si>
  <si>
    <t>Felcsút</t>
  </si>
  <si>
    <t>Simontornya</t>
  </si>
  <si>
    <t>Tárnok</t>
  </si>
  <si>
    <t>Kótaj</t>
  </si>
  <si>
    <t>Buzsák</t>
  </si>
  <si>
    <t>Tass</t>
  </si>
  <si>
    <t>Tiszakarád</t>
  </si>
  <si>
    <t>Murakeresztúr</t>
  </si>
  <si>
    <t>Tápiószentmárton</t>
  </si>
  <si>
    <t>Tápiószele</t>
  </si>
  <si>
    <t>Taliándörögd</t>
  </si>
  <si>
    <t>Szamosangyalos</t>
  </si>
  <si>
    <t>Bácsalmás</t>
  </si>
  <si>
    <t>Füzérkomlós</t>
  </si>
  <si>
    <t>Nagyút</t>
  </si>
  <si>
    <t>Nyíradony</t>
  </si>
  <si>
    <t>Kismaros</t>
  </si>
  <si>
    <t>Etyek</t>
  </si>
  <si>
    <t>Délegyháza</t>
  </si>
  <si>
    <t>Nagytarcsa</t>
  </si>
  <si>
    <t>Boldogkőváralja</t>
  </si>
  <si>
    <t>Mád</t>
  </si>
  <si>
    <t>Balatonakarattya</t>
  </si>
  <si>
    <t>Kisecset</t>
  </si>
  <si>
    <t>Galgaguta</t>
  </si>
  <si>
    <t>Csanádapáca</t>
  </si>
  <si>
    <t>Győrszemere</t>
  </si>
  <si>
    <t>Hegymagas</t>
  </si>
  <si>
    <t>Pilisszentkereszt</t>
  </si>
  <si>
    <t>Tarnaméra</t>
  </si>
  <si>
    <t>Kecel</t>
  </si>
  <si>
    <t>Patvarc</t>
  </si>
  <si>
    <t>Tés</t>
  </si>
  <si>
    <t>Tordas</t>
  </si>
  <si>
    <t>Alattyán</t>
  </si>
  <si>
    <t>Besnyő</t>
  </si>
  <si>
    <t>Tápiószecső</t>
  </si>
  <si>
    <t>Felsőpakony</t>
  </si>
  <si>
    <t>Abádszalók</t>
  </si>
  <si>
    <t>Sajólád</t>
  </si>
  <si>
    <t>Kaposfő</t>
  </si>
  <si>
    <t>Kissomlyó</t>
  </si>
  <si>
    <t>Dombrád</t>
  </si>
  <si>
    <t>Lengyeltóti</t>
  </si>
  <si>
    <t>Kulcs</t>
  </si>
  <si>
    <t>Galgahévíz</t>
  </si>
  <si>
    <t>Tiszapalkonya</t>
  </si>
  <si>
    <t>Piliscsév</t>
  </si>
  <si>
    <t>Sárospatak</t>
  </si>
  <si>
    <t>Bojt</t>
  </si>
  <si>
    <t>Kesztölc</t>
  </si>
  <si>
    <t>Abaújszántó</t>
  </si>
  <si>
    <t>Nagykőrös</t>
  </si>
  <si>
    <t>Pusztavacs</t>
  </si>
  <si>
    <t>Vámosoroszi</t>
  </si>
  <si>
    <t>Domony</t>
  </si>
  <si>
    <t>Kőszeg</t>
  </si>
  <si>
    <t>Tát</t>
  </si>
  <si>
    <t>Kárász</t>
  </si>
  <si>
    <t>Kozármisleny</t>
  </si>
  <si>
    <t>Dunavarsány</t>
  </si>
  <si>
    <t>Sajóecseg</t>
  </si>
  <si>
    <t>Áporka</t>
  </si>
  <si>
    <t>Bekecs</t>
  </si>
  <si>
    <t>Taksony</t>
  </si>
  <si>
    <t>Vállaj</t>
  </si>
  <si>
    <t>Mezőhegyes</t>
  </si>
  <si>
    <t>Tarnabod</t>
  </si>
  <si>
    <t>Kunmadaras</t>
  </si>
  <si>
    <t>Zebegény</t>
  </si>
  <si>
    <t>Herend</t>
  </si>
  <si>
    <t>Kéthely</t>
  </si>
  <si>
    <t>Tök</t>
  </si>
  <si>
    <t>Szajol</t>
  </si>
  <si>
    <t>Dédestapolcsány</t>
  </si>
  <si>
    <t>Kuncsorba</t>
  </si>
  <si>
    <t>Monorierdő</t>
  </si>
  <si>
    <t>Telefon:                 +36 20 3443733</t>
  </si>
  <si>
    <t>E-mail:      rendelo@visegradi40.hu</t>
  </si>
  <si>
    <t>VÉRVÉTELI PONT:                 1132 Budapest Visegrádi utca 40.</t>
  </si>
  <si>
    <t>A Privát Doktor Zrt. honlapján található Adatkezelési Tájékoztatót/Adatkezelési Szabályzatot elolvastam, az abban foglaltakat megértettem és tudomásul vettem; Ennek alapján jelen nyilatkozat aláírásával kifejezetten és önkéntesen, szabad akarat elhatározásomból hozzájárulok személyes és egészségügyi adataim megismeréséhez és ahhoz, hogy azokat a Privát Doktor Zrt. a jogszabályokban előírt és a szükséges mértékben és időtartamban kezelje. Hozzájárulok, hogy a Privát Doktor Zrt. megadott személyazonosító adataimat, illetve a vizsgálattal kapott adatokat együttesen, a vonatkozó adatvédelmi jogszabályok követelményeinek megfelelően kezelje. Tudomásul veszem, hogy adataim az EESZT rendszerbe, a vonatkozó jogszabályok szerint feltöltésre kerülnek.</t>
  </si>
  <si>
    <t>A Privát Doktor Zrt. törvényi kötelezettsége az elvégzett vizsgálat leleteinek az Elektronikus Egészségügyi Szolgáltatási Tér rendszerébe való feltöltés, melynek technikai feltétele az általam megadott TAJ szám megléte. Tudomásul veszem, hogy abban az esetben, ha a TAJ számomat nem adom meg, úgy erre a felületre leletem nem kerül feltöltésre.</t>
  </si>
  <si>
    <t>A Privát Doktor Zrt. (székhely: 1132 Budapest, Visegrádi u. 40. Cg.: 01-10-045987) magánegészségügyi ellátást nyújt, laboratóriumi diagnosztika szakterületen, Budapesten. A laborvizsgálatokat a Privát Doktor Zrt. közreműködőjének akkreditált laborjában szakorvosok és egészségügyi végzettséggel rendelkező szakasszisztensek végzik. Labor szűrővizsgálat: olyan laborvizsgálat, amelynek célja a betegség tüneteit nem mutató (tünetmentes) személy esetleges betegségének, vagy kórmegelőző állapotának korai felismerése.</t>
  </si>
  <si>
    <t>CHLAPCR2</t>
  </si>
  <si>
    <t>KOMPLEX_BAKT_RES</t>
  </si>
  <si>
    <t xml:space="preserve">Kreatinin + eGFR </t>
  </si>
  <si>
    <t>MONONUCLEOSIS</t>
  </si>
  <si>
    <t>Mononucleosis EBV-CMV PCR</t>
  </si>
  <si>
    <t>Prothrombin INR</t>
  </si>
  <si>
    <t>PSA free (Prosztatarák)</t>
  </si>
  <si>
    <t>RF</t>
  </si>
  <si>
    <t>Rheumatoid faktor</t>
  </si>
  <si>
    <t xml:space="preserve">SMA (Spinális izomtrófia) hordozósági szűrés </t>
  </si>
  <si>
    <r>
      <t>TBC/Quantiferon-TB Gold</t>
    </r>
    <r>
      <rPr>
        <b/>
        <vertAlign val="superscript"/>
        <sz val="11"/>
        <color theme="4" tint="-0.249977111117893"/>
        <rFont val="Poppins"/>
        <charset val="238"/>
      </rPr>
      <t>*6</t>
    </r>
  </si>
  <si>
    <t>Teljes vizelet + üledék</t>
  </si>
  <si>
    <t>Thyreoidea-peroxidáz elleni antitest (Anti-TPO)</t>
  </si>
  <si>
    <t>Ureplasma Komplex vizsgálataink ( U.parvum+ U. urealiticum)</t>
  </si>
  <si>
    <t>Partner
listaár</t>
  </si>
  <si>
    <t>Kedvezményes/Akciós áron biztosított szolgálatások**</t>
  </si>
  <si>
    <t>Csőtípus</t>
  </si>
  <si>
    <t>Elkészülési idő
(munkanap)</t>
  </si>
  <si>
    <t>Lakossági ár 2025</t>
  </si>
  <si>
    <t>Vizsgálat megnevezése</t>
  </si>
  <si>
    <t>Kiválasztott csőtípusok</t>
  </si>
  <si>
    <t xml:space="preserve">180 perces vércukor </t>
  </si>
  <si>
    <t>180 perces OGTT</t>
  </si>
  <si>
    <t>2 pontos OGTT</t>
  </si>
  <si>
    <t xml:space="preserve">24 órás vizelet cortisol </t>
  </si>
  <si>
    <t>24 órás vizelet kortizol</t>
  </si>
  <si>
    <t>le mehet 2900 ft-ig</t>
  </si>
  <si>
    <t>le mehet 2300-ig</t>
  </si>
  <si>
    <t>le lehet menni: 3300 Ft-ig</t>
  </si>
  <si>
    <t>le lehet menni: 19300 Ft-ig</t>
  </si>
  <si>
    <t>Cl? Klór?</t>
  </si>
  <si>
    <t>? Öntögetős?</t>
  </si>
  <si>
    <t>3800 volt a wl ár</t>
  </si>
  <si>
    <t>2800-5500 között jó</t>
  </si>
  <si>
    <t>Clinomics</t>
  </si>
  <si>
    <r>
      <t>40-es ételintolerancia</t>
    </r>
    <r>
      <rPr>
        <vertAlign val="superscript"/>
        <sz val="11"/>
        <rFont val="Poppins"/>
        <charset val="238"/>
      </rPr>
      <t>15d</t>
    </r>
  </si>
  <si>
    <r>
      <t>Ásványi anyag profil</t>
    </r>
    <r>
      <rPr>
        <vertAlign val="superscript"/>
        <sz val="11"/>
        <rFont val="Poppins"/>
        <charset val="238"/>
      </rPr>
      <t>18</t>
    </r>
  </si>
  <si>
    <r>
      <t>Bazofil granulocita aktivációs teszt (BAT) 1 allergénre</t>
    </r>
    <r>
      <rPr>
        <vertAlign val="superscript"/>
        <sz val="11"/>
        <rFont val="Poppins"/>
        <charset val="238"/>
      </rPr>
      <t>*7</t>
    </r>
  </si>
  <si>
    <r>
      <t>Celluláris immunstatus és NK lymphocyta funkció</t>
    </r>
    <r>
      <rPr>
        <vertAlign val="superscript"/>
        <sz val="11"/>
        <rFont val="Poppins"/>
        <charset val="238"/>
      </rPr>
      <t>25, *6</t>
    </r>
  </si>
  <si>
    <r>
      <t>Celluláris immunstatus</t>
    </r>
    <r>
      <rPr>
        <vertAlign val="superscript"/>
        <sz val="11"/>
        <rFont val="Poppins"/>
        <charset val="238"/>
      </rPr>
      <t>24, *6</t>
    </r>
  </si>
  <si>
    <r>
      <t>Komplex légúti bakteriális kórokozó kimutatás PCR</t>
    </r>
    <r>
      <rPr>
        <vertAlign val="superscript"/>
        <sz val="11"/>
        <rFont val="Dosis-Book"/>
        <charset val="238"/>
      </rPr>
      <t>30</t>
    </r>
  </si>
  <si>
    <r>
      <t>Komplex légúti vírus panel PCR</t>
    </r>
    <r>
      <rPr>
        <vertAlign val="superscript"/>
        <sz val="11"/>
        <rFont val="Poppins"/>
        <charset val="238"/>
      </rPr>
      <t>29</t>
    </r>
  </si>
  <si>
    <r>
      <t>Limfocita transzformációs teszt (LTT) 1 allergénre</t>
    </r>
    <r>
      <rPr>
        <vertAlign val="superscript"/>
        <sz val="11"/>
        <rFont val="Poppins"/>
        <charset val="238"/>
      </rPr>
      <t>*8</t>
    </r>
  </si>
  <si>
    <r>
      <t>LTT fémekre</t>
    </r>
    <r>
      <rPr>
        <vertAlign val="superscript"/>
        <sz val="11"/>
        <rFont val="Poppins"/>
        <charset val="238"/>
      </rPr>
      <t>17, *3</t>
    </r>
  </si>
  <si>
    <r>
      <t>LTT fogászati kerámiára, cementre és fémekre</t>
    </r>
    <r>
      <rPr>
        <vertAlign val="superscript"/>
        <sz val="11"/>
        <rFont val="Poppins"/>
        <charset val="238"/>
      </rPr>
      <t>16a</t>
    </r>
  </si>
  <si>
    <r>
      <t>LTT titánötvözetekre (titán, vanádium, alumínium, nikkel)</t>
    </r>
    <r>
      <rPr>
        <vertAlign val="superscript"/>
        <sz val="11"/>
        <rFont val="Poppins"/>
        <charset val="238"/>
      </rPr>
      <t xml:space="preserve"> *3</t>
    </r>
  </si>
  <si>
    <r>
      <t>Molekuláris búzaallergia</t>
    </r>
    <r>
      <rPr>
        <vertAlign val="superscript"/>
        <sz val="11"/>
        <rFont val="Poppins"/>
        <charset val="238"/>
      </rPr>
      <t>4</t>
    </r>
  </si>
  <si>
    <r>
      <t>Molekuláris dióallergia</t>
    </r>
    <r>
      <rPr>
        <vertAlign val="superscript"/>
        <sz val="11"/>
        <rFont val="Poppins"/>
        <charset val="238"/>
      </rPr>
      <t>5</t>
    </r>
  </si>
  <si>
    <r>
      <t>Molekuláris földimogyoró-allergia</t>
    </r>
    <r>
      <rPr>
        <vertAlign val="superscript"/>
        <sz val="11"/>
        <rFont val="Poppins"/>
        <charset val="238"/>
      </rPr>
      <t>13</t>
    </r>
  </si>
  <si>
    <r>
      <t>Molekuláris gyümölcsallergia</t>
    </r>
    <r>
      <rPr>
        <vertAlign val="superscript"/>
        <sz val="11"/>
        <rFont val="Poppins"/>
        <charset val="238"/>
      </rPr>
      <t>9</t>
    </r>
  </si>
  <si>
    <r>
      <t>Molekuláris kesudióallergia</t>
    </r>
    <r>
      <rPr>
        <vertAlign val="superscript"/>
        <sz val="11"/>
        <rFont val="Poppins"/>
        <charset val="238"/>
      </rPr>
      <t>6</t>
    </r>
  </si>
  <si>
    <r>
      <t>Molekuláris macska hám/szőr allergia</t>
    </r>
    <r>
      <rPr>
        <vertAlign val="superscript"/>
        <sz val="11"/>
        <rFont val="Poppins"/>
        <charset val="238"/>
      </rPr>
      <t>11</t>
    </r>
  </si>
  <si>
    <r>
      <t>Molekuláris mogyoróallergia</t>
    </r>
    <r>
      <rPr>
        <vertAlign val="superscript"/>
        <sz val="11"/>
        <rFont val="Poppins"/>
        <charset val="238"/>
      </rPr>
      <t>7</t>
    </r>
  </si>
  <si>
    <r>
      <t>Molekuláris rákallergia</t>
    </r>
    <r>
      <rPr>
        <vertAlign val="superscript"/>
        <sz val="11"/>
        <rFont val="Poppins"/>
        <charset val="238"/>
      </rPr>
      <t>8</t>
    </r>
  </si>
  <si>
    <r>
      <t>Molekuláris szójaallergia</t>
    </r>
    <r>
      <rPr>
        <vertAlign val="superscript"/>
        <sz val="11"/>
        <rFont val="Poppins"/>
        <charset val="238"/>
      </rPr>
      <t>10</t>
    </r>
  </si>
  <si>
    <r>
      <t>Molekuláris tojásallergia</t>
    </r>
    <r>
      <rPr>
        <vertAlign val="superscript"/>
        <sz val="11"/>
        <rFont val="Poppins"/>
        <charset val="238"/>
      </rPr>
      <t>12</t>
    </r>
  </si>
  <si>
    <r>
      <t>Neisseria gonorrhoea (vizelet) PCR vizsgálat</t>
    </r>
    <r>
      <rPr>
        <vertAlign val="superscript"/>
        <sz val="11"/>
        <rFont val="Poppins"/>
        <charset val="238"/>
      </rPr>
      <t>*5</t>
    </r>
  </si>
  <si>
    <r>
      <t>NIFTY (NIPD anyai vérből)</t>
    </r>
    <r>
      <rPr>
        <vertAlign val="superscript"/>
        <sz val="11"/>
        <rFont val="Poppins"/>
        <charset val="238"/>
      </rPr>
      <t>*3</t>
    </r>
  </si>
  <si>
    <r>
      <t>NK lymphocyta funkció</t>
    </r>
    <r>
      <rPr>
        <vertAlign val="superscript"/>
        <sz val="11"/>
        <rFont val="Poppins"/>
        <charset val="238"/>
      </rPr>
      <t>*6</t>
    </r>
  </si>
  <si>
    <r>
      <t>Kombinált allergiapanel 54 allergénnel</t>
    </r>
    <r>
      <rPr>
        <b/>
        <vertAlign val="superscript"/>
        <sz val="11"/>
        <color theme="4" tint="-0.249977111117893"/>
        <rFont val="Poppins"/>
        <charset val="238"/>
      </rPr>
      <t>3</t>
    </r>
  </si>
  <si>
    <r>
      <t>Rantes teszt</t>
    </r>
    <r>
      <rPr>
        <vertAlign val="superscript"/>
        <sz val="11"/>
        <rFont val="Poppins"/>
        <charset val="238"/>
      </rPr>
      <t>*3</t>
    </r>
  </si>
  <si>
    <r>
      <t>STD 4 panel (Chlamydia, Neisseria, Mycoplasma, Ureoplasma)</t>
    </r>
    <r>
      <rPr>
        <vertAlign val="superscript"/>
        <sz val="11"/>
        <rFont val="Poppins"/>
        <charset val="238"/>
      </rPr>
      <t>20d</t>
    </r>
  </si>
  <si>
    <r>
      <t>Titánérzékenység vizsgálata</t>
    </r>
    <r>
      <rPr>
        <vertAlign val="superscript"/>
        <sz val="11"/>
        <rFont val="Poppins"/>
        <charset val="238"/>
      </rPr>
      <t>*3</t>
    </r>
  </si>
  <si>
    <r>
      <t>Torch Plus Panel</t>
    </r>
    <r>
      <rPr>
        <vertAlign val="superscript"/>
        <sz val="11"/>
        <rFont val="Poppins"/>
        <charset val="238"/>
      </rPr>
      <t>28</t>
    </r>
  </si>
  <si>
    <r>
      <t>Toxikus fémek (vér)</t>
    </r>
    <r>
      <rPr>
        <vertAlign val="superscript"/>
        <sz val="11"/>
        <rFont val="Poppins"/>
        <charset val="238"/>
      </rPr>
      <t>19</t>
    </r>
  </si>
  <si>
    <r>
      <t>Vizelet toxikus fémek panel</t>
    </r>
    <r>
      <rPr>
        <vertAlign val="superscript"/>
        <sz val="11"/>
        <rFont val="Poppins"/>
        <charset val="238"/>
      </rPr>
      <t>27</t>
    </r>
  </si>
  <si>
    <t>Laboratóriumi vizsgálatkérő</t>
  </si>
  <si>
    <t>Kért vizsgálatok</t>
  </si>
  <si>
    <t>Sürgősség:</t>
  </si>
  <si>
    <t>Angol laborlelet:</t>
  </si>
  <si>
    <t>Minta leadási díjat</t>
  </si>
  <si>
    <t>A vérvételi díjat</t>
  </si>
  <si>
    <t>A 2-3 pontos vérvételi díjat</t>
  </si>
  <si>
    <t>Az 5 pontos vérvételi díjat</t>
  </si>
  <si>
    <t>Nő</t>
  </si>
  <si>
    <t>Vizsgálati alcsoport</t>
  </si>
  <si>
    <t>Csontanyagcsere</t>
  </si>
  <si>
    <t>Vizelet calcium</t>
  </si>
  <si>
    <t>Elektrolitok</t>
  </si>
  <si>
    <t>Csontanyagcsere /Elektrolitok</t>
  </si>
  <si>
    <t>Fehérjék / Gyulladásos paraméterek</t>
  </si>
  <si>
    <t>Fertőzés szerológia</t>
  </si>
  <si>
    <t>Immunfunkció</t>
  </si>
  <si>
    <t>Csontanyagcsere / Májfunkció</t>
  </si>
  <si>
    <t>Májfunkció</t>
  </si>
  <si>
    <t>Összbilirubin /totál bilirubin</t>
  </si>
  <si>
    <t>Heamatológia és véralvadás / Gyulladásos paraméterek</t>
  </si>
  <si>
    <t>Pancreas funkció</t>
  </si>
  <si>
    <t>Porphyria diagnosztika</t>
  </si>
  <si>
    <t>Székletvizsgálat</t>
  </si>
  <si>
    <t>Szénhidrát-anyagcsere</t>
  </si>
  <si>
    <t>Szív és keringés</t>
  </si>
  <si>
    <t>Szív / izom</t>
  </si>
  <si>
    <t>Vasanyagcsere</t>
  </si>
  <si>
    <t>Vérzsírok</t>
  </si>
  <si>
    <t>Vesefunkció</t>
  </si>
  <si>
    <t>Vizeletvizsgálat</t>
  </si>
  <si>
    <t>Csontanyagcsere / Vitaminok</t>
  </si>
  <si>
    <t>D vitamin  3800 Ft-ig lemehet!</t>
  </si>
  <si>
    <t>Elektrolitok / Vitaminok, ásványi anyagok és nyomelemek</t>
  </si>
  <si>
    <t xml:space="preserve">  </t>
  </si>
  <si>
    <t>Infekciós szerológia</t>
  </si>
  <si>
    <t>Infekciós szerológia székletből /vérből</t>
  </si>
  <si>
    <t>Preanalitika</t>
  </si>
  <si>
    <t>Napfénytől védeni kell a mintát. Vérvételt követően 30-60 perc elteltével a mintát centrifugálni 1500-3000 g-n 5-10 percig, hűtve tárolni (4-10 °C).</t>
  </si>
  <si>
    <t>A magzati kockázat kérőlap hiánytalan kitöltése szükséges. A terhesség 14. hete után már nem végezhető el a vizsgálat. Az ultrahangos vizsgálat a vérvétel napján vagy az azt megelőző napon kell történjen.</t>
  </si>
  <si>
    <t>Géles cső</t>
  </si>
  <si>
    <t>2 db géles cső</t>
  </si>
  <si>
    <t>Vérvételt követően 30-60 perc elteltével a mintát centrifugálni 1500-3000 g-n 5-10 percig, hűtve tárolni (4-10 °C).</t>
  </si>
  <si>
    <t>0, 120 perces éhgyomri vérvétel szükséges. Csak aznapi mintavétel értékelhető. Vérvételt követően 30-60 perc elteltével a mintát centrifugálni 1500-3000 g-n 5-10 percig, hűtve tárolni (4-10 °C).</t>
  </si>
  <si>
    <t>Vizelet</t>
  </si>
  <si>
    <t>24 órás vizelet esetén a gyűjtés alatt hűtve kell tárolni a mintát. Meg kell adni a vizelet mennyiségét</t>
  </si>
  <si>
    <t>Vizelet (min. 1 L)</t>
  </si>
  <si>
    <t>24 órás vizelet esetén a gyűjtés alatt hűtve kell tárolni a mintát. Meg kell adni a vizelet mennyiségét (minimum 1 liter)</t>
  </si>
  <si>
    <t>0, 60, 120 perces éhgyomri vérvétel szükséges. Csak aznapi mintavétel értékelhető. Vérvételt követően 30-60 perc elteltével a mintát centrifugálni 1500-3000 g-n 5-10 percig, hűtve tárolni (4-10 °C).</t>
  </si>
  <si>
    <t>0, 30, 60, 90, 120 perces éhgyomri vérvétel szükséges. Csak aznapi mintavétel értékelhető. Vérvételt követően 30-60 perc elteltével a mintát centrifugálni 1500-3000 g-n 5-10 percig, hűtve tárolni (4-10 °C).</t>
  </si>
  <si>
    <t>Vérvételt követően a mintát azonnal centrifugálni 1500-3000 g-n 5-10 percig, a plazmát mintavétel után egy új csőbe átmérve azonnal fagyasztani (-20°C) kell és fagyasztva szállítani. A minta, ha a szállításig nem fagy meg, akkor a másnapi szállítással érkezzen az MDK laborba (pénteki mintavétel esetén hétfőn). A vizsgálatokat célszerű mindig önálló kérésben feladni. Éhgyomorra javasolt a mintavétel.</t>
  </si>
  <si>
    <t>Éhgyomri mintavétel szükséges. Vérvételt követően 30-60 perc elteltével a mintát centrifugálni 1500-3000 g-n 5-10 percig, hűtve tárolni (4-10 °C).</t>
  </si>
  <si>
    <t>Csak az ACE-gátlók és diuretikumok abbahagyása után javasolt meghatározni. Vérvétel előtt minimum 30 perces állás vagy fekvés szükséges. Vérvétel után a csövet azonnal centrifugálni, a szérumot leönteni és -20°C-ra fagyasztani szükséges. Fagyasztva szállítandó.</t>
  </si>
  <si>
    <t>Mintavétel után centrifugálni 1000-2000 g-n 15 percig, a plazma felső 2/3-át szekunder csőbe leszívva, a plazmát újracentrifugálni 1000-2000 g-n 15 percig, majd ennek a felső 2/3-át tercier csőbe átszívni. Fagyasztani szükséges. Fagyasztva szállítandó. (Szekunder/tercier cső a labortól igényelhető). Antikoaguláns szedése mellett a vizsgálat nem végezhető el.</t>
  </si>
  <si>
    <t>2×1 ml: 1 db citrátos csövet kétszer lefugálni, majd a plazmát két szekunder csőbe áttölteni és lefagyasztani. A szállítás során gondoskodni a minta fagyasztva szállításáról. (Ha az ügyfélnek más véralvadás vizsgálata is van, azokhoz külön citrátos csövet szükséges levenni!) A mintavétel időpontja sc. beadás után 3-4 órával, míg iv. beadás után 3-5 nappal történjen!</t>
  </si>
  <si>
    <t>EDTA teljes vér</t>
  </si>
  <si>
    <t>Humángenetikai beleegyező aláírása szükséges. A mintavétel nem igényel előkészületet, nem szükséges éhgyomori vérvétel, de a vizsgálatot megelőzően genetikai belegyezőre van szükség. A minták szállítása és tárolása: 2 °C és 8 °C közötti hőmérsékleten. A humángenetikai vizsgálatokhoz mindig külön EDTA cső szükséges.</t>
  </si>
  <si>
    <t>Éhgyomri mintavétel szükséges.Vérvételt követően 30-60 perc elteltével a mintát centrifugálni 1500-3000 g-n 5-10 percig, hűtve tárolni (4-10 °C).</t>
  </si>
  <si>
    <t>Citrátos teljes vér</t>
  </si>
  <si>
    <t>Csak aznapi mintavétel értékelhető.</t>
  </si>
  <si>
    <t>A csövet nem szabad centrifugálni.</t>
  </si>
  <si>
    <t>A genitális mintát nőgyógyász vagy urológus vegye le. A vizsgálat elvégzésére az ejakulátum nem alkalmas. Medicaretől kapott transzportmédiumba kell belemosni a mintát. Prep-rapid esetén +2-8°C-on 24-48 óráig tárolható, de minél hamarabb be kell küldeni a laboratóriumba. ThinPrep® transzportfolyadék szobahőn 24-48 óráig tárolható, de minél hamarabb be kell küldeni a laboratóriumba.</t>
  </si>
  <si>
    <t>Steril swab transzport táptalajba</t>
  </si>
  <si>
    <t>A mintát steril vattatamponnal kell levenni, majd a tampont belesüllyeszteni a transzportközegbe. A tampont a közegben kell hagyni. Hűteni nem szabad.</t>
  </si>
  <si>
    <t>Heparinos teljes vér</t>
  </si>
  <si>
    <t>A laborral történt előzetes egyeztetés után CSAK KEDDI napokon, kizárólag aznap vett mintából. Egyeztetés Erdélyi Andrással: andras.erdelyi@medicare-group.hu</t>
  </si>
  <si>
    <t>A mintavételt követően a mintát centrifugálni, a felülúszót szekunder csőbe átmérni, a mintát fagyasztani szükséges, majd a másnapi szállítással fagyasztva kell küldeni. </t>
  </si>
  <si>
    <t>Napfénytől védeni kell a mintát. Éhgyomri mintavétel szükséges. Vérvételt követően 30-60 perc elteltével a mintát centrifugálni 1500-3000 g-n 5-10 percig, hűtve tárolni (4-10 °C).</t>
  </si>
  <si>
    <t>Vérvételt követően kb. 30 perc elteltével a mintát centrifugálni 1500-3000 g-n 5-10 percig, szérumot mintavétel után egy új csőbe átmérve azonnal fagyasztani (-20°C) kell és fagyasztva szállítani. A minta, ha a szállításig nem fagy meg, akkor a másnapi szállítással érkezzen az MDK laborba (pénteki mintavétel esetén hétfőn). A vizsgálatokat célszerű mindig önálló kérésben feladni.</t>
  </si>
  <si>
    <t>Stor F transzport médium vagy Prep-rapid</t>
  </si>
  <si>
    <t>A vattapálcával (vagy speciális PCR-mintavevővel) levett klinikai minták steril transzport közegben belemosva, hűtve napokig tárolhatóak a vizsgálat elvégzéséig. Nasopharingeális és oropharyngealis váladék együttese.</t>
  </si>
  <si>
    <t>A vizsgálat történhet vérből vagy a kiszedett kullancsból egyaránt. Utóbbi esetben tiszta edénybe kérjük beküldeni a kullancsot.</t>
  </si>
  <si>
    <t>Humángenetikai beleegyező aláírása szükséges. Humángenetikai kérés önálló EDTA-s csövet igényel.</t>
  </si>
  <si>
    <t>Éhgyomri vérvétel szükséges. Vérvételt követően 30-60 perc elteltével a mintát centrifugálni 1500-3000 g-n 5-10 percig, a szérum azonnal lefagyasztandó. Fagyasztva szállítandó.</t>
  </si>
  <si>
    <t>Pénteken, valamint munkaszüneti napot megelőző munkanapon nem küldhető. A csövet szobahőmérsékleten kell tárolni. A csövet nem szabad centrifugálni.</t>
  </si>
  <si>
    <t>Vérvételt követően 30-60 perc elteltével a mintát centrifugálni 1500-3000 g-n 5-10 percig, a szérum azonnal lefagyasztandó. Fagyasztva szállítandó.</t>
  </si>
  <si>
    <t>Genitális minta</t>
  </si>
  <si>
    <t>A genitális mintát nőgyógyász vagy urológus vegye le. A vizsgálat elvégzésére az ejakulátum nem alkalmas. Medicaretől kapott transzportmédiumba kell belemosni a mintát. Prep-rapid esetén +2-8°C-on 24-48 óráig tárolható, de minél hamarabb be kell küldeni a laboratóriumba. ThinPrep®-et helyettesítő transzportfolyadék szobahőn 24-48 óráig tárolható, de minél hamarabb be kell küldeni a laboratóriumba.</t>
  </si>
  <si>
    <t>Reggeli első vizelet első sugarából 5 ml</t>
  </si>
  <si>
    <t>Reggeli első vizelet első sugarából max. 5 ml, steril vizeletes pohárba. +2-8°C-on 24- 48 óráig tárolható, de minél hamarabb be kell küldeni a laboratóriumba</t>
  </si>
  <si>
    <t>Mintavétel előtt 1 héttel a savszekréció gátló gyógyszer szedése kerülendő. Vérvételt követően 30-60 perc elteltével a mintát centrifugálni 1500-3000 g-n 5-10 percig, hűtve tárolni (4-10 °C).</t>
  </si>
  <si>
    <t>Vérvételt követően 30-60 perc elteltével a mintát centrifugálni 1500-3000 g-n 5-10 percig, hűtve tárolni (4-10 °C). Hemolitikus minta nem értékelhető.</t>
  </si>
  <si>
    <t>3 ml EDTA teljes vér</t>
  </si>
  <si>
    <t>A mintavétel csak hétfőn és szerdán lehetséges. A mintát a mintavétel napján el kell küldeni az MDK laborba. A csövet szobahőmérsékleten kell tárolni, nem szabad centrifugálni. Genetikai beleegyező nyilatkozat szükséges.</t>
  </si>
  <si>
    <t>Széklettartály</t>
  </si>
  <si>
    <t>A kanállal félig, kétharmadig kell tölteni székletet a tartályba. A mintát hűtve kell tárolni.</t>
  </si>
  <si>
    <t>Fénytől védendő. Vérvételt követően 30-60 perc elteltével a mintát centrifugálni 1500-3000 g-n 5-10 percig, hűtve tárolni (4-10 °C).</t>
  </si>
  <si>
    <t>Mintavétel reggel 8 és 10 óra között. Vérvételt követően 30-60 perc elteltével a mintát centrifugálni 1500-3000 g-n 5-10 percig, hűtve tárolni (4-10 °C).</t>
  </si>
  <si>
    <t>Angol nyelvű genetikai beleegyező nyilatkozat szükséges.</t>
  </si>
  <si>
    <t>Vérvételt követően 30-60 perc elteltével a mintát centrifugálni 1500-3000 g-n 5-10 percig, hűtve tárolni (4-10 °C). Hemolizált és icterusos minta vizsgálatra nem alkalmas.</t>
  </si>
  <si>
    <t>Stor F transzport médium</t>
  </si>
  <si>
    <t>Garat/torokváladék levétele szükséges. A mintavétel előtt közvetlenül 1-1,5 órával kerülendő az evés, ivás és egyéb szájhigiénés eszközök, folyadékok használata.</t>
  </si>
  <si>
    <t>Éhgyomri mintavétel. Vérvételt követően 30-60 perc elteltével a mintát centrifugálni 1500- 3000 g-n 5-10 percig, hűtve tárolni (4-10 °C).</t>
  </si>
  <si>
    <t>Csak aznapi mintavétel értékelhető. Vérvételt követően 30-60 perc elteltével a mintát centrifugálni 1500-3000 g-n 5-10 percig, hűtve tárolni (4-10 °C).</t>
  </si>
  <si>
    <t>12 órás éhezés után történő mintavétel szükséges, ajánlott reggeli órákban. Protonpumpa gátló és antihisztamin szerek szedését a vérvétel előtt 1 héttel, az antacidok és anti-kolinerg szereket, kávé fogyasztását pedig 24 órával a vérvétel előtt el kell hagyni. A mintavétel után kb. 30 perc múlva a mintát centrifugálni, szérumot mintavétel után egy új csőbe átmérve azonnal fagyasztani (-20°C) kell és fagyasztva szállítani. A minta, ha a szállításig nem fagy meg, akkor a másnapi szállítással érkezzen az MDK laborba (pénteki mintavétel esetén hétfőn). A vizsgálatokat célszerű mindig önálló kérésben feladni.</t>
  </si>
  <si>
    <t>Az EDTA-s cső hűtve tárolandó és szállítandó.</t>
  </si>
  <si>
    <t>Éhgyomri mintavétel. Csak aznapi mintavétel értékelhető. Vérvételt követően 30-60 perc elteltével a mintát centrifugálni 1500-3000 g-n 5-10 percig, hűtve tárolni (4-10 °C).</t>
  </si>
  <si>
    <t>Speciális mintavevő</t>
  </si>
  <si>
    <t>A mintavétel idejéről és módjáról egyeztetni kell a laborral. Egyeztetés Erdélyi Andrással: andras.erdelyi@medicare-group.hu</t>
  </si>
  <si>
    <t>A mintát szobahőmérsékleten kell tárolni.</t>
  </si>
  <si>
    <t>A mintavételi eszköz a laboratóriumból igényelhető ld. a speciális mintavételi tájékoztatót is. A nem előírás szerint vett minta (túltöltés/kevés minta) vizsgálatra nem alkalmas.</t>
  </si>
  <si>
    <t>Önálló EDTA csövet igényel.</t>
  </si>
  <si>
    <t>Vérvételt követően a csövet hűteni kell, 30-60 perc elteltével a mintát centrifugálni 1500-3000 g-n 5-10 percig, hűtve tárolni (4-10 °C).</t>
  </si>
  <si>
    <t>Nőgyógyász által, vagy önmintavétellel levehető minta. Speciális mikrobiomos mintavevő szükséges. Önmintavétel esetén lásd mintavételi leírást.</t>
  </si>
  <si>
    <t>A hüvelyboltozatból levett váladékot gumikesztyűs ujjal kell kikenni a tárgylemezekre. A tárgylemezeket a műanyag kenettartóba kell helyezni.</t>
  </si>
  <si>
    <t>Steril swab transzport táptalajba+kenet</t>
  </si>
  <si>
    <t>Vérvételt követően 30-60 perc elteltével a mintát centrifugálni 1500-3000 g-n 5-10 percig, szekunder csőbe kell önteni és azonnal fagyasztani. A minta fagyasztva szállítandó.</t>
  </si>
  <si>
    <t>Éhgyomri mintavétel garatból. Mintavétel előtt min. 3 órával ne egyen, ne igyon, ne dohányozzon és a szájhigiénét is hagyja ki.</t>
  </si>
  <si>
    <t>Csak aznapi mintavétel értékelhető. A hemolízis az inzulin mérést értékelhetetlenné teszi. Vérvételt követően 30-60 perc elteltével a mintát centrifugálni 1500-3000 g-n 5-10 percig, hűtve tárolni (4-10 °C).</t>
  </si>
  <si>
    <t>Vérvételt követően kb. 30 perc elteltével a mintát centrifugálni 1500-3000 g-n 5-10 percig, szérumot mintavétel után egy új csőbe átmérve azonnal fagyasztani (-20°C) kell és fagyasztva szállítani. A minta, ha a szállításig nem fagy meg, akkor a másnapi szállítással érkezzen az MDK laborba (pénteki mintavétel esetén hétfőn). A vizsgálatokat célszerű mindig önálló kérésben feladni</t>
  </si>
  <si>
    <t>24 órás vizelet esetén a gyűjtés alatt hűtve kell tárolni a mintát. Meg kell adni a vizelet mennyiségét.</t>
  </si>
  <si>
    <t>2 db EDTA csőből származó plazma (minimum 1.5 ml)</t>
  </si>
  <si>
    <t>A vizsgálathoz legalább 1.5 ml EDTA plazma szükséges. Vérvétel után centrifugálás és szeparálás, a plazma azonnal lefagyasztandó. Fagyasztva szállítandó. Előzetes orvosi egyeztetést követően legalább 8 napig kerülendő: alfa-metildopa, L-Dopa, katecholamin tartalmú gyógyszerek (orrcsepp, hörgőtágító, köhögéscsillapító), vérnyomásra szedett gyógyszerek: ACE gátló, kalcium antagonisták, alfa2 mimetikumok, teofillin, fenotiazinok, triciklikus antidepresszánsok, alfa1 és béta antagonisták, alfa1 mimetikumok, nitroglicerin, nitroprusszid nátrium.</t>
  </si>
  <si>
    <t>24 órás vizeletgyűjtés alatt a mintát hűteni kell. Meg kell adni a gyűjtési időintervallumot és a vizelet mennyiségét. A vizeletet savanyítani szükséges (10 ml 25%-os sósav a mintavételi helyeken igényelhető). Gyógyszerek befolyásolhatják az eredményeket, ezért lehetőség szerint abba kell hagyni a mintavétel előtt legalább 72 órával azok szedését. A katecholaminokat és metabolitjaikat befolyásoló gyógyszerek közé tartoznak: az amfetaminok és amfetamin-szerű vegyületek, étvágycsökkentők, bromokriptin, buspiron, koffein, karbidopa-levodopa (Sinemet), klonidin, dexametazon, vízhajtók (nátriumhiányhoz elegendő dózisban), etanol, izoproterenol, labetalol, metildopa (Aldomet), MAO-gátlók, nikotin, orrcseppek, propafenon (Rythmol), rezerpin, teofillin, triciklikus antidepresszánsok és értágítók.</t>
  </si>
  <si>
    <t>A vattapálcával (vagy speciális PCR-mintavevővel) levett klinikai minták steril transzport közegben belemosva, hűtve 2-8 °C-on napokig tárolhatóak a vizsgálat elvégzéséig. Nasopharingeális és oropharyngealis váladék együttese szükséges. Mintavétel előtt lehetőleg 1-1.5 órával ne egyen, ne igyon, ne dohányozzon és a szájhigiénét is hagyja ki. </t>
  </si>
  <si>
    <t>Steril edény</t>
  </si>
  <si>
    <t>Száj vizes kiöblítését követően reggeli első, mélyről felköhögött váladékot kell a tartályba üríteni. A kupakot figyelmesen rá kell szorítani. A mintát hűtve kell tárolni.</t>
  </si>
  <si>
    <t>Mintagyűjtő tasak</t>
  </si>
  <si>
    <t>A köröm alól/körömről vett kaparékot egy speciális mintagyűjtő tasakba kell helyezni. Meg kell adni, hogy melyik ujjról származik a minta.</t>
  </si>
  <si>
    <t>Fénytől védendő. Vérvételt követően 30-60 perc elteltével a mintát centrifugálni 1500-3000 g-n 5-10 percig, 2 db szekunder csőbe kell önteni és azonnal fagyasztani. A minta fagyasztva szállítandó.</t>
  </si>
  <si>
    <t>EDTA teljes vér/ Szájnyálkahártya törlet</t>
  </si>
  <si>
    <t>Humángenetikai beleegyező aláírása szükséges. Mintavétel előtt ne egyen, ne igyon, ne dohányozzon és a szájhigiénét is hagyja ki. Önálló EDTA-s csövet igényel.</t>
  </si>
  <si>
    <t>Vérvételt követően 30-60 perc elteltével a mintát centrifugálni 1500-3000 g-n 5-10 percig, hűtve tárolni (4-10 °C). A mintavételt megelőzően a gyógyszert legalább 11 napig szedni kell, a mintavételnek közvetlenül a következő gyógyszer beszedése előtt kell történnie. Szükség van a gyógyszer dózisára, illetve más szedett gyógyszerek nevére a vizsgálat megfelelő kiértékelése végett. Bármikorra, bárhova foglalható. Epilepsziás betegek kezelését lehet ezzel beállítani.</t>
  </si>
  <si>
    <t>Spontán vizelet szükséges.</t>
  </si>
  <si>
    <t>2 db Lítium heparinos teljes vér+Géles cső</t>
  </si>
  <si>
    <t>Géles cső + EDTA teljes vér</t>
  </si>
  <si>
    <t>A vizsgálat elvégzéséhez GOT, GPT és vérkép egyidejű elvégzése szükséges. Vérvételt követően 30-60 perc elteltével a géles csövet centrifugálni 1500-3000 g-n 5-10 percig, hűtve tárolni (4-10 °C). Az EDTA csövet szobahőmérsékleten kell táróljuk.</t>
  </si>
  <si>
    <t>Vérvétel előtt 12 órával kerülje az alábbi ételeket: kakaó, kávé, tea, csokoládé, dió, citrusfélék, vanília. Előzetes orvosi egyeztetést követően legalább 8 napig kerülendő: alfa-metildopa, L-Dopa, katecholamin tartalmú gyógyszerek (orrcsepp, hörgőtágító, köhögéscsillapító), vérnyomásra szedett gyógyszerek: ACE gátló, kalcium antagonisták, alfa2 mimetikumok, teofillin, fenotiazinok, triciklikus antidepresszánsok, alfa1 és béta antagonisták, alfa1 mimetikumok, nitroglicerin, nitroprusszid nátrium. A szeparált plazma azonnal fagyasztandó.</t>
  </si>
  <si>
    <t>Steril swab transzport folyadék</t>
  </si>
  <si>
    <t>Medicaretől kapott transzportfolyadékba kell belemosni mindkét mintát.</t>
  </si>
  <si>
    <t>Prep-Rapid transzport folyadék</t>
  </si>
  <si>
    <t>Medicaretől kapott transzportfolyadékba kell belemosni mindkét a mintát.</t>
  </si>
  <si>
    <t>A mintát hűtve kell tárolni.</t>
  </si>
  <si>
    <t>Prep-rapid</t>
  </si>
  <si>
    <t>Medicaretől kapott transzportfolyadékba kell belemosni a mintát. Mintavétel előtt min. 2 órával ne egyen, ne igyon, ne dohányozzon, ne rágózzon és a szájhigiénét is hagyja ki.</t>
  </si>
  <si>
    <t>Medicaretől kapott transzportfolyadékba kell belemosni a mintát. Hűtve tárolandó. Szakorvosi mintavétel szükséges. Mintavétel előtt min. 2 órával ne egyen, ne igyon, ne dohányozzon, ne rágózzon és a szájhigiénét is hagyja ki.</t>
  </si>
  <si>
    <t>A mintavételt követően a mintát centrifugálni, a felülúszót szekunder csőbe átmérni, a mintát fagyasztani szükséges, majd a másnapi szállítással fagyasztva kell küldeni.</t>
  </si>
  <si>
    <t>Speciális széklet mintavevő</t>
  </si>
  <si>
    <t>A vizsgálatot nem befolyásolja a pancreas működést segítő gyógyszer szedése.</t>
  </si>
  <si>
    <t>Vérvételt követően a mintát azonnal centrifugálni 1500-3000 g-n 5-10 percig, a plazmát mintavétel után egy új csőbe átmérve azonnal fagyasztani (-20°C) kell és fagyasztva szállítani. A minta, ha a szállításig nem fagy meg, akkor a másnapi szállítással érkezzen az MDK laborba (pénteki mintavétel esetén hétfőn). A vizsgálatokat célszerű mindig önálló kérésben feladni.</t>
  </si>
  <si>
    <t>Csak aznapi mintavétel értékelhető. A csövet szobahőmérsékleten kell tárolni.</t>
  </si>
  <si>
    <t>CWBio cső</t>
  </si>
  <si>
    <t>Humángenetikai beleegyező aláírása szükséges, két példányban. A mintának még a mintavétel napján az MDK laborba kell érkeznie. Szállításig szobahőmérsékleten tárolandó.</t>
  </si>
  <si>
    <t>Humángenetikai beleegyező aláírása szükséges, a vizsgálatnak önálló beleegyező nyilatkozata van. Humángenetikai kérés önálló EDTA-s csövet igényel.</t>
  </si>
  <si>
    <t>Reggeli első vizelet első sugarából max. 5 ml, steril vizeletes pohárba. +2-8°C-on 24- 48 óráig tárolható, de minél hamarabb be kell küldeni a laboratóriumba.</t>
  </si>
  <si>
    <t>Mindig külön széklettartály. A kanállal félig, kétharmadig kell tölteni székletet a tartályba. A mintát hűtve kell tárolni.</t>
  </si>
  <si>
    <t>Kétféle speciális széklet mintavevő</t>
  </si>
  <si>
    <t>A mintavételi eszköz a laboratóriumból igényelhető ld. a speciális minatvételi tájékoztatót is. A nem előírás szerint vett minta (túltöltés/kevés minta) vizsgálatra nem alkalmas.</t>
  </si>
  <si>
    <t>Speciális mikrobiomos mintavevő szükséges. Mintavételhez lásd a mintavételi leírás</t>
  </si>
  <si>
    <t>A széklet nyákos, gennyes, véres részéből, a környezettel nem érintkezett részből a kanállal félig, kétharmadig tölteni a tartályba. A mintát hűtve kell tárolni.</t>
  </si>
  <si>
    <t>Csak aznapi mintavétel értékelhető. Alapos tisztálkodást követő, reggeli első (spontán) vizelet középsugara szükséges.</t>
  </si>
  <si>
    <t>Humángenetikai beleegyező aláírása szükséges, önálló EDTA-s csövet igényel. A vizsgálat nem igényel semmilyen előkészületet, nem szükséges éhgyomri vérvétel. A minták szállítása és tárolása: A minták 2 °C és 8 °C közötti hőmérsékleten legfeljebb 24 órán keresztül tárolhatók. Ha az anyagot napközben nem lehet a laboratóriumba szállítani, az anyag egyszeri lefagyasztása megengedett. A fagyasztott anyagot legfeljebb 2 hétig lehet mínusz 18 °C és mínusz 22 °C közötti hőmérsékleten tárolni. Felolvadást követően azonnali felhasználás szükséges.</t>
  </si>
  <si>
    <t>Humángenetikai beleegyező aláírása szükséges, önálló EDTA-s csövet igényel. A vizsgálat nem igényel semmilyen előkészületet, nem szükséges éhgyomri vérvétel.</t>
  </si>
  <si>
    <t>2 db EDTA teljes vér</t>
  </si>
  <si>
    <t>Genitális minta/hólyag váladék</t>
  </si>
  <si>
    <t>Vérvételt követően 30-60 perc elteltével a mintát centrifugálni 1500-3000 g-n 5-10 percig, hűtve tárolni (4-10 °C). Anafilaxiás reakciót követő 24 órában mérendő.</t>
  </si>
  <si>
    <t>Reggeli első vizelet első sugarából 5 ml/genitális minta</t>
  </si>
  <si>
    <t>A genitális mintát nőgyógyász vagy urológus vegye le. A vizsgálat elvégzésére az ejakulátum nem alkalmas. Medicaretől kapott transzportmédiumba kell belemosni a mintát. Prep-rapid esetén +2-8°C-on 24-48 óráig tárolható, de minél hamarabb be kell küldeni a laboratóriumba. ThinPrep® transzportfolyadék szobahőn 24-48 óráig tárolható, de minél hamarabb be kell küldeni a laboratóriumba.Reggeli első vizelet első sugarából max. 5 ml, steril vizeletes pohárba. +2-8°C-on 24- 48 óráig tárolható, de minél hamarabb be kell küldeni a laboratóriumba.</t>
  </si>
  <si>
    <t>Vérvételt követően 30-60 perc elteltével a mintát centrifugálni 1500-3000 g-n 5-10 percig, hűtve tárolni (4-10 °C). Vastartalmú készítmény szedése a vizsgálat előtt kerülendő.</t>
  </si>
  <si>
    <t>6 ml EDTA teljes vér</t>
  </si>
  <si>
    <t>Vizeletes csőbe helyezett kő</t>
  </si>
  <si>
    <t>Adalékmentes dugós műanyag csőben vagy csavaros tetejű pohárban tárolandó/ szállítandó.</t>
  </si>
  <si>
    <t>A mérés lehetséges spontán vagy gyűjtött vizeletből is. Gyűjtött vizelet esetén a vizelet mennyiséget és a gyűjtés idejét meg kell adni.</t>
  </si>
  <si>
    <t>A vizsgálathoz spontán vizelet szükséges.</t>
  </si>
  <si>
    <t>24 órás vizelet esetén a gyűjtés alatt hűtve kell tárolni a mintát. Meg kell adni a vizelet mennyiségét. A vizeletet savanyítani szükséges (10 ml jégecet, a mintavételi helyeken igényelhető).</t>
  </si>
  <si>
    <t>Bórsavas steril edény</t>
  </si>
  <si>
    <t>Alapos mosakodás után a borsavas steril edénybe kell levenni a vizelet középsugarát. Az edényt leglább félig kell tölteni. A mintát hűtve kell tárolni.</t>
  </si>
  <si>
    <t>Spontán vizelet szükséges</t>
  </si>
  <si>
    <t>Szobahőmérsékletű mintát centrifugálni 1500-3000 g-n 5-10 percig és hűtve szállítani. Felnőtteknek éhgyomri mintavétel ajánlott a vérvétel előtt. Csecsemők és gyermekek esetén étkezés előtt, vagy étkezés után 2-3 órával történjen a mintavétel.</t>
  </si>
  <si>
    <t>25 OH D3-vitamin</t>
  </si>
  <si>
    <t>40-es ételintolerancia</t>
  </si>
  <si>
    <t>AFP (tumormarker)</t>
  </si>
  <si>
    <t>Aktív B12-vitamin</t>
  </si>
  <si>
    <t>Alfa-1-antitripszin</t>
  </si>
  <si>
    <t>Antinukleáris antitest profil IgG (immunoblot)</t>
  </si>
  <si>
    <t>ANCA vasculitis (MPO és PR-3)</t>
  </si>
  <si>
    <t>Androszténdion</t>
  </si>
  <si>
    <t>APOE – Alzheimer hajlam szűrés</t>
  </si>
  <si>
    <t>Ásványi anyag profil</t>
  </si>
  <si>
    <t>A-vitamin</t>
  </si>
  <si>
    <t>Bazofil aktivációs teszt (BAT)</t>
  </si>
  <si>
    <t>Bordetella pertussis/Bordetella parapertussis Multiplex PCR</t>
  </si>
  <si>
    <t>Bordetella pertussis-szamárköhögés toxin IgA/IgG</t>
  </si>
  <si>
    <t>Borrelia burgdorferi PCR vizsgálat</t>
  </si>
  <si>
    <t>Bőrkaparék vizsgálat</t>
  </si>
  <si>
    <t>BRCA1/2 mutáció PCR vizsgálat</t>
  </si>
  <si>
    <t>Bronchusváladék-tenyésztés</t>
  </si>
  <si>
    <t>Calcitonin</t>
  </si>
  <si>
    <t>Celluláris immunstatus</t>
  </si>
  <si>
    <t>Celluláris immunstatus és NK lymphocyta funkció</t>
  </si>
  <si>
    <t>Chlamydia trachomatis (vizelet) PCR vizsgálat</t>
  </si>
  <si>
    <t>Cisztás fibrózis hordozósági szűrés (139 mutáció)</t>
  </si>
  <si>
    <t>Citogenetika, kariotipizálás</t>
  </si>
  <si>
    <t>Clostridium difficile (toxin kimutatás)</t>
  </si>
  <si>
    <t>Cyfra 21</t>
  </si>
  <si>
    <t>DNS elleni antitest</t>
  </si>
  <si>
    <t>EBV-CMV Mononucleosis infectiosa PCR</t>
  </si>
  <si>
    <t>E-vitamin</t>
  </si>
  <si>
    <t>Gamma G (GGT)</t>
  </si>
  <si>
    <t>Deamidált Gliadin Peptid IgA/IgG </t>
  </si>
  <si>
    <t>Glükóz 180 perc</t>
  </si>
  <si>
    <t>Glükóz éhgyomri</t>
  </si>
  <si>
    <t>Glükóz étkezés után</t>
  </si>
  <si>
    <t>Harmony NIPT</t>
  </si>
  <si>
    <t>HbA1c</t>
  </si>
  <si>
    <t>Hepatitis B core antitest (anti-HBc)</t>
  </si>
  <si>
    <t>Hepatitis B surface antigén (HBsAg)</t>
  </si>
  <si>
    <t>Hepatitis C vírus (HCV) PCR vizsgálat</t>
  </si>
  <si>
    <t>HERPES simplex vírus I/II PCR</t>
  </si>
  <si>
    <t>HOMA index számolás (éhgyomri glükóz+éhgyomri inzulin)</t>
  </si>
  <si>
    <t>HPV t Qant 21 PCR meghatározás, – 3. alacsony kockázatú (HPV 6, 11, 44) és 18 magas kockázatú (HPV 16, 18, 26, 31, 31, 33, 35, 39, 45, 51, 52, 53, 56, 58, 59, 66, 68, 73, 82) humán papillomavírusok specifikus azonosítására és mennyiségi meghatározására szolgál.</t>
  </si>
  <si>
    <t>hs cTroponin</t>
  </si>
  <si>
    <t>Hüvelyi mikrobiom</t>
  </si>
  <si>
    <t>IL-6 (interleukin 6) </t>
  </si>
  <si>
    <t>Immunfixáció paraprotein kimutatására</t>
  </si>
  <si>
    <t>Influenza vírus és korona vírus komplex PCR vizsgálata</t>
  </si>
  <si>
    <t>Inhalatív allergiapanel 20 allergénnel</t>
  </si>
  <si>
    <t>Inzulin éhgyomri</t>
  </si>
  <si>
    <t>Kalcium</t>
  </si>
  <si>
    <t>Kálium</t>
  </si>
  <si>
    <t>Katecholaminok vérből (EDTA plazma)</t>
  </si>
  <si>
    <t>Katecholaminok vizeletből</t>
  </si>
  <si>
    <t>Kombinált allergiapanel 54 allergénnel</t>
  </si>
  <si>
    <t>Komplex légúti bakteriális kórokozó kimutatás PCR (Bordetella pertussis, Bordetella parapertussis, Chlamydia pneumoniae, Mycoplasma pneumoniae, Moraxella catarrhalis, Legionella pneumophila, Haemophilus influenzae, Streptococcus pneumoniae)</t>
  </si>
  <si>
    <t>Komplex légúti vírus panel PCR (Adenovírus, Bokavírus, Humán Koronavírus komplex [HKU1, NL63, OC43, 229E, SARS-CoV-2], Influenza vírus A és B, Metapneumovírus, Parainfluenza-vírus és Respiratorikus szinciciális vírus [RSV], Rhinovírus)</t>
  </si>
  <si>
    <t>Körömkaparék-gomba vizsgálat</t>
  </si>
  <si>
    <t>Kreatinin + eGFR számítás</t>
  </si>
  <si>
    <t>K-vitamin</t>
  </si>
  <si>
    <t>Lamotrigin gyógyszerszint vizsgálat</t>
  </si>
  <si>
    <t>Limfocita transzformációs teszt (LTT)</t>
  </si>
  <si>
    <t>LTT titánötvözetekre (titán, vanádium, alumínium, nikkel)</t>
  </si>
  <si>
    <t>Magnézium</t>
  </si>
  <si>
    <t>Méh- és darázscsípés allergénspecifikus IgE (darázs méreg, méhméreg, lódarázs méreg, méhméreg (rApi m1 foszfolipáz A2), méhméreg (rApi m2 hialuronidáz), méhméreg (rApi m10 Icarapin), darázs méreg (rVes v5/ Antigén 5), darázs méreg (rVes v1 foszfolipáz A1)</t>
  </si>
  <si>
    <t>Merkaptánok és tioéterek okozta túlérzékenység</t>
  </si>
  <si>
    <t>Metanephrin</t>
  </si>
  <si>
    <t>Molekuláris búza allergia (glutén (gliadin), rTri a14)</t>
  </si>
  <si>
    <t>Molekuláris dió allergia (rJug r1, rJug r3)</t>
  </si>
  <si>
    <t>Molekuláris földimogyoró allergia (rAra h8, rAra h1, rAra h, rAra h3, rAra h9)</t>
  </si>
  <si>
    <t>Molekuláris gyümölcs allergia (barack rPru p1, barack rPru p3, barack rPru p4, barack rPru p7, kiwi rAct d8, alma rMal d1, alma rMal d3)</t>
  </si>
  <si>
    <t>Molekuláris kesudió allergia (rAna o3)</t>
  </si>
  <si>
    <t>Molekuláris macska hám/szőr allergia (nFel d2 szérum albumin, rFel d4 lipocalin, rFel d1, macskaszőr és -hám)</t>
  </si>
  <si>
    <t>Molekuláris mogyoró allergia (rCor a8, rCor a1, rCor a14, rCor a9)</t>
  </si>
  <si>
    <t>Molekuláris rák allergia (rPen a1 tropomyosin)</t>
  </si>
  <si>
    <t>Molekuláris szója allergia (rGly m4, rGly m5, rGly m6)</t>
  </si>
  <si>
    <t>Molekuláris tojás allergia (nGal d1 ovomucoid, nGal d2 ovoalbumin)</t>
  </si>
  <si>
    <t>MRSA szűrővizsgálat (orr/torok)</t>
  </si>
  <si>
    <t>Mycoplasma genitalium PCR</t>
  </si>
  <si>
    <t>Myelin oligodendrocyta glikoprotein (MOG)</t>
  </si>
  <si>
    <t>Nátrium</t>
  </si>
  <si>
    <t>Neisseria gonorrhoea (vizelet) PCR vizsgálat</t>
  </si>
  <si>
    <t>NIFTY (NIPD anyai vérből)</t>
  </si>
  <si>
    <t>NK lymphocyta funkció</t>
  </si>
  <si>
    <t>Non-HDL-koleszterin számolás</t>
  </si>
  <si>
    <t>Nutritív allergiapanel 20 allergénnel</t>
  </si>
  <si>
    <t>Onkoneuronális antitest profil (Hu, Yo, Ri, CV2, Amphiphysin, Ma2/Ta)</t>
  </si>
  <si>
    <t>Orális HPV PCR vizsgálat – 18 magas kockázatú HPV (16, 18, 26, 31, 33, 35, 39, 45, 51, 52, 53, 56, 58, 59, 66, 68, 73, 82) és 12 „alacsony kockázatú” HPV-t (6, 11, 40, 42, 42, 43, 44, 54, 61, 70, 72, 81, 89,).Humán papillomavírusok specifikus azonosítására és mennyiségi meghatározására szolgál.</t>
  </si>
  <si>
    <t>Orális STD PCR vizsgálat</t>
  </si>
  <si>
    <t>Periodontitishez kötödő mikrobák DNS analízise, szájüregi mikrobiom</t>
  </si>
  <si>
    <t>PSA free</t>
  </si>
  <si>
    <t>Reticulocyta (csak vérképpel kérhető)</t>
  </si>
  <si>
    <t>S-100</t>
  </si>
  <si>
    <t>Sarjadzó gomba tenyésztés és – rezisztencia</t>
  </si>
  <si>
    <t>SARS-COV-2 spike RBD IgG ellenanyag vizsgálat</t>
  </si>
  <si>
    <t>Septin 9 + panel – ColonAIQ (Vastagbél tumor szűrés molekuláris teszttel) </t>
  </si>
  <si>
    <t>STD 3 (vizelet) PCR vizsgálat</t>
  </si>
  <si>
    <t>STD 4 csomag (Mycoplasma genitalium, Neisseria gonorrhoae, C. trachomatis, Ureplasma komplex ( U.urealiticum+U.parvum) </t>
  </si>
  <si>
    <t>STD 5 (vizelet) PCR vizsgálat</t>
  </si>
  <si>
    <t>Széklet féregpete</t>
  </si>
  <si>
    <t>Széklet Helicobacter pylori antigén</t>
  </si>
  <si>
    <t>Széklet M2PK+széklet humán hemoglobin</t>
  </si>
  <si>
    <t>Széklet munkaalkalmassági vizsgálat</t>
  </si>
  <si>
    <t>Széklet protozoon (Giardia, Entamoeba, Cryptosporidium)</t>
  </si>
  <si>
    <t>Széklet zonulin</t>
  </si>
  <si>
    <t>Szigetsejt elleni antitest (ICA)</t>
  </si>
  <si>
    <t>Táplálékintolerancia vizsgálat (108 tápanyag)</t>
  </si>
  <si>
    <t>Táplálékintolerancia vizsgálat (46 tápanyag)</t>
  </si>
  <si>
    <t>TBC/Quantiferon-TB Gold</t>
  </si>
  <si>
    <t>Tejallergia molekuláris teszt (tehéntej IgE, tehéntej albumin, béta-laktoglobulin, alfa-laktalbumin, kazein, tej laktoferrin)</t>
  </si>
  <si>
    <t>Thrombophilia – Véralvadási zavarokra hajlamosító genetikai eltérések</t>
  </si>
  <si>
    <t>Thrombophylia szűkített genetikai panel (II-Phrothrombin, Leiden, MTHFR_677, MTHR_1298)</t>
  </si>
  <si>
    <t>Titánérzékenység vizsgálata</t>
  </si>
  <si>
    <t>Torokváladék-tenyésztés</t>
  </si>
  <si>
    <t>Toxikus fémek (vér)</t>
  </si>
  <si>
    <t>Ureplasma Komplex (U.parvum + U.urealiticum)</t>
  </si>
  <si>
    <t>V. faktor Leiden-mutáció PCR vizsgálat</t>
  </si>
  <si>
    <t>Vérkép (22 paraméter)</t>
  </si>
  <si>
    <t>Vizelet foszfor</t>
  </si>
  <si>
    <t>Vizelet toxikus fémek panel</t>
  </si>
  <si>
    <t>Vvt. süllyedés</t>
  </si>
  <si>
    <t>anti-nukleáris immunoblot</t>
  </si>
  <si>
    <t>foszfát</t>
  </si>
  <si>
    <t>Preanalitikához tartozó megnevezés</t>
  </si>
  <si>
    <t>Csőtípus neve (prea)</t>
  </si>
  <si>
    <t>SMA (Spinális izomtrófia) hordozósági szűrés (Apa/Anya)</t>
  </si>
  <si>
    <t>Molekuláris humángenetika</t>
  </si>
  <si>
    <t>Molekuláris diagnosztika kórokozók</t>
  </si>
  <si>
    <t>Hormonok / pajzsmirigy</t>
  </si>
  <si>
    <t>Hormonok /tumormarkerek</t>
  </si>
  <si>
    <t>Májfunkció /Tumormarker</t>
  </si>
  <si>
    <t>Dental</t>
  </si>
  <si>
    <t>CWBio cső (clinomics)</t>
  </si>
  <si>
    <t>2 db EDTA-s cső</t>
  </si>
  <si>
    <t>géles  szérum cső</t>
  </si>
  <si>
    <t>NaEDTA (fluoridos) szürke cső</t>
  </si>
  <si>
    <t>stor F transport médium</t>
  </si>
  <si>
    <t xml:space="preserve">MEDICARE Laboratórium </t>
  </si>
  <si>
    <t>Személyazonosító okmány típusa:</t>
  </si>
  <si>
    <t>Azonosító típusa</t>
  </si>
  <si>
    <t>Útlevél</t>
  </si>
  <si>
    <t>Nincs TAJ</t>
  </si>
  <si>
    <t>Személyi igazolvány</t>
  </si>
  <si>
    <t xml:space="preserve">Minta típusa: </t>
  </si>
  <si>
    <t>Vér</t>
  </si>
  <si>
    <t>Széklet</t>
  </si>
  <si>
    <t xml:space="preserve">Terhesség: </t>
  </si>
  <si>
    <t>IGEN</t>
  </si>
  <si>
    <t>Mintával kapcsolatos egyéb információ:</t>
  </si>
  <si>
    <t>A laborvizsgálat elvégzéséhez és a leletezéshez Pácienseink adatainak kezelése jogszabályi kötelezettség a Privát Doktor Zrt. (Adatkezelő) számára. Pácienseink személyes és egészségügyi adatait, számítógépes rendszeren, elektronikus formában, és papír alapon kezeljük. Informatikai rendszerünk alkalmas az Ön adatainak, a vonatkozó jogszabályokban előírt feltételeknek megfelelő, biztonságos kezelésére. Az Ön által megadott személyes adatok kezelése, időbeli korlátozás nélküli titoktartásra kötelezett munkatársaink és szerződéses partnereink által történik. A Privát Doktor Zrt. az európai uniós és hazai adatvédelmi és adatkezelési szabályoknak megfelelően kíván eljárni az Ön, vagy gyermeke személyes adatainak kezelése során, ennek érdekében kérjük töltse ki az alábbi nyilatkozatot, amellyel hozzájárulását adhatja személyes és egészségügyi adatai kezeléséhez.</t>
  </si>
  <si>
    <t>PÁCIENS TÁJÉKOZTATÓ ÉS HOZZÁJÁRULÓ NYILATKOZAT</t>
  </si>
  <si>
    <t>30 %       felár</t>
  </si>
  <si>
    <t>Lakossági alapár 2025</t>
  </si>
  <si>
    <t>csomag 7.990 Ft W ár</t>
  </si>
  <si>
    <t>VISEGRÁDI40 példánya</t>
  </si>
  <si>
    <t>Férfi</t>
  </si>
  <si>
    <t>Allerg és int</t>
  </si>
  <si>
    <t>Allerg és int / Immun: fehérjék, gyulladás</t>
  </si>
  <si>
    <t>Allerg és int / autoantitest</t>
  </si>
  <si>
    <t>Allerg és int / immunfunkció</t>
  </si>
  <si>
    <t>Allerg és int / Immun: fehérjék, gyulladás / autoantitest</t>
  </si>
  <si>
    <t>Szisztémás autoimmun</t>
  </si>
  <si>
    <t>Emésztőtraktus funkcó</t>
  </si>
  <si>
    <t>Kórokozó kimutatás</t>
  </si>
  <si>
    <t>Vizelet porphyria</t>
  </si>
  <si>
    <t>Szív és érrendszer laborcsomag</t>
  </si>
  <si>
    <t>csomag 29.990 W ár</t>
  </si>
  <si>
    <t>csomag 15.990 W ár</t>
  </si>
  <si>
    <t>csomag 7.200 W ár</t>
  </si>
  <si>
    <t>csomag 17900 W ár</t>
  </si>
  <si>
    <t xml:space="preserve"> HDL koleszterin </t>
  </si>
  <si>
    <t xml:space="preserve"> CK-MB </t>
  </si>
  <si>
    <t>csomag 79.900 W ár</t>
  </si>
  <si>
    <t xml:space="preserve"> Koleszterin </t>
  </si>
  <si>
    <t>Foszfor (P) / foszfát</t>
  </si>
  <si>
    <t xml:space="preserve"> D-Dimer teszt </t>
  </si>
  <si>
    <t xml:space="preserve"> Kortizol </t>
  </si>
  <si>
    <t xml:space="preserve"> Kreatin-kináz (CK) </t>
  </si>
  <si>
    <t xml:space="preserve"> Magnézium (Mg) </t>
  </si>
  <si>
    <t>Rheumatoid faktor / Reuma faktor</t>
  </si>
  <si>
    <t>Bilirubin totál / totál bilirubin</t>
  </si>
  <si>
    <t xml:space="preserve"> Bilirubin totál / totál bilirubin </t>
  </si>
  <si>
    <t xml:space="preserve"> Troponin (high sensitiv-kardiális) </t>
  </si>
  <si>
    <t xml:space="preserve"> NSE (Neuronspecifikus enoláz) </t>
  </si>
  <si>
    <t xml:space="preserve"> PSA (Prosztatarák) </t>
  </si>
  <si>
    <t>csomag 99.900 Ft</t>
  </si>
  <si>
    <t>darab EDTA-s cső</t>
  </si>
  <si>
    <t>darab géles szérum cső</t>
  </si>
  <si>
    <t>darab NaEDTA (fluoridos) szürke cső</t>
  </si>
  <si>
    <t>darab vizelet</t>
  </si>
  <si>
    <t>Nem</t>
  </si>
  <si>
    <t>NORMÁL</t>
  </si>
  <si>
    <t>SÜRGŐS</t>
  </si>
  <si>
    <t>Nyálkahártya törlet</t>
  </si>
  <si>
    <t>6 hónapnál fiatalabb gyermek képzett TAJ száma</t>
  </si>
  <si>
    <t>európa kártyaszám</t>
  </si>
  <si>
    <t>Lakcím irányítószám:</t>
  </si>
  <si>
    <t>Lakcím utca:</t>
  </si>
  <si>
    <t>Lakcím város:</t>
  </si>
  <si>
    <t>VÉRVÉTELI DÍJAK</t>
  </si>
  <si>
    <t>VÉRVÉTELI DÍJAK2</t>
  </si>
  <si>
    <t>VÉRVÉTELI DÍJAK árak</t>
  </si>
  <si>
    <t>Labortételek:</t>
  </si>
  <si>
    <t>Vérvételi díj:</t>
  </si>
  <si>
    <t>Csomag jelölő oszlop</t>
  </si>
  <si>
    <t>Kiváasztott csomag</t>
  </si>
  <si>
    <t>Megjegyzés</t>
  </si>
  <si>
    <t>darab CW</t>
  </si>
  <si>
    <t>Mintavételi eszközök</t>
  </si>
  <si>
    <t>Vérvételi díj vagy mintaleadási díj:</t>
  </si>
  <si>
    <t>VÉRVÉTELI DÍJ  3.500 Ft</t>
  </si>
  <si>
    <t>2-3 PONTOS VÉRVÉTELI DÍJ  6.000 Ft</t>
  </si>
  <si>
    <t>5 PONTOS VÉRVÉTELI DÍJ   7.000 Ft</t>
  </si>
  <si>
    <t>MINTA LEADÁSI DÍJ   2.000 Ft</t>
  </si>
  <si>
    <t>Medicare Egészségközpont Zártkörűen Működő Részvénytársaság</t>
  </si>
  <si>
    <t>Székhely és postai levelezési cím:</t>
  </si>
  <si>
    <t>1134 Budapest, Váci út 29-31.</t>
  </si>
  <si>
    <t xml:space="preserve">Honlap címe: </t>
  </si>
  <si>
    <t>Jelen nyilatkozat aláírásával ezúton hozzájárulok a vérvételhez, mintavételhez és kérem annak elvégzését. Nyilatkozom arról, hogy a fenti adatok a valóságnak megfelelnek.</t>
  </si>
  <si>
    <t>A megrendelt vizsgálatokat nem a társadalombiztosítás terhére kívánom igénybe venni, azok tartalmáról és díjáról tájékoztatást kaptam, a költség megtérítését vállalom. A személyes adatokat ellenőriztem és helyesnek találtam.</t>
  </si>
  <si>
    <t>Hozzájárulok ahhoz, hogy a Privát Doktor Zrt., vagy alvállalkozója a leleteimet az általam megadott email címre továbbítsa. A lelet jelszóval védett .pdf formátumban érkezik. A jelszó az általam megadott TAJ szám vagy annak hiányában az azt helyettesítő azonosító. Tudomásom van arról, hogy az interneten e-mailben továbbított adatküldés nem feltétlenül biztonságos. A Privát Doktor Zrt. nem, vállal felelősséget az üzenet teljes és pontos eljuttatásáért, valamint semmilyen késésért, a kapcsolat megszakadásából eredő hibáért, vagy az információ felhasználásából vagy annak megbízhatatlanságából eredő kárért saját számítástechnikai rendszerén kívül.</t>
  </si>
  <si>
    <t>Tudomásul veszem, hogy a szérumminták 4 hétig, egyéb minták 72 óráig tárolásra kerülnek. Ezt követően megsemmisítésre kerülnek.</t>
  </si>
  <si>
    <r>
      <t xml:space="preserve">A </t>
    </r>
    <r>
      <rPr>
        <sz val="10"/>
        <color rgb="FF000000"/>
        <rFont val="Century Gothic"/>
        <family val="1"/>
      </rPr>
      <t>fenti tájékoztatás alapján alulírott</t>
    </r>
    <r>
      <rPr>
        <sz val="10"/>
        <color rgb="FF020200"/>
        <rFont val="Century Gothic"/>
        <family val="1"/>
      </rPr>
      <t>,</t>
    </r>
  </si>
  <si>
    <r>
      <t>Kérjük</t>
    </r>
    <r>
      <rPr>
        <sz val="10"/>
        <color rgb="FF010100"/>
        <rFont val="Century Gothic"/>
        <family val="1"/>
      </rPr>
      <t xml:space="preserve">, </t>
    </r>
    <r>
      <rPr>
        <sz val="10"/>
        <color theme="1"/>
        <rFont val="Century Gothic"/>
        <family val="1"/>
      </rPr>
      <t>mielőtt kitölti ezt a nyomtatványt, előtte olvassa el Adatkezelési Tájékoztatónkat</t>
    </r>
    <r>
      <rPr>
        <sz val="10"/>
        <color rgb="FF020200"/>
        <rFont val="Century Gothic"/>
        <family val="1"/>
      </rPr>
      <t xml:space="preserve">/ </t>
    </r>
    <r>
      <rPr>
        <sz val="10"/>
        <color theme="1"/>
        <rFont val="Century Gothic"/>
        <family val="1"/>
      </rPr>
      <t>Adatkezelési Szabályzatunkat, melyet a www.visegradi40.hu honlapunkon is megtalál.</t>
    </r>
  </si>
  <si>
    <r>
      <t xml:space="preserve">Hozzájárulok, hogy Privát Doktor Zrt. a tevékenység ellátására alvállalkozót vonjon be, és részére a szükséges tevékenység elvégzéshez szükséges adatok, illetve minták átadásra kerüljenek. A diagnosztikai vizsgálat elvégzésére bevont harmadik fél  a </t>
    </r>
    <r>
      <rPr>
        <b/>
        <sz val="10"/>
        <color rgb="FF000000"/>
        <rFont val="Century Gothic"/>
        <family val="1"/>
      </rPr>
      <t>Medicare</t>
    </r>
    <r>
      <rPr>
        <sz val="10"/>
        <color rgb="FF000000"/>
        <rFont val="Century Gothic"/>
        <family val="1"/>
      </rPr>
      <t>, a tevékenysége során tudomására jutott, valamely természetes személyre vonatkozó információt (pl.: személyazonosító adatot, elérhetőségi adatot, egészségügyi adatot stb.) azaz személyes adatot a természetes személyeknek a személyes adatok kezelése tekintetében történő védelméről és az ilyen adatok szabad áramlásáról, valamint a 95/46/EK rendelet hatályon kívül helyezéséről szóló 2016/679 EU rendeletnek (Általános adatvédelmi rendelet – GDPR), továbbá a vonatkozó magyar adatvédelmi jogszabályoknak megfelelően, adatkezelőként kezeli és védi.</t>
    </r>
  </si>
  <si>
    <r>
      <t xml:space="preserve">A </t>
    </r>
    <r>
      <rPr>
        <sz val="10"/>
        <color rgb="FF000000"/>
        <rFont val="Century Gothic"/>
        <family val="1"/>
      </rPr>
      <t xml:space="preserve">vérvétel szakszerű végrehajtása során </t>
    </r>
    <r>
      <rPr>
        <sz val="10"/>
        <color rgb="FF010100"/>
        <rFont val="Century Gothic"/>
        <family val="1"/>
      </rPr>
      <t xml:space="preserve">is </t>
    </r>
    <r>
      <rPr>
        <sz val="10"/>
        <color rgb="FF000000"/>
        <rFont val="Century Gothic"/>
        <family val="1"/>
      </rPr>
      <t xml:space="preserve">előfordulhat a vérvétel helyén és </t>
    </r>
    <r>
      <rPr>
        <sz val="10"/>
        <color rgb="FF010100"/>
        <rFont val="Century Gothic"/>
        <family val="1"/>
      </rPr>
      <t xml:space="preserve">környezetében </t>
    </r>
    <r>
      <rPr>
        <sz val="10"/>
        <color rgb="FF000000"/>
        <rFont val="Century Gothic"/>
        <family val="1"/>
      </rPr>
      <t xml:space="preserve">néhány napig tartó </t>
    </r>
    <r>
      <rPr>
        <sz val="10"/>
        <color rgb="FF010100"/>
        <rFont val="Century Gothic"/>
        <family val="1"/>
      </rPr>
      <t xml:space="preserve">bőr elszíneződés </t>
    </r>
    <r>
      <rPr>
        <sz val="10"/>
        <color rgb="FF020200"/>
        <rFont val="Century Gothic"/>
        <family val="1"/>
      </rPr>
      <t xml:space="preserve">és </t>
    </r>
    <r>
      <rPr>
        <sz val="10"/>
        <color rgb="FF000000"/>
        <rFont val="Century Gothic"/>
        <family val="1"/>
      </rPr>
      <t xml:space="preserve">kisebb </t>
    </r>
    <r>
      <rPr>
        <sz val="10"/>
        <color rgb="FF010100"/>
        <rFont val="Century Gothic"/>
        <family val="1"/>
      </rPr>
      <t>duzzanat</t>
    </r>
    <r>
      <rPr>
        <sz val="10"/>
        <color rgb="FF030300"/>
        <rFont val="Century Gothic"/>
        <family val="1"/>
      </rPr>
      <t xml:space="preserve">, </t>
    </r>
    <r>
      <rPr>
        <sz val="10"/>
        <color rgb="FF000000"/>
        <rFont val="Century Gothic"/>
        <family val="1"/>
      </rPr>
      <t>amely a legtöbb esetben pár nap múlva megszűnik</t>
    </r>
    <r>
      <rPr>
        <sz val="10"/>
        <color rgb="FF010100"/>
        <rFont val="Century Gothic"/>
        <family val="1"/>
      </rPr>
      <t xml:space="preserve">. </t>
    </r>
    <r>
      <rPr>
        <sz val="10"/>
        <color rgb="FF000000"/>
        <rFont val="Century Gothic"/>
        <family val="1"/>
      </rPr>
      <t xml:space="preserve">Fájdalommal sem </t>
    </r>
    <r>
      <rPr>
        <sz val="10"/>
        <color rgb="FF010100"/>
        <rFont val="Century Gothic"/>
        <family val="1"/>
      </rPr>
      <t xml:space="preserve">a </t>
    </r>
    <r>
      <rPr>
        <sz val="10"/>
        <color rgb="FF000000"/>
        <rFont val="Century Gothic"/>
        <family val="1"/>
      </rPr>
      <t>vérvétel,</t>
    </r>
    <r>
      <rPr>
        <sz val="10"/>
        <color rgb="FFFDFD00"/>
        <rFont val="Century Gothic"/>
        <family val="1"/>
      </rPr>
      <t xml:space="preserve"> </t>
    </r>
    <r>
      <rPr>
        <sz val="10"/>
        <color rgb="FF000000"/>
        <rFont val="Century Gothic"/>
        <family val="1"/>
      </rPr>
      <t xml:space="preserve">sem </t>
    </r>
    <r>
      <rPr>
        <sz val="10"/>
        <color rgb="FF010100"/>
        <rFont val="Century Gothic"/>
        <family val="1"/>
      </rPr>
      <t xml:space="preserve">a mintavétel </t>
    </r>
    <r>
      <rPr>
        <sz val="10"/>
        <color rgb="FF000000"/>
        <rFont val="Century Gothic"/>
        <family val="1"/>
      </rPr>
      <t xml:space="preserve">nem jár, legfeljebb diszkomfort érzést </t>
    </r>
    <r>
      <rPr>
        <sz val="10"/>
        <color rgb="FF010100"/>
        <rFont val="Century Gothic"/>
        <family val="1"/>
      </rPr>
      <t>okoz.</t>
    </r>
  </si>
  <si>
    <r>
      <t>Tájékoztatjuk</t>
    </r>
    <r>
      <rPr>
        <sz val="10"/>
        <color rgb="FF020200"/>
        <rFont val="Century Gothic"/>
        <family val="1"/>
      </rPr>
      <t xml:space="preserve">, </t>
    </r>
    <r>
      <rPr>
        <sz val="10"/>
        <color rgb="FF000000"/>
        <rFont val="Century Gothic"/>
        <family val="1"/>
      </rPr>
      <t>hogy diagnózist nem állapítunk meg és terápiát nem javaslunk</t>
    </r>
    <r>
      <rPr>
        <sz val="10"/>
        <color rgb="FF030300"/>
        <rFont val="Century Gothic"/>
        <family val="1"/>
      </rPr>
      <t xml:space="preserve">, </t>
    </r>
    <r>
      <rPr>
        <sz val="10"/>
        <color rgb="FF000000"/>
        <rFont val="Century Gothic"/>
        <family val="1"/>
      </rPr>
      <t>azonban javasoljuk</t>
    </r>
    <r>
      <rPr>
        <sz val="10"/>
        <color rgb="FF030300"/>
        <rFont val="Century Gothic"/>
        <family val="1"/>
      </rPr>
      <t xml:space="preserve">, </t>
    </r>
    <r>
      <rPr>
        <sz val="10"/>
        <color rgb="FF000000"/>
        <rFont val="Century Gothic"/>
        <family val="1"/>
      </rPr>
      <t>hogy vizsgálati leletéről tájékoztassa háziorvosát vagy kezelőorvosát.</t>
    </r>
  </si>
  <si>
    <r>
      <t xml:space="preserve">A </t>
    </r>
    <r>
      <rPr>
        <sz val="10"/>
        <color rgb="FF000000"/>
        <rFont val="Century Gothic"/>
        <family val="1"/>
      </rPr>
      <t>vérvétellel,</t>
    </r>
    <r>
      <rPr>
        <sz val="10"/>
        <color rgb="FFFCFC00"/>
        <rFont val="Century Gothic"/>
        <family val="1"/>
      </rPr>
      <t xml:space="preserve"> </t>
    </r>
    <r>
      <rPr>
        <sz val="10"/>
        <color rgb="FF000000"/>
        <rFont val="Century Gothic"/>
        <family val="1"/>
      </rPr>
      <t xml:space="preserve">illetve mintavétellel kapcsolatban </t>
    </r>
    <r>
      <rPr>
        <sz val="10"/>
        <color rgb="FF010100"/>
        <rFont val="Century Gothic"/>
        <family val="1"/>
      </rPr>
      <t xml:space="preserve">kérdéseket </t>
    </r>
    <r>
      <rPr>
        <sz val="10"/>
        <color rgb="FF000000"/>
        <rFont val="Century Gothic"/>
        <family val="1"/>
      </rPr>
      <t xml:space="preserve">tehettem fel </t>
    </r>
    <r>
      <rPr>
        <sz val="10"/>
        <color rgb="FF010100"/>
        <rFont val="Century Gothic"/>
        <family val="1"/>
      </rPr>
      <t xml:space="preserve">és </t>
    </r>
    <r>
      <rPr>
        <sz val="10"/>
        <color rgb="FF000000"/>
        <rFont val="Century Gothic"/>
        <family val="1"/>
      </rPr>
      <t xml:space="preserve">ezekre a felvilágosítást </t>
    </r>
    <r>
      <rPr>
        <sz val="10"/>
        <color rgb="FF010100"/>
        <rFont val="Century Gothic"/>
        <family val="1"/>
      </rPr>
      <t xml:space="preserve">adó </t>
    </r>
    <r>
      <rPr>
        <sz val="10"/>
        <color rgb="FF000000"/>
        <rFont val="Century Gothic"/>
        <family val="1"/>
      </rPr>
      <t xml:space="preserve">személy számomra kielégítő </t>
    </r>
    <r>
      <rPr>
        <sz val="10"/>
        <color rgb="FF010100"/>
        <rFont val="Century Gothic"/>
        <family val="1"/>
      </rPr>
      <t xml:space="preserve">és </t>
    </r>
    <r>
      <rPr>
        <sz val="10"/>
        <color rgb="FF000000"/>
        <rFont val="Century Gothic"/>
        <family val="1"/>
      </rPr>
      <t>érthető szóbeli válaszokat</t>
    </r>
    <r>
      <rPr>
        <sz val="10"/>
        <color rgb="FF030300"/>
        <rFont val="Century Gothic"/>
        <family val="1"/>
      </rPr>
      <t xml:space="preserve">, </t>
    </r>
    <r>
      <rPr>
        <sz val="10"/>
        <color rgb="FF000000"/>
        <rFont val="Century Gothic"/>
        <family val="1"/>
      </rPr>
      <t xml:space="preserve">tájékoztatást </t>
    </r>
    <r>
      <rPr>
        <sz val="10"/>
        <color rgb="FF010100"/>
        <rFont val="Century Gothic"/>
        <family val="1"/>
      </rPr>
      <t>adott</t>
    </r>
    <r>
      <rPr>
        <sz val="10"/>
        <color rgb="FF000000"/>
        <rFont val="Century Gothic"/>
        <family val="1"/>
      </rPr>
      <t>.</t>
    </r>
  </si>
  <si>
    <r>
      <t>Tudomásul veszem,</t>
    </r>
    <r>
      <rPr>
        <sz val="10"/>
        <color rgb="FFFCFC00"/>
        <rFont val="Century Gothic"/>
        <family val="1"/>
      </rPr>
      <t xml:space="preserve"> </t>
    </r>
    <r>
      <rPr>
        <sz val="10"/>
        <color theme="1"/>
        <rFont val="Century Gothic"/>
        <family val="1"/>
      </rPr>
      <t xml:space="preserve">hogy bármely </t>
    </r>
    <r>
      <rPr>
        <sz val="10"/>
        <color rgb="FF010100"/>
        <rFont val="Century Gothic"/>
        <family val="1"/>
      </rPr>
      <t xml:space="preserve">adat </t>
    </r>
    <r>
      <rPr>
        <sz val="10"/>
        <color theme="1"/>
        <rFont val="Century Gothic"/>
        <family val="1"/>
      </rPr>
      <t xml:space="preserve">hiányában </t>
    </r>
    <r>
      <rPr>
        <sz val="10"/>
        <color rgb="FF010100"/>
        <rFont val="Century Gothic"/>
        <family val="1"/>
      </rPr>
      <t xml:space="preserve">a </t>
    </r>
    <r>
      <rPr>
        <sz val="10"/>
        <color theme="1"/>
        <rFont val="Century Gothic"/>
        <family val="1"/>
      </rPr>
      <t>vizsgálatot nem áll módunkban elvégezni.</t>
    </r>
  </si>
  <si>
    <r>
      <t xml:space="preserve">*18 </t>
    </r>
    <r>
      <rPr>
        <sz val="10"/>
        <color theme="1"/>
        <rFont val="Century Gothic"/>
        <family val="1"/>
      </rPr>
      <t xml:space="preserve">éven aluli személy esetén </t>
    </r>
    <r>
      <rPr>
        <sz val="10"/>
        <color rgb="FF010100"/>
        <rFont val="Century Gothic"/>
        <family val="1"/>
      </rPr>
      <t xml:space="preserve">a </t>
    </r>
    <r>
      <rPr>
        <sz val="10"/>
        <color theme="1"/>
        <rFont val="Century Gothic"/>
        <family val="1"/>
      </rPr>
      <t xml:space="preserve">hozzájárulást </t>
    </r>
    <r>
      <rPr>
        <sz val="10"/>
        <color rgb="FF010100"/>
        <rFont val="Century Gothic"/>
        <family val="1"/>
      </rPr>
      <t xml:space="preserve">a törvényes </t>
    </r>
    <r>
      <rPr>
        <sz val="10"/>
        <color theme="1"/>
        <rFont val="Century Gothic"/>
        <family val="1"/>
      </rPr>
      <t>képviselőnek kell megadni</t>
    </r>
    <r>
      <rPr>
        <sz val="10"/>
        <color rgb="FF010100"/>
        <rFont val="Century Gothic"/>
        <family val="1"/>
      </rPr>
      <t xml:space="preserve">. </t>
    </r>
    <r>
      <rPr>
        <sz val="10"/>
        <color theme="1"/>
        <rFont val="Century Gothic"/>
        <family val="1"/>
      </rPr>
      <t>(Cselekvőképtelen kiskorú,</t>
    </r>
    <r>
      <rPr>
        <sz val="10"/>
        <color rgb="FFFDFD00"/>
        <rFont val="Century Gothic"/>
        <family val="1"/>
      </rPr>
      <t xml:space="preserve"> </t>
    </r>
    <r>
      <rPr>
        <sz val="10"/>
        <color theme="1"/>
        <rFont val="Century Gothic"/>
        <family val="1"/>
      </rPr>
      <t xml:space="preserve">vagy egyébként cselekvőképtelen személy esetén </t>
    </r>
    <r>
      <rPr>
        <sz val="10"/>
        <color rgb="FF010100"/>
        <rFont val="Century Gothic"/>
        <family val="1"/>
      </rPr>
      <t xml:space="preserve">a </t>
    </r>
    <r>
      <rPr>
        <sz val="10"/>
        <color theme="1"/>
        <rFont val="Century Gothic"/>
        <family val="1"/>
      </rPr>
      <t>hozzájárulást törvényes képviselője adhatja meg. Korlátozottan cselekvőképes kiskorú,</t>
    </r>
    <r>
      <rPr>
        <sz val="10"/>
        <color rgb="FFFCFC00"/>
        <rFont val="Century Gothic"/>
        <family val="1"/>
      </rPr>
      <t xml:space="preserve"> </t>
    </r>
    <r>
      <rPr>
        <sz val="10"/>
        <color theme="1"/>
        <rFont val="Century Gothic"/>
        <family val="1"/>
      </rPr>
      <t xml:space="preserve">vagy e tekintetben egyébként korlátozottan </t>
    </r>
    <r>
      <rPr>
        <sz val="10"/>
        <color rgb="FF010100"/>
        <rFont val="Century Gothic"/>
        <family val="1"/>
      </rPr>
      <t xml:space="preserve">cselekvőképes </t>
    </r>
    <r>
      <rPr>
        <sz val="10"/>
        <color theme="1"/>
        <rFont val="Century Gothic"/>
        <family val="1"/>
      </rPr>
      <t xml:space="preserve">személy hozzájárulása törvényes </t>
    </r>
    <r>
      <rPr>
        <sz val="10"/>
        <color rgb="FF010100"/>
        <rFont val="Century Gothic"/>
        <family val="1"/>
      </rPr>
      <t xml:space="preserve">képviselőjének </t>
    </r>
    <r>
      <rPr>
        <sz val="10"/>
        <color theme="1"/>
        <rFont val="Century Gothic"/>
        <family val="1"/>
      </rPr>
      <t>hozzájárulásával együtt érvényes.</t>
    </r>
    <r>
      <rPr>
        <sz val="10"/>
        <color rgb="FF010100"/>
        <rFont val="Century Gothic"/>
        <family val="1"/>
      </rPr>
      <t>)</t>
    </r>
  </si>
  <si>
    <r>
      <t>(*</t>
    </r>
    <r>
      <rPr>
        <sz val="10"/>
        <color theme="1"/>
        <rFont val="Century Gothic"/>
        <family val="1"/>
      </rPr>
      <t>Amennyiben nem rendelkezik TAJ számmal,</t>
    </r>
    <r>
      <rPr>
        <sz val="10"/>
        <color rgb="FFFDFD00"/>
        <rFont val="Century Gothic"/>
        <family val="1"/>
      </rPr>
      <t xml:space="preserve"> </t>
    </r>
    <r>
      <rPr>
        <sz val="10"/>
        <color theme="1"/>
        <rFont val="Century Gothic"/>
        <family val="1"/>
      </rPr>
      <t xml:space="preserve">EU </t>
    </r>
    <r>
      <rPr>
        <sz val="10"/>
        <color rgb="FF010100"/>
        <rFont val="Century Gothic"/>
        <family val="1"/>
      </rPr>
      <t xml:space="preserve">kártya </t>
    </r>
    <r>
      <rPr>
        <sz val="10"/>
        <color theme="1"/>
        <rFont val="Century Gothic"/>
        <family val="1"/>
      </rPr>
      <t>száma,</t>
    </r>
    <r>
      <rPr>
        <sz val="10"/>
        <color rgb="FFFEFE00"/>
        <rFont val="Century Gothic"/>
        <family val="1"/>
      </rPr>
      <t xml:space="preserve"> </t>
    </r>
    <r>
      <rPr>
        <sz val="10"/>
        <color theme="1"/>
        <rFont val="Century Gothic"/>
        <family val="1"/>
      </rPr>
      <t>nem EU</t>
    </r>
    <r>
      <rPr>
        <sz val="10"/>
        <color rgb="FFFDFD00"/>
        <rFont val="Century Gothic"/>
        <family val="1"/>
      </rPr>
      <t>-</t>
    </r>
    <r>
      <rPr>
        <sz val="10"/>
        <color theme="1"/>
        <rFont val="Century Gothic"/>
        <family val="1"/>
      </rPr>
      <t>országból származó betegek esetén útlevélszám.</t>
    </r>
    <r>
      <rPr>
        <sz val="10"/>
        <color rgb="FF010100"/>
        <rFont val="Century Gothic"/>
        <family val="1"/>
      </rPr>
      <t>)</t>
    </r>
  </si>
  <si>
    <t>A minta leadási díjat</t>
  </si>
  <si>
    <t>V1</t>
  </si>
  <si>
    <t>V2</t>
  </si>
  <si>
    <t>SÜRGŐSSÉG:</t>
  </si>
  <si>
    <r>
      <t xml:space="preserve">Mintavételi eszköz igény MEDICARE </t>
    </r>
    <r>
      <rPr>
        <sz val="12"/>
        <color theme="1"/>
        <rFont val="Century Gothic"/>
        <family val="1"/>
      </rPr>
      <t>kémiához</t>
    </r>
    <r>
      <rPr>
        <b/>
        <sz val="12"/>
        <color theme="1"/>
        <rFont val="Century Gothic"/>
        <family val="1"/>
      </rPr>
      <t>:</t>
    </r>
  </si>
  <si>
    <t>Mintavételi eszköz igény CLINOMICS-ba szállításhoz:</t>
  </si>
  <si>
    <t>darab CWBio Clinomics cső</t>
  </si>
  <si>
    <t>darab SFT stor F transport médium</t>
  </si>
  <si>
    <t>Clinomics 7900</t>
  </si>
  <si>
    <t>Clinomics 8500</t>
  </si>
  <si>
    <t>Clinomics 95600</t>
  </si>
  <si>
    <t>Clinomics 9900</t>
  </si>
  <si>
    <t>Clinomics 24900</t>
  </si>
  <si>
    <t>Clinomics 12900</t>
  </si>
  <si>
    <t>MEDICARE bekerülési ár</t>
  </si>
  <si>
    <t>CLINOMICS bekerülési ár</t>
  </si>
  <si>
    <t>Clinomics lakossági ár 2024</t>
  </si>
  <si>
    <t>MEDICARE eladási ár</t>
  </si>
  <si>
    <t>HOMA index  (éhgyomri vércukor+éhgyomri inzulin)</t>
  </si>
  <si>
    <t>hsCRP (ultraszenzitív)</t>
  </si>
  <si>
    <t>Sürgősségi díj:</t>
  </si>
  <si>
    <t xml:space="preserve">Vas </t>
  </si>
  <si>
    <t>Angol nyelvű lelet díja:</t>
  </si>
  <si>
    <t>IRSZ</t>
  </si>
  <si>
    <t>Település</t>
  </si>
  <si>
    <t>Pilisszentlászló</t>
  </si>
  <si>
    <t>Dunabogdány</t>
  </si>
  <si>
    <t>Kisoroszi</t>
  </si>
  <si>
    <t>Visegrád</t>
  </si>
  <si>
    <t>Dömös</t>
  </si>
  <si>
    <t>Pusztazámor</t>
  </si>
  <si>
    <t>Óbarok</t>
  </si>
  <si>
    <t>Mány</t>
  </si>
  <si>
    <t>Újbarok</t>
  </si>
  <si>
    <t>Szárliget</t>
  </si>
  <si>
    <t>Perbál</t>
  </si>
  <si>
    <t xml:space="preserve">Pilisjászfalu </t>
  </si>
  <si>
    <t xml:space="preserve">Piliscsaba </t>
  </si>
  <si>
    <t>Budajenő</t>
  </si>
  <si>
    <t>Valkó</t>
  </si>
  <si>
    <t>Zsámbok</t>
  </si>
  <si>
    <t>Csörög</t>
  </si>
  <si>
    <t xml:space="preserve">Kerepes </t>
  </si>
  <si>
    <t>Csomád</t>
  </si>
  <si>
    <t>Váchartyán</t>
  </si>
  <si>
    <t>Püspökszilágy</t>
  </si>
  <si>
    <t>Kálló</t>
  </si>
  <si>
    <t>Erdőkürt</t>
  </si>
  <si>
    <t>Erdőtarcsa</t>
  </si>
  <si>
    <t>Vácegres</t>
  </si>
  <si>
    <t>Váckisújfalu</t>
  </si>
  <si>
    <t>Bag</t>
  </si>
  <si>
    <t>Péteri</t>
  </si>
  <si>
    <t>Vasad</t>
  </si>
  <si>
    <t>Káva</t>
  </si>
  <si>
    <t>Bénye</t>
  </si>
  <si>
    <t>Gomba</t>
  </si>
  <si>
    <t xml:space="preserve">Sülysáp  </t>
  </si>
  <si>
    <t>Tápióság</t>
  </si>
  <si>
    <t>Szentlőrinckáta</t>
  </si>
  <si>
    <t>Lórév</t>
  </si>
  <si>
    <t>Szigetcsép</t>
  </si>
  <si>
    <t>Szigetszentmárton</t>
  </si>
  <si>
    <t>Szigetújfalu</t>
  </si>
  <si>
    <t>Makád</t>
  </si>
  <si>
    <t>Majosháza</t>
  </si>
  <si>
    <t>Apaj</t>
  </si>
  <si>
    <t>Bugyi</t>
  </si>
  <si>
    <t>Inárcs</t>
  </si>
  <si>
    <t>Kakucs</t>
  </si>
  <si>
    <t>Tatárszentgyörgy</t>
  </si>
  <si>
    <t>Hernád</t>
  </si>
  <si>
    <t>Táborfalva</t>
  </si>
  <si>
    <t>Nagyvenyim</t>
  </si>
  <si>
    <t>Mezőfalva</t>
  </si>
  <si>
    <t>Daruszentmiklós</t>
  </si>
  <si>
    <t>Előszállás</t>
  </si>
  <si>
    <t>Nagykarácsony</t>
  </si>
  <si>
    <t xml:space="preserve">Baracs </t>
  </si>
  <si>
    <t>Kisapostag</t>
  </si>
  <si>
    <t>Perkáta</t>
  </si>
  <si>
    <t>Szabadegyháza</t>
  </si>
  <si>
    <t>Sárosd</t>
  </si>
  <si>
    <t>Hantos</t>
  </si>
  <si>
    <t>Nagylók</t>
  </si>
  <si>
    <t xml:space="preserve">Ercsi </t>
  </si>
  <si>
    <t>Iváncsa</t>
  </si>
  <si>
    <t>Beloiannisz</t>
  </si>
  <si>
    <t>Adony</t>
  </si>
  <si>
    <t>Martonvásár</t>
  </si>
  <si>
    <t>Gyúró</t>
  </si>
  <si>
    <t>Ráckeresztúr</t>
  </si>
  <si>
    <t>Baracska</t>
  </si>
  <si>
    <t>Kajászó</t>
  </si>
  <si>
    <t>Kápolnásnyék</t>
  </si>
  <si>
    <t>Pázmánd</t>
  </si>
  <si>
    <t>Vereb</t>
  </si>
  <si>
    <t xml:space="preserve">Velence </t>
  </si>
  <si>
    <t xml:space="preserve">Gárdony </t>
  </si>
  <si>
    <t>Leányvár</t>
  </si>
  <si>
    <t>Csolnok</t>
  </si>
  <si>
    <t>Dág</t>
  </si>
  <si>
    <t>Bajna</t>
  </si>
  <si>
    <t>Epöl</t>
  </si>
  <si>
    <t>Máriahalom</t>
  </si>
  <si>
    <t>Úny</t>
  </si>
  <si>
    <t>Annavölgy</t>
  </si>
  <si>
    <t xml:space="preserve">Tokod </t>
  </si>
  <si>
    <t>Mogyorósbánya</t>
  </si>
  <si>
    <t xml:space="preserve">Nyergesújfalu </t>
  </si>
  <si>
    <t xml:space="preserve">Lábatlan </t>
  </si>
  <si>
    <t>Süttő</t>
  </si>
  <si>
    <t>Neszmély</t>
  </si>
  <si>
    <t>Dunaalmás</t>
  </si>
  <si>
    <t>Nőtincs</t>
  </si>
  <si>
    <t>Ősagárd</t>
  </si>
  <si>
    <t>Felsőpetény</t>
  </si>
  <si>
    <t>Rád</t>
  </si>
  <si>
    <t>Penc</t>
  </si>
  <si>
    <t>Csővár</t>
  </si>
  <si>
    <t>Keszeg</t>
  </si>
  <si>
    <t>Nézsa</t>
  </si>
  <si>
    <t>Legénd</t>
  </si>
  <si>
    <t>Kóspallag</t>
  </si>
  <si>
    <t>Szob</t>
  </si>
  <si>
    <t>Márianosztra</t>
  </si>
  <si>
    <t>Ipolydamásd</t>
  </si>
  <si>
    <t>Letkés</t>
  </si>
  <si>
    <t>Ipolytölgyes</t>
  </si>
  <si>
    <t>Nagybörzsöny</t>
  </si>
  <si>
    <t>Vámosmikola</t>
  </si>
  <si>
    <t>Tésa</t>
  </si>
  <si>
    <t>Perőcsény</t>
  </si>
  <si>
    <t>Bernecebaráti</t>
  </si>
  <si>
    <t>Szendehely</t>
  </si>
  <si>
    <t>Berkenye</t>
  </si>
  <si>
    <t>Nógrád</t>
  </si>
  <si>
    <t>Borsosberény</t>
  </si>
  <si>
    <t>Nagyoroszi</t>
  </si>
  <si>
    <t>Drégelypalánk</t>
  </si>
  <si>
    <t>Hont</t>
  </si>
  <si>
    <t>Patak</t>
  </si>
  <si>
    <t>Dejtár</t>
  </si>
  <si>
    <t>Rétság</t>
  </si>
  <si>
    <t>Tereske</t>
  </si>
  <si>
    <t>Romhány</t>
  </si>
  <si>
    <t>Kétbodony</t>
  </si>
  <si>
    <t>Szente</t>
  </si>
  <si>
    <t>Szátok</t>
  </si>
  <si>
    <t>Tolmács</t>
  </si>
  <si>
    <t>Horpács</t>
  </si>
  <si>
    <t>Pusztaberki</t>
  </si>
  <si>
    <t>Ipolyszög</t>
  </si>
  <si>
    <t>Ipolyvece</t>
  </si>
  <si>
    <t>Őrhalom</t>
  </si>
  <si>
    <t>Hugyag</t>
  </si>
  <si>
    <t>Csitár</t>
  </si>
  <si>
    <t>Iliny</t>
  </si>
  <si>
    <t>Nógrádmarcal</t>
  </si>
  <si>
    <t>Cserhátsurány</t>
  </si>
  <si>
    <t>Herencsény</t>
  </si>
  <si>
    <t>Csesztve</t>
  </si>
  <si>
    <t>Püspökhatvan</t>
  </si>
  <si>
    <t>Acsa</t>
  </si>
  <si>
    <t>Nógrádsáp</t>
  </si>
  <si>
    <t>Vanyarc</t>
  </si>
  <si>
    <t>Nógrádkövesd</t>
  </si>
  <si>
    <t>Szécsénke</t>
  </si>
  <si>
    <t>Becske</t>
  </si>
  <si>
    <t>Magyarnándor</t>
  </si>
  <si>
    <t>Cserháthaláp</t>
  </si>
  <si>
    <t>Terény</t>
  </si>
  <si>
    <t>Szanda</t>
  </si>
  <si>
    <t>Mohora</t>
  </si>
  <si>
    <t>Szügy</t>
  </si>
  <si>
    <t>Nyársapát</t>
  </si>
  <si>
    <t>Nyáregyháza</t>
  </si>
  <si>
    <t>Újlengyel</t>
  </si>
  <si>
    <t>Mikebuda</t>
  </si>
  <si>
    <t>Kőröstetétlen</t>
  </si>
  <si>
    <t>Jászkarajenő</t>
  </si>
  <si>
    <t>Törtel</t>
  </si>
  <si>
    <t>Kocsér</t>
  </si>
  <si>
    <t>Farmos</t>
  </si>
  <si>
    <t>Tápiógyörgye</t>
  </si>
  <si>
    <t>Tápiószőlős</t>
  </si>
  <si>
    <t>Gyermely</t>
  </si>
  <si>
    <t>Szomor</t>
  </si>
  <si>
    <t>Vértessomló</t>
  </si>
  <si>
    <t>Várgesztes</t>
  </si>
  <si>
    <t>Héreg</t>
  </si>
  <si>
    <t>Tardos</t>
  </si>
  <si>
    <t>Baj</t>
  </si>
  <si>
    <t>Környe</t>
  </si>
  <si>
    <t>Kecskéd</t>
  </si>
  <si>
    <t>Kömlőd</t>
  </si>
  <si>
    <t>Dad</t>
  </si>
  <si>
    <t>Bokod</t>
  </si>
  <si>
    <t>Szákszend</t>
  </si>
  <si>
    <t>Császár</t>
  </si>
  <si>
    <t>Vérteskethely</t>
  </si>
  <si>
    <t>Bakonysárkány</t>
  </si>
  <si>
    <t>Aka</t>
  </si>
  <si>
    <t>Kisbér</t>
  </si>
  <si>
    <t>Ászár</t>
  </si>
  <si>
    <t>Kerékteleki</t>
  </si>
  <si>
    <t>Bársonyos</t>
  </si>
  <si>
    <t>Bakonyszombathely</t>
  </si>
  <si>
    <t>Bakonybánk</t>
  </si>
  <si>
    <t>Ácsteszér</t>
  </si>
  <si>
    <t>Csatka</t>
  </si>
  <si>
    <t>Súr</t>
  </si>
  <si>
    <t>Dunaszentmiklós</t>
  </si>
  <si>
    <t>Kocs</t>
  </si>
  <si>
    <t>Naszály</t>
  </si>
  <si>
    <t>Mocsa</t>
  </si>
  <si>
    <t xml:space="preserve">Almásfüzitő </t>
  </si>
  <si>
    <t>Ács</t>
  </si>
  <si>
    <t>Nagyigmánd</t>
  </si>
  <si>
    <t>Tárkány</t>
  </si>
  <si>
    <t>Csép</t>
  </si>
  <si>
    <t>Ete</t>
  </si>
  <si>
    <t>Kisigmánd</t>
  </si>
  <si>
    <t>Csém</t>
  </si>
  <si>
    <t>Kerekharaszt</t>
  </si>
  <si>
    <t>Heréd</t>
  </si>
  <si>
    <t>Nagykökényes</t>
  </si>
  <si>
    <t>Ecséd</t>
  </si>
  <si>
    <t xml:space="preserve">Lőrinci </t>
  </si>
  <si>
    <t>Petőfibánya</t>
  </si>
  <si>
    <t>Zagyvaszántó</t>
  </si>
  <si>
    <t>Rózsaszentmárton</t>
  </si>
  <si>
    <t>Szűcsi</t>
  </si>
  <si>
    <t>Gyöngyöspata</t>
  </si>
  <si>
    <t>Gyöngyöstarján</t>
  </si>
  <si>
    <t>Szirák</t>
  </si>
  <si>
    <t>Bér</t>
  </si>
  <si>
    <t>Kisbágyon</t>
  </si>
  <si>
    <t>Buják</t>
  </si>
  <si>
    <t>Szarvasgede</t>
  </si>
  <si>
    <t>Ecseg</t>
  </si>
  <si>
    <t>Jobbágyi</t>
  </si>
  <si>
    <t>Szurdokpüspöki</t>
  </si>
  <si>
    <t>Cserhátszentiván</t>
  </si>
  <si>
    <t>Bokor</t>
  </si>
  <si>
    <t>Kutasó</t>
  </si>
  <si>
    <t>Felsőtold</t>
  </si>
  <si>
    <t>Mátraszőlős</t>
  </si>
  <si>
    <t>Alsótold</t>
  </si>
  <si>
    <t>Tar</t>
  </si>
  <si>
    <t>Sámsonháza</t>
  </si>
  <si>
    <t>Nagybárkány</t>
  </si>
  <si>
    <t>Kisbárkány</t>
  </si>
  <si>
    <t>Márkháza</t>
  </si>
  <si>
    <t>Mátraverebély</t>
  </si>
  <si>
    <t>Somoskőújfalu</t>
  </si>
  <si>
    <t>Cered</t>
  </si>
  <si>
    <t>Zabar</t>
  </si>
  <si>
    <t>Szilaspogony</t>
  </si>
  <si>
    <t>Bárna</t>
  </si>
  <si>
    <t>Kazár</t>
  </si>
  <si>
    <t>Vizslás</t>
  </si>
  <si>
    <t>Lucfalva</t>
  </si>
  <si>
    <t>Nagykeresztúr</t>
  </si>
  <si>
    <t>Sóshartyán</t>
  </si>
  <si>
    <t>Nógrádmegyer</t>
  </si>
  <si>
    <t>Magyargéc</t>
  </si>
  <si>
    <t>Piliny</t>
  </si>
  <si>
    <t>Etes</t>
  </si>
  <si>
    <t>Karancsberény</t>
  </si>
  <si>
    <t>Ipolytarnóc</t>
  </si>
  <si>
    <t>Mátraszele</t>
  </si>
  <si>
    <t>Mátranovák</t>
  </si>
  <si>
    <t>Mátraterenye</t>
  </si>
  <si>
    <t>Rákóczibánya</t>
  </si>
  <si>
    <t>Nemti</t>
  </si>
  <si>
    <t>Dorogháza</t>
  </si>
  <si>
    <t>Szuha</t>
  </si>
  <si>
    <t>Mátramindszent</t>
  </si>
  <si>
    <t>Kishartyán</t>
  </si>
  <si>
    <t>Ságújfalu</t>
  </si>
  <si>
    <t>Karancsság</t>
  </si>
  <si>
    <t>Szalmatercs</t>
  </si>
  <si>
    <t>Endrefalva</t>
  </si>
  <si>
    <t>Szécsény</t>
  </si>
  <si>
    <t>Nagylóc</t>
  </si>
  <si>
    <t>Hollókő</t>
  </si>
  <si>
    <t>Varsány</t>
  </si>
  <si>
    <t>Nógrádsipek</t>
  </si>
  <si>
    <t>Karancsalja</t>
  </si>
  <si>
    <t>Karancslapujtő</t>
  </si>
  <si>
    <t>Karancskeszi</t>
  </si>
  <si>
    <t>Mihálygerge</t>
  </si>
  <si>
    <t>Egyházasgerge</t>
  </si>
  <si>
    <t>Nógrádszakál</t>
  </si>
  <si>
    <t>Ludányhalászi</t>
  </si>
  <si>
    <t>Gyöngyösoroszi</t>
  </si>
  <si>
    <t>Gyöngyöshalász</t>
  </si>
  <si>
    <t>Atkár</t>
  </si>
  <si>
    <t>Gyöngyössolymos</t>
  </si>
  <si>
    <t>Mátraszentimre</t>
  </si>
  <si>
    <t>Bodony</t>
  </si>
  <si>
    <t>Mátraderecske</t>
  </si>
  <si>
    <t>Mátraballa</t>
  </si>
  <si>
    <t>Ivád</t>
  </si>
  <si>
    <t>Pétervására</t>
  </si>
  <si>
    <t>Erdőkövesd</t>
  </si>
  <si>
    <t>Istenmezeje</t>
  </si>
  <si>
    <t>Váraszó</t>
  </si>
  <si>
    <t>Fedémes</t>
  </si>
  <si>
    <t>Kisfüzes</t>
  </si>
  <si>
    <t>Bükkszenterzsébet</t>
  </si>
  <si>
    <t>Tarnalelesz</t>
  </si>
  <si>
    <t>Szentdomonkos</t>
  </si>
  <si>
    <t>Abasár</t>
  </si>
  <si>
    <t>Pálosvörösmart</t>
  </si>
  <si>
    <t>Kisnána</t>
  </si>
  <si>
    <t>Vécs</t>
  </si>
  <si>
    <t xml:space="preserve">Visonta </t>
  </si>
  <si>
    <t>Halmajugra</t>
  </si>
  <si>
    <t>Ludas</t>
  </si>
  <si>
    <t>Detk</t>
  </si>
  <si>
    <t>Karácsond</t>
  </si>
  <si>
    <t>Nagyfüged</t>
  </si>
  <si>
    <t>Tarnazsadány</t>
  </si>
  <si>
    <t>Vámosgyörk</t>
  </si>
  <si>
    <t>Visznek</t>
  </si>
  <si>
    <t>Tarnaörs</t>
  </si>
  <si>
    <t>Erk</t>
  </si>
  <si>
    <t>Zaránk</t>
  </si>
  <si>
    <t>Egerbakta</t>
  </si>
  <si>
    <t>Hevesaranyos</t>
  </si>
  <si>
    <t>Szarvaskő</t>
  </si>
  <si>
    <t>Felsőtárkány</t>
  </si>
  <si>
    <t>Noszvaj</t>
  </si>
  <si>
    <t>Ostoros</t>
  </si>
  <si>
    <t>Novaj</t>
  </si>
  <si>
    <t>Egerszólát</t>
  </si>
  <si>
    <t>Tarnaszentmária</t>
  </si>
  <si>
    <t>Sirok</t>
  </si>
  <si>
    <t>Szajla</t>
  </si>
  <si>
    <t>Bükkszék</t>
  </si>
  <si>
    <t>Bátor</t>
  </si>
  <si>
    <t>Egerbocs</t>
  </si>
  <si>
    <t>Egercsehi</t>
  </si>
  <si>
    <t>Szúcs</t>
  </si>
  <si>
    <t>Bekölce</t>
  </si>
  <si>
    <t>Mikófalva</t>
  </si>
  <si>
    <t>Mónosbél</t>
  </si>
  <si>
    <t>Bélapátfalva</t>
  </si>
  <si>
    <t>Bükkszentmárton</t>
  </si>
  <si>
    <t>Balaton</t>
  </si>
  <si>
    <t>Szilvásvárad</t>
  </si>
  <si>
    <t>Nagyvisnyó</t>
  </si>
  <si>
    <t>Kál</t>
  </si>
  <si>
    <t>Verpelét</t>
  </si>
  <si>
    <t>Feldebrő</t>
  </si>
  <si>
    <t>Aldebrő</t>
  </si>
  <si>
    <t>Tófalu</t>
  </si>
  <si>
    <t>Kápolna</t>
  </si>
  <si>
    <t>Tenk</t>
  </si>
  <si>
    <t>Boconád</t>
  </si>
  <si>
    <t>Átány</t>
  </si>
  <si>
    <t>Kömlő</t>
  </si>
  <si>
    <t>Besenyőtelek</t>
  </si>
  <si>
    <t>Dormánd</t>
  </si>
  <si>
    <t>Mezőtárkány</t>
  </si>
  <si>
    <t>Szihalom</t>
  </si>
  <si>
    <t>Mezőszemere</t>
  </si>
  <si>
    <t>Egerfarmos</t>
  </si>
  <si>
    <t>Pély</t>
  </si>
  <si>
    <t>Tarnaszentmiklós</t>
  </si>
  <si>
    <t>Hevesvezekény</t>
  </si>
  <si>
    <t>Kisköre</t>
  </si>
  <si>
    <t>Sarud</t>
  </si>
  <si>
    <t>Újlőrincfalva</t>
  </si>
  <si>
    <t>Poroszló</t>
  </si>
  <si>
    <t xml:space="preserve">Füzesabony </t>
  </si>
  <si>
    <t>Egerszalók</t>
  </si>
  <si>
    <t>Demjén</t>
  </si>
  <si>
    <t>Kerecsend</t>
  </si>
  <si>
    <t>Maklár</t>
  </si>
  <si>
    <t>Nagytálya</t>
  </si>
  <si>
    <t>Andornaktálya</t>
  </si>
  <si>
    <t>Szomolya</t>
  </si>
  <si>
    <t>Bogács</t>
  </si>
  <si>
    <t>Cserépfalu</t>
  </si>
  <si>
    <t>Bükkzsérc</t>
  </si>
  <si>
    <t>Tard</t>
  </si>
  <si>
    <t>Cserépváralja</t>
  </si>
  <si>
    <t>Szentistván</t>
  </si>
  <si>
    <t>Mezőnyárád</t>
  </si>
  <si>
    <t>Bükkábrány</t>
  </si>
  <si>
    <t>Tibolddaróc</t>
  </si>
  <si>
    <t>Kács</t>
  </si>
  <si>
    <t>Sály</t>
  </si>
  <si>
    <t>Borsodgeszt</t>
  </si>
  <si>
    <t>Vatta</t>
  </si>
  <si>
    <t>Emőd</t>
  </si>
  <si>
    <t xml:space="preserve">Nyékládháza </t>
  </si>
  <si>
    <t>Mályi</t>
  </si>
  <si>
    <t xml:space="preserve">Mezőkeresztes </t>
  </si>
  <si>
    <t>Csincse</t>
  </si>
  <si>
    <t>Mezőnagymihály</t>
  </si>
  <si>
    <t>Gelej</t>
  </si>
  <si>
    <t>Mezőcsát</t>
  </si>
  <si>
    <t>Tiszakeszi</t>
  </si>
  <si>
    <t>Igrici</t>
  </si>
  <si>
    <t>Egerlövő</t>
  </si>
  <si>
    <t>Borsodivánka</t>
  </si>
  <si>
    <t>Négyes</t>
  </si>
  <si>
    <t>Tiszavalk</t>
  </si>
  <si>
    <t>Tiszabábolna</t>
  </si>
  <si>
    <t>Tiszadorogma</t>
  </si>
  <si>
    <t>Ároktő</t>
  </si>
  <si>
    <t>Ónod</t>
  </si>
  <si>
    <t>Muhi</t>
  </si>
  <si>
    <t>Kistokaj</t>
  </si>
  <si>
    <t>Bükkaranyos</t>
  </si>
  <si>
    <t>Harsány</t>
  </si>
  <si>
    <t>Kisgyőr</t>
  </si>
  <si>
    <t>Bükkszentkereszt</t>
  </si>
  <si>
    <t>Répáshuta</t>
  </si>
  <si>
    <t>Felsőzsolca</t>
  </si>
  <si>
    <t>Onga</t>
  </si>
  <si>
    <t>Hernádkak</t>
  </si>
  <si>
    <t>Hernádnémeti</t>
  </si>
  <si>
    <t>Tiszalúc</t>
  </si>
  <si>
    <t>Alsózsolca</t>
  </si>
  <si>
    <t>Sajópetri</t>
  </si>
  <si>
    <t>Bőcs</t>
  </si>
  <si>
    <t>Berzék</t>
  </si>
  <si>
    <t>Sajóhídvég</t>
  </si>
  <si>
    <t>Köröm</t>
  </si>
  <si>
    <t>Girincs</t>
  </si>
  <si>
    <t>Kiscsécs</t>
  </si>
  <si>
    <t>Kesznyéten</t>
  </si>
  <si>
    <t>Tiszaújváros</t>
  </si>
  <si>
    <t>Sajóörös</t>
  </si>
  <si>
    <t>Hejőkürt</t>
  </si>
  <si>
    <t>Tiszatarján</t>
  </si>
  <si>
    <t>Oszlár</t>
  </si>
  <si>
    <t>Nemesbikk</t>
  </si>
  <si>
    <t>Hejőbába</t>
  </si>
  <si>
    <t>Hejőpapi</t>
  </si>
  <si>
    <t>Hejőszalonta</t>
  </si>
  <si>
    <t>Szakáld</t>
  </si>
  <si>
    <t>Hejőkeresztúr</t>
  </si>
  <si>
    <t>Nagycsécs</t>
  </si>
  <si>
    <t>Sajószöged</t>
  </si>
  <si>
    <t>Farkaslyuk</t>
  </si>
  <si>
    <t>Uppony</t>
  </si>
  <si>
    <t>Borsodszentgyörgy</t>
  </si>
  <si>
    <t>Hangony</t>
  </si>
  <si>
    <t>Domaháza</t>
  </si>
  <si>
    <t>Kissikátor</t>
  </si>
  <si>
    <t>Putnok</t>
  </si>
  <si>
    <t>Dubicsány</t>
  </si>
  <si>
    <t>Vadna</t>
  </si>
  <si>
    <t>Sajógalgóc</t>
  </si>
  <si>
    <t>Nagybarca</t>
  </si>
  <si>
    <t>Bánhorváti</t>
  </si>
  <si>
    <t>Tardona</t>
  </si>
  <si>
    <t>Mályinka</t>
  </si>
  <si>
    <t>Nekézseny</t>
  </si>
  <si>
    <t>Csokvaomány</t>
  </si>
  <si>
    <t>Bükkmogyorósd</t>
  </si>
  <si>
    <t>Lénárddaróc</t>
  </si>
  <si>
    <t>Sajónémeti</t>
  </si>
  <si>
    <t>Sajópüspöki</t>
  </si>
  <si>
    <t>Bánréve</t>
  </si>
  <si>
    <t>Hét</t>
  </si>
  <si>
    <t>Sajóvelezd</t>
  </si>
  <si>
    <t>Sajómercse</t>
  </si>
  <si>
    <t>Királd</t>
  </si>
  <si>
    <t>Borsodbóta</t>
  </si>
  <si>
    <t>Sáta</t>
  </si>
  <si>
    <t>Arló</t>
  </si>
  <si>
    <t>Járdánháza</t>
  </si>
  <si>
    <t xml:space="preserve">Borsodnádasd </t>
  </si>
  <si>
    <t>Berente</t>
  </si>
  <si>
    <t>Szirmabesenyő</t>
  </si>
  <si>
    <t>Sajóvámos</t>
  </si>
  <si>
    <t>Sajósenye</t>
  </si>
  <si>
    <t>Arnót</t>
  </si>
  <si>
    <t>Sajópálfala</t>
  </si>
  <si>
    <t>Gesztely</t>
  </si>
  <si>
    <t>Újcsanálos</t>
  </si>
  <si>
    <t>Sóstófalva</t>
  </si>
  <si>
    <t>Alsódobsza</t>
  </si>
  <si>
    <t>Megyaszó</t>
  </si>
  <si>
    <t>Sajókaza</t>
  </si>
  <si>
    <t>Sajóivánka</t>
  </si>
  <si>
    <t>Dövény</t>
  </si>
  <si>
    <t>Jákfalva</t>
  </si>
  <si>
    <t>Felsőkelecsény</t>
  </si>
  <si>
    <t>Zubogy</t>
  </si>
  <si>
    <t>Ragály</t>
  </si>
  <si>
    <t>Trizs</t>
  </si>
  <si>
    <t>Imola</t>
  </si>
  <si>
    <t>Zádorfalva</t>
  </si>
  <si>
    <t>Alsószuha</t>
  </si>
  <si>
    <t>Szuhafő</t>
  </si>
  <si>
    <t>Kelemér</t>
  </si>
  <si>
    <t>Gömörszőlős</t>
  </si>
  <si>
    <t>Serényfalva</t>
  </si>
  <si>
    <t>Szuhakálló</t>
  </si>
  <si>
    <t>Kurityán</t>
  </si>
  <si>
    <t>Rudabánya</t>
  </si>
  <si>
    <t>Szuhogy</t>
  </si>
  <si>
    <t>Felsőtelekes</t>
  </si>
  <si>
    <t>Alsótelekes</t>
  </si>
  <si>
    <t>Kánó</t>
  </si>
  <si>
    <t>Izsófalva</t>
  </si>
  <si>
    <t>Rudolftelep</t>
  </si>
  <si>
    <t>Ormosbánya</t>
  </si>
  <si>
    <t>Múcsony</t>
  </si>
  <si>
    <t>Szendrőlád</t>
  </si>
  <si>
    <t>Szendrő</t>
  </si>
  <si>
    <t>Galvács</t>
  </si>
  <si>
    <t>Abod</t>
  </si>
  <si>
    <t>Szalonna</t>
  </si>
  <si>
    <t>Meszes</t>
  </si>
  <si>
    <t>Martonyi</t>
  </si>
  <si>
    <t>Perkupa</t>
  </si>
  <si>
    <t>Varbóc</t>
  </si>
  <si>
    <t>Szőlősardó</t>
  </si>
  <si>
    <t>Égerszög</t>
  </si>
  <si>
    <t>Teresztenye</t>
  </si>
  <si>
    <t>Jósvafő</t>
  </si>
  <si>
    <t>Aggtelek</t>
  </si>
  <si>
    <t>Szin</t>
  </si>
  <si>
    <t>Szinpetri</t>
  </si>
  <si>
    <t>Tornakápolna</t>
  </si>
  <si>
    <t>Bódvaszilas</t>
  </si>
  <si>
    <t>Bódvarákó</t>
  </si>
  <si>
    <t>Komjáti</t>
  </si>
  <si>
    <t>Tornabarakony</t>
  </si>
  <si>
    <t>Tornaszentandrás</t>
  </si>
  <si>
    <t>Tornanádaska</t>
  </si>
  <si>
    <t>Hidvégardó</t>
  </si>
  <si>
    <t>Becskeháza</t>
  </si>
  <si>
    <t>Bódvalenke</t>
  </si>
  <si>
    <t>Tornaszentjakab</t>
  </si>
  <si>
    <t>Sajószentpéter</t>
  </si>
  <si>
    <t>Sajókápolna</t>
  </si>
  <si>
    <t>Sajólászlófalva</t>
  </si>
  <si>
    <t>Kondó</t>
  </si>
  <si>
    <t>Radostyán</t>
  </si>
  <si>
    <t>Parasznya</t>
  </si>
  <si>
    <t>Varbó</t>
  </si>
  <si>
    <t>Alacska</t>
  </si>
  <si>
    <t xml:space="preserve">Edelény </t>
  </si>
  <si>
    <t>Balajt</t>
  </si>
  <si>
    <t>Damak</t>
  </si>
  <si>
    <t>Ládbesenyő</t>
  </si>
  <si>
    <t>Lak</t>
  </si>
  <si>
    <t>Hegymeg</t>
  </si>
  <si>
    <t>Irota</t>
  </si>
  <si>
    <t>Szakácsi</t>
  </si>
  <si>
    <t>Tomor</t>
  </si>
  <si>
    <t>Sajókeresztúr</t>
  </si>
  <si>
    <t>Sajóbábony</t>
  </si>
  <si>
    <t>Boldva</t>
  </si>
  <si>
    <t>Ziliz</t>
  </si>
  <si>
    <t>Hangács</t>
  </si>
  <si>
    <t>Nyomár</t>
  </si>
  <si>
    <t>Szikszó</t>
  </si>
  <si>
    <t>Selyeb</t>
  </si>
  <si>
    <t>Abaújszolnok</t>
  </si>
  <si>
    <t>Nyésta</t>
  </si>
  <si>
    <t>Alsóvadász</t>
  </si>
  <si>
    <t>Homrogd</t>
  </si>
  <si>
    <t>Monaj</t>
  </si>
  <si>
    <t>Kupa</t>
  </si>
  <si>
    <t>Felsővadász</t>
  </si>
  <si>
    <t>Gadna</t>
  </si>
  <si>
    <t>Abaújlak</t>
  </si>
  <si>
    <t>Gagyvendégi</t>
  </si>
  <si>
    <t>Gagybátor</t>
  </si>
  <si>
    <t>Krasznokvajda</t>
  </si>
  <si>
    <t>Büttös</t>
  </si>
  <si>
    <t>Kány</t>
  </si>
  <si>
    <t>Keresztéte</t>
  </si>
  <si>
    <t>Pamlény</t>
  </si>
  <si>
    <t>Perecse</t>
  </si>
  <si>
    <t>Szászfa</t>
  </si>
  <si>
    <t>Rakaca</t>
  </si>
  <si>
    <t>Debréte</t>
  </si>
  <si>
    <t>Viszló</t>
  </si>
  <si>
    <t>Rakacaszend</t>
  </si>
  <si>
    <t>Kázsmárk</t>
  </si>
  <si>
    <t>Léh</t>
  </si>
  <si>
    <t>Rásonysápberencs</t>
  </si>
  <si>
    <t>Detek</t>
  </si>
  <si>
    <t>Beret</t>
  </si>
  <si>
    <t>Baktakék</t>
  </si>
  <si>
    <t>Felsőgagy</t>
  </si>
  <si>
    <t>Alsógagy</t>
  </si>
  <si>
    <t>Csenyéte</t>
  </si>
  <si>
    <t>Gagyapáti</t>
  </si>
  <si>
    <t>Aszaló</t>
  </si>
  <si>
    <t>Halmaj</t>
  </si>
  <si>
    <t>Kiskinizs</t>
  </si>
  <si>
    <t>Nagykinizs</t>
  </si>
  <si>
    <t>Szentistvánbaksa</t>
  </si>
  <si>
    <t>Hernádkércs</t>
  </si>
  <si>
    <t>Felsődobsza</t>
  </si>
  <si>
    <t>Csobád</t>
  </si>
  <si>
    <t>Forró</t>
  </si>
  <si>
    <t>Hernádszentandrás</t>
  </si>
  <si>
    <t>Pere</t>
  </si>
  <si>
    <t>Hernádbűd</t>
  </si>
  <si>
    <t>Gibárt</t>
  </si>
  <si>
    <t>Fancsal</t>
  </si>
  <si>
    <t>Encs</t>
  </si>
  <si>
    <t>Szalaszend</t>
  </si>
  <si>
    <t>Fulókércs</t>
  </si>
  <si>
    <t>Fáj</t>
  </si>
  <si>
    <t>Szemere</t>
  </si>
  <si>
    <t>Litka</t>
  </si>
  <si>
    <t>Méra</t>
  </si>
  <si>
    <t>Novajidrány</t>
  </si>
  <si>
    <t>Garadna</t>
  </si>
  <si>
    <t>Hernádvécse</t>
  </si>
  <si>
    <t>Hernádpetri</t>
  </si>
  <si>
    <t>Pusztaradvány</t>
  </si>
  <si>
    <t>Hernádszurdok</t>
  </si>
  <si>
    <t>Hidasnémeti</t>
  </si>
  <si>
    <t>Tornyosnémeti</t>
  </si>
  <si>
    <t>Baskó</t>
  </si>
  <si>
    <t>Sima</t>
  </si>
  <si>
    <t>Abaújkér</t>
  </si>
  <si>
    <t>Abaújalpár</t>
  </si>
  <si>
    <t>Boldogkőújfalu</t>
  </si>
  <si>
    <t>Arka</t>
  </si>
  <si>
    <t>Korlát</t>
  </si>
  <si>
    <t>Hernádcéce</t>
  </si>
  <si>
    <t>Vizsoly</t>
  </si>
  <si>
    <t>Vilmány</t>
  </si>
  <si>
    <t>Hejce</t>
  </si>
  <si>
    <t>Fony</t>
  </si>
  <si>
    <t>Mogyoróska</t>
  </si>
  <si>
    <t>Regéc</t>
  </si>
  <si>
    <t>Göncruszka</t>
  </si>
  <si>
    <t>Gönc</t>
  </si>
  <si>
    <t>Telkibánya</t>
  </si>
  <si>
    <t>Zsujta</t>
  </si>
  <si>
    <t>Abaújvár</t>
  </si>
  <si>
    <t>Pányok</t>
  </si>
  <si>
    <t>Kéked</t>
  </si>
  <si>
    <t>Szerencs</t>
  </si>
  <si>
    <t>Legyesbénye</t>
  </si>
  <si>
    <t>Monok</t>
  </si>
  <si>
    <t>Golop</t>
  </si>
  <si>
    <t>Rátka</t>
  </si>
  <si>
    <t>Tokaj</t>
  </si>
  <si>
    <t>Tarcal</t>
  </si>
  <si>
    <t>Bodrogkeresztúr</t>
  </si>
  <si>
    <t>Bodrogkisfalud</t>
  </si>
  <si>
    <t>Szegi</t>
  </si>
  <si>
    <t>Szegilong</t>
  </si>
  <si>
    <t>Taktaszada</t>
  </si>
  <si>
    <t>Taktaharkány</t>
  </si>
  <si>
    <t>Taktakenéz</t>
  </si>
  <si>
    <t>Taktabáj</t>
  </si>
  <si>
    <t>Csobaj</t>
  </si>
  <si>
    <t>Tiszatardos</t>
  </si>
  <si>
    <t>Tiszaladány</t>
  </si>
  <si>
    <t>Mezőzombor</t>
  </si>
  <si>
    <t>Erdőbénye</t>
  </si>
  <si>
    <t>Olaszliszka</t>
  </si>
  <si>
    <t>Tolcsva</t>
  </si>
  <si>
    <t>Erdőhorváti</t>
  </si>
  <si>
    <t>Háromhuta</t>
  </si>
  <si>
    <t>Komlóska</t>
  </si>
  <si>
    <t>Vámosújfalu</t>
  </si>
  <si>
    <t>Sárazsadány</t>
  </si>
  <si>
    <t>Bodrogolaszi</t>
  </si>
  <si>
    <t>Györgytarló</t>
  </si>
  <si>
    <t>Kenézlő</t>
  </si>
  <si>
    <t>Viss</t>
  </si>
  <si>
    <t>Zalkod</t>
  </si>
  <si>
    <t>Hercegkút</t>
  </si>
  <si>
    <t>Makkoshotyka</t>
  </si>
  <si>
    <t>Vajdácska</t>
  </si>
  <si>
    <t>Karos</t>
  </si>
  <si>
    <t>Karcsa</t>
  </si>
  <si>
    <t>Pácin</t>
  </si>
  <si>
    <t>Nagyrozvágy</t>
  </si>
  <si>
    <t>Kisrozvágy</t>
  </si>
  <si>
    <t>Lácacséke</t>
  </si>
  <si>
    <t>Tiszacsermely</t>
  </si>
  <si>
    <t>Cigánd</t>
  </si>
  <si>
    <t>Ricse</t>
  </si>
  <si>
    <t>Semjén</t>
  </si>
  <si>
    <t>Révleányvár</t>
  </si>
  <si>
    <t>Zemplénagárd</t>
  </si>
  <si>
    <t>Dámóc</t>
  </si>
  <si>
    <t>Alsóberecki</t>
  </si>
  <si>
    <t>Felsőberecki</t>
  </si>
  <si>
    <t>Bodroghalom</t>
  </si>
  <si>
    <t>Mikóháza</t>
  </si>
  <si>
    <t>Alsóregmec</t>
  </si>
  <si>
    <t>Felsőregmec</t>
  </si>
  <si>
    <t>Vilyvitány</t>
  </si>
  <si>
    <t>Kovácsvágás</t>
  </si>
  <si>
    <t>Vágáshuta</t>
  </si>
  <si>
    <t>Füzérradvány</t>
  </si>
  <si>
    <t>Pálháza</t>
  </si>
  <si>
    <t>Bózsva</t>
  </si>
  <si>
    <t>Filkeháza</t>
  </si>
  <si>
    <t>Füzérkajata</t>
  </si>
  <si>
    <t>Kishuta</t>
  </si>
  <si>
    <t>Nagyhuta</t>
  </si>
  <si>
    <t>Pusztafalu</t>
  </si>
  <si>
    <t>Füzér</t>
  </si>
  <si>
    <t>Nyíri</t>
  </si>
  <si>
    <t>Hollóháza</t>
  </si>
  <si>
    <t>Nagyhegyes</t>
  </si>
  <si>
    <t>Újszentmargita</t>
  </si>
  <si>
    <t>Tiszacsege</t>
  </si>
  <si>
    <t>Egyek</t>
  </si>
  <si>
    <t>Hortobágy</t>
  </si>
  <si>
    <t>Görbeháza</t>
  </si>
  <si>
    <t>Hajdúnánás</t>
  </si>
  <si>
    <t>Hajdúdorog</t>
  </si>
  <si>
    <t>Polgár</t>
  </si>
  <si>
    <t>Folyás</t>
  </si>
  <si>
    <t>Újtikos</t>
  </si>
  <si>
    <t>Tiszagyulaháza</t>
  </si>
  <si>
    <t>Biharkeresztes</t>
  </si>
  <si>
    <t xml:space="preserve">Ártánd </t>
  </si>
  <si>
    <t>Berekböszörmény</t>
  </si>
  <si>
    <t xml:space="preserve">Told </t>
  </si>
  <si>
    <t>Mezőpeterd</t>
  </si>
  <si>
    <t>Gáborján</t>
  </si>
  <si>
    <t>Hencida</t>
  </si>
  <si>
    <t>Esztár</t>
  </si>
  <si>
    <t>Pocsaj</t>
  </si>
  <si>
    <t>Kismarja</t>
  </si>
  <si>
    <t>Nagykereki</t>
  </si>
  <si>
    <t>Bedő</t>
  </si>
  <si>
    <t>Derecske</t>
  </si>
  <si>
    <t>Tépe</t>
  </si>
  <si>
    <t>Konyár</t>
  </si>
  <si>
    <t>Mezősas</t>
  </si>
  <si>
    <t>Körösszegapáti</t>
  </si>
  <si>
    <t>Körösszakál</t>
  </si>
  <si>
    <t>Magyarhomorog</t>
  </si>
  <si>
    <t>Furta</t>
  </si>
  <si>
    <t>Zsáka</t>
  </si>
  <si>
    <t>Vekerd</t>
  </si>
  <si>
    <t>Darvas</t>
  </si>
  <si>
    <t>Csökmő</t>
  </si>
  <si>
    <t>Újiráz</t>
  </si>
  <si>
    <t>Báránd</t>
  </si>
  <si>
    <t>Szerep</t>
  </si>
  <si>
    <t>Bakonszeg</t>
  </si>
  <si>
    <t>Sárrétudvari</t>
  </si>
  <si>
    <t>Biharnagybajom</t>
  </si>
  <si>
    <t>Nagyrábé</t>
  </si>
  <si>
    <t>Bihardancsháza</t>
  </si>
  <si>
    <t>Sáp</t>
  </si>
  <si>
    <t>Földes</t>
  </si>
  <si>
    <t>Nádudvar</t>
  </si>
  <si>
    <t>Kaba</t>
  </si>
  <si>
    <t>Tetétlen</t>
  </si>
  <si>
    <t>Hajdúszovát</t>
  </si>
  <si>
    <t>Bököny</t>
  </si>
  <si>
    <t>Balkány</t>
  </si>
  <si>
    <t>Szakoly</t>
  </si>
  <si>
    <t>Biri</t>
  </si>
  <si>
    <t>Bocskaikert</t>
  </si>
  <si>
    <t>Téglás</t>
  </si>
  <si>
    <t>Újfehértó</t>
  </si>
  <si>
    <t>Érpatak</t>
  </si>
  <si>
    <t>Nyíracsád</t>
  </si>
  <si>
    <t>Nyírmártonfalva</t>
  </si>
  <si>
    <t>Nyírábrány</t>
  </si>
  <si>
    <t>Fülöp</t>
  </si>
  <si>
    <t>Penészlek</t>
  </si>
  <si>
    <t>Mikepércs</t>
  </si>
  <si>
    <t>Sáránd</t>
  </si>
  <si>
    <t>Hajdúbagos</t>
  </si>
  <si>
    <t>Hosszúpályi</t>
  </si>
  <si>
    <t>Monostorpályi</t>
  </si>
  <si>
    <t xml:space="preserve">Létavértes </t>
  </si>
  <si>
    <t>Kokad</t>
  </si>
  <si>
    <t>Álmosd</t>
  </si>
  <si>
    <t>Bagamér</t>
  </si>
  <si>
    <t>Újléta</t>
  </si>
  <si>
    <t>Nyírgyulaj</t>
  </si>
  <si>
    <t>Nagykálló</t>
  </si>
  <si>
    <t>Kállósemjén</t>
  </si>
  <si>
    <t>Kisléta</t>
  </si>
  <si>
    <t>Máriapócs</t>
  </si>
  <si>
    <t>Pócspetri</t>
  </si>
  <si>
    <t>Nyírcsászári</t>
  </si>
  <si>
    <t>Nyírderzs</t>
  </si>
  <si>
    <t>Nyírkáta</t>
  </si>
  <si>
    <t>Hodász</t>
  </si>
  <si>
    <t>Őr</t>
  </si>
  <si>
    <t>Jármi</t>
  </si>
  <si>
    <t xml:space="preserve">Papos </t>
  </si>
  <si>
    <t>Nyírvasvári</t>
  </si>
  <si>
    <t>Terem</t>
  </si>
  <si>
    <t>Mérk</t>
  </si>
  <si>
    <t>Tiborszállás</t>
  </si>
  <si>
    <t>Fábiánháza</t>
  </si>
  <si>
    <t>Nagyecsed</t>
  </si>
  <si>
    <t>Nyírcsaholy</t>
  </si>
  <si>
    <t>Nyírbogát</t>
  </si>
  <si>
    <t>Nyírgelse</t>
  </si>
  <si>
    <t>Nyírmihálydi</t>
  </si>
  <si>
    <t>Nyírlugos</t>
  </si>
  <si>
    <t>Nyírbéltek</t>
  </si>
  <si>
    <t>Ömböly</t>
  </si>
  <si>
    <t>Encsencs</t>
  </si>
  <si>
    <t>Piricse</t>
  </si>
  <si>
    <t>Nyírpilis</t>
  </si>
  <si>
    <t>Kálmánháza</t>
  </si>
  <si>
    <t>Tiszavasvári</t>
  </si>
  <si>
    <t>Szorgalmatos</t>
  </si>
  <si>
    <t>Nagycserkesz</t>
  </si>
  <si>
    <t>Tiszaeszlár</t>
  </si>
  <si>
    <t>Tiszalök</t>
  </si>
  <si>
    <t>Tiszadada</t>
  </si>
  <si>
    <t>Tiszadob</t>
  </si>
  <si>
    <t>Nyírtelek</t>
  </si>
  <si>
    <t>Tiszanagyfalu</t>
  </si>
  <si>
    <t xml:space="preserve">Tiszaeszlár    </t>
  </si>
  <si>
    <t>Rakamaz</t>
  </si>
  <si>
    <t>Timár</t>
  </si>
  <si>
    <t>Szabolcs</t>
  </si>
  <si>
    <t>Balsa</t>
  </si>
  <si>
    <t xml:space="preserve">Gávavencsellő   </t>
  </si>
  <si>
    <t>Tiszabercel</t>
  </si>
  <si>
    <t>Paszab</t>
  </si>
  <si>
    <t>Buj</t>
  </si>
  <si>
    <t>Ibrány</t>
  </si>
  <si>
    <t>Tiszatelek</t>
  </si>
  <si>
    <t>Beszterec</t>
  </si>
  <si>
    <t>Újdombrád</t>
  </si>
  <si>
    <t>Tiszakanyár</t>
  </si>
  <si>
    <t>Kékcse</t>
  </si>
  <si>
    <t>Döge</t>
  </si>
  <si>
    <t>Szabolcsveresmart</t>
  </si>
  <si>
    <t>Vasmegyer</t>
  </si>
  <si>
    <t>Tiszarád</t>
  </si>
  <si>
    <t xml:space="preserve">Nyírbogdány </t>
  </si>
  <si>
    <t>Kék</t>
  </si>
  <si>
    <t>Demecser</t>
  </si>
  <si>
    <t xml:space="preserve">Berkesz </t>
  </si>
  <si>
    <t>Nyírtass</t>
  </si>
  <si>
    <t>Pátroha</t>
  </si>
  <si>
    <t>Ajak</t>
  </si>
  <si>
    <t>Rétközberencs</t>
  </si>
  <si>
    <t>Nyírpazony</t>
  </si>
  <si>
    <t>Nyírtura</t>
  </si>
  <si>
    <t>Sényő</t>
  </si>
  <si>
    <t>Székely</t>
  </si>
  <si>
    <t>Nyíribrony</t>
  </si>
  <si>
    <t>Ramocsaháza</t>
  </si>
  <si>
    <t>Nyírkércs</t>
  </si>
  <si>
    <t>Nyírjákó</t>
  </si>
  <si>
    <t>Petneháza</t>
  </si>
  <si>
    <t>Laskod</t>
  </si>
  <si>
    <t>Nyírkarász</t>
  </si>
  <si>
    <t>Gyulaháza</t>
  </si>
  <si>
    <t>Anarcs</t>
  </si>
  <si>
    <t>Szabolcsbáka</t>
  </si>
  <si>
    <t>Napkor</t>
  </si>
  <si>
    <t>Apagy</t>
  </si>
  <si>
    <t>Nyírtét</t>
  </si>
  <si>
    <t>Levelek</t>
  </si>
  <si>
    <t>Magy</t>
  </si>
  <si>
    <t>Besenyőd</t>
  </si>
  <si>
    <t>Baktalórántháza</t>
  </si>
  <si>
    <t>Rohod</t>
  </si>
  <si>
    <t>Nyírmada</t>
  </si>
  <si>
    <t>Pusztadobos</t>
  </si>
  <si>
    <t>Ilk</t>
  </si>
  <si>
    <t>Gemzse</t>
  </si>
  <si>
    <t>Jéke</t>
  </si>
  <si>
    <t>Komoró</t>
  </si>
  <si>
    <t>Tuzsér</t>
  </si>
  <si>
    <t>Tiszabezdéd</t>
  </si>
  <si>
    <t>Győröcske</t>
  </si>
  <si>
    <t>Zsurk</t>
  </si>
  <si>
    <t>Tiszaszentmárton</t>
  </si>
  <si>
    <t>Pap</t>
  </si>
  <si>
    <t>Nyírlövő</t>
  </si>
  <si>
    <t>Lövőpetri</t>
  </si>
  <si>
    <t>Aranyosapáti</t>
  </si>
  <si>
    <t>Újkenéz</t>
  </si>
  <si>
    <t>Mezőladány</t>
  </si>
  <si>
    <t>Tornyospálca</t>
  </si>
  <si>
    <t>Benk</t>
  </si>
  <si>
    <t>Tiszamogyorós</t>
  </si>
  <si>
    <t>Eperjeske</t>
  </si>
  <si>
    <t>Szamoskér</t>
  </si>
  <si>
    <t>Nyírmeggyes</t>
  </si>
  <si>
    <t>Tunyogmatolcs</t>
  </si>
  <si>
    <t>Cégénydányád</t>
  </si>
  <si>
    <t>Szamosújlak</t>
  </si>
  <si>
    <t>Szamossályi</t>
  </si>
  <si>
    <t>Hermánszeg</t>
  </si>
  <si>
    <t>Kisnamény</t>
  </si>
  <si>
    <t>Darnó</t>
  </si>
  <si>
    <t>Jánkmajtis</t>
  </si>
  <si>
    <t>Csegöld</t>
  </si>
  <si>
    <t>Csengersima</t>
  </si>
  <si>
    <t>Szamosbecs</t>
  </si>
  <si>
    <t>Szamostatárfalva</t>
  </si>
  <si>
    <t>Kocsord</t>
  </si>
  <si>
    <t>Győrtelek</t>
  </si>
  <si>
    <t>Géberjén</t>
  </si>
  <si>
    <t>Fülpösdaróc</t>
  </si>
  <si>
    <t>Ököritófülpös</t>
  </si>
  <si>
    <t>Rápolt</t>
  </si>
  <si>
    <t>Porcsalma</t>
  </si>
  <si>
    <t>Tyukod</t>
  </si>
  <si>
    <t>Ura</t>
  </si>
  <si>
    <t>Csengerújfalu</t>
  </si>
  <si>
    <t>Csenger</t>
  </si>
  <si>
    <t>Komlódtótfalu</t>
  </si>
  <si>
    <t>Pátyod</t>
  </si>
  <si>
    <t>Kisvarsány</t>
  </si>
  <si>
    <t>Nagyvarsány</t>
  </si>
  <si>
    <t xml:space="preserve">Gyüre </t>
  </si>
  <si>
    <t>Ópályi</t>
  </si>
  <si>
    <t>Nyírparasznya</t>
  </si>
  <si>
    <t>Nagydobos</t>
  </si>
  <si>
    <t>Szamosszeg</t>
  </si>
  <si>
    <t>Olcsva</t>
  </si>
  <si>
    <t>Tiszaszalka</t>
  </si>
  <si>
    <t>Tiszavid</t>
  </si>
  <si>
    <t>Tiszaadony</t>
  </si>
  <si>
    <t>Tiszakerecseny</t>
  </si>
  <si>
    <t>Mátyus</t>
  </si>
  <si>
    <t>Lónya</t>
  </si>
  <si>
    <t>Jánd</t>
  </si>
  <si>
    <t>Gulács</t>
  </si>
  <si>
    <t>Hetefejércse</t>
  </si>
  <si>
    <t>Csaroda</t>
  </si>
  <si>
    <t>Tákos</t>
  </si>
  <si>
    <t>Nábrád</t>
  </si>
  <si>
    <t>Kérsemjén</t>
  </si>
  <si>
    <t>Panyola</t>
  </si>
  <si>
    <t>Olcsvaapáti</t>
  </si>
  <si>
    <t>Kisar</t>
  </si>
  <si>
    <t>Tivadar</t>
  </si>
  <si>
    <t>Nagyar</t>
  </si>
  <si>
    <t>Tarpa</t>
  </si>
  <si>
    <t>Márokpapi</t>
  </si>
  <si>
    <t>Beregsurány</t>
  </si>
  <si>
    <t>Beregdaróc</t>
  </si>
  <si>
    <t>Gelénes</t>
  </si>
  <si>
    <t>Vámosatya</t>
  </si>
  <si>
    <t>Barabás</t>
  </si>
  <si>
    <t>Penyige</t>
  </si>
  <si>
    <t>Mánd</t>
  </si>
  <si>
    <t>Nemesborzova</t>
  </si>
  <si>
    <t>Kömörő</t>
  </si>
  <si>
    <t>Túristvándi</t>
  </si>
  <si>
    <t>Szatmárcseke</t>
  </si>
  <si>
    <t>Tiszakóród</t>
  </si>
  <si>
    <t>Tiszacsécse</t>
  </si>
  <si>
    <t>Milota</t>
  </si>
  <si>
    <t>Tiszabecs</t>
  </si>
  <si>
    <t>Uszka</t>
  </si>
  <si>
    <t>Magosliget</t>
  </si>
  <si>
    <t>Sonkád</t>
  </si>
  <si>
    <t>Botpalád</t>
  </si>
  <si>
    <t>Kispalád</t>
  </si>
  <si>
    <t>Zsarolyán</t>
  </si>
  <si>
    <t>Nagyszekeres</t>
  </si>
  <si>
    <t>Kisszekeres</t>
  </si>
  <si>
    <t>Fülesd</t>
  </si>
  <si>
    <t>Kölcse</t>
  </si>
  <si>
    <t>Csaholc</t>
  </si>
  <si>
    <t>Túrricse</t>
  </si>
  <si>
    <t>Tisztaberek</t>
  </si>
  <si>
    <t>Rozsály</t>
  </si>
  <si>
    <t>Gacsály</t>
  </si>
  <si>
    <t>Császló</t>
  </si>
  <si>
    <t>Zajta</t>
  </si>
  <si>
    <t>Méhtelek</t>
  </si>
  <si>
    <t>Garbolc</t>
  </si>
  <si>
    <t>Nagyhódos</t>
  </si>
  <si>
    <t>Kishódos</t>
  </si>
  <si>
    <t>Zagyvarékas</t>
  </si>
  <si>
    <t>Újszász</t>
  </si>
  <si>
    <t>Szászberek</t>
  </si>
  <si>
    <t>Jászalsószentgyörgy</t>
  </si>
  <si>
    <t>Jászladány</t>
  </si>
  <si>
    <t>Tiszasüly</t>
  </si>
  <si>
    <t>Kőtelek</t>
  </si>
  <si>
    <t>Hunyadfalva</t>
  </si>
  <si>
    <t>Csataszög</t>
  </si>
  <si>
    <t>Nagykörű</t>
  </si>
  <si>
    <t>Besenyszög</t>
  </si>
  <si>
    <t>Tiszatenyő</t>
  </si>
  <si>
    <t>Kengyel</t>
  </si>
  <si>
    <t>Rákócziújfalu</t>
  </si>
  <si>
    <t>Rákóczifalva</t>
  </si>
  <si>
    <t>Tószeg</t>
  </si>
  <si>
    <t>Tiszavárkony</t>
  </si>
  <si>
    <t>Vezseny</t>
  </si>
  <si>
    <t>Jászjákóhalma</t>
  </si>
  <si>
    <t>Jászdózsa</t>
  </si>
  <si>
    <t>Jászágó</t>
  </si>
  <si>
    <t>Jászivány</t>
  </si>
  <si>
    <t>Jászszentandrás</t>
  </si>
  <si>
    <t>Jászkisér</t>
  </si>
  <si>
    <t>Jásztelek</t>
  </si>
  <si>
    <t>Jánoshida</t>
  </si>
  <si>
    <t>Fegyvernek</t>
  </si>
  <si>
    <t>Örményes</t>
  </si>
  <si>
    <t>Tiszabő</t>
  </si>
  <si>
    <t>Tiszaroff</t>
  </si>
  <si>
    <t>Tiszabura</t>
  </si>
  <si>
    <t>Tiszaderzs</t>
  </si>
  <si>
    <t>Tiszaszőlős</t>
  </si>
  <si>
    <t>Berekfürdő</t>
  </si>
  <si>
    <t>Tiszaszentimre</t>
  </si>
  <si>
    <t>Tomajmonostora</t>
  </si>
  <si>
    <t>Kenderes</t>
  </si>
  <si>
    <t>Tiszaigar</t>
  </si>
  <si>
    <t>Tiszaörs</t>
  </si>
  <si>
    <t>Nagyiván</t>
  </si>
  <si>
    <t>Kétpó</t>
  </si>
  <si>
    <t>Túrkeve</t>
  </si>
  <si>
    <t>Martfű</t>
  </si>
  <si>
    <t>Öcsöd</t>
  </si>
  <si>
    <t>Mesterszállás</t>
  </si>
  <si>
    <t>Mezőhék</t>
  </si>
  <si>
    <t>Cibakháza</t>
  </si>
  <si>
    <t>Nagyrév</t>
  </si>
  <si>
    <t>Tiszainoka</t>
  </si>
  <si>
    <t>Cserkeszőlő</t>
  </si>
  <si>
    <t>Tiszakürt</t>
  </si>
  <si>
    <t>Tiszasas</t>
  </si>
  <si>
    <t>Csépa</t>
  </si>
  <si>
    <t>Szelevény</t>
  </si>
  <si>
    <t xml:space="preserve">Gyomaendrőd    </t>
  </si>
  <si>
    <t>Dévaványa</t>
  </si>
  <si>
    <t>Ecsegfalva</t>
  </si>
  <si>
    <t>Füzesgyarmat</t>
  </si>
  <si>
    <t>Kertészsziget</t>
  </si>
  <si>
    <t>Vésztő</t>
  </si>
  <si>
    <t>Okány</t>
  </si>
  <si>
    <t>Körösújfalu</t>
  </si>
  <si>
    <t>Zsadány</t>
  </si>
  <si>
    <t>Biharugra</t>
  </si>
  <si>
    <t>Körösnagyharsány</t>
  </si>
  <si>
    <t>Szarvas</t>
  </si>
  <si>
    <t>Csabacsűd</t>
  </si>
  <si>
    <t>Kardos</t>
  </si>
  <si>
    <t>Kondoros</t>
  </si>
  <si>
    <t>Hunya</t>
  </si>
  <si>
    <t>Örménykút</t>
  </si>
  <si>
    <t>Békésszentandrás</t>
  </si>
  <si>
    <t xml:space="preserve">Csabaszabadi </t>
  </si>
  <si>
    <t>Csárdaszállás</t>
  </si>
  <si>
    <t>Köröstarcsa</t>
  </si>
  <si>
    <t>Doboz</t>
  </si>
  <si>
    <t>Tarhos</t>
  </si>
  <si>
    <t>Bélmegyer</t>
  </si>
  <si>
    <t>Mezőberény</t>
  </si>
  <si>
    <t>Medgyesbodzás</t>
  </si>
  <si>
    <t>Pusztaottlaka</t>
  </si>
  <si>
    <t xml:space="preserve">Medgyesegyháza  </t>
  </si>
  <si>
    <t>Magyarbánhegyes</t>
  </si>
  <si>
    <t>Nagybánhegyes</t>
  </si>
  <si>
    <t>Murony</t>
  </si>
  <si>
    <t>Kamut</t>
  </si>
  <si>
    <t>Telekgerendás</t>
  </si>
  <si>
    <t>Szabadkígyós</t>
  </si>
  <si>
    <t>Kötegyán</t>
  </si>
  <si>
    <t>Méhkerék</t>
  </si>
  <si>
    <t>Újszalonta</t>
  </si>
  <si>
    <t>Sarkadkeresztúr</t>
  </si>
  <si>
    <t>Mezőgyán</t>
  </si>
  <si>
    <t>Geszt</t>
  </si>
  <si>
    <t>Kétegyháza</t>
  </si>
  <si>
    <t>Elek</t>
  </si>
  <si>
    <t>Lőkösháza</t>
  </si>
  <si>
    <t>Dombiratos</t>
  </si>
  <si>
    <t>Kunágota</t>
  </si>
  <si>
    <t>Almáskamarás</t>
  </si>
  <si>
    <t>Nagykamarás</t>
  </si>
  <si>
    <t>Medgyesegyháza</t>
  </si>
  <si>
    <t>Mezőkovácsháza</t>
  </si>
  <si>
    <t>Végegyháza</t>
  </si>
  <si>
    <t>Battonya</t>
  </si>
  <si>
    <t>Dombegyház</t>
  </si>
  <si>
    <t>Kisdombegyház</t>
  </si>
  <si>
    <t>Magyardombegyház</t>
  </si>
  <si>
    <t>Pusztaföldvár</t>
  </si>
  <si>
    <t>Csorvás</t>
  </si>
  <si>
    <t>Gerendás</t>
  </si>
  <si>
    <t>Gádoros</t>
  </si>
  <si>
    <t>Tótkomlós</t>
  </si>
  <si>
    <t>Kardoskút</t>
  </si>
  <si>
    <t>Békéssámson</t>
  </si>
  <si>
    <t>Kaszaper</t>
  </si>
  <si>
    <t>Szentkirály</t>
  </si>
  <si>
    <t>Nyárlőrinc</t>
  </si>
  <si>
    <t>Városföld</t>
  </si>
  <si>
    <t>Helvécia</t>
  </si>
  <si>
    <t>Ballószög</t>
  </si>
  <si>
    <t>Kerekegyháza</t>
  </si>
  <si>
    <t>Fülöpháza</t>
  </si>
  <si>
    <t>Kunbaracs</t>
  </si>
  <si>
    <t>Lajosmizse</t>
  </si>
  <si>
    <t xml:space="preserve">Felsőlajos </t>
  </si>
  <si>
    <t>Tiszaug</t>
  </si>
  <si>
    <t>Lakitelek</t>
  </si>
  <si>
    <t xml:space="preserve">Tiszaalpár </t>
  </si>
  <si>
    <t>Páhi</t>
  </si>
  <si>
    <t>Ágasegyháza</t>
  </si>
  <si>
    <t>Orgovány</t>
  </si>
  <si>
    <t>Jakabszállás</t>
  </si>
  <si>
    <t>Fülöpszállás</t>
  </si>
  <si>
    <t>Szalkszentmárton</t>
  </si>
  <si>
    <t>Dunavecse</t>
  </si>
  <si>
    <t>Apostag</t>
  </si>
  <si>
    <t xml:space="preserve">Kunszentmiklós </t>
  </si>
  <si>
    <t>Kunpeszér</t>
  </si>
  <si>
    <t>Kunadacs</t>
  </si>
  <si>
    <t>Gátér</t>
  </si>
  <si>
    <t>Pálmonostora</t>
  </si>
  <si>
    <t>Bugac</t>
  </si>
  <si>
    <t>Bugacpusztaháza</t>
  </si>
  <si>
    <t>Kunszállás</t>
  </si>
  <si>
    <t xml:space="preserve">Fülöpjakab </t>
  </si>
  <si>
    <t>Kiskunmajsa</t>
  </si>
  <si>
    <t>Szank</t>
  </si>
  <si>
    <t xml:space="preserve">Móricgát </t>
  </si>
  <si>
    <t>Jászszentlászló</t>
  </si>
  <si>
    <t>Kömpöc</t>
  </si>
  <si>
    <t>Csólyospálos</t>
  </si>
  <si>
    <t>Harkakötöny</t>
  </si>
  <si>
    <t>Kaskantyú</t>
  </si>
  <si>
    <t>Akasztó</t>
  </si>
  <si>
    <t>Csengőd</t>
  </si>
  <si>
    <t>Soltszentimre</t>
  </si>
  <si>
    <t>Tabdi</t>
  </si>
  <si>
    <t>Soltvadkert</t>
  </si>
  <si>
    <t>Tázlár</t>
  </si>
  <si>
    <t>Imrehegy</t>
  </si>
  <si>
    <t>Császártöltés</t>
  </si>
  <si>
    <t>Öregcsertő</t>
  </si>
  <si>
    <t>Solt</t>
  </si>
  <si>
    <t>Újsolt</t>
  </si>
  <si>
    <t>Dunaegyháza</t>
  </si>
  <si>
    <t>Dunatetétlen</t>
  </si>
  <si>
    <t xml:space="preserve">Harta </t>
  </si>
  <si>
    <t>Dunapataj</t>
  </si>
  <si>
    <t>Foktő</t>
  </si>
  <si>
    <t>Uszód</t>
  </si>
  <si>
    <t>Dunaszentbenedek</t>
  </si>
  <si>
    <t>Géderlak</t>
  </si>
  <si>
    <t>Ordas</t>
  </si>
  <si>
    <t>Szakmár</t>
  </si>
  <si>
    <t>Újtelek</t>
  </si>
  <si>
    <t>Drágszél</t>
  </si>
  <si>
    <t>Miske</t>
  </si>
  <si>
    <t>Hajós</t>
  </si>
  <si>
    <t>Nemesnádudvar</t>
  </si>
  <si>
    <t>Érsekcsanád</t>
  </si>
  <si>
    <t>Érsekhalma</t>
  </si>
  <si>
    <t>Bátya</t>
  </si>
  <si>
    <t>Fajsz</t>
  </si>
  <si>
    <t>Zsana</t>
  </si>
  <si>
    <t>Balotaszállás</t>
  </si>
  <si>
    <t>Kunfehértó</t>
  </si>
  <si>
    <t>Kisszállás</t>
  </si>
  <si>
    <t>Tompa</t>
  </si>
  <si>
    <t>Kelebia</t>
  </si>
  <si>
    <t>Csikéria</t>
  </si>
  <si>
    <t>Bácsszőlős</t>
  </si>
  <si>
    <t>Kunbaja</t>
  </si>
  <si>
    <t>Jánoshalma</t>
  </si>
  <si>
    <t xml:space="preserve">Kéleshalom </t>
  </si>
  <si>
    <t>Borota</t>
  </si>
  <si>
    <t>Rém</t>
  </si>
  <si>
    <t>Felsőszentiván</t>
  </si>
  <si>
    <t>Csávoly</t>
  </si>
  <si>
    <t>Mélykút</t>
  </si>
  <si>
    <t>Tataháza</t>
  </si>
  <si>
    <t>Mátételke</t>
  </si>
  <si>
    <t>Bácsbokod</t>
  </si>
  <si>
    <t>Bácsborsód</t>
  </si>
  <si>
    <t>Katymár</t>
  </si>
  <si>
    <t>Madaras</t>
  </si>
  <si>
    <t>Bácsszentgyörgy</t>
  </si>
  <si>
    <t>Szeremle</t>
  </si>
  <si>
    <t>Dunafalva</t>
  </si>
  <si>
    <t>Vaskút</t>
  </si>
  <si>
    <t>Gara</t>
  </si>
  <si>
    <t>Csátalja</t>
  </si>
  <si>
    <t>Dávod</t>
  </si>
  <si>
    <t>Hercegszántó</t>
  </si>
  <si>
    <t>Nagybaracska</t>
  </si>
  <si>
    <t>Bátmonostor</t>
  </si>
  <si>
    <t>Nagytőke</t>
  </si>
  <si>
    <t>Derekegyház</t>
  </si>
  <si>
    <t>Nagymágocs</t>
  </si>
  <si>
    <t>Árpádhalom</t>
  </si>
  <si>
    <t>Eperjes</t>
  </si>
  <si>
    <t>Fábiánsebestyén</t>
  </si>
  <si>
    <t>Mindszent</t>
  </si>
  <si>
    <t>Felgyő</t>
  </si>
  <si>
    <t>Tömörkény</t>
  </si>
  <si>
    <t>Csanytelek</t>
  </si>
  <si>
    <t>Algyő</t>
  </si>
  <si>
    <t>Kübekháza</t>
  </si>
  <si>
    <t>Tiszasziget</t>
  </si>
  <si>
    <t>Röszke</t>
  </si>
  <si>
    <t>Sándorfalva</t>
  </si>
  <si>
    <t>Szatymaz</t>
  </si>
  <si>
    <t>Balástya</t>
  </si>
  <si>
    <t>Csengele</t>
  </si>
  <si>
    <t>Dóc</t>
  </si>
  <si>
    <t>Ópusztaszer</t>
  </si>
  <si>
    <t>Baks</t>
  </si>
  <si>
    <t>Pusztaszer</t>
  </si>
  <si>
    <t>Deszk</t>
  </si>
  <si>
    <t>Klárafalva</t>
  </si>
  <si>
    <t>Ferencszállás</t>
  </si>
  <si>
    <t>Kiszombor</t>
  </si>
  <si>
    <t>Domaszék</t>
  </si>
  <si>
    <t>Mórahalom</t>
  </si>
  <si>
    <t>Ásotthalom</t>
  </si>
  <si>
    <t>Öttömös</t>
  </si>
  <si>
    <t>Pusztamérges</t>
  </si>
  <si>
    <t>Ruzsa</t>
  </si>
  <si>
    <t>Zákányszék</t>
  </si>
  <si>
    <t>Zsombó</t>
  </si>
  <si>
    <t>Forráskút</t>
  </si>
  <si>
    <t>Bordány</t>
  </si>
  <si>
    <t>Királyhegyes</t>
  </si>
  <si>
    <t>Kövegy</t>
  </si>
  <si>
    <t>Pitvaros</t>
  </si>
  <si>
    <t>Csanádalberti</t>
  </si>
  <si>
    <t>Ambrózfalva</t>
  </si>
  <si>
    <t>Nagyér</t>
  </si>
  <si>
    <t>Maroslele</t>
  </si>
  <si>
    <t>Földeák</t>
  </si>
  <si>
    <t>Óföldeák</t>
  </si>
  <si>
    <t>Apátfalva</t>
  </si>
  <si>
    <t>Magyarcsanád</t>
  </si>
  <si>
    <t>Nagylak</t>
  </si>
  <si>
    <t>Alap</t>
  </si>
  <si>
    <t>Alsószentiván</t>
  </si>
  <si>
    <t>Cece</t>
  </si>
  <si>
    <t>Sáregres</t>
  </si>
  <si>
    <t>Igar</t>
  </si>
  <si>
    <t>Bölcske</t>
  </si>
  <si>
    <t>Madocsa</t>
  </si>
  <si>
    <t>Pusztahencse</t>
  </si>
  <si>
    <t>Németkér</t>
  </si>
  <si>
    <t>Vajta</t>
  </si>
  <si>
    <t>Pálfa</t>
  </si>
  <si>
    <t>Bikács</t>
  </si>
  <si>
    <t>Nagydorog</t>
  </si>
  <si>
    <t>Györköny</t>
  </si>
  <si>
    <t>Sárszentlőrinc</t>
  </si>
  <si>
    <t>Kajdacs</t>
  </si>
  <si>
    <t>Kölesd</t>
  </si>
  <si>
    <t>Tengelic</t>
  </si>
  <si>
    <t>Szedres</t>
  </si>
  <si>
    <t>Medina</t>
  </si>
  <si>
    <t>Belecska</t>
  </si>
  <si>
    <t>Keszőhidegkút</t>
  </si>
  <si>
    <t>Szárazd</t>
  </si>
  <si>
    <t>Gyönk</t>
  </si>
  <si>
    <t>Miszla</t>
  </si>
  <si>
    <t>Udvari</t>
  </si>
  <si>
    <t>Varsád</t>
  </si>
  <si>
    <t>Kistormás</t>
  </si>
  <si>
    <t>Szakadát</t>
  </si>
  <si>
    <t>Diósberény</t>
  </si>
  <si>
    <t>Kisszékely</t>
  </si>
  <si>
    <t>Pincehely</t>
  </si>
  <si>
    <t>Nagyszékely</t>
  </si>
  <si>
    <t>Ozora</t>
  </si>
  <si>
    <t>Fürged</t>
  </si>
  <si>
    <t>Tamási</t>
  </si>
  <si>
    <t>Pári</t>
  </si>
  <si>
    <t>Nagykónyi</t>
  </si>
  <si>
    <t>Értény</t>
  </si>
  <si>
    <t>Koppányszántó</t>
  </si>
  <si>
    <t>Iregszemcse</t>
  </si>
  <si>
    <t>Újireg</t>
  </si>
  <si>
    <t>Nagyszokoly</t>
  </si>
  <si>
    <t>Magyarkeszi</t>
  </si>
  <si>
    <t>Felsőnyék</t>
  </si>
  <si>
    <t>Szálka</t>
  </si>
  <si>
    <t>Kakasd</t>
  </si>
  <si>
    <t>Bogyiszló</t>
  </si>
  <si>
    <t>Gerjen</t>
  </si>
  <si>
    <t>Dunaszentgyörgy</t>
  </si>
  <si>
    <t>Fácánkert</t>
  </si>
  <si>
    <t>Bátaszék</t>
  </si>
  <si>
    <t>Pörböly</t>
  </si>
  <si>
    <t>Őcsény</t>
  </si>
  <si>
    <t>Decs</t>
  </si>
  <si>
    <t>Sárpilis</t>
  </si>
  <si>
    <t>Várdomb</t>
  </si>
  <si>
    <t>Alsónána</t>
  </si>
  <si>
    <t>Alsónyék</t>
  </si>
  <si>
    <t>Báta</t>
  </si>
  <si>
    <t>Bonyhádvarasd</t>
  </si>
  <si>
    <t>Kisdorog</t>
  </si>
  <si>
    <t>Cikó</t>
  </si>
  <si>
    <t>Grábóc</t>
  </si>
  <si>
    <t>Mőcsény</t>
  </si>
  <si>
    <t>Bátaapáti</t>
  </si>
  <si>
    <t>Mórágy</t>
  </si>
  <si>
    <t>Sióagárd</t>
  </si>
  <si>
    <t>Harc</t>
  </si>
  <si>
    <t>Zomba</t>
  </si>
  <si>
    <t>Kéty</t>
  </si>
  <si>
    <t>Felsőnána</t>
  </si>
  <si>
    <t>Murga</t>
  </si>
  <si>
    <t>Tevel</t>
  </si>
  <si>
    <t>Závod</t>
  </si>
  <si>
    <t>Kisvejke</t>
  </si>
  <si>
    <t>Lengyel</t>
  </si>
  <si>
    <t>Mucsfa</t>
  </si>
  <si>
    <t>Aparhant</t>
  </si>
  <si>
    <t>Nagyvejke</t>
  </si>
  <si>
    <t>Szárász</t>
  </si>
  <si>
    <t>Hőgyész</t>
  </si>
  <si>
    <t>Szakály</t>
  </si>
  <si>
    <t>Regöly</t>
  </si>
  <si>
    <t>Kalaznó</t>
  </si>
  <si>
    <t>Mucsi</t>
  </si>
  <si>
    <t>Dalmand</t>
  </si>
  <si>
    <t>Kocsola</t>
  </si>
  <si>
    <t>Szakcs</t>
  </si>
  <si>
    <t>Lápafő</t>
  </si>
  <si>
    <t>Várong</t>
  </si>
  <si>
    <t>Nak</t>
  </si>
  <si>
    <t>Dúzs</t>
  </si>
  <si>
    <t>Csibrák</t>
  </si>
  <si>
    <t>Kurd</t>
  </si>
  <si>
    <t>Gyulaj</t>
  </si>
  <si>
    <t>Döbrököz</t>
  </si>
  <si>
    <t>Kapospula</t>
  </si>
  <si>
    <t>Attala</t>
  </si>
  <si>
    <t>Csoma</t>
  </si>
  <si>
    <t>Szabadi</t>
  </si>
  <si>
    <t>Nagyberki</t>
  </si>
  <si>
    <t>Kercseliget</t>
  </si>
  <si>
    <t>Mosdós</t>
  </si>
  <si>
    <t>Baté</t>
  </si>
  <si>
    <t>Kaposkeresztúr</t>
  </si>
  <si>
    <t>Taszár</t>
  </si>
  <si>
    <t>Kaposhomok</t>
  </si>
  <si>
    <t>Fonó</t>
  </si>
  <si>
    <t>Gölle</t>
  </si>
  <si>
    <t>Büssü</t>
  </si>
  <si>
    <t>Kazsok</t>
  </si>
  <si>
    <t>Igal</t>
  </si>
  <si>
    <t>Somogyszil</t>
  </si>
  <si>
    <t>Gadács</t>
  </si>
  <si>
    <t>Kisgyalán</t>
  </si>
  <si>
    <t>Bonnya</t>
  </si>
  <si>
    <t>Kisbárapáti</t>
  </si>
  <si>
    <t>Fiad</t>
  </si>
  <si>
    <t>Somogyacsa</t>
  </si>
  <si>
    <t>Somogydöröcske</t>
  </si>
  <si>
    <t>Törökkoppány</t>
  </si>
  <si>
    <t>Kára</t>
  </si>
  <si>
    <t>Szorosad</t>
  </si>
  <si>
    <t xml:space="preserve">Mánfa </t>
  </si>
  <si>
    <t>Liget</t>
  </si>
  <si>
    <t>Magyaregregy</t>
  </si>
  <si>
    <t>Vékény</t>
  </si>
  <si>
    <t>Szalatnak</t>
  </si>
  <si>
    <t>Köblény</t>
  </si>
  <si>
    <t>Csikóstőttős</t>
  </si>
  <si>
    <t>Mágocs</t>
  </si>
  <si>
    <t>Nagyhajmás</t>
  </si>
  <si>
    <t>Mekényes</t>
  </si>
  <si>
    <t>Alsómocsolád</t>
  </si>
  <si>
    <t>Bikal</t>
  </si>
  <si>
    <t>Egyházaskozár</t>
  </si>
  <si>
    <t>Hegyhátmaróc</t>
  </si>
  <si>
    <t>Tófű</t>
  </si>
  <si>
    <t>Szászvár</t>
  </si>
  <si>
    <t>Máza</t>
  </si>
  <si>
    <t>Györe</t>
  </si>
  <si>
    <t>Izmény</t>
  </si>
  <si>
    <t>Váralja</t>
  </si>
  <si>
    <t>Kismányok</t>
  </si>
  <si>
    <t>Jágónak</t>
  </si>
  <si>
    <t>Kaposszekcső</t>
  </si>
  <si>
    <t>Vásárosdombó</t>
  </si>
  <si>
    <t>Gerényes</t>
  </si>
  <si>
    <t>Tarrós</t>
  </si>
  <si>
    <t>Sásd</t>
  </si>
  <si>
    <t>Felsőegerszeg</t>
  </si>
  <si>
    <t>Meződ</t>
  </si>
  <si>
    <t>Oroszló</t>
  </si>
  <si>
    <t>Palé</t>
  </si>
  <si>
    <t>Varga</t>
  </si>
  <si>
    <t>Vázsnok</t>
  </si>
  <si>
    <t>Kisvaszar</t>
  </si>
  <si>
    <t>Ág</t>
  </si>
  <si>
    <t>Tékes</t>
  </si>
  <si>
    <t>Tormás</t>
  </si>
  <si>
    <t>Baranyaszentgyörgy</t>
  </si>
  <si>
    <t>Szágy</t>
  </si>
  <si>
    <t>Baranyajenő</t>
  </si>
  <si>
    <t>Gödre</t>
  </si>
  <si>
    <t>Mindszentgodisa</t>
  </si>
  <si>
    <t>Kisbeszterce</t>
  </si>
  <si>
    <t>Kishajmás</t>
  </si>
  <si>
    <t>Bakóca</t>
  </si>
  <si>
    <t>Magyarhertelend</t>
  </si>
  <si>
    <t>Bodolyabér</t>
  </si>
  <si>
    <t>Magyarszék</t>
  </si>
  <si>
    <t>Zselickislak</t>
  </si>
  <si>
    <t>Juta</t>
  </si>
  <si>
    <t>Hetes</t>
  </si>
  <si>
    <t>Csombárd</t>
  </si>
  <si>
    <t>Mezőcsokonya</t>
  </si>
  <si>
    <t>Somogysárd</t>
  </si>
  <si>
    <t>Újvárfalva</t>
  </si>
  <si>
    <t>Bodrog</t>
  </si>
  <si>
    <t>Magyaregres</t>
  </si>
  <si>
    <t>Várda</t>
  </si>
  <si>
    <t>Somogyjád</t>
  </si>
  <si>
    <t>Alsóbogát</t>
  </si>
  <si>
    <t>Edde</t>
  </si>
  <si>
    <t>Osztopán</t>
  </si>
  <si>
    <t>Somogyaszaló</t>
  </si>
  <si>
    <t>Mernye</t>
  </si>
  <si>
    <t>Somodor</t>
  </si>
  <si>
    <t>Somogygeszti</t>
  </si>
  <si>
    <t>Felsőmocsolád</t>
  </si>
  <si>
    <t>Ecseny</t>
  </si>
  <si>
    <t>Polány</t>
  </si>
  <si>
    <t>Orci</t>
  </si>
  <si>
    <t>Magyaratád</t>
  </si>
  <si>
    <t>Patalom</t>
  </si>
  <si>
    <t>Ráksi</t>
  </si>
  <si>
    <t>Szentgáloskér</t>
  </si>
  <si>
    <t>Zimány</t>
  </si>
  <si>
    <t>Szentbalázs</t>
  </si>
  <si>
    <t>Cserénfa</t>
  </si>
  <si>
    <t>Gálosfa</t>
  </si>
  <si>
    <t>Hajmás</t>
  </si>
  <si>
    <t>Kaposgyarmat</t>
  </si>
  <si>
    <t>Simonfa</t>
  </si>
  <si>
    <t>Zselicszentpál</t>
  </si>
  <si>
    <t>Bőszénfa</t>
  </si>
  <si>
    <t>Kaposszerdahely</t>
  </si>
  <si>
    <t>Szenna</t>
  </si>
  <si>
    <t>Patca</t>
  </si>
  <si>
    <t>Szilvásszentmárton</t>
  </si>
  <si>
    <t>Zselickisfalud</t>
  </si>
  <si>
    <t>Bárdudvarnok</t>
  </si>
  <si>
    <t>Sántos</t>
  </si>
  <si>
    <t>Ötvöskónyi</t>
  </si>
  <si>
    <t>Mike</t>
  </si>
  <si>
    <t>Rinyaszentkirály</t>
  </si>
  <si>
    <t>Tarany</t>
  </si>
  <si>
    <t>Somogyudvarhely</t>
  </si>
  <si>
    <t>Berzence</t>
  </si>
  <si>
    <t>Bolhás</t>
  </si>
  <si>
    <t>Kaposmérő</t>
  </si>
  <si>
    <t>Kaposújlak</t>
  </si>
  <si>
    <t>Kisasszond</t>
  </si>
  <si>
    <t>Jákó</t>
  </si>
  <si>
    <t>Csököly</t>
  </si>
  <si>
    <t>Gige</t>
  </si>
  <si>
    <t>Rinyakovácsi</t>
  </si>
  <si>
    <t>Kadarkút</t>
  </si>
  <si>
    <t>Kőkút</t>
  </si>
  <si>
    <t>Hencse</t>
  </si>
  <si>
    <t>Hedrehely</t>
  </si>
  <si>
    <t>Visnye</t>
  </si>
  <si>
    <t>Lad</t>
  </si>
  <si>
    <t>Patosfa</t>
  </si>
  <si>
    <t>Homokszentgyörgy</t>
  </si>
  <si>
    <t>Kálmáncsa</t>
  </si>
  <si>
    <t>Szulok</t>
  </si>
  <si>
    <t>Kutas</t>
  </si>
  <si>
    <t>Kisbajom</t>
  </si>
  <si>
    <t>Beleg</t>
  </si>
  <si>
    <t>Szabás</t>
  </si>
  <si>
    <t>Nagykorpád</t>
  </si>
  <si>
    <t>Lábod</t>
  </si>
  <si>
    <t>Rinyabesenyő</t>
  </si>
  <si>
    <t>Görgeteg</t>
  </si>
  <si>
    <t>Csokonyavisonta</t>
  </si>
  <si>
    <t>Rinyaújlak</t>
  </si>
  <si>
    <t>Nagybajom</t>
  </si>
  <si>
    <t>Pálmajor</t>
  </si>
  <si>
    <t>Segesd</t>
  </si>
  <si>
    <t>Somogyszob</t>
  </si>
  <si>
    <t>Kaszó</t>
  </si>
  <si>
    <t>Komlósd</t>
  </si>
  <si>
    <t>Péterhida</t>
  </si>
  <si>
    <t>Babócsa</t>
  </si>
  <si>
    <t>Rinyaújnép</t>
  </si>
  <si>
    <t>Somogyaracs</t>
  </si>
  <si>
    <t>Háromfa</t>
  </si>
  <si>
    <t>Bakháza</t>
  </si>
  <si>
    <t>Bolhó</t>
  </si>
  <si>
    <t>Heresznye</t>
  </si>
  <si>
    <t>Vízvár</t>
  </si>
  <si>
    <t>Bélavár</t>
  </si>
  <si>
    <t>Kökény</t>
  </si>
  <si>
    <t>Erzsébet</t>
  </si>
  <si>
    <t>Kékesd</t>
  </si>
  <si>
    <t>Szellő</t>
  </si>
  <si>
    <t>Máriakéménd</t>
  </si>
  <si>
    <t>Berkesd</t>
  </si>
  <si>
    <t>Pereked</t>
  </si>
  <si>
    <t>Szilágy</t>
  </si>
  <si>
    <t>Pogány</t>
  </si>
  <si>
    <t>Keszü</t>
  </si>
  <si>
    <t>Gyód</t>
  </si>
  <si>
    <t>Bicsérd</t>
  </si>
  <si>
    <t>Aranyosgadány</t>
  </si>
  <si>
    <t>Zók</t>
  </si>
  <si>
    <t>Boda</t>
  </si>
  <si>
    <t>Kővágószőlős</t>
  </si>
  <si>
    <t>Cserkút</t>
  </si>
  <si>
    <t>Bakonya</t>
  </si>
  <si>
    <t>Kővágótöttös</t>
  </si>
  <si>
    <t xml:space="preserve">Orfű </t>
  </si>
  <si>
    <t>Abaliget</t>
  </si>
  <si>
    <t>Husztót</t>
  </si>
  <si>
    <t>Kovácsszénája</t>
  </si>
  <si>
    <t>Hetvehely</t>
  </si>
  <si>
    <t>Okorvölgy</t>
  </si>
  <si>
    <t>Szentkatalin</t>
  </si>
  <si>
    <t>Bükkösd</t>
  </si>
  <si>
    <t>Helesfa</t>
  </si>
  <si>
    <t>Cserdi</t>
  </si>
  <si>
    <t>Dinnyeberki</t>
  </si>
  <si>
    <t>Hosszúhetény</t>
  </si>
  <si>
    <t>Mecseknádasd</t>
  </si>
  <si>
    <t>Óbánya</t>
  </si>
  <si>
    <t>Ófalu</t>
  </si>
  <si>
    <t>Hidas</t>
  </si>
  <si>
    <t>Bár</t>
  </si>
  <si>
    <t>Dunaszekcső</t>
  </si>
  <si>
    <t>Homorúd</t>
  </si>
  <si>
    <t>Kölked</t>
  </si>
  <si>
    <t>Udvar</t>
  </si>
  <si>
    <t>Pécsvárad</t>
  </si>
  <si>
    <t>Apátvarasd</t>
  </si>
  <si>
    <t>Lovászhetény</t>
  </si>
  <si>
    <t>Martonfa</t>
  </si>
  <si>
    <t>Zengővárkony</t>
  </si>
  <si>
    <t>Erdősmecske</t>
  </si>
  <si>
    <t>Szebény</t>
  </si>
  <si>
    <t>Véménd</t>
  </si>
  <si>
    <t>Palotabozsok</t>
  </si>
  <si>
    <t>Somberek</t>
  </si>
  <si>
    <t>Görcsönydoboka</t>
  </si>
  <si>
    <t>Nagypall</t>
  </si>
  <si>
    <t>Fazekasboda</t>
  </si>
  <si>
    <t>Geresdlak</t>
  </si>
  <si>
    <t>Maráza</t>
  </si>
  <si>
    <t>Himesháza</t>
  </si>
  <si>
    <t>Erdősmárok</t>
  </si>
  <si>
    <t>Szűr</t>
  </si>
  <si>
    <t>Székelyszabar</t>
  </si>
  <si>
    <t>Nagykozár</t>
  </si>
  <si>
    <t>Bogád</t>
  </si>
  <si>
    <t>Romonya</t>
  </si>
  <si>
    <t>Ellend</t>
  </si>
  <si>
    <t>Olasz</t>
  </si>
  <si>
    <t>Hásságy</t>
  </si>
  <si>
    <t>Belvárdgyula</t>
  </si>
  <si>
    <t>Birján</t>
  </si>
  <si>
    <t>Szederkény</t>
  </si>
  <si>
    <t>Monyoród</t>
  </si>
  <si>
    <t>Versend</t>
  </si>
  <si>
    <t>Szajk</t>
  </si>
  <si>
    <t>Bóly</t>
  </si>
  <si>
    <t>Töttös</t>
  </si>
  <si>
    <t>Borjád</t>
  </si>
  <si>
    <t>Kisbudmér</t>
  </si>
  <si>
    <t>Nagybudmér</t>
  </si>
  <si>
    <t>Pócsa</t>
  </si>
  <si>
    <t>Babarc</t>
  </si>
  <si>
    <t>Liptód</t>
  </si>
  <si>
    <t>Lánycsók</t>
  </si>
  <si>
    <t>Kisnyárád</t>
  </si>
  <si>
    <t>Lothárd</t>
  </si>
  <si>
    <t>Magyarsarlós</t>
  </si>
  <si>
    <t>Pécsudvard</t>
  </si>
  <si>
    <t>Egerág</t>
  </si>
  <si>
    <t>Áta</t>
  </si>
  <si>
    <t>Kisherend</t>
  </si>
  <si>
    <t>Szemely</t>
  </si>
  <si>
    <t>Szőkéd</t>
  </si>
  <si>
    <t>Újpetre</t>
  </si>
  <si>
    <t>Kiskassa</t>
  </si>
  <si>
    <t>Peterd</t>
  </si>
  <si>
    <t>Pécsdevecser</t>
  </si>
  <si>
    <t>Vokány</t>
  </si>
  <si>
    <t>Kistótfalu</t>
  </si>
  <si>
    <t>Palkonya</t>
  </si>
  <si>
    <t>Villánykövesd</t>
  </si>
  <si>
    <t>Ivánbattyán</t>
  </si>
  <si>
    <t>Villány</t>
  </si>
  <si>
    <t>Kisjakabfalva</t>
  </si>
  <si>
    <t>Márok</t>
  </si>
  <si>
    <t>Magyarbóly</t>
  </si>
  <si>
    <t>Illocska</t>
  </si>
  <si>
    <t>Kislippó</t>
  </si>
  <si>
    <t>Lapáncsa</t>
  </si>
  <si>
    <t>Lippó</t>
  </si>
  <si>
    <t>Ivándárda</t>
  </si>
  <si>
    <t>Sárok</t>
  </si>
  <si>
    <t>Bezedek</t>
  </si>
  <si>
    <t>Majs</t>
  </si>
  <si>
    <t>Nagynyárád</t>
  </si>
  <si>
    <t>Sátorhely</t>
  </si>
  <si>
    <t>Siklós</t>
  </si>
  <si>
    <t>Kisharsány</t>
  </si>
  <si>
    <t>Nagytótfalu</t>
  </si>
  <si>
    <t>Szalánta</t>
  </si>
  <si>
    <t>Bisse</t>
  </si>
  <si>
    <t>Bosta</t>
  </si>
  <si>
    <t>Csarnóta</t>
  </si>
  <si>
    <t>Szilvás</t>
  </si>
  <si>
    <t>Túrony</t>
  </si>
  <si>
    <t>Garé</t>
  </si>
  <si>
    <t>Szava</t>
  </si>
  <si>
    <t>Ócsárd</t>
  </si>
  <si>
    <t>Babarcszőlős</t>
  </si>
  <si>
    <t>Kisdér</t>
  </si>
  <si>
    <t>Siklósbodony</t>
  </si>
  <si>
    <t>Harkány</t>
  </si>
  <si>
    <t>Diósviszló</t>
  </si>
  <si>
    <t>Márfa</t>
  </si>
  <si>
    <t>Rádfalva</t>
  </si>
  <si>
    <t>Nagyharsány</t>
  </si>
  <si>
    <t>Siklósnagyfalu</t>
  </si>
  <si>
    <t>Kistapolca</t>
  </si>
  <si>
    <t>Egyházasharaszti</t>
  </si>
  <si>
    <t>Old</t>
  </si>
  <si>
    <t>Alsószentmárton</t>
  </si>
  <si>
    <t>Beremend</t>
  </si>
  <si>
    <t>Kásád</t>
  </si>
  <si>
    <t>Pellérd</t>
  </si>
  <si>
    <t>Görcsöny</t>
  </si>
  <si>
    <t>Regenye</t>
  </si>
  <si>
    <t>Szőke</t>
  </si>
  <si>
    <t>Baksa</t>
  </si>
  <si>
    <t>Tengeri</t>
  </si>
  <si>
    <t>Téseny</t>
  </si>
  <si>
    <t>Bogádmindszent</t>
  </si>
  <si>
    <t>Ózdfalu</t>
  </si>
  <si>
    <t>Hegyszentmárton</t>
  </si>
  <si>
    <t>Vajszló</t>
  </si>
  <si>
    <t>Besence</t>
  </si>
  <si>
    <t>Hirics</t>
  </si>
  <si>
    <t>Lúzsok</t>
  </si>
  <si>
    <t>Nagycsány</t>
  </si>
  <si>
    <t>Páprád</t>
  </si>
  <si>
    <t>Piskó</t>
  </si>
  <si>
    <t>Vejti</t>
  </si>
  <si>
    <t>Zaláta</t>
  </si>
  <si>
    <t>Kemse</t>
  </si>
  <si>
    <t>Sámod</t>
  </si>
  <si>
    <t>Adorjás</t>
  </si>
  <si>
    <t>Baranyahídvég</t>
  </si>
  <si>
    <t>Kisszentmárton</t>
  </si>
  <si>
    <t>Kórós</t>
  </si>
  <si>
    <t>Kémes</t>
  </si>
  <si>
    <t>Cún</t>
  </si>
  <si>
    <t>Drávapiski</t>
  </si>
  <si>
    <t>Szaporca</t>
  </si>
  <si>
    <t>Tésenfa</t>
  </si>
  <si>
    <t>Drávacsepely</t>
  </si>
  <si>
    <t>Kovácshida</t>
  </si>
  <si>
    <t>Drávaszerdahely</t>
  </si>
  <si>
    <t>Ipacsfa</t>
  </si>
  <si>
    <t>Drávacsehi</t>
  </si>
  <si>
    <t>Drávapalkonya</t>
  </si>
  <si>
    <t>Drávaszabolcs</t>
  </si>
  <si>
    <t>Gordisa</t>
  </si>
  <si>
    <t>Matty</t>
  </si>
  <si>
    <t>Botykapeterd</t>
  </si>
  <si>
    <t>Csertő</t>
  </si>
  <si>
    <t>Nagypeterd</t>
  </si>
  <si>
    <t>Nyugotszenterzsébet</t>
  </si>
  <si>
    <t>Nagyváty</t>
  </si>
  <si>
    <t>Szentdénes</t>
  </si>
  <si>
    <t>Rózsafa</t>
  </si>
  <si>
    <t>Bánfa</t>
  </si>
  <si>
    <t>Katádfa</t>
  </si>
  <si>
    <t>Dencsháza</t>
  </si>
  <si>
    <t>Szentegát</t>
  </si>
  <si>
    <t>Lakócsa</t>
  </si>
  <si>
    <t>Szentborbás</t>
  </si>
  <si>
    <t>Tótújfalu</t>
  </si>
  <si>
    <t>Somogyhatvan</t>
  </si>
  <si>
    <t>Somogyapáti</t>
  </si>
  <si>
    <t>Basal</t>
  </si>
  <si>
    <t>Patapoklosi</t>
  </si>
  <si>
    <t>Somogyviszló</t>
  </si>
  <si>
    <t>Somogyhárságy</t>
  </si>
  <si>
    <t>Magyarlukafa</t>
  </si>
  <si>
    <t>Vásárosbéc</t>
  </si>
  <si>
    <t>Mozsgó</t>
  </si>
  <si>
    <t>Almáskeresztúr</t>
  </si>
  <si>
    <t>Szulimán</t>
  </si>
  <si>
    <t>Almamellék</t>
  </si>
  <si>
    <t>Ibafa</t>
  </si>
  <si>
    <t>Csebény</t>
  </si>
  <si>
    <t>Horváthertelend</t>
  </si>
  <si>
    <t>Szentlászló</t>
  </si>
  <si>
    <t>Boldogasszonyfa</t>
  </si>
  <si>
    <t>Szentlőrinc</t>
  </si>
  <si>
    <t>Csonkamindszent</t>
  </si>
  <si>
    <t>Kacsóta</t>
  </si>
  <si>
    <t>Szabadszentkirály</t>
  </si>
  <si>
    <t>Gerde</t>
  </si>
  <si>
    <t>Pécsbagota</t>
  </si>
  <si>
    <t>Velény</t>
  </si>
  <si>
    <t>Királyegyháza</t>
  </si>
  <si>
    <t>Magyarmecske</t>
  </si>
  <si>
    <t>Gilvánfa</t>
  </si>
  <si>
    <t>Gyöngyfa</t>
  </si>
  <si>
    <t>Kisasszonyfa</t>
  </si>
  <si>
    <t>Magyartelek</t>
  </si>
  <si>
    <t xml:space="preserve">Okorág </t>
  </si>
  <si>
    <t xml:space="preserve">Kákics </t>
  </si>
  <si>
    <t>Sellye</t>
  </si>
  <si>
    <t>Drávaiványi</t>
  </si>
  <si>
    <t>Drávasztára</t>
  </si>
  <si>
    <t>Marócsa</t>
  </si>
  <si>
    <t>Sósvertike</t>
  </si>
  <si>
    <t>Sumony</t>
  </si>
  <si>
    <t>Csányoszró</t>
  </si>
  <si>
    <t>Bogdása</t>
  </si>
  <si>
    <t>Drávafok</t>
  </si>
  <si>
    <t>Drávakeresztúr</t>
  </si>
  <si>
    <t>Markóc</t>
  </si>
  <si>
    <t>Felsőszentmárton</t>
  </si>
  <si>
    <t>Hobol</t>
  </si>
  <si>
    <t>Gyöngyösmellék</t>
  </si>
  <si>
    <t>Teklafalu</t>
  </si>
  <si>
    <t>Bürüs</t>
  </si>
  <si>
    <t>Endrőc</t>
  </si>
  <si>
    <t>Várad</t>
  </si>
  <si>
    <t>Kétújfalu</t>
  </si>
  <si>
    <t>Zádor</t>
  </si>
  <si>
    <t>Szörény</t>
  </si>
  <si>
    <t>Kastélyosdombó</t>
  </si>
  <si>
    <t>Drávagárdony</t>
  </si>
  <si>
    <t>Potony</t>
  </si>
  <si>
    <t>Drávatamási</t>
  </si>
  <si>
    <t>Pettend</t>
  </si>
  <si>
    <t>Nemeske</t>
  </si>
  <si>
    <t>Kistamási</t>
  </si>
  <si>
    <t>Merenye</t>
  </si>
  <si>
    <t>Molvány</t>
  </si>
  <si>
    <t>Tótszentgyörgy</t>
  </si>
  <si>
    <t>Nagydobsza</t>
  </si>
  <si>
    <t>Kisdobsza</t>
  </si>
  <si>
    <t>Istvándi</t>
  </si>
  <si>
    <t>Darány</t>
  </si>
  <si>
    <t>Csór</t>
  </si>
  <si>
    <t>Moha</t>
  </si>
  <si>
    <t>Iszkaszentgyörgy</t>
  </si>
  <si>
    <t>Kincsesbánya</t>
  </si>
  <si>
    <t>Isztimér</t>
  </si>
  <si>
    <t>Bakonykúti</t>
  </si>
  <si>
    <t>Sárkeresztes</t>
  </si>
  <si>
    <t>Fehérvárcsurgó</t>
  </si>
  <si>
    <t>Bodajk</t>
  </si>
  <si>
    <t>Balinka</t>
  </si>
  <si>
    <t>Bakonycsernye</t>
  </si>
  <si>
    <t>Nagyveleg</t>
  </si>
  <si>
    <t>Pusztavám</t>
  </si>
  <si>
    <t>Magyaralmás</t>
  </si>
  <si>
    <t>Söréd</t>
  </si>
  <si>
    <t>Csákberény</t>
  </si>
  <si>
    <t>Csókakő</t>
  </si>
  <si>
    <t>Bodmér</t>
  </si>
  <si>
    <t>Zámoly</t>
  </si>
  <si>
    <t>Gánt</t>
  </si>
  <si>
    <t>Csákvár</t>
  </si>
  <si>
    <t>Vértesboglár</t>
  </si>
  <si>
    <t>Alcsútdoboz</t>
  </si>
  <si>
    <t>Vértesacsa</t>
  </si>
  <si>
    <t>Pátka</t>
  </si>
  <si>
    <t>Lovasberény</t>
  </si>
  <si>
    <t>Pákozd</t>
  </si>
  <si>
    <t>Sukoró</t>
  </si>
  <si>
    <t>Nadap</t>
  </si>
  <si>
    <t>Seregélyes</t>
  </si>
  <si>
    <t>Zichyújfalu</t>
  </si>
  <si>
    <t>Tác</t>
  </si>
  <si>
    <t>Csősz</t>
  </si>
  <si>
    <t>Soponya</t>
  </si>
  <si>
    <t>Káloz</t>
  </si>
  <si>
    <t>Sárszentágota</t>
  </si>
  <si>
    <t>Aba</t>
  </si>
  <si>
    <t>Enying</t>
  </si>
  <si>
    <t>Lepsény</t>
  </si>
  <si>
    <t>Mezőszentgyörgy</t>
  </si>
  <si>
    <t>Mátyásdomb</t>
  </si>
  <si>
    <t>Dég</t>
  </si>
  <si>
    <t>Lajoskomárom</t>
  </si>
  <si>
    <t>Mezőkomárom</t>
  </si>
  <si>
    <t>Szabadhídvég</t>
  </si>
  <si>
    <t>Úrhida</t>
  </si>
  <si>
    <t>Sárszentmihály</t>
  </si>
  <si>
    <t>Sárkeszi</t>
  </si>
  <si>
    <t>Nádasdladány</t>
  </si>
  <si>
    <t>Jenő</t>
  </si>
  <si>
    <t>Kőszárhegy</t>
  </si>
  <si>
    <t>Polgárdi</t>
  </si>
  <si>
    <t>Kisláng</t>
  </si>
  <si>
    <t>Füle</t>
  </si>
  <si>
    <t>Ősi</t>
  </si>
  <si>
    <t>Küngös</t>
  </si>
  <si>
    <t>Csajág</t>
  </si>
  <si>
    <t>Balatonfőkajár</t>
  </si>
  <si>
    <t>Balatonvilágos</t>
  </si>
  <si>
    <t>Balatonkenese</t>
  </si>
  <si>
    <t>Balatonfűzfő</t>
  </si>
  <si>
    <t>Berhida</t>
  </si>
  <si>
    <t>Papkeszi</t>
  </si>
  <si>
    <t>Öskü</t>
  </si>
  <si>
    <t>Hajmáskér</t>
  </si>
  <si>
    <t>Sóly</t>
  </si>
  <si>
    <t>Vilonya</t>
  </si>
  <si>
    <t>Királyszentistván</t>
  </si>
  <si>
    <t>Litér</t>
  </si>
  <si>
    <t>Szentkirályszabadja</t>
  </si>
  <si>
    <t>Alsóörs</t>
  </si>
  <si>
    <t>Felsőörs</t>
  </si>
  <si>
    <t>Lovas</t>
  </si>
  <si>
    <t>Csopak</t>
  </si>
  <si>
    <t>Paloznak</t>
  </si>
  <si>
    <t>Balatonszőlős</t>
  </si>
  <si>
    <t>Tihany</t>
  </si>
  <si>
    <t>Aszófő</t>
  </si>
  <si>
    <t>Balatonudvari</t>
  </si>
  <si>
    <t>Örvényes</t>
  </si>
  <si>
    <t>Balatonakali</t>
  </si>
  <si>
    <t>Dörgicse</t>
  </si>
  <si>
    <t>Pécsely</t>
  </si>
  <si>
    <t>Vászoly</t>
  </si>
  <si>
    <t>Tótvázsony</t>
  </si>
  <si>
    <t>Hidegkút</t>
  </si>
  <si>
    <t>Nemesvámos</t>
  </si>
  <si>
    <t>Veszprémfajsz</t>
  </si>
  <si>
    <t xml:space="preserve">Zánka </t>
  </si>
  <si>
    <t>Balatonszepezd</t>
  </si>
  <si>
    <t>Révfülöp</t>
  </si>
  <si>
    <t>Kékkút</t>
  </si>
  <si>
    <t>Balatonrendes</t>
  </si>
  <si>
    <t>Ábrahámhegy</t>
  </si>
  <si>
    <t>Salföld</t>
  </si>
  <si>
    <t>Badacsonytomaj</t>
  </si>
  <si>
    <t>Badacsonytördemic</t>
  </si>
  <si>
    <t>Szigliget</t>
  </si>
  <si>
    <t>Mencshely</t>
  </si>
  <si>
    <t>Szentantalfa</t>
  </si>
  <si>
    <t>Balatoncsicsó</t>
  </si>
  <si>
    <t>Óbudavár</t>
  </si>
  <si>
    <t>Szentjakabfa</t>
  </si>
  <si>
    <t>Tagyon</t>
  </si>
  <si>
    <t>Monoszló</t>
  </si>
  <si>
    <t>Köveskál</t>
  </si>
  <si>
    <t>Balatonhenye</t>
  </si>
  <si>
    <t>Szentbékkálla</t>
  </si>
  <si>
    <t>Mindszentkálla</t>
  </si>
  <si>
    <t>Nemesgulács</t>
  </si>
  <si>
    <t>Kisapáti</t>
  </si>
  <si>
    <t>Gyulakeszi</t>
  </si>
  <si>
    <t>Nagyvázsony</t>
  </si>
  <si>
    <t>Barnag</t>
  </si>
  <si>
    <t>Pula</t>
  </si>
  <si>
    <t>Vöröstó</t>
  </si>
  <si>
    <t>Öcs</t>
  </si>
  <si>
    <t>Kapolcs</t>
  </si>
  <si>
    <t>Vigántpetend</t>
  </si>
  <si>
    <t>Monostorapáti</t>
  </si>
  <si>
    <t>Hegyesd</t>
  </si>
  <si>
    <t>Raposka</t>
  </si>
  <si>
    <t>Zalahaláp</t>
  </si>
  <si>
    <t>Sáska</t>
  </si>
  <si>
    <t>Nemesvita</t>
  </si>
  <si>
    <t>Balatonederics</t>
  </si>
  <si>
    <t>Balatongyörök</t>
  </si>
  <si>
    <t>Vonyarcvashegy</t>
  </si>
  <si>
    <t>Gyenesdiás</t>
  </si>
  <si>
    <t>Várvölgy</t>
  </si>
  <si>
    <t>Vállus</t>
  </si>
  <si>
    <t>Lesencetomaj</t>
  </si>
  <si>
    <t>Uzsa</t>
  </si>
  <si>
    <t>Sümeg</t>
  </si>
  <si>
    <t>Mihályfa</t>
  </si>
  <si>
    <t>Kisvásárhely</t>
  </si>
  <si>
    <t>Szalapa</t>
  </si>
  <si>
    <t>Óhíd</t>
  </si>
  <si>
    <t>Zalaerdőd</t>
  </si>
  <si>
    <t>Hetyefő</t>
  </si>
  <si>
    <t>Dabronc</t>
  </si>
  <si>
    <t>Gógánfa</t>
  </si>
  <si>
    <t>Ukk</t>
  </si>
  <si>
    <t>Rigács</t>
  </si>
  <si>
    <t>Megyer</t>
  </si>
  <si>
    <t>Zalameggyes</t>
  </si>
  <si>
    <t>Zalagyömörő</t>
  </si>
  <si>
    <t>Sümegprága</t>
  </si>
  <si>
    <t>Bazsi</t>
  </si>
  <si>
    <t>Zalaszántó</t>
  </si>
  <si>
    <t>Vindornyalak</t>
  </si>
  <si>
    <t>Karmacs</t>
  </si>
  <si>
    <t>Vindornyafok</t>
  </si>
  <si>
    <t>Zalaköveskút</t>
  </si>
  <si>
    <t>Vindornyaszőlős</t>
  </si>
  <si>
    <t>Kisgörbő</t>
  </si>
  <si>
    <t>Nagygörbő</t>
  </si>
  <si>
    <t>Sümegcsehi</t>
  </si>
  <si>
    <t>Döbröce</t>
  </si>
  <si>
    <t>Nemesbük</t>
  </si>
  <si>
    <t>Cserszegtomaj</t>
  </si>
  <si>
    <t>Rezi</t>
  </si>
  <si>
    <t>Sármellék</t>
  </si>
  <si>
    <t>Zalavár</t>
  </si>
  <si>
    <t>Szentgyörgyvár</t>
  </si>
  <si>
    <t>Alsópáhok</t>
  </si>
  <si>
    <t>Felsőpáhok</t>
  </si>
  <si>
    <t>Úrkút</t>
  </si>
  <si>
    <t>Eplény</t>
  </si>
  <si>
    <t>Dudar</t>
  </si>
  <si>
    <t>Csetény</t>
  </si>
  <si>
    <t>Bakonyoszlop</t>
  </si>
  <si>
    <t>Csesznek</t>
  </si>
  <si>
    <t>Zirc</t>
  </si>
  <si>
    <t>Bakonynána</t>
  </si>
  <si>
    <t>Szápár</t>
  </si>
  <si>
    <t>Jásd</t>
  </si>
  <si>
    <t>Lókút</t>
  </si>
  <si>
    <t>Pénzesgyőr</t>
  </si>
  <si>
    <t>Bakonybél</t>
  </si>
  <si>
    <t>Borzavár</t>
  </si>
  <si>
    <t>Porva</t>
  </si>
  <si>
    <t>Bakonyszentkirály</t>
  </si>
  <si>
    <t>Bakonyszentlászló</t>
  </si>
  <si>
    <t>Fenyőfő</t>
  </si>
  <si>
    <t>Bakonygyirót</t>
  </si>
  <si>
    <t>Románd</t>
  </si>
  <si>
    <t>Gic</t>
  </si>
  <si>
    <t>Veszprémvarsány</t>
  </si>
  <si>
    <t>Sikátor</t>
  </si>
  <si>
    <t>Márkó</t>
  </si>
  <si>
    <t>Hárskút</t>
  </si>
  <si>
    <t>Bánd</t>
  </si>
  <si>
    <t>Szentgál</t>
  </si>
  <si>
    <t>Városlőd</t>
  </si>
  <si>
    <t>Csehbánya</t>
  </si>
  <si>
    <t>Kislőd</t>
  </si>
  <si>
    <t>Magyarpolány</t>
  </si>
  <si>
    <t>Halimba</t>
  </si>
  <si>
    <t>Szőc</t>
  </si>
  <si>
    <t>Nyirád</t>
  </si>
  <si>
    <t>Pusztamiske</t>
  </si>
  <si>
    <t>Noszlop</t>
  </si>
  <si>
    <t>Bakonypölöske</t>
  </si>
  <si>
    <t>Oroszi</t>
  </si>
  <si>
    <t>Kolontár</t>
  </si>
  <si>
    <t>Kamond</t>
  </si>
  <si>
    <t>Káptalanfa</t>
  </si>
  <si>
    <t>Bodorfa</t>
  </si>
  <si>
    <t>Nemeshany</t>
  </si>
  <si>
    <t>Gyepükaján</t>
  </si>
  <si>
    <t>Csabrendek</t>
  </si>
  <si>
    <t>Veszprémgalsa</t>
  </si>
  <si>
    <t>Hosztót</t>
  </si>
  <si>
    <t>Szentimrefalva</t>
  </si>
  <si>
    <t>Zalaszegvár</t>
  </si>
  <si>
    <t>Tüskevár</t>
  </si>
  <si>
    <t>Apácatorna</t>
  </si>
  <si>
    <t>Kisberzseny</t>
  </si>
  <si>
    <t>Somlójenő</t>
  </si>
  <si>
    <t>Borszörcsök</t>
  </si>
  <si>
    <t>Somlóvásárhely</t>
  </si>
  <si>
    <t>Doba</t>
  </si>
  <si>
    <t>Somlószőlős</t>
  </si>
  <si>
    <t>Kisszőlős</t>
  </si>
  <si>
    <t>Nagyalásony</t>
  </si>
  <si>
    <t>Somlóvecse</t>
  </si>
  <si>
    <t>Vid</t>
  </si>
  <si>
    <t>Dabrony</t>
  </si>
  <si>
    <t>Karakószörcsök</t>
  </si>
  <si>
    <t>Kerta</t>
  </si>
  <si>
    <t>Iszkáz</t>
  </si>
  <si>
    <t>Kiscsősz</t>
  </si>
  <si>
    <t>Csögle</t>
  </si>
  <si>
    <t>Nagypirit</t>
  </si>
  <si>
    <t>Kispirit</t>
  </si>
  <si>
    <t>Adorjánháza</t>
  </si>
  <si>
    <t>Egeralja</t>
  </si>
  <si>
    <t>Nyárád</t>
  </si>
  <si>
    <t>Mihályháza</t>
  </si>
  <si>
    <t>Mezőlak</t>
  </si>
  <si>
    <t>Békás</t>
  </si>
  <si>
    <t>Kemeneshőgyész</t>
  </si>
  <si>
    <t>Magyargencs</t>
  </si>
  <si>
    <t>Kemenesszentpéter</t>
  </si>
  <si>
    <t>Nagyacsád</t>
  </si>
  <si>
    <t>Nemesgörzsöny</t>
  </si>
  <si>
    <t>Egyházaskesző</t>
  </si>
  <si>
    <t>Várkesző</t>
  </si>
  <si>
    <t>Marcaltő</t>
  </si>
  <si>
    <t>Malomsok</t>
  </si>
  <si>
    <t>Takácsi</t>
  </si>
  <si>
    <t>Vaszar</t>
  </si>
  <si>
    <t>Gecse</t>
  </si>
  <si>
    <t>Nagygyimót</t>
  </si>
  <si>
    <t>Vanyola</t>
  </si>
  <si>
    <t>Lovászpatona</t>
  </si>
  <si>
    <t>Nagydém</t>
  </si>
  <si>
    <t>Bakonytamási</t>
  </si>
  <si>
    <t>Pápateszér</t>
  </si>
  <si>
    <t>Bakonyszentiván</t>
  </si>
  <si>
    <t>Bakonyság</t>
  </si>
  <si>
    <t>Csót</t>
  </si>
  <si>
    <t>Adásztevel</t>
  </si>
  <si>
    <t>Nagytevel</t>
  </si>
  <si>
    <t>Ugod</t>
  </si>
  <si>
    <t>Béb</t>
  </si>
  <si>
    <t>Bakonykoppány</t>
  </si>
  <si>
    <t>Bakonyszücs</t>
  </si>
  <si>
    <t>Bakonyjákó</t>
  </si>
  <si>
    <t>Németbánya</t>
  </si>
  <si>
    <t>Farkasgyepű</t>
  </si>
  <si>
    <t>Nóráp</t>
  </si>
  <si>
    <t>Dáka</t>
  </si>
  <si>
    <t>Pápadereske</t>
  </si>
  <si>
    <t>Pápasalamon</t>
  </si>
  <si>
    <t>Kup</t>
  </si>
  <si>
    <t>Pápakovácsi</t>
  </si>
  <si>
    <t>Ganna</t>
  </si>
  <si>
    <t>Döbrönte</t>
  </si>
  <si>
    <t>Nyim</t>
  </si>
  <si>
    <t>Balatonendréd</t>
  </si>
  <si>
    <t>Bálványos</t>
  </si>
  <si>
    <t xml:space="preserve">Kőröshegy </t>
  </si>
  <si>
    <t>Kereki</t>
  </si>
  <si>
    <t>Pusztaszemes</t>
  </si>
  <si>
    <t>Szántód</t>
  </si>
  <si>
    <t>Balatonföldvár</t>
  </si>
  <si>
    <t>Balatonszárszó</t>
  </si>
  <si>
    <t>Szólád</t>
  </si>
  <si>
    <t>Teleki</t>
  </si>
  <si>
    <t>Kötcse</t>
  </si>
  <si>
    <t>Nagycsepely</t>
  </si>
  <si>
    <t>Ordacsehi</t>
  </si>
  <si>
    <t>Balatonőszöd</t>
  </si>
  <si>
    <t>Balatonlelle</t>
  </si>
  <si>
    <t>Fonyód</t>
  </si>
  <si>
    <t>Balatonmáriafürdő</t>
  </si>
  <si>
    <t xml:space="preserve">Balatonkeresztúr </t>
  </si>
  <si>
    <t>Balatonberény</t>
  </si>
  <si>
    <t>Balatonszabadi</t>
  </si>
  <si>
    <t>Siójut</t>
  </si>
  <si>
    <t>Ságvár</t>
  </si>
  <si>
    <t>Som</t>
  </si>
  <si>
    <t>Nagyberény</t>
  </si>
  <si>
    <t>Bábonymegyer</t>
  </si>
  <si>
    <t>Tab</t>
  </si>
  <si>
    <t>Lulla</t>
  </si>
  <si>
    <t>Sérsekszőlős</t>
  </si>
  <si>
    <t>Torvaj</t>
  </si>
  <si>
    <t>Zala</t>
  </si>
  <si>
    <t>Bedegkér</t>
  </si>
  <si>
    <t>Somogyegres</t>
  </si>
  <si>
    <t>Kánya</t>
  </si>
  <si>
    <t>Tengőd</t>
  </si>
  <si>
    <t>Miklósi</t>
  </si>
  <si>
    <t>Kapoly</t>
  </si>
  <si>
    <t>Zics</t>
  </si>
  <si>
    <t>Somogymeggyes</t>
  </si>
  <si>
    <t>Nágocs</t>
  </si>
  <si>
    <t>Andocs</t>
  </si>
  <si>
    <t>Karád</t>
  </si>
  <si>
    <t>Látrány</t>
  </si>
  <si>
    <t>Visz</t>
  </si>
  <si>
    <t>Somogytúr</t>
  </si>
  <si>
    <t>Somogybabod</t>
  </si>
  <si>
    <t>Gamás</t>
  </si>
  <si>
    <t>Szőlősgyörök</t>
  </si>
  <si>
    <t>Gyugy</t>
  </si>
  <si>
    <t>Kisberény</t>
  </si>
  <si>
    <t>Hács</t>
  </si>
  <si>
    <t>Táska</t>
  </si>
  <si>
    <t>Öreglak</t>
  </si>
  <si>
    <t>Somogyvár</t>
  </si>
  <si>
    <t>Pamuk</t>
  </si>
  <si>
    <t>Somogyvámos</t>
  </si>
  <si>
    <t>Csömend</t>
  </si>
  <si>
    <t>Somogyszentpál</t>
  </si>
  <si>
    <t>Nikla</t>
  </si>
  <si>
    <t>Pusztakovácsi</t>
  </si>
  <si>
    <t>Libickozma</t>
  </si>
  <si>
    <t>Somogyfajsz</t>
  </si>
  <si>
    <t xml:space="preserve">Balatonszentgyörgy </t>
  </si>
  <si>
    <t>Vörs</t>
  </si>
  <si>
    <t>Balatonújlak</t>
  </si>
  <si>
    <t>Kelevíz</t>
  </si>
  <si>
    <t>Gadány</t>
  </si>
  <si>
    <t>Mesztegnyő</t>
  </si>
  <si>
    <t>Hosszúvíz</t>
  </si>
  <si>
    <t>Szenyér</t>
  </si>
  <si>
    <t>Nemeskisfalud</t>
  </si>
  <si>
    <t>Tapsony</t>
  </si>
  <si>
    <t>Böhönye</t>
  </si>
  <si>
    <t>Vése</t>
  </si>
  <si>
    <t>Nemesdéd</t>
  </si>
  <si>
    <t>Varászló</t>
  </si>
  <si>
    <t>Inke</t>
  </si>
  <si>
    <t>Iharosberény</t>
  </si>
  <si>
    <t>Iharos</t>
  </si>
  <si>
    <t>Somogycsicsó</t>
  </si>
  <si>
    <t>Pogányszentpéter</t>
  </si>
  <si>
    <t>Hollád</t>
  </si>
  <si>
    <t>Tikos</t>
  </si>
  <si>
    <t>Sávoly</t>
  </si>
  <si>
    <t>Főnyed</t>
  </si>
  <si>
    <t>Szegerdő</t>
  </si>
  <si>
    <t>Somogysámson</t>
  </si>
  <si>
    <t>Somogyzsitfa</t>
  </si>
  <si>
    <t>Csákány</t>
  </si>
  <si>
    <t>Szőkedencs</t>
  </si>
  <si>
    <t>Somogysimonyi</t>
  </si>
  <si>
    <t>Nemesvid</t>
  </si>
  <si>
    <t>Nagyszakácsi</t>
  </si>
  <si>
    <t>Zalaapáti</t>
  </si>
  <si>
    <t>Bókaháza</t>
  </si>
  <si>
    <t>Esztergályhorváti</t>
  </si>
  <si>
    <t>Zalaszabar</t>
  </si>
  <si>
    <t>Orosztony</t>
  </si>
  <si>
    <t>Kerecseny</t>
  </si>
  <si>
    <t>Nagyrada</t>
  </si>
  <si>
    <t>Garabonc</t>
  </si>
  <si>
    <t>Zalamerenye</t>
  </si>
  <si>
    <t>Zalakaros</t>
  </si>
  <si>
    <t>Zalakomár</t>
  </si>
  <si>
    <t>Balatonmagyaród</t>
  </si>
  <si>
    <t>Galambok</t>
  </si>
  <si>
    <t>Nagyrécse</t>
  </si>
  <si>
    <t>Csapi</t>
  </si>
  <si>
    <t>Kisrécse</t>
  </si>
  <si>
    <t>Zalasárszeg</t>
  </si>
  <si>
    <t>Pacsa</t>
  </si>
  <si>
    <t>Zalaigrice</t>
  </si>
  <si>
    <t>Szentpéterúr</t>
  </si>
  <si>
    <t>Gétye</t>
  </si>
  <si>
    <t>Dióskál</t>
  </si>
  <si>
    <t>Zalaszentmárton</t>
  </si>
  <si>
    <t>Egeraracsa</t>
  </si>
  <si>
    <t>Felsőrajk</t>
  </si>
  <si>
    <t>Alsórajk</t>
  </si>
  <si>
    <t>Pötréte</t>
  </si>
  <si>
    <t>Hahót</t>
  </si>
  <si>
    <t>Zalaszentbalázs</t>
  </si>
  <si>
    <t>Börzönce</t>
  </si>
  <si>
    <t>Pölöskefő</t>
  </si>
  <si>
    <t>Kacorlak</t>
  </si>
  <si>
    <t>Gelse</t>
  </si>
  <si>
    <t>Gelsesziget</t>
  </si>
  <si>
    <t>Kilimán</t>
  </si>
  <si>
    <t>Magyarszerdahely</t>
  </si>
  <si>
    <t>Bocska</t>
  </si>
  <si>
    <t>Magyarszentmiklós</t>
  </si>
  <si>
    <t>Hosszúvölgy</t>
  </si>
  <si>
    <t>Fűzvölgy</t>
  </si>
  <si>
    <t>Homokkomárom</t>
  </si>
  <si>
    <t>Újudvar</t>
  </si>
  <si>
    <t>Zalacsány</t>
  </si>
  <si>
    <t>Ligetfalva</t>
  </si>
  <si>
    <t>Tilaj</t>
  </si>
  <si>
    <t>Kehidakustány</t>
  </si>
  <si>
    <t>Zalaszentgrót</t>
  </si>
  <si>
    <t>Kallósd</t>
  </si>
  <si>
    <t>Zalaszentlászló</t>
  </si>
  <si>
    <t>Sénye</t>
  </si>
  <si>
    <t>Zalavég</t>
  </si>
  <si>
    <t>Tekenye</t>
  </si>
  <si>
    <t>Türje</t>
  </si>
  <si>
    <t>Batyk</t>
  </si>
  <si>
    <t>Zalabér</t>
  </si>
  <si>
    <t>Pakod</t>
  </si>
  <si>
    <t>Dötk</t>
  </si>
  <si>
    <t>Nagybakónak</t>
  </si>
  <si>
    <t>Zalaújlak</t>
  </si>
  <si>
    <t>Sand</t>
  </si>
  <si>
    <t>Miháld</t>
  </si>
  <si>
    <t>Pat</t>
  </si>
  <si>
    <t>Zalaszentjakab</t>
  </si>
  <si>
    <t>Liszó</t>
  </si>
  <si>
    <t>Fityeház</t>
  </si>
  <si>
    <t>Csurgó</t>
  </si>
  <si>
    <t>Csurgónagymarton</t>
  </si>
  <si>
    <t>Szenta</t>
  </si>
  <si>
    <t>Gyékényes</t>
  </si>
  <si>
    <t>Zákány</t>
  </si>
  <si>
    <t>Zákányfalu</t>
  </si>
  <si>
    <t>Őrtilos</t>
  </si>
  <si>
    <t>Belezna</t>
  </si>
  <si>
    <t>Surd</t>
  </si>
  <si>
    <t>Nemespátró</t>
  </si>
  <si>
    <t>Porrog</t>
  </si>
  <si>
    <t>Porrogszentkirály</t>
  </si>
  <si>
    <t>Porrogszentpál</t>
  </si>
  <si>
    <t>Somogybükkösd</t>
  </si>
  <si>
    <t>Szepetnek</t>
  </si>
  <si>
    <t>Semjénháza</t>
  </si>
  <si>
    <t>Molnári</t>
  </si>
  <si>
    <t>Tótszerdahely</t>
  </si>
  <si>
    <t>Tótszentmárton</t>
  </si>
  <si>
    <t>Becsehely</t>
  </si>
  <si>
    <t>Petrivente</t>
  </si>
  <si>
    <t>Letenye</t>
  </si>
  <si>
    <t>Kistolmács</t>
  </si>
  <si>
    <t>Murarátka</t>
  </si>
  <si>
    <t>Zajk</t>
  </si>
  <si>
    <t>Muraszemenye</t>
  </si>
  <si>
    <t>Szentmargitfalva</t>
  </si>
  <si>
    <t>Csörnyeföld</t>
  </si>
  <si>
    <t>Dobri</t>
  </si>
  <si>
    <t>Kerkaszentkirály</t>
  </si>
  <si>
    <t>Tormafölde</t>
  </si>
  <si>
    <t>Tornyiszentmiklós</t>
  </si>
  <si>
    <t>Lovászi</t>
  </si>
  <si>
    <t>Szécsisziget</t>
  </si>
  <si>
    <t>Kerkateskánd</t>
  </si>
  <si>
    <t>Sormás</t>
  </si>
  <si>
    <t>Eszteregnye</t>
  </si>
  <si>
    <t>Rigyác</t>
  </si>
  <si>
    <t>Borsfa</t>
  </si>
  <si>
    <t>Valkonya</t>
  </si>
  <si>
    <t>Oltárc</t>
  </si>
  <si>
    <t>Bázakerettye</t>
  </si>
  <si>
    <t>Lasztonya</t>
  </si>
  <si>
    <t>Lispeszentadorján</t>
  </si>
  <si>
    <t>Kiscsehi</t>
  </si>
  <si>
    <t>Maróc</t>
  </si>
  <si>
    <t>Bánokszentgyörgy</t>
  </si>
  <si>
    <t>Várfölde</t>
  </si>
  <si>
    <t>Szentliszló</t>
  </si>
  <si>
    <t>Bucsuta</t>
  </si>
  <si>
    <t>Pusztamagyaród</t>
  </si>
  <si>
    <t>Pusztaszentlászló</t>
  </si>
  <si>
    <t>Söjtör</t>
  </si>
  <si>
    <t>Nagykutas</t>
  </si>
  <si>
    <t>Kiskutas</t>
  </si>
  <si>
    <t>Kispáli</t>
  </si>
  <si>
    <t>Nagypáli</t>
  </si>
  <si>
    <t>Egervár</t>
  </si>
  <si>
    <t>Gősfa</t>
  </si>
  <si>
    <t>Lakhegy</t>
  </si>
  <si>
    <t>Vasboldogasszony</t>
  </si>
  <si>
    <t>Nemesrádó</t>
  </si>
  <si>
    <t>Milejszeg</t>
  </si>
  <si>
    <t>Csonkahegyhát</t>
  </si>
  <si>
    <t>Németfalu</t>
  </si>
  <si>
    <t>Kustánszeg</t>
  </si>
  <si>
    <t>Zalaszentiván</t>
  </si>
  <si>
    <t>Alibánfa</t>
  </si>
  <si>
    <t>Pethőhenye</t>
  </si>
  <si>
    <t>Zalaszentlőrinc</t>
  </si>
  <si>
    <t>Nemesapáti</t>
  </si>
  <si>
    <t>Alsónemesapáti</t>
  </si>
  <si>
    <t>Búcsúszentlászló</t>
  </si>
  <si>
    <t>Nemessándorháza</t>
  </si>
  <si>
    <t>Nemesszentandrás</t>
  </si>
  <si>
    <t>Kisbucsa</t>
  </si>
  <si>
    <t>Nemeshetés</t>
  </si>
  <si>
    <t>Pölöske</t>
  </si>
  <si>
    <t>Kemendollár</t>
  </si>
  <si>
    <t>Vöckönd</t>
  </si>
  <si>
    <t>Pókaszepetk</t>
  </si>
  <si>
    <t>Gyűrűs</t>
  </si>
  <si>
    <t>Zalaistvánd</t>
  </si>
  <si>
    <t>Bezeréd</t>
  </si>
  <si>
    <t>Nagykapornak</t>
  </si>
  <si>
    <t>Almásháza</t>
  </si>
  <si>
    <t>Misefa</t>
  </si>
  <si>
    <t>Orbányosfa</t>
  </si>
  <si>
    <t>Padár</t>
  </si>
  <si>
    <t>Zalaszentmihály</t>
  </si>
  <si>
    <t>Bocfölde</t>
  </si>
  <si>
    <t>Csatár</t>
  </si>
  <si>
    <t>Bak</t>
  </si>
  <si>
    <t>Tófej</t>
  </si>
  <si>
    <t>Baktüttös</t>
  </si>
  <si>
    <t>Pusztaederics</t>
  </si>
  <si>
    <t>Zalatárnok</t>
  </si>
  <si>
    <t>Szentkozmadombja</t>
  </si>
  <si>
    <t>Nova</t>
  </si>
  <si>
    <t>Barlahida</t>
  </si>
  <si>
    <t>Mikekarácsonyfa</t>
  </si>
  <si>
    <t>Gutorfölde</t>
  </si>
  <si>
    <t>Csertalakos</t>
  </si>
  <si>
    <t>Szentpéterfölde</t>
  </si>
  <si>
    <t>Ortaháza</t>
  </si>
  <si>
    <t>Páka</t>
  </si>
  <si>
    <t>Kányavár</t>
  </si>
  <si>
    <t>Pördefölde</t>
  </si>
  <si>
    <t>Csömödér</t>
  </si>
  <si>
    <t>Hernyék</t>
  </si>
  <si>
    <t>Kissziget</t>
  </si>
  <si>
    <t>Zebecke</t>
  </si>
  <si>
    <t>Iklódbördőce</t>
  </si>
  <si>
    <t>Lenti</t>
  </si>
  <si>
    <t>Gosztola</t>
  </si>
  <si>
    <t>Gáborjánháza</t>
  </si>
  <si>
    <t>Bödeháza</t>
  </si>
  <si>
    <t>Szijártóháza</t>
  </si>
  <si>
    <t>Zalaszombatfa</t>
  </si>
  <si>
    <t>Zalabaksa</t>
  </si>
  <si>
    <t>Kerkabarabás</t>
  </si>
  <si>
    <t>Csesztreg</t>
  </si>
  <si>
    <t>Alsószenterzsébet</t>
  </si>
  <si>
    <t>Felsőszenterzsébet</t>
  </si>
  <si>
    <t>Kerkafalva</t>
  </si>
  <si>
    <t>Kerkakutas</t>
  </si>
  <si>
    <t>Magyarföld</t>
  </si>
  <si>
    <t>Ramocsa</t>
  </si>
  <si>
    <t>Szentgyörgyvölgy</t>
  </si>
  <si>
    <t>Nemesnép</t>
  </si>
  <si>
    <t>Márokföld</t>
  </si>
  <si>
    <t>Resznek</t>
  </si>
  <si>
    <t>Baglad</t>
  </si>
  <si>
    <t>Lendvajakabfa</t>
  </si>
  <si>
    <t>Rédics</t>
  </si>
  <si>
    <t>Belsősárd</t>
  </si>
  <si>
    <t>Külsősárd</t>
  </si>
  <si>
    <t>Lendvadedes</t>
  </si>
  <si>
    <t>Gellénháza</t>
  </si>
  <si>
    <t>Lickóvadamos</t>
  </si>
  <si>
    <t>Nagylengyel</t>
  </si>
  <si>
    <t>Babosdöbréte</t>
  </si>
  <si>
    <t>Ormándlak</t>
  </si>
  <si>
    <t>Petrikeresztúr</t>
  </si>
  <si>
    <t>Gombosszeg</t>
  </si>
  <si>
    <t>Iborfia</t>
  </si>
  <si>
    <t>Becsvölgye</t>
  </si>
  <si>
    <t>Pórszombat</t>
  </si>
  <si>
    <t>Pusztaapáti</t>
  </si>
  <si>
    <t>Szilvágy</t>
  </si>
  <si>
    <t>Kálócfa</t>
  </si>
  <si>
    <t>Kozmadombja</t>
  </si>
  <si>
    <t>Dobronhegy</t>
  </si>
  <si>
    <t>Pálfiszeg</t>
  </si>
  <si>
    <t>Teskánd</t>
  </si>
  <si>
    <t>Böde</t>
  </si>
  <si>
    <t>Hottó</t>
  </si>
  <si>
    <t>Bagod</t>
  </si>
  <si>
    <t>Boncodfölde</t>
  </si>
  <si>
    <t>Hagyárosbörönd</t>
  </si>
  <si>
    <t>Zalaboldogfa</t>
  </si>
  <si>
    <t>Zalaszentgyörgy</t>
  </si>
  <si>
    <t>Kávás</t>
  </si>
  <si>
    <t>Salomvár</t>
  </si>
  <si>
    <t>Keménfa</t>
  </si>
  <si>
    <t>Zalacséb</t>
  </si>
  <si>
    <t>Zalaháshágy</t>
  </si>
  <si>
    <t>Vaspör</t>
  </si>
  <si>
    <t>Ozmánbük</t>
  </si>
  <si>
    <t>Zalalövő</t>
  </si>
  <si>
    <t>Csöde</t>
  </si>
  <si>
    <t>Vámosszabadi</t>
  </si>
  <si>
    <t>Kisbajcs</t>
  </si>
  <si>
    <t>Vének</t>
  </si>
  <si>
    <t>Nagybajcs</t>
  </si>
  <si>
    <t>Gönyű</t>
  </si>
  <si>
    <t>Bőny</t>
  </si>
  <si>
    <t>Rétalap</t>
  </si>
  <si>
    <t>Győrújbarát</t>
  </si>
  <si>
    <t>Écs</t>
  </si>
  <si>
    <t>Győrság</t>
  </si>
  <si>
    <t>Pázmándfalu</t>
  </si>
  <si>
    <t>Töltéstava</t>
  </si>
  <si>
    <t>Bakonypéterd</t>
  </si>
  <si>
    <t>Lázi</t>
  </si>
  <si>
    <t>Pannonhalma</t>
  </si>
  <si>
    <t>Ravazd</t>
  </si>
  <si>
    <t>Győrasszonyfa</t>
  </si>
  <si>
    <t>Tápszentmiklós</t>
  </si>
  <si>
    <t>Táp</t>
  </si>
  <si>
    <t>Nyalka</t>
  </si>
  <si>
    <t>Mezőörs</t>
  </si>
  <si>
    <t>Pér</t>
  </si>
  <si>
    <t>Tét</t>
  </si>
  <si>
    <t>Tényő</t>
  </si>
  <si>
    <t>Felpéc</t>
  </si>
  <si>
    <t>Kajárpéc</t>
  </si>
  <si>
    <t>Gyömöre</t>
  </si>
  <si>
    <t>Szerecseny</t>
  </si>
  <si>
    <t>Gyarmat</t>
  </si>
  <si>
    <t>Csikvánd</t>
  </si>
  <si>
    <t>Mórichida</t>
  </si>
  <si>
    <t>Árpás</t>
  </si>
  <si>
    <t>Kisbabot</t>
  </si>
  <si>
    <t>Rábaszentmiklós</t>
  </si>
  <si>
    <t>Bodonhely</t>
  </si>
  <si>
    <t>Rábaszentmihály</t>
  </si>
  <si>
    <t>Rábacsécsény</t>
  </si>
  <si>
    <t>Mérges</t>
  </si>
  <si>
    <t>Ikrény</t>
  </si>
  <si>
    <t>Rábapatona</t>
  </si>
  <si>
    <t>Enese</t>
  </si>
  <si>
    <t>Kóny</t>
  </si>
  <si>
    <t>Bágyogszovát</t>
  </si>
  <si>
    <t>Rábapordány</t>
  </si>
  <si>
    <t>Dör</t>
  </si>
  <si>
    <t>Abda</t>
  </si>
  <si>
    <t>Börcs</t>
  </si>
  <si>
    <t>Mosonszentmiklós</t>
  </si>
  <si>
    <t>Lébény</t>
  </si>
  <si>
    <t>Győrsövényház</t>
  </si>
  <si>
    <t>Bezi</t>
  </si>
  <si>
    <t>Markotabödöge</t>
  </si>
  <si>
    <t>Rábcakapi</t>
  </si>
  <si>
    <t>Cakóháza</t>
  </si>
  <si>
    <t>Tárnokréti</t>
  </si>
  <si>
    <t xml:space="preserve">Jánossomorja    </t>
  </si>
  <si>
    <t>Acsalag</t>
  </si>
  <si>
    <t>Barbacs</t>
  </si>
  <si>
    <t>Maglóca</t>
  </si>
  <si>
    <t>Győrzámoly</t>
  </si>
  <si>
    <t>Győrladamér</t>
  </si>
  <si>
    <t>Dunaszeg</t>
  </si>
  <si>
    <t>Dunaszentpál</t>
  </si>
  <si>
    <t>Mecsér</t>
  </si>
  <si>
    <t>Ásványráró</t>
  </si>
  <si>
    <t>Hédervár</t>
  </si>
  <si>
    <t>Kimle</t>
  </si>
  <si>
    <t>Károlyháza</t>
  </si>
  <si>
    <t>Kunsziget</t>
  </si>
  <si>
    <t>Feketeerdő</t>
  </si>
  <si>
    <t>Levél</t>
  </si>
  <si>
    <t>Hegyeshalom</t>
  </si>
  <si>
    <t>Bezenye</t>
  </si>
  <si>
    <t>Rajka</t>
  </si>
  <si>
    <t>Dunakiliti</t>
  </si>
  <si>
    <t>Dunasziget</t>
  </si>
  <si>
    <t>Halászi</t>
  </si>
  <si>
    <t>Máriakálnok</t>
  </si>
  <si>
    <t>Darnózseli</t>
  </si>
  <si>
    <t>Lipót</t>
  </si>
  <si>
    <t>Kisbodak</t>
  </si>
  <si>
    <t>Püski</t>
  </si>
  <si>
    <t>Dunaremete</t>
  </si>
  <si>
    <t>Jánossomorja</t>
  </si>
  <si>
    <t>Várbalog</t>
  </si>
  <si>
    <t>Újrónafő</t>
  </si>
  <si>
    <t>Mosonszolnok</t>
  </si>
  <si>
    <t>Mosonudvar</t>
  </si>
  <si>
    <t>Pásztori</t>
  </si>
  <si>
    <t>Szilsárkány</t>
  </si>
  <si>
    <t>Rábacsanak</t>
  </si>
  <si>
    <t>Egyed</t>
  </si>
  <si>
    <t>Sobor</t>
  </si>
  <si>
    <t>Rábaszentandrás</t>
  </si>
  <si>
    <t>Szany</t>
  </si>
  <si>
    <t>Farád</t>
  </si>
  <si>
    <t>Rábatamási</t>
  </si>
  <si>
    <t>Jobaháza</t>
  </si>
  <si>
    <t>Bogyoszló</t>
  </si>
  <si>
    <t>Potyond</t>
  </si>
  <si>
    <t>Sopronnémeti</t>
  </si>
  <si>
    <t>Szil</t>
  </si>
  <si>
    <t>Vág</t>
  </si>
  <si>
    <t>Rábasebes</t>
  </si>
  <si>
    <t>Kapuvár</t>
  </si>
  <si>
    <t>Kisfalud</t>
  </si>
  <si>
    <t>Mihályi</t>
  </si>
  <si>
    <t>Beled</t>
  </si>
  <si>
    <t>Edve</t>
  </si>
  <si>
    <t>Vásárosfalu</t>
  </si>
  <si>
    <t>Rábakecöl</t>
  </si>
  <si>
    <t>Páli</t>
  </si>
  <si>
    <t>Magyarkeresztúr</t>
  </si>
  <si>
    <t>Vadosfa</t>
  </si>
  <si>
    <t>Zsebeháza</t>
  </si>
  <si>
    <t>Babót</t>
  </si>
  <si>
    <t>Veszkény</t>
  </si>
  <si>
    <t>Osli</t>
  </si>
  <si>
    <t>Hövej</t>
  </si>
  <si>
    <t>Himod</t>
  </si>
  <si>
    <t>Gyóró</t>
  </si>
  <si>
    <t>Cirák</t>
  </si>
  <si>
    <t>Dénesfa</t>
  </si>
  <si>
    <t>Vitnyéd</t>
  </si>
  <si>
    <t>Csapod</t>
  </si>
  <si>
    <t>Pusztacsalád</t>
  </si>
  <si>
    <t>Iván</t>
  </si>
  <si>
    <t>Répceszemere</t>
  </si>
  <si>
    <t>Csáfordjánosfa</t>
  </si>
  <si>
    <t>Csér</t>
  </si>
  <si>
    <t>Fertőrákos</t>
  </si>
  <si>
    <t>Harka</t>
  </si>
  <si>
    <t>Ágfalva</t>
  </si>
  <si>
    <t>Fertőd</t>
  </si>
  <si>
    <t>Sarród</t>
  </si>
  <si>
    <t>Fertőszéplak</t>
  </si>
  <si>
    <t>Hegykő</t>
  </si>
  <si>
    <t>Agyagosszergény</t>
  </si>
  <si>
    <t>Fertőendréd</t>
  </si>
  <si>
    <t>Petőháza</t>
  </si>
  <si>
    <t>Fertőszentmiklós</t>
  </si>
  <si>
    <t>Röjtökmuzsaj</t>
  </si>
  <si>
    <t>Ebergőc</t>
  </si>
  <si>
    <t>Lövő</t>
  </si>
  <si>
    <t>Völcsej</t>
  </si>
  <si>
    <t>Sopronhorpács</t>
  </si>
  <si>
    <t>Und</t>
  </si>
  <si>
    <t>Nemeskér</t>
  </si>
  <si>
    <t>Újkér</t>
  </si>
  <si>
    <t>Egyházasfalu</t>
  </si>
  <si>
    <t>Szakony</t>
  </si>
  <si>
    <t>Gyalóka</t>
  </si>
  <si>
    <t>Répcevis</t>
  </si>
  <si>
    <t>Zsira</t>
  </si>
  <si>
    <t>Pinnye</t>
  </si>
  <si>
    <t>Nagylózs</t>
  </si>
  <si>
    <t>Sopronkövesd</t>
  </si>
  <si>
    <t>Pereszteg</t>
  </si>
  <si>
    <t>Nagycenk</t>
  </si>
  <si>
    <t>Hidegség</t>
  </si>
  <si>
    <t>Fertőhomok</t>
  </si>
  <si>
    <t>Fertőboz</t>
  </si>
  <si>
    <t>Kópháza</t>
  </si>
  <si>
    <t>Celldömölk</t>
  </si>
  <si>
    <t>Kemenesmihályfa</t>
  </si>
  <si>
    <t>Ostffyasszonyfa</t>
  </si>
  <si>
    <t>Csönge</t>
  </si>
  <si>
    <t>Kenyeri</t>
  </si>
  <si>
    <t>Pápoc</t>
  </si>
  <si>
    <t>Vönöck</t>
  </si>
  <si>
    <t>Kemenessömjén</t>
  </si>
  <si>
    <t>Kemenesszentmárton</t>
  </si>
  <si>
    <t>Kemenesmagasi</t>
  </si>
  <si>
    <t>Szergény</t>
  </si>
  <si>
    <t>Mersevát</t>
  </si>
  <si>
    <t>Külsővat</t>
  </si>
  <si>
    <t>Nemesszalók</t>
  </si>
  <si>
    <t>Marcalgergelyi</t>
  </si>
  <si>
    <t>Vinár</t>
  </si>
  <si>
    <t>Boba</t>
  </si>
  <si>
    <t>Nemeskocs</t>
  </si>
  <si>
    <t>Kemenespálfa</t>
  </si>
  <si>
    <t>Karakó</t>
  </si>
  <si>
    <t>Nemeskeresztúr</t>
  </si>
  <si>
    <t>Keléd</t>
  </si>
  <si>
    <t>Mesteri</t>
  </si>
  <si>
    <t>Vásárosmiske</t>
  </si>
  <si>
    <t>Köcsk</t>
  </si>
  <si>
    <t>Kemeneskápolna</t>
  </si>
  <si>
    <t>Egyházashetye</t>
  </si>
  <si>
    <t>Borgáta</t>
  </si>
  <si>
    <t>Duka</t>
  </si>
  <si>
    <t>Nagysimonyi</t>
  </si>
  <si>
    <t>Tokorcs</t>
  </si>
  <si>
    <t>Csénye</t>
  </si>
  <si>
    <t>Bögöt</t>
  </si>
  <si>
    <t>Porpác</t>
  </si>
  <si>
    <t>Ölbő</t>
  </si>
  <si>
    <t>Szeleste</t>
  </si>
  <si>
    <t>Répceszentgyörgy</t>
  </si>
  <si>
    <t>Chernelházadamonya</t>
  </si>
  <si>
    <t>Bő</t>
  </si>
  <si>
    <t>Gór</t>
  </si>
  <si>
    <t>Hegyfalu</t>
  </si>
  <si>
    <t>Sajtoskál</t>
  </si>
  <si>
    <t>Simaság</t>
  </si>
  <si>
    <t>Lócs</t>
  </si>
  <si>
    <t>Iklanberény</t>
  </si>
  <si>
    <t>Zsédeny</t>
  </si>
  <si>
    <t>Pósfa</t>
  </si>
  <si>
    <t>Rábapaty</t>
  </si>
  <si>
    <t>Jákfa</t>
  </si>
  <si>
    <t>Uraiújfalu</t>
  </si>
  <si>
    <t>Nick</t>
  </si>
  <si>
    <t>Répcelak</t>
  </si>
  <si>
    <t>Csánig</t>
  </si>
  <si>
    <t>Vasegerszeg</t>
  </si>
  <si>
    <t>Tompaládony</t>
  </si>
  <si>
    <t>Mesterháza</t>
  </si>
  <si>
    <t>Nemesládony</t>
  </si>
  <si>
    <t>Nagygeresd</t>
  </si>
  <si>
    <t>Vámoscsalád</t>
  </si>
  <si>
    <t>Sitke</t>
  </si>
  <si>
    <t>Gérce</t>
  </si>
  <si>
    <t>Vashosszúfalu</t>
  </si>
  <si>
    <t>Bögöte</t>
  </si>
  <si>
    <t>Hosszúpereszteg</t>
  </si>
  <si>
    <t>Sótony</t>
  </si>
  <si>
    <t>Nyőgér</t>
  </si>
  <si>
    <t>Bejcgyertyános</t>
  </si>
  <si>
    <t>Egervölgy</t>
  </si>
  <si>
    <t>Szemenye</t>
  </si>
  <si>
    <t>Gencsapáti</t>
  </si>
  <si>
    <t>Perenye</t>
  </si>
  <si>
    <t>Gyöngyösfalu</t>
  </si>
  <si>
    <t xml:space="preserve">Lukácsháza </t>
  </si>
  <si>
    <t>Kőszegszerdahely</t>
  </si>
  <si>
    <t>Cák</t>
  </si>
  <si>
    <t>Kőszegdoroszló</t>
  </si>
  <si>
    <t>Velem</t>
  </si>
  <si>
    <t>Bozsok</t>
  </si>
  <si>
    <t>Horvátzsidány</t>
  </si>
  <si>
    <t>Kiszsidány</t>
  </si>
  <si>
    <t>Ólmod</t>
  </si>
  <si>
    <t>Peresznye</t>
  </si>
  <si>
    <t>Tormásliget</t>
  </si>
  <si>
    <t>Bük</t>
  </si>
  <si>
    <t>Tömörd</t>
  </si>
  <si>
    <t>Nemescsó</t>
  </si>
  <si>
    <t>Kőszegpaty</t>
  </si>
  <si>
    <t>Pusztacsó</t>
  </si>
  <si>
    <t>Vassurány</t>
  </si>
  <si>
    <t>Salköveskút</t>
  </si>
  <si>
    <t>Söpte</t>
  </si>
  <si>
    <t>Vasasszonyfa</t>
  </si>
  <si>
    <t>Meszlen</t>
  </si>
  <si>
    <t>Acsád</t>
  </si>
  <si>
    <t>Vasszilvágy</t>
  </si>
  <si>
    <t>Vát</t>
  </si>
  <si>
    <t>Nemesbőd</t>
  </si>
  <si>
    <t>Vép</t>
  </si>
  <si>
    <t>Bozzai</t>
  </si>
  <si>
    <t>Kenéz</t>
  </si>
  <si>
    <t>Pecöl</t>
  </si>
  <si>
    <t>Megyehíd</t>
  </si>
  <si>
    <t>Ikervár</t>
  </si>
  <si>
    <t>Meggyeskovácsi</t>
  </si>
  <si>
    <t>Táplánszentkereszt</t>
  </si>
  <si>
    <t>Tanakajd</t>
  </si>
  <si>
    <t>Vasszécseny</t>
  </si>
  <si>
    <t>Csempeszkopács</t>
  </si>
  <si>
    <t>Rum</t>
  </si>
  <si>
    <t>Rábatöttös</t>
  </si>
  <si>
    <t>Zsennye</t>
  </si>
  <si>
    <t>Balogunyom</t>
  </si>
  <si>
    <t>Kisunyom</t>
  </si>
  <si>
    <t>Sorokpolány</t>
  </si>
  <si>
    <t>Sorkifalud</t>
  </si>
  <si>
    <t>Gyanógeregye</t>
  </si>
  <si>
    <t>Sorkikápolna</t>
  </si>
  <si>
    <t>Nemeskolta</t>
  </si>
  <si>
    <t>Püspökmolnári</t>
  </si>
  <si>
    <t>Rábahídvég</t>
  </si>
  <si>
    <t>Egyházashollós</t>
  </si>
  <si>
    <t>Nemesrempehollós</t>
  </si>
  <si>
    <t>Egyházasrádóc</t>
  </si>
  <si>
    <t>Rádóckölked</t>
  </si>
  <si>
    <t>Harasztifalu</t>
  </si>
  <si>
    <t>Nagykölked</t>
  </si>
  <si>
    <t>Sé</t>
  </si>
  <si>
    <t>Torony</t>
  </si>
  <si>
    <t>Dozmat</t>
  </si>
  <si>
    <t>Bucsu</t>
  </si>
  <si>
    <t>Narda</t>
  </si>
  <si>
    <t>Felsőcsatár</t>
  </si>
  <si>
    <t>Vaskeresztes</t>
  </si>
  <si>
    <t>Pornóapáti</t>
  </si>
  <si>
    <t>Horvátlövő</t>
  </si>
  <si>
    <t>Nárai</t>
  </si>
  <si>
    <t>Ják</t>
  </si>
  <si>
    <t>Szentpéterfa</t>
  </si>
  <si>
    <t>Vasvár</t>
  </si>
  <si>
    <t>Andrásfa</t>
  </si>
  <si>
    <t>Telekes</t>
  </si>
  <si>
    <t>Gersekarát</t>
  </si>
  <si>
    <t>Sárfimizdó</t>
  </si>
  <si>
    <t>Halastó</t>
  </si>
  <si>
    <t>Győrvár</t>
  </si>
  <si>
    <t>Hegyhátszentpéter</t>
  </si>
  <si>
    <t>Pácsony</t>
  </si>
  <si>
    <t>Oszkó</t>
  </si>
  <si>
    <t>Petőmihályfa</t>
  </si>
  <si>
    <t>Bérbaltavár</t>
  </si>
  <si>
    <t>Nagytilaj</t>
  </si>
  <si>
    <t>Csehi</t>
  </si>
  <si>
    <t>Csehimindszent</t>
  </si>
  <si>
    <t>Mikosszéplak</t>
  </si>
  <si>
    <t>Csipkerek</t>
  </si>
  <si>
    <t>Kám</t>
  </si>
  <si>
    <t>Alsóújlak</t>
  </si>
  <si>
    <t>Magyarnádalja</t>
  </si>
  <si>
    <t>Molnaszecsőd</t>
  </si>
  <si>
    <t>Magyarszecsőd</t>
  </si>
  <si>
    <t>Szarvaskend</t>
  </si>
  <si>
    <t>Döröske</t>
  </si>
  <si>
    <t>Nagymizdó</t>
  </si>
  <si>
    <t>Döbörhegy</t>
  </si>
  <si>
    <t>Nádasd</t>
  </si>
  <si>
    <t>Hegyháthodász</t>
  </si>
  <si>
    <t>Hegyhátsál</t>
  </si>
  <si>
    <t>Katafa</t>
  </si>
  <si>
    <t>Halogy</t>
  </si>
  <si>
    <t>Daraboshegy</t>
  </si>
  <si>
    <t>Felsőmarác</t>
  </si>
  <si>
    <t>Csákánydoroszló</t>
  </si>
  <si>
    <t>Vasalja</t>
  </si>
  <si>
    <t>Pinkamindszent</t>
  </si>
  <si>
    <t>Kemestaródfa</t>
  </si>
  <si>
    <t>Ivánc</t>
  </si>
  <si>
    <t>Hegyhátszentmárton</t>
  </si>
  <si>
    <t>Viszák</t>
  </si>
  <si>
    <t>Őrimagyarósd</t>
  </si>
  <si>
    <t>Hegyhátszentjakab</t>
  </si>
  <si>
    <t>Felsőjánosfa</t>
  </si>
  <si>
    <t>Szaknyér</t>
  </si>
  <si>
    <t>Szőce</t>
  </si>
  <si>
    <t>Kisrákos</t>
  </si>
  <si>
    <t>Pankasz</t>
  </si>
  <si>
    <t>Nagyrákos</t>
  </si>
  <si>
    <t>Szatta</t>
  </si>
  <si>
    <t>Őriszentpéter</t>
  </si>
  <si>
    <t>Ispánk</t>
  </si>
  <si>
    <t>Szalafő</t>
  </si>
  <si>
    <t>Kondorfa</t>
  </si>
  <si>
    <t>Bajánsenye</t>
  </si>
  <si>
    <t>Kerkáskápolna</t>
  </si>
  <si>
    <t>Kercaszomor</t>
  </si>
  <si>
    <t>Magyarszombatfa</t>
  </si>
  <si>
    <t>Velemér</t>
  </si>
  <si>
    <t>Rátót</t>
  </si>
  <si>
    <t>Gasztony</t>
  </si>
  <si>
    <t>Vasszentmihály</t>
  </si>
  <si>
    <t>Nemesmedves</t>
  </si>
  <si>
    <t>Rönök</t>
  </si>
  <si>
    <t>Rábagyarmat</t>
  </si>
  <si>
    <t>Csörötnek</t>
  </si>
  <si>
    <t>Magyarlak</t>
  </si>
  <si>
    <t>Apátistvánfalva</t>
  </si>
  <si>
    <t>Kétvölgy</t>
  </si>
  <si>
    <t>Orfalu</t>
  </si>
  <si>
    <t>Alsószölnök</t>
  </si>
  <si>
    <t>Szakonyfalu</t>
  </si>
  <si>
    <t>Felsőszölnök</t>
  </si>
  <si>
    <t>Terhelésés vércukorvizsgálathoz GERO-DEX ital:  1 000 Ft</t>
  </si>
  <si>
    <t>GERO-DEX ára:</t>
  </si>
  <si>
    <t>Válassz!</t>
  </si>
  <si>
    <r>
      <t>Gyógyszerallergia 1 gyógyszerre (LTT)</t>
    </r>
    <r>
      <rPr>
        <b/>
        <strike/>
        <vertAlign val="superscript"/>
        <sz val="11"/>
        <color theme="4" tint="-0.249977111117893"/>
        <rFont val="Calibri"/>
        <family val="2"/>
        <charset val="238"/>
      </rPr>
      <t>*3</t>
    </r>
  </si>
  <si>
    <t>ALEX</t>
  </si>
  <si>
    <t>ALEX allergiavizsgálat</t>
  </si>
  <si>
    <t>Allergia és intolerancia</t>
  </si>
  <si>
    <t>A gyerek kémcsöveket hány éves korig vagy hány kilóig kell használni?</t>
  </si>
  <si>
    <t>APOB</t>
  </si>
  <si>
    <t>APOE Alzheimer hajlam szűrés</t>
  </si>
  <si>
    <t>Csőtípusok jelmagyarázat</t>
  </si>
  <si>
    <t>Rövidítés</t>
  </si>
  <si>
    <t>Díj/db</t>
  </si>
  <si>
    <t>Megnevezés</t>
  </si>
  <si>
    <t>stor F transzport médium</t>
  </si>
  <si>
    <t>R1</t>
  </si>
  <si>
    <t>UMMt transzport közeg</t>
  </si>
  <si>
    <t>Jelmagyarázat</t>
  </si>
  <si>
    <r>
      <rPr>
        <b/>
        <sz val="11"/>
        <color theme="1"/>
        <rFont val="Poppins"/>
        <charset val="238"/>
      </rPr>
      <t xml:space="preserve">1. Inhalatív allergiapanel, allergénspecifikus IgE mérés 20 allergénnel:
</t>
    </r>
    <r>
      <rPr>
        <sz val="11"/>
        <color theme="1"/>
        <rFont val="Poppins"/>
        <charset val="238"/>
      </rPr>
      <t>konidiumos gomba (Alternaria tenuis), kannapenész (Aspergillus fumigatus), korompenész (Cladosporium herbarum), csomós ebír, lisztatka, poratka, éger, fekete üröm, kutya szőr, lándzsás útifű, ló, macska szőr, mogyoró, nyír, parlagfű, pázsit, ecsetpenész (Penicillium notatum), réti komocsin, rozs, tölgy</t>
    </r>
  </si>
  <si>
    <r>
      <rPr>
        <b/>
        <sz val="11"/>
        <color theme="1"/>
        <rFont val="Poppins"/>
        <charset val="238"/>
      </rPr>
      <t xml:space="preserve">2. Nutritív allergiapanel allergénspecifikus IgE méréssel 20 allergénnel:
</t>
    </r>
    <r>
      <rPr>
        <sz val="11"/>
        <color theme="1"/>
        <rFont val="Poppins"/>
        <charset val="238"/>
      </rPr>
      <t>tojásallergia, tehéntej, búzaliszt, földimogyoró, szójabab, paradicsom, sárgarépa, burgonya, tőkehal, alma, rákfélék, rizs, pékélesztő, rozsliszt, sárgabarack, kivi, zeller, mandula, mogyoró</t>
    </r>
  </si>
  <si>
    <r>
      <rPr>
        <b/>
        <sz val="11"/>
        <color theme="1"/>
        <rFont val="Poppins"/>
        <charset val="238"/>
      </rPr>
      <t xml:space="preserve">3. Kombinált inhalatív/nutritív allergiapanel, allergénspecifikus IgE méréssel 54 allergénnel:
</t>
    </r>
    <r>
      <rPr>
        <sz val="11"/>
        <color theme="1"/>
        <rFont val="Poppins"/>
        <charset val="238"/>
      </rPr>
      <t>sárgabarack, kivi, alma, mandula, mogyoró, földimogyoró, szezámmag, szója, bab, rizs, rozs liszt, búza liszt, pékélesztő, bárány, marha, kazein ß-lactoglobulin, a-lactalbumin, bovin albumin, garnéla rák, tarisznyarák, tőkehal, tehéntej, tojás sárgája, tojás fehérje, zeller, burgonya, sárgarépa, paradicsom, latex, lándzsás utifű, fekete üröm, parlagfű, ciprusfa pollen, tölgyfa, mogyoró, nyír, éger, rozs, réti komócsin, csomós ebír, ködvirág, alternaria alternata, aspergillus fumigatus, cladosporium herbarum, penicillium notatum, ló szőr, kutya szőr, macska szőr, házi por, csótány, darázs méreg, méh méreg, poratka, lisztatka</t>
    </r>
  </si>
  <si>
    <r>
      <rPr>
        <b/>
        <sz val="11"/>
        <color theme="1"/>
        <rFont val="Poppins"/>
        <charset val="238"/>
      </rPr>
      <t>4. Molekuláris búzaallergia:</t>
    </r>
    <r>
      <rPr>
        <sz val="11"/>
        <color theme="1"/>
        <rFont val="Poppins"/>
        <charset val="238"/>
      </rPr>
      <t xml:space="preserve"> glutén (gliadin), rTri a14</t>
    </r>
  </si>
  <si>
    <r>
      <rPr>
        <b/>
        <sz val="11"/>
        <color theme="1"/>
        <rFont val="Poppins"/>
        <charset val="238"/>
      </rPr>
      <t>5. Molekuláris dióallergia:</t>
    </r>
    <r>
      <rPr>
        <sz val="11"/>
        <color theme="1"/>
        <rFont val="Poppins"/>
        <charset val="238"/>
      </rPr>
      <t xml:space="preserve"> rJug r1, rJug r3</t>
    </r>
  </si>
  <si>
    <r>
      <rPr>
        <b/>
        <sz val="11"/>
        <color theme="1"/>
        <rFont val="Poppins"/>
        <charset val="238"/>
      </rPr>
      <t>6. Molekuláris kesudióallergia:</t>
    </r>
    <r>
      <rPr>
        <sz val="11"/>
        <color theme="1"/>
        <rFont val="Poppins"/>
        <charset val="238"/>
      </rPr>
      <t xml:space="preserve"> rAna o3</t>
    </r>
  </si>
  <si>
    <r>
      <rPr>
        <b/>
        <sz val="11"/>
        <color theme="1"/>
        <rFont val="Poppins"/>
        <charset val="238"/>
      </rPr>
      <t>7. Molekuláris mogyoróallergia:</t>
    </r>
    <r>
      <rPr>
        <sz val="11"/>
        <color theme="1"/>
        <rFont val="Poppins"/>
        <charset val="238"/>
      </rPr>
      <t xml:space="preserve"> rCor a8, rCor a1, rCor a14, rCor a9</t>
    </r>
  </si>
  <si>
    <r>
      <rPr>
        <b/>
        <sz val="11"/>
        <color theme="1"/>
        <rFont val="Poppins"/>
        <charset val="238"/>
      </rPr>
      <t>8. Molekuláris rákallergia:</t>
    </r>
    <r>
      <rPr>
        <sz val="11"/>
        <color theme="1"/>
        <rFont val="Poppins"/>
        <charset val="238"/>
      </rPr>
      <t xml:space="preserve"> rPen a1 tropomyosin</t>
    </r>
  </si>
  <si>
    <r>
      <rPr>
        <b/>
        <sz val="11"/>
        <color theme="1"/>
        <rFont val="Poppins"/>
        <charset val="238"/>
      </rPr>
      <t>9. Molekuláris gyümölcsallergia:</t>
    </r>
    <r>
      <rPr>
        <sz val="11"/>
        <color theme="1"/>
        <rFont val="Poppins"/>
        <charset val="238"/>
      </rPr>
      <t xml:space="preserve"> Barack rPru p1, Barack rPru p3, Barack rPur p4, Barack rPur p7, Alma rMal d1, Alma rMal d3</t>
    </r>
  </si>
  <si>
    <r>
      <rPr>
        <b/>
        <sz val="11"/>
        <color theme="1"/>
        <rFont val="Poppins"/>
        <charset val="238"/>
      </rPr>
      <t>10. Molekuláris szójaallergia:</t>
    </r>
    <r>
      <rPr>
        <sz val="11"/>
        <color theme="1"/>
        <rFont val="Poppins"/>
        <charset val="238"/>
      </rPr>
      <t xml:space="preserve"> rGly m4, rGly m5, rGly m6</t>
    </r>
  </si>
  <si>
    <r>
      <rPr>
        <b/>
        <sz val="11"/>
        <color theme="1"/>
        <rFont val="Poppins"/>
        <charset val="238"/>
      </rPr>
      <t>11. Molekuláris macskaallergia:</t>
    </r>
    <r>
      <rPr>
        <sz val="11"/>
        <color theme="1"/>
        <rFont val="Poppins"/>
        <charset val="238"/>
      </rPr>
      <t xml:space="preserve"> nFel d2 szérum albumin, rFel d4 lipocalin, rFel d1, Macska szőr és hám IgG</t>
    </r>
  </si>
  <si>
    <r>
      <rPr>
        <b/>
        <sz val="11"/>
        <color theme="1"/>
        <rFont val="Poppins"/>
        <charset val="238"/>
      </rPr>
      <t>12. Molekuláris tojásallergia:</t>
    </r>
    <r>
      <rPr>
        <sz val="11"/>
        <color theme="1"/>
        <rFont val="Poppins"/>
        <charset val="238"/>
      </rPr>
      <t xml:space="preserve"> nGal d1 ovomucoid, nGal d2 ovoalbumin</t>
    </r>
  </si>
  <si>
    <r>
      <rPr>
        <b/>
        <sz val="11"/>
        <color theme="1"/>
        <rFont val="Poppins"/>
        <charset val="238"/>
      </rPr>
      <t>13. Molekuláris földimogyoró-allergia:</t>
    </r>
    <r>
      <rPr>
        <sz val="11"/>
        <color theme="1"/>
        <rFont val="Poppins"/>
        <charset val="238"/>
      </rPr>
      <t xml:space="preserve"> rAra h8, rAra h1, rAra h2, rAra h3, rAra h9</t>
    </r>
  </si>
  <si>
    <r>
      <rPr>
        <b/>
        <sz val="11"/>
        <color theme="1"/>
        <rFont val="Poppins"/>
        <charset val="238"/>
      </rPr>
      <t>14. Tejallergia molekuláris összetevői:</t>
    </r>
    <r>
      <rPr>
        <sz val="11"/>
        <color theme="1"/>
        <rFont val="Poppins"/>
        <charset val="238"/>
      </rPr>
      <t xml:space="preserve"> kazein IgE, alfa-laktalbumin IgE, béta-laktoglobulin IgE</t>
    </r>
  </si>
  <si>
    <r>
      <rPr>
        <b/>
        <sz val="11"/>
        <color theme="1"/>
        <rFont val="Poppins"/>
        <charset val="238"/>
      </rPr>
      <t xml:space="preserve">15a. Táplálékintolerancia vizsgálat táplálékspecifikus IgG méréssel (46 táplálékkal):
</t>
    </r>
    <r>
      <rPr>
        <sz val="11"/>
        <color theme="1"/>
        <rFont val="Poppins"/>
        <charset val="238"/>
      </rPr>
      <t>zab, búza, rizs, kukorica, rozs, durum búza, glutén, mandula, brazil dió, kesudió, tea, dió, tehéntej, teljes tojás, csirke, bárány, marhahús, sertéshús, fehér hal keverék, édesvízihal keverék, tonhal, rák és kagyló keverék, brokkoli, káposzta, sárgarépa, póréhagyma, burgonya, zeller, uborka, paprika félék, zöldség keverék, grapefruit, dinnye keverék, földi mogyoró, szójabab, kakaóbab, alma, fekete ribizli, olajbogyó, narancs és citrom, földieper, paradicsom, gyömbér, fokhagyma, gomba, élesztő</t>
    </r>
  </si>
  <si>
    <r>
      <rPr>
        <b/>
        <sz val="11"/>
        <color theme="1"/>
        <rFont val="Poppins"/>
        <charset val="238"/>
      </rPr>
      <t xml:space="preserve">15b. Táplálékintolerancia vizsgálat, táplálékspecifikus IgG méréssel (108 tápanyag):
</t>
    </r>
    <r>
      <rPr>
        <sz val="11"/>
        <color theme="1"/>
        <rFont val="Poppins"/>
        <charset val="238"/>
      </rPr>
      <t>árpa, gliadin/glutén, zab, rozs, tönköly búza, búza, hajdina, lenmag, kukorica, köles, rizs, marha, csirke, bárány, disznó, pulyka, tehéntej, tojássárgája, tojásfehérje, kecskesajt, kecsketej, juhtej, juhsajt, joghurt, padlizsán, cékla, zöld paprika, brokkoli, sárgarépa, zeller, chili, uborka, torma, póréhagyma, olajbogyó, hagyma, burgonya, vörös káposzta, paradicsom, fehér répa, cukkini, articsóka, spárga, spenót, zöldbab, zöldborsó, szójabab, lencse, fehér bab, fejes saláta, madár saláta, alma, sárgabarack, banán, cseresznye, szőlő (fehér/kék), kivi, citrom, nektarin, narancs, ananász, eper, görögdinnye, körte, szilva, grapefruit, őszibarack, datolya, bazsalikom, bors (fekete/ fehér), fahéj, fokhagyma, mustármag, szerecsendió, oregánó, petrezselyem, borsmenta, mák, rozmaring, kakukkfű, vanília, mandula, kesudió, kakaóbab, mogyoró, földimogyoró, pisztácia, szezámmag, napraforgó mag, dió, kókusz, gomba mix 1: laskagomba, csiperke, shitake, gomba mix 2: vargánya, tinorú gomba, folyami rák, lazac, tonhal, kagyló, nagy garnélarák, szardella/ajóka, kardhal, pisztráng, nyelvhal, tőkehal, sörélesztő, sütőélesztő, méz, kávé, fekete tea</t>
    </r>
  </si>
  <si>
    <r>
      <rPr>
        <b/>
        <sz val="11"/>
        <color theme="1"/>
        <rFont val="Poppins"/>
        <charset val="238"/>
      </rPr>
      <t xml:space="preserve">15c. Táplálékintolerancia vizsgálatok (220+ tápanyag) – Ingyenes írásos dietetikai tanácsadás:
</t>
    </r>
    <r>
      <rPr>
        <sz val="11"/>
        <color theme="1"/>
        <rFont val="Poppins"/>
        <charset val="238"/>
      </rPr>
      <t>alfa- lactalbumin, tojás sárgája, juh tej, béta-lactoglobulin, bivalytej, kazein, tehéntej, tojás fehérje, kecsketej, alga espaguette, kacsakagyló, kemény- vagy pénzkagyló, tintahal szépia, hering, kék kagyló, csuka, szardínia, garnélarák, pisztráng, alga spirulina, fekete sügér, szívkagyló, angolna, homár, polip, lepényhal, fésüs kagyló, nyelvhal, tonhal, alga wakame, ponty, fekete tőkehal, foltos tőkehal, makréla, osztriga, hüvelykagyló, aranydurbincs, tintahal, kalamári, rombuszhal, ajóka, kaviár, tarisznyarák, tőkehal, ördöghal, sügér, lazac, tengeri keszeg, kardhal, csiga parti, alma, szeder, vörösáfonya, grapefruit, lime, faeper, papaja, szilva, ribizli, görögdinnye, sárgabarack, fekete ribizli, datolya, guava, licsi, nektarin, őszibarack, gránátalma, rebarbara, avokádó, fekete áfonya, füge, kivi, mangó, olajbogyó, körte, mazsola, eper, banán, cseresznye, szőlő, citrom, sárgadinnye, narancs, ananász, málna, mandarin, árpa, maláta, búza, kuszkusz, zab, búzakorkorpa, durumbúza, rozsliszt, gliadin, tönkölybúza, amaránt, puliszka, hajdina, quinoa, kukorica, rizs, köles, tápióka, ánizs, cayenne-bors, koriander (levél), fokhagyma, komló, mustármag, bors (fekete / fehér), zsálya, bazsalikom, vörös chili, kömény, gyömbér, édesgyökér, csalán, borsmenta, tárkony, babérlevél, fahéj, curry, gingkó, majoranna, szerecsendió, rozmaring, kakukkfű, kamilla, szegfűszeg, kapor, ginzeng, menta, petrezselyem, sáfrány, vanília, marhahús, lóhús, fogolyhús, pulykahús, csirkehús, bárányhús, disznóhús, borjúhús, kacsahús, strucc, fürjhús, rőtvad (szarvas-, őzhús), kecskehús, bivaly, nyúlhús, vaddisznóhús, mandula, lenmag, fenyőmag, napraforgómag, paradió, mogyoró, pisztácia, tigrisdió / földimandula, kesudió, makadámdió, repcemag, dió, kókusz, földimogyoró, szezámmag, articsóka, zöldbab, brokkoli, kapribogyó, mángold, édeskömény (levél), tök (spárgatök), burgonya, szója bab, paradicsom, spárga, vörös vesebab, kelbimbó, sárgarépa, csicseriborsó, póréhagyma, hagyma, retek, spenót, fehérrépa, padlizsán, fehér karóbab, káposzta vörös, karfiol, cikória, lencse, borsó, ruccola, sütőtök, vizitorma, széles bab, cékla, káposzta, zeller, uborka, fejes saláta, paprika, mogyoróhagyma, édesburgonya, manióka, agar-agar, gesztenye, méz, transzglutamináz, aloe vera, kakaóbab, gomba, élesztő (sütő), nádcukor, kávé, tea (fekete), élesztő (sör), szentjánoskenyér, kóladió, tea (zöld)</t>
    </r>
  </si>
  <si>
    <r>
      <rPr>
        <b/>
        <sz val="11"/>
        <color theme="1"/>
        <rFont val="Poppins"/>
        <charset val="238"/>
      </rPr>
      <t xml:space="preserve">15d. 40-es ételintolerancia:
</t>
    </r>
    <r>
      <rPr>
        <sz val="11"/>
        <color theme="1"/>
        <rFont val="Poppins"/>
        <charset val="238"/>
      </rPr>
      <t>lazac, tőkehal, hering, garnélarák, ehető kék kagyló, sertéshús, marhahús, csirkehús, búza, rozs, zab, kukorica, rizs, hajdina, amaránt, répa, zeller, fejes káposzta, fokhagyma, hagyma, zöldborsó, zöldbab, szójabab, földimogyoró, paradicsom, uborka, burgonya, mustár, tojásfehérje, tojássárgája, tehéntej, kecsketej, juhtej, narancs, banán, alma, kivi, mogyoró, dió, mandula</t>
    </r>
  </si>
  <si>
    <r>
      <rPr>
        <b/>
        <sz val="11"/>
        <color theme="1"/>
        <rFont val="Poppins"/>
        <charset val="238"/>
      </rPr>
      <t>16a. Speciális allergia LTT teszt fogászati fémekre, kerámiára és cementre:</t>
    </r>
    <r>
      <rPr>
        <sz val="11"/>
        <color theme="1"/>
        <rFont val="Poppins"/>
        <charset val="238"/>
      </rPr>
      <t xml:space="preserve"> vanádium, alumínium, titán, kobalt, króm, bárium, szilícium, cérium, bór, mangán, antimon, foszfát cement és üvegionomer cement</t>
    </r>
  </si>
  <si>
    <r>
      <rPr>
        <b/>
        <sz val="11"/>
        <color theme="1"/>
        <rFont val="Poppins"/>
        <charset val="238"/>
      </rPr>
      <t>16b. LTT fogászati kombinált vizsgálat:</t>
    </r>
    <r>
      <rPr>
        <sz val="11"/>
        <color theme="1"/>
        <rFont val="Poppins"/>
        <charset val="238"/>
      </rPr>
      <t xml:space="preserve">
arany, nikkel, palládium, króm, kobalt, platina, higany, réz, ezüst, ón, négy darab akrilátot, metil-metakrilátot (MMA), hidroxietil-metakrilátot (HEMA), trietilén glikol dimetrakrilátot (TEGDMA) bisfenol A-glicidil metakrilátot</t>
    </r>
  </si>
  <si>
    <r>
      <rPr>
        <b/>
        <sz val="11"/>
        <color theme="1"/>
        <rFont val="Poppins"/>
        <charset val="238"/>
      </rPr>
      <t>17. LTT fémekre:</t>
    </r>
    <r>
      <rPr>
        <sz val="11"/>
        <color theme="1"/>
        <rFont val="Poppins"/>
        <charset val="238"/>
      </rPr>
      <t xml:space="preserve"> higany, réz, ezüst, ón, etil-higany, arany, nikkel, palládium, króm, kobalt, molibdén, alumínium, platina, kadmium</t>
    </r>
  </si>
  <si>
    <r>
      <rPr>
        <b/>
        <sz val="11"/>
        <color theme="1"/>
        <rFont val="Poppins"/>
        <charset val="238"/>
      </rPr>
      <t>18. Ásványi anyag profil:</t>
    </r>
    <r>
      <rPr>
        <sz val="11"/>
        <color theme="1"/>
        <rFont val="Poppins"/>
        <charset val="238"/>
      </rPr>
      <t xml:space="preserve"> magnézium, szelén, cink, króm, réz, mangán, molibdén, kadmium, nikkel</t>
    </r>
  </si>
  <si>
    <r>
      <rPr>
        <b/>
        <sz val="11"/>
        <color theme="1"/>
        <rFont val="Poppins"/>
        <charset val="238"/>
      </rPr>
      <t>19. Toxikus fémek profilja (vér):</t>
    </r>
    <r>
      <rPr>
        <sz val="11"/>
        <color theme="1"/>
        <rFont val="Poppins"/>
        <charset val="238"/>
      </rPr>
      <t xml:space="preserve"> alumínium, antimon, arzén, berillium, bizmut, ólom, kadmium, króm, kobalt, réz, nikkel, palládium, higany,ezüst, thallium, ón</t>
    </r>
  </si>
  <si>
    <r>
      <rPr>
        <b/>
        <sz val="11"/>
        <color theme="1"/>
        <rFont val="Poppins"/>
        <charset val="238"/>
      </rPr>
      <t xml:space="preserve">20a. STD 3:
</t>
    </r>
    <r>
      <rPr>
        <sz val="11"/>
        <color theme="1"/>
        <rFont val="Poppins"/>
        <charset val="238"/>
      </rPr>
      <t>Trichomonas vaginalis, Chlamydia trachomatis, Neisseria gonorrhoeae</t>
    </r>
  </si>
  <si>
    <r>
      <rPr>
        <b/>
        <sz val="11"/>
        <color theme="1"/>
        <rFont val="Poppins"/>
        <charset val="238"/>
      </rPr>
      <t xml:space="preserve">20d. STD 4:
</t>
    </r>
    <r>
      <rPr>
        <sz val="11"/>
        <color theme="1"/>
        <rFont val="Poppins"/>
        <charset val="238"/>
      </rPr>
      <t>Chlamydia, Neisseria, Mycoplasma, Ureoplasma</t>
    </r>
  </si>
  <si>
    <r>
      <rPr>
        <b/>
        <sz val="11"/>
        <color theme="1"/>
        <rFont val="Poppins"/>
        <charset val="238"/>
      </rPr>
      <t xml:space="preserve">20b. STD 5:
</t>
    </r>
    <r>
      <rPr>
        <sz val="11"/>
        <color theme="1"/>
        <rFont val="Poppins"/>
        <charset val="238"/>
      </rPr>
      <t>Trichomonas vaginalis, Chlamydia trachomatis, Neisseria gonorrhoeae, Mycoplasma genitalium, Ureaplasma urealyticum</t>
    </r>
  </si>
  <si>
    <r>
      <rPr>
        <b/>
        <sz val="11"/>
        <color theme="1"/>
        <rFont val="Poppins"/>
        <charset val="238"/>
      </rPr>
      <t xml:space="preserve">20c. 14 STD kórokozó vizsgálata:
</t>
    </r>
    <r>
      <rPr>
        <sz val="11"/>
        <color theme="1"/>
        <rFont val="Poppins"/>
        <charset val="238"/>
      </rPr>
      <t>Treponema Pallidum, Neisseria gonorrhoeae, Trichomonas vaginalis, Herpes Simplex I/II, Chlamydia trachomatis, Mycoplasma genitalium, Mycoplasma Hominis, Ureaplasma parvum, Ureaplasma urelyticum, Candida albicans, Haemophilus ducreyi, Streptococcus agalactiae, Gardnerella vaginalis</t>
    </r>
  </si>
  <si>
    <r>
      <rPr>
        <b/>
        <sz val="11"/>
        <color theme="1"/>
        <rFont val="Poppins"/>
        <charset val="238"/>
      </rPr>
      <t xml:space="preserve">21a. Humán papilloma vírus PCR (29 típus):
</t>
    </r>
    <r>
      <rPr>
        <sz val="11"/>
        <color theme="1"/>
        <rFont val="Poppins"/>
        <charset val="238"/>
      </rPr>
      <t>HR HPV: 16, 18, 26, 31, 33, 35, 39, 45, 51, 52, 53, 56, 58, 59, 66, 67, 68, 69, 70, 73, 82
LR HPV: 6, 11, 40, 42, 43, 44, 54, 61</t>
    </r>
  </si>
  <si>
    <r>
      <rPr>
        <b/>
        <sz val="11"/>
        <color theme="1"/>
        <rFont val="Poppins"/>
        <charset val="238"/>
      </rPr>
      <t xml:space="preserve">21b.  Orális HPV PCR vizsgálat:
</t>
    </r>
    <r>
      <rPr>
        <sz val="11"/>
        <color theme="1"/>
        <rFont val="Poppins"/>
        <charset val="238"/>
      </rPr>
      <t>HR HPV: 16, 18, 26, 31, 33, 35, 39, 45, 51, 52, 53, 56, 58, 59, 66, 68, 73, 82
LR HPV: 6, 11, 40, 42, 43, 44, 54, 61, 70, 72, 81, 89</t>
    </r>
  </si>
  <si>
    <r>
      <t xml:space="preserve">21c. Humán Papilloma Vírus (HPV) PCR 15 szerotípusra:                                                                                                                                                                      </t>
    </r>
    <r>
      <rPr>
        <sz val="11"/>
        <color theme="1"/>
        <rFont val="Poppins"/>
        <charset val="238"/>
      </rPr>
      <t xml:space="preserve">
HR HPV: 16, 18, 31, 33, 35, 39, 45, 51, 52, 56, 58, 59, 68.                                                                                                                                                     LR HPV: 6, 11</t>
    </r>
  </si>
  <si>
    <r>
      <t xml:space="preserve">21d. Humán Papilloma Vírus (HPV) PCR 21 szerotípusra:                                                                                                                                                                      </t>
    </r>
    <r>
      <rPr>
        <sz val="11"/>
        <color theme="1"/>
        <rFont val="Poppins"/>
        <charset val="238"/>
      </rPr>
      <t xml:space="preserve">
HR HPV: 16, 18, 26, 31, 33, 35, 39, 45, 51, 52, 53, 56, 58, 59, 66, 68, 73, 82.                                                                                                                      LR HPV: 6, 11, 44 </t>
    </r>
  </si>
  <si>
    <r>
      <rPr>
        <b/>
        <sz val="11"/>
        <color theme="1"/>
        <rFont val="Poppins"/>
        <charset val="238"/>
      </rPr>
      <t xml:space="preserve">22. Metanephrin:
</t>
    </r>
    <r>
      <rPr>
        <sz val="11"/>
        <color theme="1"/>
        <rFont val="Poppins"/>
        <charset val="238"/>
      </rPr>
      <t>Metanephrin, Normetanephrin, 3-Metoxithyramin</t>
    </r>
  </si>
  <si>
    <r>
      <rPr>
        <b/>
        <sz val="11"/>
        <color theme="1"/>
        <rFont val="Poppins"/>
        <charset val="238"/>
      </rPr>
      <t xml:space="preserve">23. Onkoneuronális antitest profil:
</t>
    </r>
    <r>
      <rPr>
        <sz val="11"/>
        <color theme="1"/>
        <rFont val="Poppins"/>
        <charset val="238"/>
      </rPr>
      <t>anti-Yo, anti-Ri, anti-Hu, MA2/TA, CV2, Amphysisin</t>
    </r>
  </si>
  <si>
    <r>
      <rPr>
        <b/>
        <sz val="11"/>
        <color theme="1"/>
        <rFont val="Poppins"/>
        <charset val="238"/>
      </rPr>
      <t xml:space="preserve">24. Celluláris immunstatus:
</t>
    </r>
    <r>
      <rPr>
        <sz val="11"/>
        <color theme="1"/>
        <rFont val="Poppins"/>
        <charset val="238"/>
      </rPr>
      <t>T Ly % (CD3), B Ly % (CD19) , NK Ly %(CD56), Helper T Ly % (CD4+), Citotoxikus T Ly % (CD8+), Aktivált T Ly % (HLA-DR+/CD3+), NK típusú T Ly % (CD3+Cd8+Cd56+), CD4+/CD8+ arány</t>
    </r>
  </si>
  <si>
    <r>
      <rPr>
        <b/>
        <sz val="11"/>
        <color theme="1"/>
        <rFont val="Poppins"/>
        <charset val="238"/>
      </rPr>
      <t xml:space="preserve">25. Celluláris immunstatus + NK funkció:
</t>
    </r>
    <r>
      <rPr>
        <sz val="11"/>
        <color theme="1"/>
        <rFont val="Poppins"/>
        <charset val="238"/>
      </rPr>
      <t>T Ly % (CD3), B Ly % (CD19) , NK Ly %(CD56), Helper T Ly % (CD4+), Citotoxikus T Ly % (CD8+), Aktivált T Ly % (HLA-DR+/CD3+), NK típusú T Ly % (CD3+Cd8+Cd56+), CD4+/CD8+ arány, NK Ly funkció</t>
    </r>
  </si>
  <si>
    <r>
      <rPr>
        <b/>
        <sz val="11"/>
        <color theme="1"/>
        <rFont val="Poppins"/>
        <charset val="238"/>
      </rPr>
      <t>26. TH1/TH2 citokin dominancia:</t>
    </r>
    <r>
      <rPr>
        <sz val="11"/>
        <color theme="1"/>
        <rFont val="Poppins"/>
        <charset val="238"/>
      </rPr>
      <t xml:space="preserve"> IL-2, IL-4, IL-10 és gamma interferon arányok</t>
    </r>
  </si>
  <si>
    <r>
      <rPr>
        <b/>
        <sz val="11"/>
        <color theme="1"/>
        <rFont val="Poppins"/>
        <charset val="238"/>
      </rPr>
      <t>27. Toxikus fémek profilja (vizelet):</t>
    </r>
    <r>
      <rPr>
        <sz val="11"/>
        <color theme="1"/>
        <rFont val="Poppins"/>
        <charset val="238"/>
      </rPr>
      <t xml:space="preserve"> alumínium, antimon, arzén, berillium, bizmut, ólom, kadmium, króm, kobalt, réz, nikkel, palládium, higany, ezüst, thallium, ón</t>
    </r>
  </si>
  <si>
    <r>
      <t xml:space="preserve">28. Torch Plus panel: </t>
    </r>
    <r>
      <rPr>
        <sz val="11"/>
        <color theme="1"/>
        <rFont val="Poppins"/>
        <charset val="238"/>
      </rPr>
      <t>Cytomegalovírus(CMV) antitestek (IgG, IgM), Toxoplasma antitestek, Herpes simplex vírus I/II (IgG, IgM), Rubeola (IgG, IgM), Varicella (IgG), Parvovírus B19 (IgG, IgM)</t>
    </r>
  </si>
  <si>
    <r>
      <t xml:space="preserve">29. Komplex légúti PCR: </t>
    </r>
    <r>
      <rPr>
        <sz val="11"/>
        <color theme="1"/>
        <rFont val="Poppins"/>
        <charset val="238"/>
      </rPr>
      <t>Adenovírus, Bokavírus, Humán Koronavírus komplex [HKU1, NL63, OC43, 229E, SARS-CoV-2], Influenza vírus A és B, Metapneumovírus, Parainfluenza-vírus és Respiratorikus szinciciális vírus [RSV]</t>
    </r>
    <r>
      <rPr>
        <b/>
        <sz val="11"/>
        <color theme="1"/>
        <rFont val="Poppins"/>
        <charset val="238"/>
      </rPr>
      <t xml:space="preserve">, </t>
    </r>
    <r>
      <rPr>
        <sz val="11"/>
        <color theme="1"/>
        <rFont val="Poppins"/>
        <charset val="238"/>
      </rPr>
      <t>Rhinovírus</t>
    </r>
  </si>
  <si>
    <r>
      <t xml:space="preserve">30. Komplex bakteriális légúti PCR: </t>
    </r>
    <r>
      <rPr>
        <sz val="11"/>
        <color theme="1"/>
        <rFont val="Poppins"/>
        <charset val="238"/>
      </rPr>
      <t xml:space="preserve">Bordetella parapertussis (BPP), Legionella pneumophila (LP), Bordetella pertussis (BP), Moraxella catarrhalis (MC), Chlamydophila pneumoniae (CP),Mycoplasma pneumoniae (MP), Haemophilus influenzae (HI), Streptococcus pneumoniae (SP) </t>
    </r>
  </si>
  <si>
    <r>
      <t xml:space="preserve">31. Torch Alap panel: </t>
    </r>
    <r>
      <rPr>
        <sz val="11"/>
        <color theme="1"/>
        <rFont val="Poppins"/>
        <charset val="238"/>
      </rPr>
      <t>Cytomegalovírus(CMV) antitestek (IgG, IgM), Toxoplasma antitestek, Herpes simplex vírus I/II (IgG, IgM), Rubeola (IgG)</t>
    </r>
  </si>
  <si>
    <r>
      <t xml:space="preserve">32. Molekuláris Nyírfa allergia: </t>
    </r>
    <r>
      <rPr>
        <sz val="11"/>
        <color theme="1"/>
        <rFont val="Poppins"/>
        <charset val="238"/>
      </rPr>
      <t>rBet v1 [T215], rBet v2 [T216]</t>
    </r>
  </si>
  <si>
    <r>
      <t xml:space="preserve">33. Vizelet drogteszt 12 paraméterre: </t>
    </r>
    <r>
      <rPr>
        <sz val="11"/>
        <color theme="1"/>
        <rFont val="Poppins"/>
        <charset val="238"/>
      </rPr>
      <t>AMP – Amphetamin, BUP – Buprenophrin, BZD – Oxazepam, COC – Benzoylecgonine – Kokain, FYL – Fentanil és metabolitjai, MDMA – 3,4-Methylendioxy-Metamphetamine – Ecstasy, MET- Methamphetamine, MOR/OPI – Morphine, MTD – Methadone, OXY – Oxycodone, THC – 11-nor-Δ9-THC-9-COOH – Marihuána, TML – Tramadol</t>
    </r>
  </si>
  <si>
    <t>* A vizsgálatok elvégzéséhez külön kérőlap kitöltése szükséges.</t>
  </si>
  <si>
    <t>*2 Vizeletet a labortól kapott 10 ml-es ecetsavval kell gyűjteni. A 24 órás vizeletmennyiséget a kérőlapon meg kell adni.</t>
  </si>
  <si>
    <t>*3 Mintavétel előtt feltétlenül szükséges az egyeztetés a kapcsolattartóval (mdklabor@medicover.hu).</t>
  </si>
  <si>
    <t>*4 Reggeli első vizelet első sugarából (max 5 ml).</t>
  </si>
  <si>
    <t>*5 Reggeli első vizelet első sugarából (max 5 ml) vagy genitális minta.</t>
  </si>
  <si>
    <t>*6 Hétfőtől csütörtökig.</t>
  </si>
  <si>
    <t>*7 A vizsgálatok 1-10 választható allergénre igény szerint kérhetőek, további információért egyeztetés szükséges a kapcsolattartóval.</t>
  </si>
  <si>
    <t>*8 A vizsgálatok 1-9 választható allergénre igény szerint kérhetőek, további információért egyeztetés szükséges a kapcsolattartóval.</t>
  </si>
  <si>
    <t>*9 Mindig külön székletminta.</t>
  </si>
  <si>
    <t>**Volumenkedvezmény  a Kedvezményes/Akciós áron biztosított szolgáltatásokra nem vonatkozik.</t>
  </si>
  <si>
    <t>Általános kérdések, ajánlatkérés</t>
  </si>
  <si>
    <t>Laboratórium</t>
  </si>
  <si>
    <t>Logisztika, eszközigénylés</t>
  </si>
  <si>
    <t>+36 20 431 7692</t>
  </si>
  <si>
    <t>+36 20 280 6853</t>
  </si>
  <si>
    <t>+36 20 366 7415</t>
  </si>
  <si>
    <t>Patológiai árlista</t>
  </si>
  <si>
    <t>Érvényes árlista: 2025.05.01-től</t>
  </si>
  <si>
    <t>Egységárak
Ft/vizsgálat</t>
  </si>
  <si>
    <t>Vállalási határidők</t>
  </si>
  <si>
    <r>
      <rPr>
        <b/>
        <sz val="11"/>
        <color theme="1"/>
        <rFont val="Poppins"/>
        <charset val="238"/>
      </rPr>
      <t>Konvencionális méhnyak kenet vizsgálat</t>
    </r>
    <r>
      <rPr>
        <sz val="11"/>
        <color theme="1"/>
        <rFont val="Poppins"/>
        <charset val="238"/>
      </rPr>
      <t xml:space="preserve"> (beleértve a mintavételi eszközöket: mintavételi cytológiai kefe, tárgylemez, fixáló spray)</t>
    </r>
  </si>
  <si>
    <t>Laboratóriumba beérkezést követően 5 munkanapon belül*</t>
  </si>
  <si>
    <t>Amennyiben az egy számlázási időszakban küldött kenetmennyiség meghaladja az 50 db-ot, úgy a gynecocytológiára 10% kedvezményt biztosítunk.</t>
  </si>
  <si>
    <r>
      <rPr>
        <b/>
        <sz val="11"/>
        <color theme="1"/>
        <rFont val="Poppins"/>
        <charset val="238"/>
      </rPr>
      <t xml:space="preserve">Liquid based kenet vizsgálat </t>
    </r>
    <r>
      <rPr>
        <sz val="11"/>
        <color theme="1"/>
        <rFont val="Poppins"/>
        <charset val="238"/>
      </rPr>
      <t>(beleértve a mintavételi eszközöket: mintavételi cytológiai kefe, LB-folyadék)</t>
    </r>
  </si>
  <si>
    <t>Laboratóriumba beérkezést követően 10 munkanapon belül*</t>
  </si>
  <si>
    <r>
      <rPr>
        <b/>
        <sz val="11"/>
        <color theme="1"/>
        <rFont val="Poppins"/>
        <charset val="238"/>
      </rPr>
      <t>Liquid based kenet vizsgálat + CINTec Plus - átalány (3%)</t>
    </r>
    <r>
      <rPr>
        <sz val="11"/>
        <color theme="1"/>
        <rFont val="Poppins"/>
        <charset val="238"/>
      </rPr>
      <t xml:space="preserve"> (beleértve a mintavételi eszközöket: mintavételi cytológiai kefe, LB-folyadék)</t>
    </r>
  </si>
  <si>
    <t>HPV Q15 teszt</t>
  </si>
  <si>
    <t>A HPVQ15 csomag tartalma: low-risk HPV 6, 11
high-risk-HPV 16, 18, 31, 33, 35, 39, 45, 51, 52, 56, 58, 59, 68.</t>
  </si>
  <si>
    <t>HPV Q21 teszt</t>
  </si>
  <si>
    <t>A HPVQ21 csomag tartalma low-risk -HPV 6, 11, 44 
high-risk-HPV 16, 18, 26, 31, 33, 35, 39, 45, 51, 52, 53, 56, 58, 59, 66, 68, 73, 82.</t>
  </si>
  <si>
    <t>HPV 29 teszt</t>
  </si>
  <si>
    <t>A HPV29 csomag tartalma: low-risk-HPV: 6 ,11, 26, 40 , 42, 43, 44, 53, 54, 61, 67, 69, 70, 73, 82
high-risk-HPV: 16, 18, 31, 33, 35, 39, 45, 51, 52, 56, 58, 59, 66, 68.</t>
  </si>
  <si>
    <r>
      <rPr>
        <b/>
        <sz val="11"/>
        <color theme="1"/>
        <rFont val="Poppins"/>
        <charset val="238"/>
      </rPr>
      <t>Konvencionális méhnyak kenet vizsgálat + HPVQ15 + CINTec Plus átalány -</t>
    </r>
    <r>
      <rPr>
        <sz val="11"/>
        <color theme="1"/>
        <rFont val="Poppins"/>
        <charset val="238"/>
      </rPr>
      <t xml:space="preserve"> konvencionális kenet  vizsgálat Q15 HPV tipizálás CINTec plus® vizsgálat előkészítése (beleértve a mintavételi eszközöket: mintavételi cytológiai kefe, tárgylemez, fixáló spray, LB-folyadék)</t>
    </r>
  </si>
  <si>
    <t>Laboratóriumba beérkezést követően 15 munkanapon belül*</t>
  </si>
  <si>
    <r>
      <rPr>
        <b/>
        <sz val="11"/>
        <color theme="1"/>
        <rFont val="Poppins"/>
        <charset val="238"/>
      </rPr>
      <t>Konvencionális méhnyak kenet vizsgálat + HPVQ21 + CINTec Plus átalány -</t>
    </r>
    <r>
      <rPr>
        <sz val="11"/>
        <color theme="1"/>
        <rFont val="Poppins"/>
        <charset val="238"/>
      </rPr>
      <t xml:space="preserve"> konvencionális kenet  vizsgálat Q21 HPV tipizálás CINTec plus® vizsgálat előkészítése. (beleértve a mintavételi eszközöket: mintavételi cytológiai kefe, tárgylemez, fixáló spray, LB-folyadék)</t>
    </r>
  </si>
  <si>
    <r>
      <rPr>
        <b/>
        <sz val="11"/>
        <color theme="1"/>
        <rFont val="Poppins"/>
        <charset val="238"/>
      </rPr>
      <t>Konvencionális méhnyak kenet vizsgálat + HPV 29 + CINTec Plus átalány -</t>
    </r>
    <r>
      <rPr>
        <sz val="11"/>
        <color theme="1"/>
        <rFont val="Poppins"/>
        <charset val="238"/>
      </rPr>
      <t xml:space="preserve"> konvencionális kenet  vizsgálat Q30 HPV tipizálás CINTec plus® vizsgálat előkészítése. (beleértve a mintavételi eszközöket: mintavételi cytológiai kefe, tárgylemez, fixáló spray, LB-folyadék)</t>
    </r>
  </si>
  <si>
    <t>A HPV 29 csomag tartalma: low-risk-HPV: 6 ,11, 26, 40 , 42, 43, 44, 53, 54, 61, 67, 69, 70, 73, 82
high-risk-HPV: 16, 18, 31, 33, 35, 39, 45, 51, 52, 56, 58, 59, 66, 68.</t>
  </si>
  <si>
    <t>Liquid based kenet vizsgálat + HPVQ15 + CINTec Plus átalány</t>
  </si>
  <si>
    <t>Liquid based kenet vizsgálat + HPVQ21 + CINTec Plus átalány</t>
  </si>
  <si>
    <t>Liquid based kenet vizsgálat + HPV 29 + CINTec Plus átalány</t>
  </si>
  <si>
    <t>CINTec plus® vizsgálat</t>
  </si>
  <si>
    <t>A vizsgálat felára csak a reakció árát tartalmazza.</t>
  </si>
  <si>
    <r>
      <rPr>
        <b/>
        <sz val="11"/>
        <color theme="1"/>
        <rFont val="Poppins"/>
        <charset val="238"/>
      </rPr>
      <t>Konvencionális méhnyak kenet + HPV 29 teszt +CINTec Plus átalány+ STD 14 panel</t>
    </r>
    <r>
      <rPr>
        <sz val="11"/>
        <color theme="1"/>
        <rFont val="Poppins"/>
        <charset val="238"/>
      </rPr>
      <t xml:space="preserve">
High-risk HPV pozitivitás esetén automatikusan CINtec Plus  vizsgálat kerül elvégzésre . (beleértve a mintavételi eszközöket: mintavételi cytológiai kefe, tárgylemez, fixáló spray.)</t>
    </r>
  </si>
  <si>
    <t>Laboratóriumba beérkezést követően 8 munkanapon belül*</t>
  </si>
  <si>
    <r>
      <rPr>
        <b/>
        <sz val="11"/>
        <color theme="1"/>
        <rFont val="Poppins"/>
        <charset val="238"/>
      </rPr>
      <t>A HPV 29 csomag tartalma</t>
    </r>
    <r>
      <rPr>
        <sz val="11"/>
        <color theme="1"/>
        <rFont val="Poppins"/>
        <charset val="238"/>
      </rPr>
      <t xml:space="preserve">: low-risk-HPV: 6 ,11, 26, 40 , 42, 43, 44, 53, 54, 61, 67, 69, 70, 73, 82
high-risk-HPV: 16, 18, 31, 33, 35, 39, 45, 51, 52, 56, 58, 59, 66, 68.                                                                              </t>
    </r>
    <r>
      <rPr>
        <b/>
        <sz val="11"/>
        <color theme="1"/>
        <rFont val="Poppins"/>
        <charset val="238"/>
      </rPr>
      <t xml:space="preserve">STD 14 panel tartalma:                                                                                                                                                                                </t>
    </r>
    <r>
      <rPr>
        <sz val="11"/>
        <color theme="1"/>
        <rFont val="Poppins"/>
        <charset val="238"/>
      </rPr>
      <t xml:space="preserve">    Chlamydia Trachomatis,                                                                 Neisseria gonorrhoeae,                                                                                        Trichomonas vaginalis,                                                         Mycoplasma hominis,                                   Mycoplasma Genitalium,                                     Ureaplasma urealyticum,                              Ureaplasma parvum,                                                  Herpes simplex virus I,                                              Herpes simplex virus II,                                      Treponema pallidum,                                 Gardnerella vaginalis,                                          Candida albicans,                                          Haemophilus ducreyi,Group B Streptococcus</t>
    </r>
  </si>
  <si>
    <r>
      <rPr>
        <b/>
        <sz val="11"/>
        <color theme="1"/>
        <rFont val="Poppins"/>
        <charset val="238"/>
      </rPr>
      <t>Alap szövettani vizsgálat</t>
    </r>
    <r>
      <rPr>
        <sz val="11"/>
        <color theme="1"/>
        <rFont val="Poppins"/>
        <charset val="238"/>
      </rPr>
      <t xml:space="preserve"> (GI biopszia, bőr - kivéve melanoma, kaparék-benignus, reaktív nyirokcsomók stb.) </t>
    </r>
  </si>
  <si>
    <t>14 munkanapon belül*</t>
  </si>
  <si>
    <t>Laboratóriumba érkezést követően, amennyiben további vizsgálat nem szükséges. Az ár 5 szövetblokkig értendő. A több lokalizációból származó minták külön mintának minősülnek.     Ár az immunhisztokémiai reakciókat is tartalmazza.</t>
  </si>
  <si>
    <t>Melanoma malignum</t>
  </si>
  <si>
    <r>
      <rPr>
        <b/>
        <sz val="11"/>
        <color theme="1"/>
        <rFont val="Poppins"/>
        <charset val="238"/>
      </rPr>
      <t>Kis műtéti/benignus/ preparátumok –</t>
    </r>
    <r>
      <rPr>
        <sz val="11"/>
        <color theme="1"/>
        <rFont val="Poppins"/>
        <charset val="238"/>
      </rPr>
      <t xml:space="preserve"> (gyulladásos tonsilla, benignus lágyrész tumor 5 cm-ig, mellékpajzsmirigy, pajzsmirigy subtotal, TUR/TURP-benignus stb.)</t>
    </r>
  </si>
  <si>
    <t>Ár az immunhisztokémiai reakciókat is tartalmazza.</t>
  </si>
  <si>
    <r>
      <rPr>
        <b/>
        <sz val="11"/>
        <color theme="1"/>
        <rFont val="Poppins"/>
        <charset val="238"/>
      </rPr>
      <t>Kis műtéti /malignus/ preparátumok –</t>
    </r>
    <r>
      <rPr>
        <sz val="11"/>
        <color theme="1"/>
        <rFont val="Poppins"/>
        <charset val="238"/>
      </rPr>
      <t xml:space="preserve"> (tumoros tonsilla, malignus lágyrész daganatok 5 cm-ig, nyirokcsomó, konizátum, mellékpajzsmirigy, kaparék - tumoros, TUR/TURP stb.)</t>
    </r>
  </si>
  <si>
    <r>
      <rPr>
        <b/>
        <sz val="11"/>
        <color theme="1"/>
        <rFont val="Poppins"/>
        <charset val="238"/>
      </rPr>
      <t>Közepes műtéti /benignus/ preparátumok –</t>
    </r>
    <r>
      <rPr>
        <sz val="11"/>
        <color theme="1"/>
        <rFont val="Poppins"/>
        <charset val="238"/>
      </rPr>
      <t xml:space="preserve"> (pajzsmirigy - totál, nyálmirigy, here, vese (resecatum), máj, méh, petefészek, emlő (resecatum), lágyrész tumor 5 cm feletti stb.)</t>
    </r>
  </si>
  <si>
    <r>
      <rPr>
        <b/>
        <sz val="11"/>
        <color theme="1"/>
        <rFont val="Poppins"/>
        <charset val="238"/>
      </rPr>
      <t>Közepes műtéti /malignus/ preparátumok –</t>
    </r>
    <r>
      <rPr>
        <sz val="11"/>
        <color theme="1"/>
        <rFont val="Poppins"/>
        <charset val="238"/>
      </rPr>
      <t xml:space="preserve"> (pajzsmirigy, here, vese, nyálmirigy, máj, méh, petefészek, emlő (resecatum), vese, lágyrész tumor 5 cm feletti stb.)</t>
    </r>
  </si>
  <si>
    <t>15-20 munkanapon belül*</t>
  </si>
  <si>
    <r>
      <t>Nagy műtéti /benignus/ preparátum –</t>
    </r>
    <r>
      <rPr>
        <sz val="11"/>
        <color theme="1"/>
        <rFont val="Poppins"/>
        <charset val="238"/>
      </rPr>
      <t xml:space="preserve"> (bél elhalás, perforatio, gyomor szűkítő, pancreas, profilaktikus emlő, méh+adnexumok/petefészkek stb.)</t>
    </r>
  </si>
  <si>
    <r>
      <rPr>
        <b/>
        <sz val="11"/>
        <color theme="1"/>
        <rFont val="Poppins"/>
        <charset val="238"/>
      </rPr>
      <t>Nagy műtéti /malignus/ preparátum –</t>
    </r>
    <r>
      <rPr>
        <sz val="11"/>
        <color theme="1"/>
        <rFont val="Poppins"/>
        <charset val="238"/>
      </rPr>
      <t xml:space="preserve"> (emlő PST, emlő+nyirokcsomó(k), GI, pancreas, gége, prosztata, nőgyógyászati onkológiai műtétek, here tumor stb.)</t>
    </r>
  </si>
  <si>
    <t>Egyedi ajánlat, előzetes egyeztetés alapján.</t>
  </si>
  <si>
    <t>Immunhisztokémiai reakció</t>
  </si>
  <si>
    <t>Elszámolás FT/reakció.</t>
  </si>
  <si>
    <t>MSI és emlő panel</t>
  </si>
  <si>
    <r>
      <t>Prosztata biopszia</t>
    </r>
    <r>
      <rPr>
        <sz val="11"/>
        <color theme="1"/>
        <rFont val="Poppins"/>
        <charset val="238"/>
      </rPr>
      <t xml:space="preserve"> - 12 minta esetében</t>
    </r>
  </si>
  <si>
    <t>Laboratóriumba érkezést követően, amennyiben további vizsgálat nem szükséges.</t>
  </si>
  <si>
    <r>
      <rPr>
        <b/>
        <sz val="11"/>
        <color theme="1"/>
        <rFont val="Poppins"/>
        <charset val="238"/>
      </rPr>
      <t>Prostata biopszia</t>
    </r>
    <r>
      <rPr>
        <sz val="11"/>
        <color theme="1"/>
        <rFont val="Poppins"/>
        <charset val="238"/>
      </rPr>
      <t xml:space="preserve"> - 20 minta esetében</t>
    </r>
  </si>
  <si>
    <r>
      <rPr>
        <b/>
        <sz val="11"/>
        <color theme="1"/>
        <rFont val="Poppins"/>
        <charset val="238"/>
      </rPr>
      <t>Prostata biopszia</t>
    </r>
    <r>
      <rPr>
        <sz val="11"/>
        <color theme="1"/>
        <rFont val="Poppins"/>
        <charset val="238"/>
      </rPr>
      <t xml:space="preserve"> - 20 és attól több minta esetében</t>
    </r>
  </si>
  <si>
    <t>4 héten belül*</t>
  </si>
  <si>
    <t>Laboratóriumba érkezést követően 4 héten belül, amennyiben további vizsgálat nem szükséges.</t>
  </si>
  <si>
    <r>
      <rPr>
        <b/>
        <sz val="11"/>
        <color theme="1"/>
        <rFont val="Poppins"/>
        <charset val="238"/>
      </rPr>
      <t>Egyéb</t>
    </r>
    <r>
      <rPr>
        <sz val="11"/>
        <color theme="1"/>
        <rFont val="Poppins"/>
        <charset val="238"/>
      </rPr>
      <t xml:space="preserve"> (lymphoma, lágyrész tumorok stb.)</t>
    </r>
  </si>
  <si>
    <t>*</t>
  </si>
  <si>
    <r>
      <rPr>
        <b/>
        <sz val="11"/>
        <color theme="1"/>
        <rFont val="Poppins"/>
        <charset val="238"/>
      </rPr>
      <t>Beküldött core biopszia</t>
    </r>
    <r>
      <rPr>
        <sz val="11"/>
        <color theme="1"/>
        <rFont val="Poppins"/>
        <charset val="238"/>
      </rPr>
      <t>, prognosztikai markerek nélkül, immunhisztokémiai reakció nélkül - (kivéve prosztata core)</t>
    </r>
  </si>
  <si>
    <r>
      <rPr>
        <b/>
        <sz val="11"/>
        <color theme="1"/>
        <rFont val="Poppins"/>
        <charset val="238"/>
      </rPr>
      <t>Beküldött aspirációs kenet vizsgálata</t>
    </r>
    <r>
      <rPr>
        <sz val="11"/>
        <color theme="1"/>
        <rFont val="Poppins"/>
        <charset val="238"/>
      </rPr>
      <t xml:space="preserve"> + további lokalizáció nélkül, immunhisztokémiai reakció nélkül</t>
    </r>
  </si>
  <si>
    <t>5 munkanapon belül*</t>
  </si>
  <si>
    <t>Mintavétel nélkül, laboratóriumba érkezést követően, amennyiben további vizsgálat nem szükséges.</t>
  </si>
  <si>
    <t>FNAB további lokalizáció (immunhisztokémiai vizsgálat nélkül)</t>
  </si>
  <si>
    <r>
      <t xml:space="preserve">Vizelet citológia konvencionális módszerrel </t>
    </r>
    <r>
      <rPr>
        <sz val="11"/>
        <color theme="1"/>
        <rFont val="Poppins"/>
        <charset val="238"/>
      </rPr>
      <t>(beleértve a mintavételi eszközt: vizeletes pohár)</t>
    </r>
  </si>
  <si>
    <r>
      <t xml:space="preserve">Vizelet citológia Liquid based módszerrel </t>
    </r>
    <r>
      <rPr>
        <sz val="11"/>
        <color theme="1"/>
        <rFont val="Poppins"/>
        <charset val="238"/>
      </rPr>
      <t>(Speciális mintavételi eszköz: Vizeletes Liquid based-transzportfolyadék)</t>
    </r>
  </si>
  <si>
    <t>Patológiai másodvélemény citológiai/szövettani mintán</t>
  </si>
  <si>
    <t>Szakorvosi személyes konzultáció</t>
  </si>
  <si>
    <t>Chlamydia trachomatis</t>
  </si>
  <si>
    <t>Laboratóriumba beérkezést követően
5 munkanapon belül</t>
  </si>
  <si>
    <t>Genitális minta.
Az ár tartalmazza a mintavételi eszközöket.</t>
  </si>
  <si>
    <t>Neisseria gonorrhoeae</t>
  </si>
  <si>
    <t>Mycoplasma genitalium</t>
  </si>
  <si>
    <t>Mycoplasma hominis</t>
  </si>
  <si>
    <t>Atopobium vaginae -Gardnerella vaginalis duo- PCR</t>
  </si>
  <si>
    <t>Gardnerella vaginalis</t>
  </si>
  <si>
    <t>Trichomonas vaginalis</t>
  </si>
  <si>
    <t>Treponema pallidum</t>
  </si>
  <si>
    <t>Herpes simplex PCR</t>
  </si>
  <si>
    <t>3 STD (Trichomonas, Chlamydia, Neisseria) PCR
vizelet/genitális minta</t>
  </si>
  <si>
    <t>5 STD (Trichomonas, Chlamydia, Neisseria, Mycoplasma, Ureaplasma) PCR vizelet/genitális minta</t>
  </si>
  <si>
    <t>Orális minta.
Az ár tartalmazza a mintavételi eszközöket.</t>
  </si>
  <si>
    <t>14 STD kórokozó PCR kimutatása genitális mintából                              Tartalma:                                                                                                                                                                                    Chlamydia Trachomatis,                                                                 Neisseria gonorrhoeae,                                                                                        Trichomonas vaginalis,                                                         Mycoplasma hominis,                                   Mycoplasma Genitalium,                                     Ureaplasma urealyticum,                              Ureaplasma parvum,                                                  Herpes simplex virus I,                                              Herpes simplex virus II,                                      Treponema pallidum,                                 Gardnerella vaginalis,                                          Candida albicans,                                          Haemophilus ducreyi,Group B Streptococcus)</t>
  </si>
  <si>
    <t>*A vizsgálandó anyag komplexitása miatt adott esetben a vállalási határidő nőhet
(konzultáció, speciális kiegészítő vizsgálat stb., az esetek kb. 3%-a)</t>
  </si>
  <si>
    <t>17. § Élő személy testéből történő szerv,- szöveteltávolítás esetében az alábbi szervek, szövetek esetében nincs szükség kórszövettani vizsgálatra [EüTv. 204. § (2) bekezdés c) pont]: a) fog,  b) üvegtest, c) köröm, d) élettani szülés esetén a placenta.</t>
  </si>
  <si>
    <t>Laboratóriumi lista</t>
  </si>
  <si>
    <t xml:space="preserve">Érvényes lista: 2025.05.01                                                                                                                                                                                                         A szerződés 3.2. pontjában meghatározott kedvezmény (volumenkedvezmény) a Kedvezményes/Akciós áron biztosított szolgáltatásokra nem vonatkozik. </t>
  </si>
  <si>
    <t>eMedWorkS
Kód</t>
  </si>
  <si>
    <t>Partner árlista név</t>
  </si>
  <si>
    <t>Csoportok</t>
  </si>
  <si>
    <r>
      <t>14 STD kórokozó vizsgálata</t>
    </r>
    <r>
      <rPr>
        <vertAlign val="superscript"/>
        <sz val="11"/>
        <rFont val="Poppins"/>
        <charset val="238"/>
      </rPr>
      <t>20c</t>
    </r>
  </si>
  <si>
    <r>
      <t>3 STD (Trichomonas, Chlamydia, Neisseria)  PCR Genitális mintából</t>
    </r>
    <r>
      <rPr>
        <b/>
        <vertAlign val="superscript"/>
        <sz val="11"/>
        <color rgb="FF000000"/>
        <rFont val="Poppins"/>
        <charset val="238"/>
      </rPr>
      <t>20a</t>
    </r>
  </si>
  <si>
    <r>
      <t>3 STD (Trichomonas, Chlamydia, Neisseria)  PCR Vizeletből</t>
    </r>
    <r>
      <rPr>
        <b/>
        <vertAlign val="superscript"/>
        <sz val="11"/>
        <color rgb="FF000000"/>
        <rFont val="Poppins"/>
        <charset val="238"/>
      </rPr>
      <t>20a, *5</t>
    </r>
  </si>
  <si>
    <r>
      <t>40-es ételintolerancia</t>
    </r>
    <r>
      <rPr>
        <vertAlign val="superscript"/>
        <sz val="11"/>
        <color rgb="FF000000"/>
        <rFont val="Poppins"/>
        <charset val="238"/>
      </rPr>
      <t>15d</t>
    </r>
  </si>
  <si>
    <r>
      <t>5 STD (Trichomonas, Chlamydia, Neisseria, Mycoplasma, Ureaplasma) PCR Genitális mintából</t>
    </r>
    <r>
      <rPr>
        <b/>
        <vertAlign val="superscript"/>
        <sz val="11"/>
        <color rgb="FF000000"/>
        <rFont val="Poppins"/>
        <charset val="238"/>
      </rPr>
      <t>20b</t>
    </r>
  </si>
  <si>
    <r>
      <t>5 STD (Trichomonas, Chlamydia, Neisseria, Mycoplasma, Ureaplasma) PCR Vizeletből</t>
    </r>
    <r>
      <rPr>
        <b/>
        <vertAlign val="superscript"/>
        <sz val="11"/>
        <color rgb="FF000000"/>
        <rFont val="Poppins"/>
        <charset val="238"/>
      </rPr>
      <t>20b, *5</t>
    </r>
  </si>
  <si>
    <t>új</t>
  </si>
  <si>
    <t>ALEX allergiateszt</t>
  </si>
  <si>
    <t xml:space="preserve">APOB (familliáris hiperkoleszterémia) </t>
  </si>
  <si>
    <t>APOE_ALZHEIMER_</t>
  </si>
  <si>
    <r>
      <t>Ásványi anyag profil</t>
    </r>
    <r>
      <rPr>
        <b/>
        <vertAlign val="superscript"/>
        <sz val="11"/>
        <color rgb="FF000000"/>
        <rFont val="Poppins"/>
        <charset val="238"/>
      </rPr>
      <t>18</t>
    </r>
  </si>
  <si>
    <r>
      <t>Bazofil granulocita aktivációs teszt (BAT) 1 allergénre</t>
    </r>
    <r>
      <rPr>
        <b/>
        <vertAlign val="superscript"/>
        <sz val="11"/>
        <color rgb="FF000000"/>
        <rFont val="Poppins"/>
        <charset val="238"/>
      </rPr>
      <t>*7</t>
    </r>
  </si>
  <si>
    <t>BORCS</t>
  </si>
  <si>
    <t>Borrelia Western blot (Borrelia antitest pozitivitás estén kérhető)</t>
  </si>
  <si>
    <t>dr</t>
  </si>
  <si>
    <r>
      <t>Celluláris immunstatus és NK lymphocyta funkció</t>
    </r>
    <r>
      <rPr>
        <b/>
        <vertAlign val="superscript"/>
        <sz val="11"/>
        <color rgb="FF000000"/>
        <rFont val="Poppins"/>
        <charset val="238"/>
      </rPr>
      <t>25, *6</t>
    </r>
  </si>
  <si>
    <r>
      <t>Celluláris immunstatus</t>
    </r>
    <r>
      <rPr>
        <b/>
        <vertAlign val="superscript"/>
        <sz val="11"/>
        <color rgb="FF000000"/>
        <rFont val="Poppins"/>
        <charset val="238"/>
      </rPr>
      <t>24, *6</t>
    </r>
  </si>
  <si>
    <r>
      <t>Chlamydia trachomatis (vizelet) PCR vizsgálat</t>
    </r>
    <r>
      <rPr>
        <b/>
        <vertAlign val="superscript"/>
        <sz val="11"/>
        <color rgb="FF366092"/>
        <rFont val="Poppins"/>
        <charset val="238"/>
      </rPr>
      <t>*5</t>
    </r>
  </si>
  <si>
    <r>
      <t>Citogenetika, kariotipizálás</t>
    </r>
    <r>
      <rPr>
        <b/>
        <vertAlign val="superscript"/>
        <sz val="11"/>
        <color rgb="FF366092"/>
        <rFont val="Poppins"/>
        <charset val="238"/>
      </rPr>
      <t>*6</t>
    </r>
  </si>
  <si>
    <t>ENAS2</t>
  </si>
  <si>
    <t>ENA screen</t>
  </si>
  <si>
    <r>
      <t xml:space="preserve">Ételintolerancia 108 tápanyagra, 127 összetevőre </t>
    </r>
    <r>
      <rPr>
        <b/>
        <vertAlign val="superscript"/>
        <sz val="11"/>
        <color rgb="FF366092"/>
        <rFont val="Poppins"/>
        <charset val="238"/>
      </rPr>
      <t>15b</t>
    </r>
  </si>
  <si>
    <t>FVIII</t>
  </si>
  <si>
    <t>Faktor VIII </t>
  </si>
  <si>
    <t>o</t>
  </si>
  <si>
    <r>
      <t>Humán Papilloma Vírus (HPV) PCR 15 szerotípusra (genitális mintából)</t>
    </r>
    <r>
      <rPr>
        <b/>
        <vertAlign val="superscript"/>
        <sz val="11"/>
        <color rgb="FF366092"/>
        <rFont val="Poppins"/>
        <charset val="238"/>
      </rPr>
      <t>21c</t>
    </r>
  </si>
  <si>
    <r>
      <t>Humán Papilloma Vírus (HPV) PCR 21 szerotípusra (genitális mintából)</t>
    </r>
    <r>
      <rPr>
        <b/>
        <vertAlign val="superscript"/>
        <sz val="11"/>
        <color rgb="FF366092"/>
        <rFont val="Poppins"/>
        <charset val="238"/>
      </rPr>
      <t>21d</t>
    </r>
  </si>
  <si>
    <r>
      <t>Humán papilloma vírus PCR (29 típus)</t>
    </r>
    <r>
      <rPr>
        <b/>
        <vertAlign val="superscript"/>
        <sz val="11"/>
        <color rgb="FF366092"/>
        <rFont val="Poppins"/>
        <charset val="238"/>
      </rPr>
      <t>21a</t>
    </r>
  </si>
  <si>
    <r>
      <t>Hüvelyi mikrobiom</t>
    </r>
    <r>
      <rPr>
        <b/>
        <vertAlign val="superscript"/>
        <sz val="11"/>
        <color rgb="FF366092"/>
        <rFont val="Poppins"/>
        <charset val="238"/>
      </rPr>
      <t>*3</t>
    </r>
  </si>
  <si>
    <r>
      <t>Inhalatív allergiapanel 20 allergénnel</t>
    </r>
    <r>
      <rPr>
        <b/>
        <vertAlign val="superscript"/>
        <sz val="11"/>
        <color rgb="FF366092"/>
        <rFont val="Poppins"/>
        <charset val="238"/>
      </rPr>
      <t>1</t>
    </r>
  </si>
  <si>
    <r>
      <t>Komplex légúti bakteriális kórokozó kimutatás PCR</t>
    </r>
    <r>
      <rPr>
        <b/>
        <vertAlign val="superscript"/>
        <sz val="11"/>
        <color rgb="FF6A6D73"/>
        <rFont val="Dosis-Book"/>
        <charset val="238"/>
      </rPr>
      <t>30</t>
    </r>
  </si>
  <si>
    <r>
      <t>Komplex légúti vírus panel PCR</t>
    </r>
    <r>
      <rPr>
        <vertAlign val="superscript"/>
        <sz val="11"/>
        <color rgb="FF000000"/>
        <rFont val="Poppins"/>
        <charset val="238"/>
      </rPr>
      <t>29</t>
    </r>
  </si>
  <si>
    <r>
      <t>Limfocita transzformációs teszt (LTT) 1 allergénre</t>
    </r>
    <r>
      <rPr>
        <b/>
        <vertAlign val="superscript"/>
        <sz val="11"/>
        <color rgb="FF000000"/>
        <rFont val="Poppins"/>
        <charset val="238"/>
      </rPr>
      <t>*8</t>
    </r>
  </si>
  <si>
    <r>
      <t>LTT fémekre</t>
    </r>
    <r>
      <rPr>
        <b/>
        <vertAlign val="superscript"/>
        <sz val="11"/>
        <color rgb="FF000000"/>
        <rFont val="Poppins"/>
        <charset val="238"/>
      </rPr>
      <t>17, *3</t>
    </r>
  </si>
  <si>
    <r>
      <t>LTT fogászati kerámiára, cementre és fémekre</t>
    </r>
    <r>
      <rPr>
        <b/>
        <vertAlign val="superscript"/>
        <sz val="11"/>
        <color rgb="FF000000"/>
        <rFont val="Poppins"/>
        <charset val="238"/>
      </rPr>
      <t>16a</t>
    </r>
  </si>
  <si>
    <r>
      <t>LTT fogászati kombinált vizsgálat</t>
    </r>
    <r>
      <rPr>
        <b/>
        <vertAlign val="superscript"/>
        <sz val="11"/>
        <color rgb="FF366092"/>
        <rFont val="Poppins"/>
        <charset val="238"/>
      </rPr>
      <t>16b</t>
    </r>
  </si>
  <si>
    <r>
      <t>LTT titánötvözetekre (titán, vanádium, alumínium, nikkel)</t>
    </r>
    <r>
      <rPr>
        <b/>
        <vertAlign val="superscript"/>
        <sz val="11"/>
        <color rgb="FF000000"/>
        <rFont val="Poppins"/>
        <charset val="238"/>
      </rPr>
      <t xml:space="preserve"> *3</t>
    </r>
  </si>
  <si>
    <r>
      <t>Merkaptánok és tioéterek okozta túlérzékenység</t>
    </r>
    <r>
      <rPr>
        <b/>
        <vertAlign val="superscript"/>
        <sz val="11"/>
        <color rgb="FF366092"/>
        <rFont val="Poppins"/>
        <charset val="238"/>
      </rPr>
      <t>*3</t>
    </r>
  </si>
  <si>
    <r>
      <t>Metanephrin</t>
    </r>
    <r>
      <rPr>
        <b/>
        <vertAlign val="superscript"/>
        <sz val="11"/>
        <color rgb="FF366092"/>
        <rFont val="Poppins"/>
        <charset val="238"/>
      </rPr>
      <t>22</t>
    </r>
  </si>
  <si>
    <r>
      <t>Molekuláris búzaallergia</t>
    </r>
    <r>
      <rPr>
        <b/>
        <vertAlign val="superscript"/>
        <sz val="11"/>
        <color rgb="FF000000"/>
        <rFont val="Poppins"/>
        <charset val="238"/>
      </rPr>
      <t>4</t>
    </r>
  </si>
  <si>
    <r>
      <t>Molekuláris dióallergia</t>
    </r>
    <r>
      <rPr>
        <b/>
        <vertAlign val="superscript"/>
        <sz val="11"/>
        <color rgb="FF000000"/>
        <rFont val="Poppins"/>
        <charset val="238"/>
      </rPr>
      <t>5</t>
    </r>
  </si>
  <si>
    <r>
      <t>Molekuláris földimogyoró-allergia</t>
    </r>
    <r>
      <rPr>
        <b/>
        <vertAlign val="superscript"/>
        <sz val="11"/>
        <color rgb="FF000000"/>
        <rFont val="Poppins"/>
        <charset val="238"/>
      </rPr>
      <t>13</t>
    </r>
  </si>
  <si>
    <r>
      <t>Molekuláris gyümölcsallergia</t>
    </r>
    <r>
      <rPr>
        <b/>
        <vertAlign val="superscript"/>
        <sz val="11"/>
        <color rgb="FF000000"/>
        <rFont val="Poppins"/>
        <charset val="238"/>
      </rPr>
      <t>9</t>
    </r>
  </si>
  <si>
    <r>
      <t>Molekuláris kesudióallergia</t>
    </r>
    <r>
      <rPr>
        <b/>
        <vertAlign val="superscript"/>
        <sz val="11"/>
        <color rgb="FF000000"/>
        <rFont val="Poppins"/>
        <charset val="238"/>
      </rPr>
      <t>6</t>
    </r>
  </si>
  <si>
    <r>
      <t>Molekuláris macska hám/szőr allergia</t>
    </r>
    <r>
      <rPr>
        <b/>
        <vertAlign val="superscript"/>
        <sz val="11"/>
        <color rgb="FF000000"/>
        <rFont val="Poppins"/>
        <charset val="238"/>
      </rPr>
      <t>11</t>
    </r>
  </si>
  <si>
    <r>
      <t>Molekuláris mogyoróallergia</t>
    </r>
    <r>
      <rPr>
        <b/>
        <vertAlign val="superscript"/>
        <sz val="11"/>
        <color rgb="FF000000"/>
        <rFont val="Poppins"/>
        <charset val="238"/>
      </rPr>
      <t>7</t>
    </r>
  </si>
  <si>
    <t>MOLNYIR</t>
  </si>
  <si>
    <r>
      <t>Molekuláris Nyírfa allergia</t>
    </r>
    <r>
      <rPr>
        <vertAlign val="superscript"/>
        <sz val="11"/>
        <color rgb="FF000000"/>
        <rFont val="Poppins"/>
        <charset val="238"/>
      </rPr>
      <t>32</t>
    </r>
  </si>
  <si>
    <r>
      <t>Molekuláris rákallergia</t>
    </r>
    <r>
      <rPr>
        <b/>
        <vertAlign val="superscript"/>
        <sz val="11"/>
        <color rgb="FF000000"/>
        <rFont val="Poppins"/>
        <charset val="238"/>
      </rPr>
      <t>8</t>
    </r>
  </si>
  <si>
    <r>
      <t>Molekuláris szójaallergia</t>
    </r>
    <r>
      <rPr>
        <b/>
        <vertAlign val="superscript"/>
        <sz val="11"/>
        <color rgb="FF000000"/>
        <rFont val="Poppins"/>
        <charset val="238"/>
      </rPr>
      <t>10</t>
    </r>
  </si>
  <si>
    <r>
      <t>Molekuláris tojásallergia</t>
    </r>
    <r>
      <rPr>
        <b/>
        <vertAlign val="superscript"/>
        <sz val="11"/>
        <color rgb="FF000000"/>
        <rFont val="Poppins"/>
        <charset val="238"/>
      </rPr>
      <t>12</t>
    </r>
  </si>
  <si>
    <t>MUTENY</t>
  </si>
  <si>
    <t>Mycoplasma hominis és Ureaplasma tenyésztés</t>
  </si>
  <si>
    <r>
      <t>Neisseria gonorrhoea (vizelet) PCR vizsgálat</t>
    </r>
    <r>
      <rPr>
        <b/>
        <vertAlign val="superscript"/>
        <sz val="11"/>
        <color rgb="FF000000"/>
        <rFont val="Poppins"/>
        <charset val="238"/>
      </rPr>
      <t>*5</t>
    </r>
  </si>
  <si>
    <r>
      <t>NIFTY (NIPD anyai vérből)</t>
    </r>
    <r>
      <rPr>
        <b/>
        <vertAlign val="superscript"/>
        <sz val="11"/>
        <color rgb="FF000000"/>
        <rFont val="Poppins"/>
        <charset val="238"/>
      </rPr>
      <t>*3</t>
    </r>
  </si>
  <si>
    <r>
      <t>NK lymphocyta funkció</t>
    </r>
    <r>
      <rPr>
        <b/>
        <vertAlign val="superscript"/>
        <sz val="11"/>
        <color rgb="FF000000"/>
        <rFont val="Poppins"/>
        <charset val="238"/>
      </rPr>
      <t>*6</t>
    </r>
  </si>
  <si>
    <r>
      <t>Nutritív allergiapanel 20 allergénnel</t>
    </r>
    <r>
      <rPr>
        <b/>
        <vertAlign val="superscript"/>
        <sz val="11"/>
        <color rgb="FF366092"/>
        <rFont val="Poppins"/>
        <charset val="238"/>
      </rPr>
      <t>2</t>
    </r>
  </si>
  <si>
    <r>
      <t>Onkoneuronális antitest profil (Hu, Yo, Ri, CV2, Amphiphysin, Ma2/Ta)</t>
    </r>
    <r>
      <rPr>
        <b/>
        <vertAlign val="superscript"/>
        <sz val="11"/>
        <color rgb="FF366092"/>
        <rFont val="Poppins"/>
        <charset val="238"/>
      </rPr>
      <t>23</t>
    </r>
  </si>
  <si>
    <r>
      <t>Orális HPV PCR vizsgálat</t>
    </r>
    <r>
      <rPr>
        <b/>
        <vertAlign val="superscript"/>
        <sz val="11"/>
        <color rgb="FF366092"/>
        <rFont val="Poppins"/>
        <charset val="238"/>
      </rPr>
      <t>21b</t>
    </r>
  </si>
  <si>
    <t>PARVOGM</t>
  </si>
  <si>
    <t>Parvovírus B19 IgM</t>
  </si>
  <si>
    <r>
      <t>Periodontitishez kötődő mikrobák DNS analízise, szájüregi mikrobiom</t>
    </r>
    <r>
      <rPr>
        <b/>
        <vertAlign val="superscript"/>
        <sz val="11"/>
        <color rgb="FF000000"/>
        <rFont val="Poppins"/>
        <charset val="238"/>
      </rPr>
      <t>*3</t>
    </r>
  </si>
  <si>
    <r>
      <t>Rantes teszt</t>
    </r>
    <r>
      <rPr>
        <b/>
        <vertAlign val="superscript"/>
        <sz val="11"/>
        <color rgb="FF000000"/>
        <rFont val="Poppins"/>
        <charset val="238"/>
      </rPr>
      <t>*3</t>
    </r>
  </si>
  <si>
    <r>
      <t>STD 4 panel (Chlamydia, Neisseria, Mycoplasma, Ureoplasma)</t>
    </r>
    <r>
      <rPr>
        <b/>
        <vertAlign val="superscript"/>
        <sz val="11"/>
        <color rgb="FF366092"/>
        <rFont val="Poppins"/>
        <charset val="238"/>
      </rPr>
      <t>20d</t>
    </r>
  </si>
  <si>
    <r>
      <t>Széklet féregpete kimutatás</t>
    </r>
    <r>
      <rPr>
        <b/>
        <vertAlign val="superscript"/>
        <sz val="11"/>
        <color rgb="FF000000"/>
        <rFont val="Poppins"/>
        <charset val="238"/>
      </rPr>
      <t>*9</t>
    </r>
  </si>
  <si>
    <r>
      <t>Széklet mikrobiom</t>
    </r>
    <r>
      <rPr>
        <b/>
        <vertAlign val="superscript"/>
        <sz val="11"/>
        <color rgb="FF366092"/>
        <rFont val="Poppins"/>
        <charset val="238"/>
      </rPr>
      <t>*3</t>
    </r>
  </si>
  <si>
    <t>Táplálékintolerancia vizsgálatok (220+ tápanyag) – Ingyenes írásos dietetikai tanácsadás</t>
  </si>
  <si>
    <r>
      <t>TBC/Quantiferon-TB Gold</t>
    </r>
    <r>
      <rPr>
        <b/>
        <vertAlign val="superscript"/>
        <sz val="11"/>
        <color rgb="FF366092"/>
        <rFont val="Poppins"/>
        <charset val="238"/>
      </rPr>
      <t>*6</t>
    </r>
  </si>
  <si>
    <r>
      <t>Tejallergia molekuláris teszt</t>
    </r>
    <r>
      <rPr>
        <b/>
        <vertAlign val="superscript"/>
        <sz val="11"/>
        <color rgb="FF366092"/>
        <rFont val="Poppins"/>
        <charset val="238"/>
      </rPr>
      <t>14</t>
    </r>
  </si>
  <si>
    <r>
      <t>TH1-TH2 citokin dominancia</t>
    </r>
    <r>
      <rPr>
        <b/>
        <vertAlign val="superscript"/>
        <sz val="11"/>
        <color rgb="FF000000"/>
        <rFont val="Poppins"/>
        <charset val="238"/>
      </rPr>
      <t>26, *6</t>
    </r>
  </si>
  <si>
    <r>
      <t>Titánérzékenység vizsgálata</t>
    </r>
    <r>
      <rPr>
        <b/>
        <vertAlign val="superscript"/>
        <sz val="11"/>
        <color rgb="FF000000"/>
        <rFont val="Poppins"/>
        <charset val="238"/>
      </rPr>
      <t>*3</t>
    </r>
  </si>
  <si>
    <t>TORCHA</t>
  </si>
  <si>
    <r>
      <t>TORCH Alap panel</t>
    </r>
    <r>
      <rPr>
        <vertAlign val="superscript"/>
        <sz val="11"/>
        <color rgb="FF000000"/>
        <rFont val="Poppins"/>
        <charset val="238"/>
      </rPr>
      <t>31</t>
    </r>
  </si>
  <si>
    <r>
      <t>Torch Plus Panel</t>
    </r>
    <r>
      <rPr>
        <vertAlign val="superscript"/>
        <sz val="11"/>
        <color rgb="FF000000"/>
        <rFont val="Poppins"/>
        <charset val="238"/>
      </rPr>
      <t>28</t>
    </r>
  </si>
  <si>
    <r>
      <t>Toxikus fémek (vér)</t>
    </r>
    <r>
      <rPr>
        <b/>
        <vertAlign val="superscript"/>
        <sz val="11"/>
        <color rgb="FF000000"/>
        <rFont val="Poppins"/>
        <charset val="238"/>
      </rPr>
      <t>19</t>
    </r>
  </si>
  <si>
    <r>
      <t>Vizelet drogteszt 12 paraméterre</t>
    </r>
    <r>
      <rPr>
        <vertAlign val="superscript"/>
        <sz val="11"/>
        <color rgb="FF000000"/>
        <rFont val="Poppins"/>
        <charset val="238"/>
      </rPr>
      <t>33</t>
    </r>
  </si>
  <si>
    <r>
      <t>Vizelet toxikus fémek panel</t>
    </r>
    <r>
      <rPr>
        <b/>
        <vertAlign val="superscript"/>
        <sz val="11"/>
        <color rgb="FF000000"/>
        <rFont val="Poppins"/>
        <charset val="238"/>
      </rPr>
      <t>27</t>
    </r>
  </si>
  <si>
    <t>VVTFAP</t>
  </si>
  <si>
    <t>Vörösvértest membrán zsírsav/lipid profil</t>
  </si>
  <si>
    <t>V*=V1</t>
  </si>
  <si>
    <t>V**=V2</t>
  </si>
  <si>
    <r>
      <t>TORCH Alap panel</t>
    </r>
    <r>
      <rPr>
        <vertAlign val="superscript"/>
        <sz val="11"/>
        <rFont val="Poppins"/>
        <charset val="238"/>
      </rPr>
      <t>31</t>
    </r>
  </si>
  <si>
    <t>A mintavétel csak hétfőnként 7:00-8:30 között lehet. Ha a hétfő ünnepnap, akkor egyeztetni szükséges az MDK laborral. A mintát géles csőbe kell levenni, fénytől védve (lehetőleg alufóliába csomagolva) 30 perc állást követően centrifugálni szükséges, majd a felülúszót (szérumot) egy új csőbe átmérve azonnal fagyasztani (-20°C) kell (fénytől továbbra is védve) a mintát. Az MDK laborba a mintának hétfőn, fagyasztott állapotban kell kerülnie. Célszerű a C-vitamin vizsgálatot mindig önálló kérésben feladni.</t>
  </si>
  <si>
    <t>GF</t>
  </si>
  <si>
    <t>Ezeket csak fogorvos végzi?</t>
  </si>
  <si>
    <t>w</t>
  </si>
  <si>
    <t>APOB     Familiáris hiperkoleszterémia R3500Q PCR</t>
  </si>
  <si>
    <t>Medicare-től kapott transzportfolyadékba kell belemosni mindkét mintát</t>
  </si>
  <si>
    <t>Mintavétel után centrifugálni 1000-2000 g-n 15 percig, a plazma felső 2/3-át szekunder csőbe leszívva, a plazmát újracentrifugálni 1000-2000 g-n 15 percig, majd ennek a felső 2/3-át tercier csőbe átszívni. Fagyasztani szükséges. Fagyasztva szállítandó. (Szekunder/tercier cső a labortól igényelhető). Antikoaguláns szedése mellett a vizsgálat nem végezhető el (kivétel K vitamin antagonisták).</t>
  </si>
  <si>
    <t>sósavval? Mi a preanalitika?</t>
  </si>
  <si>
    <t>A vizsgálathoz önálló EDTA cső beküldése szükséges</t>
  </si>
  <si>
    <t>E-O</t>
  </si>
  <si>
    <t>3 ml  EDTA-s önálló cső</t>
  </si>
  <si>
    <t>Ezeknek a vizsgálatoknak nem találtam meg a preanalitikáját:</t>
  </si>
  <si>
    <t>Citrát plazma - önálló cső</t>
  </si>
  <si>
    <t>Citrát plazma - önálló  cső</t>
  </si>
  <si>
    <t>Ez HEPARINOS CSŐ, ugye? Valahonnan olyan infóm is van , hogy EDTA-s:</t>
  </si>
  <si>
    <t>3 ml EDTA teljes vér - önálló cső</t>
  </si>
  <si>
    <t>Ez azt jelenti, hogy ha valaki pl APOE-t is kér és LEIDEN-t is, akkor ezeket is külön-külön EDTA csőbe kell levenni, vagy csak pl a vérképe EDTA-hoz képest legyenek külön a humángenetikai tételek?</t>
  </si>
  <si>
    <t>Ezeknek a vizsgálatoknak nincs Medicare kódja:  kérek szépen, mert a MEDICARE- kérőlapon így nem jelennek meg!</t>
  </si>
  <si>
    <t xml:space="preserve">az EMEDWORKSben ezt találtam: </t>
  </si>
  <si>
    <t>SMAHOR</t>
  </si>
  <si>
    <t>CFTR</t>
  </si>
  <si>
    <t>XYANEU</t>
  </si>
  <si>
    <t>?????</t>
  </si>
  <si>
    <t>2 darabos EDTA-s cső</t>
  </si>
  <si>
    <t>ide vagy ez kell: =DARABHA(S478;"&lt;&gt;0") vagy  =s478</t>
  </si>
  <si>
    <t>Ez azt jelenti hogy EDTA-s csőbe is kell vért venni és szájnyálka hártya törlet vagy a kettő közül az egyiket kell választani?</t>
  </si>
  <si>
    <t>darab EDTA-s cső vagy szájnyálkahártya törlet</t>
  </si>
  <si>
    <t>Önálló EDTA-s cső</t>
  </si>
  <si>
    <t>darab önálló EDTA-s cső</t>
  </si>
  <si>
    <t>ide vagy ez kell =DARABHA(S482;"&lt;&gt;0") vagy  =S482</t>
  </si>
  <si>
    <t>darab géles szérum + EDTA-s cső</t>
  </si>
  <si>
    <t>A HEPARINOS vizsgálatok mehetnek egy csőbe vagy azok is mind önállóak?</t>
  </si>
  <si>
    <t>HM</t>
  </si>
  <si>
    <t>darab hüvelyi mikrobiom</t>
  </si>
  <si>
    <t xml:space="preserve"> darab speciális mintavevő: NIFTY</t>
  </si>
  <si>
    <t>SFT vizsgálatok összevonhatóak vagy azok is vizsgálatonként külön mintavevő eszközök?</t>
  </si>
  <si>
    <t>SZS_z</t>
  </si>
  <si>
    <t>SZS_b</t>
  </si>
  <si>
    <t>SZS_k</t>
  </si>
  <si>
    <t>SZS_m</t>
  </si>
  <si>
    <t>SZS_2pm</t>
  </si>
  <si>
    <t>SZS_mik</t>
  </si>
  <si>
    <t>zöld kupakos pylori széklet mintavevő</t>
  </si>
  <si>
    <t>barna speciális széklet mintavevő - pancreas</t>
  </si>
  <si>
    <t>kék széklet calprotectin mintavevő</t>
  </si>
  <si>
    <t>mentazöld széklet humánvér mintavevő</t>
  </si>
  <si>
    <t>piros és mentazöld széklet mintavevő</t>
  </si>
  <si>
    <t>székletmikrobiom mintavevő</t>
  </si>
  <si>
    <t>hüvelyi mikrobiom</t>
  </si>
  <si>
    <t>darab barna speciális széklet mintavevő - pancreas</t>
  </si>
  <si>
    <t>darab kék széklet calprotectin mintavevő</t>
  </si>
  <si>
    <t>darab mentazöld széklet humánvér mintavevő</t>
  </si>
  <si>
    <t>darab piros és mentazöld széklet mintavevő</t>
  </si>
  <si>
    <t>darab székletmikrobiom mintavevő</t>
  </si>
  <si>
    <t>darab zöld kupakos pylori széklet mintavevő</t>
  </si>
  <si>
    <t>darab speciális széklet mintavevő: zonulin</t>
  </si>
  <si>
    <t>Kalcitonin (Pajzsmirigy tumormarker; hormon) Calcitonin</t>
  </si>
  <si>
    <t>Procalcitonin - Prokalcitonin</t>
  </si>
  <si>
    <t>darab géles szérum cső szekunder csőbe fagyasztásra</t>
  </si>
  <si>
    <t>géles szérumcső szenkudnercsőbe fagyasztásra</t>
  </si>
  <si>
    <t>3 pontos 75 g-os vércukor terhelés (0’-60’-120’) OGTT</t>
  </si>
  <si>
    <t xml:space="preserve"> 1 - 12</t>
  </si>
  <si>
    <t xml:space="preserve"> 1 - 2</t>
  </si>
  <si>
    <t xml:space="preserve"> 1 - 15</t>
  </si>
  <si>
    <t>csomag 39.900 Ft W ár</t>
  </si>
  <si>
    <t>W csomag árak</t>
  </si>
  <si>
    <t>csomag 31.500 Ft W ár</t>
  </si>
  <si>
    <t>csomag 13.990 FT W ár</t>
  </si>
  <si>
    <t>csomag 21. 990 Ft W ár</t>
  </si>
  <si>
    <t>csomag 59.990 Ft W ár</t>
  </si>
  <si>
    <t>csomag 12.990 Ft W ár</t>
  </si>
  <si>
    <t>csomag 37.990 Ft W ár</t>
  </si>
  <si>
    <t>csomag 27.900 Ft W ár</t>
  </si>
  <si>
    <t>csomag 42.200 Ft W ár</t>
  </si>
  <si>
    <t>csomag 99.900 Ft W ár</t>
  </si>
  <si>
    <t>csomag 30.000 Ft W ár</t>
  </si>
  <si>
    <t>csomag 40.000 Ft W ár</t>
  </si>
  <si>
    <t>csomag 100.000 Ft W ár</t>
  </si>
  <si>
    <t>Pár megfeleltetésben nem vagyok biztos a WHITELAB-hoz képest:</t>
  </si>
  <si>
    <t>WhiteLab</t>
  </si>
  <si>
    <t>Biológiailag aktív tesztoszteron</t>
  </si>
  <si>
    <t>Medicare</t>
  </si>
  <si>
    <t>Hol találok információt az étel allergia, intolerancia és egyéb allergiákról, hogy mit tartalmaznak?</t>
  </si>
  <si>
    <t>csomag 10.300 Ft W ár</t>
  </si>
  <si>
    <t>csomag 14.700 Ft W ár</t>
  </si>
  <si>
    <t>2 pontos 75 g-os vércukor terhelés (0’-120’) OGTT</t>
  </si>
  <si>
    <t>csomag 25.000 Ft W ár</t>
  </si>
  <si>
    <t>Kedvezményes csomag ár</t>
  </si>
  <si>
    <t>Ny</t>
  </si>
  <si>
    <t>2G</t>
  </si>
  <si>
    <t>3G</t>
  </si>
  <si>
    <t>5G</t>
  </si>
  <si>
    <t>0' , 30' , 60' , 90' és 120' perces géles szérum cső (5db)</t>
  </si>
  <si>
    <t>0' , 60' és 120' perces géles szérum cső (3db)</t>
  </si>
  <si>
    <t>0' és 120' perces géles szérum cső (2db)</t>
  </si>
  <si>
    <t>2 darabos 0' és 120' perces terheléses géles szérum cső</t>
  </si>
  <si>
    <t>3 darabos 0' , 60' és 120' perces terheléses géles szérum cső</t>
  </si>
  <si>
    <t>5 darabos 0', 30',  60', 90'  és 120' perces terheléses géles szérum cső</t>
  </si>
  <si>
    <t>1900.01.01 00:00:00</t>
  </si>
  <si>
    <t>ide ez volt: =DARABHA(S483; "&lt;&gt;0") + HA(ÉS(S483&gt;35; S483&lt;70); 1; HA(S483&gt;=70; 2; 0))</t>
  </si>
  <si>
    <t>V40 további csőtípusok:</t>
  </si>
  <si>
    <t>2 pontos terheléses géles szérum cső</t>
  </si>
  <si>
    <t>3 pontos terheléses géles szérum cső</t>
  </si>
  <si>
    <t>5 pontos terheléses géles szérum cső</t>
  </si>
  <si>
    <t>Géles szérum cső, amiből centrifugálás után szekundercsőben le kell fagyasztani a szérumot</t>
  </si>
  <si>
    <t>SZS_p</t>
  </si>
  <si>
    <t>speciális széklet mintavevő - kék</t>
  </si>
  <si>
    <t>speciális széklet mintavevő - barna</t>
  </si>
  <si>
    <t>speciális széklet mintavevő - piros</t>
  </si>
  <si>
    <t>speciális széklet mintavevő - menta</t>
  </si>
  <si>
    <t>speciális széklet mintavevő - piros és menta</t>
  </si>
  <si>
    <t>speciális széklet mintavevő - mikrobiológiai doboz</t>
  </si>
  <si>
    <t>speciális széklet mintavevő - zöld kupakos</t>
  </si>
  <si>
    <t>Erre az email címre jönnek a leletek:</t>
  </si>
  <si>
    <t xml:space="preserve"> lelet@privatdoktor.hu</t>
  </si>
  <si>
    <t>NINCS VÉRVÉTELI DÍJ       0Ft</t>
  </si>
  <si>
    <t>0 Ft-os vérvételi díjat</t>
  </si>
  <si>
    <t>GA</t>
  </si>
  <si>
    <t>allergia vagy intolerancia teszt géles cső</t>
  </si>
  <si>
    <t>darab géles cső allergia-intolerancia vizsgálathoz</t>
  </si>
  <si>
    <t>allergia, intolerancia viszgálathoz önálló éles szérum cső</t>
  </si>
  <si>
    <t>1969.01.16</t>
  </si>
  <si>
    <t>Boros Éva</t>
  </si>
  <si>
    <t>20/944-4177</t>
  </si>
  <si>
    <t>2022.11.10 13:35:00</t>
  </si>
  <si>
    <t>2025.05.29 14:56:00</t>
  </si>
  <si>
    <t>1975.12.06</t>
  </si>
  <si>
    <t>Szatmári Ilona</t>
  </si>
  <si>
    <t>20/412-0280</t>
  </si>
  <si>
    <t>Dukát u. 1.</t>
  </si>
  <si>
    <t>2022.11.11 06:06:00</t>
  </si>
  <si>
    <t>2023.03.20 07:04:00</t>
  </si>
  <si>
    <t>1970.11.27</t>
  </si>
  <si>
    <t>Horváth Edit</t>
  </si>
  <si>
    <t>20/944-4178</t>
  </si>
  <si>
    <t>2023.03.07 21:30:00</t>
  </si>
  <si>
    <t>2024.04.18 07:51:00</t>
  </si>
  <si>
    <t>1997.04.09</t>
  </si>
  <si>
    <t>Tima Ágnes</t>
  </si>
  <si>
    <t>20/367-7123</t>
  </si>
  <si>
    <t>Visegrádi utca 59 1/15</t>
  </si>
  <si>
    <t>2023.03.08 07:56:00</t>
  </si>
  <si>
    <t>2024.03.04 07:43:00</t>
  </si>
  <si>
    <t>1976.07.25</t>
  </si>
  <si>
    <t>Tóth Edit</t>
  </si>
  <si>
    <t>Radnóti Miklós utca 14/a 4/34</t>
  </si>
  <si>
    <t>2023.03.10 07:24:00</t>
  </si>
  <si>
    <t>2024.03.21 07:33:00</t>
  </si>
  <si>
    <t>mdklabor@medicare-group.hu</t>
  </si>
  <si>
    <t>labortamogatas@medicare-group.hu</t>
  </si>
  <si>
    <t>laboreszkozok@medicare-group.hu</t>
  </si>
  <si>
    <t>mintaszallitas@medicare-group.hu</t>
  </si>
  <si>
    <t>MEDICARE kód</t>
  </si>
  <si>
    <t/>
  </si>
  <si>
    <t>Testsúlycsökkentő program laborvizsgálati csomag</t>
  </si>
  <si>
    <t xml:space="preserve"> 1 - 17</t>
  </si>
  <si>
    <t>Creatin-kináz (CK)</t>
  </si>
  <si>
    <t>Szív- és érrendszer PLUS laborcsomag</t>
  </si>
  <si>
    <t>Influenza vírus és korona vírus komplex PCR vizsgálata (COVID)</t>
  </si>
  <si>
    <t>SARS-CoV-2 RT PCR vizsgálat (COVID)</t>
  </si>
  <si>
    <t>SARS-CoV-2 spike RBD  IgG ellenanyag/ SARS CoV2 spike RBD IgG antibody (Beckman MCLIA) (COVID)</t>
  </si>
  <si>
    <t>trombózis panel</t>
  </si>
  <si>
    <t>TORCH alap laborcsomag</t>
  </si>
  <si>
    <t xml:space="preserve"> 3 - 5</t>
  </si>
  <si>
    <t>TORCH bővített laborcsomag</t>
  </si>
  <si>
    <t>Gyulladásos laborcsomag</t>
  </si>
  <si>
    <t>Műtéti laborcsomag érzéstelenítéshez</t>
  </si>
  <si>
    <t>Műtéti laborcsomag altatáshoz</t>
  </si>
  <si>
    <t>BORDPCR</t>
  </si>
  <si>
    <t>CISZ139</t>
  </si>
  <si>
    <t>SMA</t>
  </si>
  <si>
    <t>LAMOTR</t>
  </si>
  <si>
    <t>csomag 26.990 Ft W ár</t>
  </si>
  <si>
    <t>csomag 62.990 Ft W ár</t>
  </si>
  <si>
    <t>csomag 106.990 Ft W ár</t>
  </si>
  <si>
    <t>s</t>
  </si>
  <si>
    <r>
      <t>Citogenetika, kariotipizálás</t>
    </r>
    <r>
      <rPr>
        <b/>
        <vertAlign val="superscript"/>
        <sz val="11"/>
        <color theme="0"/>
        <rFont val="Poppins"/>
        <charset val="238"/>
      </rPr>
      <t>*6</t>
    </r>
  </si>
  <si>
    <t>gen</t>
  </si>
  <si>
    <t>Geneteikai beleegyező szükséges</t>
  </si>
  <si>
    <t>agen</t>
  </si>
  <si>
    <t>Fagyasztós mintáról értesítsük:</t>
  </si>
  <si>
    <t>bianka.gazdag@medicare-group.hu</t>
  </si>
  <si>
    <t>Kapcsolat:</t>
  </si>
  <si>
    <t>Gazdag Bianka                   06 20 407 5017</t>
  </si>
  <si>
    <t>Trombózisra való hajlam (trombophylia)</t>
  </si>
  <si>
    <t>protein c</t>
  </si>
  <si>
    <t>protein s</t>
  </si>
  <si>
    <t xml:space="preserve">prothrombin </t>
  </si>
  <si>
    <t>antitrombin III</t>
  </si>
  <si>
    <t>fibrinogén</t>
  </si>
  <si>
    <t>II. faktor prothrombin mutáció</t>
  </si>
  <si>
    <t>lupus anticoagulás</t>
  </si>
  <si>
    <t>anti foszfolipid</t>
  </si>
  <si>
    <t>APC rezisztencia</t>
  </si>
  <si>
    <t>homocysztein</t>
  </si>
  <si>
    <t>Trombózis (vérrög okozta elzáródás)</t>
  </si>
  <si>
    <t>B6VIT</t>
  </si>
  <si>
    <t>B6-vitamin</t>
  </si>
  <si>
    <t>HELFO</t>
  </si>
  <si>
    <t xml:space="preserve">Hemoglobin elektroforézis </t>
  </si>
  <si>
    <t>HVIT</t>
  </si>
  <si>
    <t>H-vitamin (biotin)</t>
  </si>
  <si>
    <t>LEGION</t>
  </si>
  <si>
    <t>Legionella szerológia IgG, IgM antitest</t>
  </si>
  <si>
    <t>SARL</t>
  </si>
  <si>
    <t xml:space="preserve">Hemoglobinopátiák (sarlósejtes- és Thalassemia -szűrés) </t>
  </si>
  <si>
    <t>2E+G</t>
  </si>
  <si>
    <t>Fénytől védendő. Hűtve tárolni (4-10 °C).</t>
  </si>
  <si>
    <t>Éhgyomri vérvétel szükséges. Vérvételt követően 30-60 perc elteltével a mintát centrifugálni 1500-3000 g-n 5-10 percig, hűtve tárolni (4-10 °C). Fagyasztás nem szükséges!!!! Változott a preanalitika.</t>
  </si>
  <si>
    <t>Vérvétel után át kell forgatni. Nem szabad centrifugálni. Szobahőmérsékleten kell tartani. A vizsgálathoz tartozik vérkép + reticulocyta vizsgálat</t>
  </si>
  <si>
    <t>EDTA mintákat szobahőmérsékleten kell tárolni. A géles mintát vérvételt követően 30-60 perc elteltével a mintát centrifugálni 1500-3000 g-n 5-10 percig, hűtve tárolni (4-10 °C).</t>
  </si>
  <si>
    <t>2 db EDTA-s cső  + 1 db géles cső</t>
  </si>
  <si>
    <t>géles cső + 2 darab 3ml-es EDTA-s cső</t>
  </si>
  <si>
    <t>www.medicare-group.hu/adatkezeles</t>
  </si>
  <si>
    <t>data.protection@medicare-group.hu</t>
  </si>
  <si>
    <t>Ujjbegy vércukor</t>
  </si>
  <si>
    <t>Szajkó József</t>
  </si>
  <si>
    <t>1987. 03. 20.</t>
  </si>
  <si>
    <t>Májfunkciós laborcsomag</t>
  </si>
  <si>
    <t>Vesefunkciós laborcsomag</t>
  </si>
  <si>
    <t>Borrelia Western blot (Borrelia antitest pozitivitás esetén kérhető)</t>
  </si>
  <si>
    <t>N40CAPV</t>
  </si>
  <si>
    <r>
      <t>Nutritív allergiapanel 40 allergénre (Phadia, ImmunoCAP) IgE</t>
    </r>
    <r>
      <rPr>
        <b/>
        <vertAlign val="superscript"/>
        <sz val="11"/>
        <color theme="4" tint="-0.249977111117893"/>
        <rFont val="Poppins"/>
        <charset val="238"/>
      </rPr>
      <t>36</t>
    </r>
  </si>
  <si>
    <t>Vérvételt követően 30-60 perc elteltével a mintát centrifugálni 1500-3000 g-n 5-10 percig, hűtve tárolni (4-10 °C)</t>
  </si>
  <si>
    <t>I40CAPV</t>
  </si>
  <si>
    <t>Inhalatív allergiapanel 40 allergénre (Phadia, ImmunoCAP) IgE37</t>
  </si>
  <si>
    <t>3xSZVER</t>
  </si>
  <si>
    <t>3 db Széklet humán vér</t>
  </si>
  <si>
    <t>Y-kromoszóma mikrodeléció PCR vizsgálat (AZF)</t>
  </si>
  <si>
    <t>Mintavétel nem igényel előkészületet, nem szükséges éhgyomori vérvétel, de a vizsgálatot megelőzően genetikai belegyezőre van szükség. A minták szállítása és tárolása: 2 °C és 8 °C közötti hőmérsékleten. Humángenetikai kérés önálló EDTA-s csövet igényel</t>
  </si>
  <si>
    <t>Candida albicans PCR</t>
  </si>
  <si>
    <t>AZFPCR</t>
  </si>
  <si>
    <t>CAPCR2</t>
  </si>
  <si>
    <t>Reggeli elsősugaras vizelet. Lehetőség van 24, valamint 48 órás sürgősségi vizsgálatra, 6000, illetve 10000 Ft felár ellenében.</t>
  </si>
  <si>
    <t>Földimogyoró f13 (Arachis hypogaea) IgE</t>
  </si>
  <si>
    <t>Mogyoró f17 (Corylus avellana) IgE</t>
  </si>
  <si>
    <t>Brazil dió f18 (Bertholletia excelsa) IgE</t>
  </si>
  <si>
    <t>Mandula f20 (Amygdalus communis) IgE</t>
  </si>
  <si>
    <t>Kókusz f36 (Cocos nucifera) IgE</t>
  </si>
  <si>
    <t>Atlanti tőkehal f3 (Gadus morhua) IgE</t>
  </si>
  <si>
    <t>Garnélarák f24 (Pandalidae/Penaeidae) IgE</t>
  </si>
  <si>
    <t>Kék kagyló f37 (Mytilus edulis) IgE</t>
  </si>
  <si>
    <t>Tonhal f40 (Thunnus albacares) IgE</t>
  </si>
  <si>
    <t>Lazac f41 (Salmo salar) IgE</t>
  </si>
  <si>
    <t>Búza f4 (Triticum aestivum) IgE</t>
  </si>
  <si>
    <t>Zab f7 (Avena sativa) IgE</t>
  </si>
  <si>
    <t>Kukorica f8 (Zea mays) IgE</t>
  </si>
  <si>
    <t>Szezámmag f10 (Sesamum indicum) IgE</t>
  </si>
  <si>
    <t>Hajdina f11 (Fagopyrum esculentum) IgE</t>
  </si>
  <si>
    <t>Tojásfehérje f1 (Gallus spp.) IgE</t>
  </si>
  <si>
    <t>Tehéntej f2 (Bos taurus) IgE</t>
  </si>
  <si>
    <t>Szójabab f14 (Glycine max) IgE</t>
  </si>
  <si>
    <t>Paradicsom f25 (Lycopersicon esculatum) IgE</t>
  </si>
  <si>
    <t>Pékélesztő f45 (Saccharomyces cerevisiae) IgE</t>
  </si>
  <si>
    <t>Fokhagyma f47 (Allium sativum) IgE</t>
  </si>
  <si>
    <t>Vöröshagyma f48 (Allium cepa) IgE</t>
  </si>
  <si>
    <t>Zeller f85 (Apium graveolens) IgE</t>
  </si>
  <si>
    <t>Borsó f12 (Pisum sativum) IgE</t>
  </si>
  <si>
    <t>Közönséges bab f15 (Phaseolus vulgaris) IgE</t>
  </si>
  <si>
    <t>Sárgarépa f31 (Daucus carota) IgE</t>
  </si>
  <si>
    <t>Burgonya f35 (Solanum tuberosum) IgE</t>
  </si>
  <si>
    <t>Kiwi f84 (Actinidia deliciosa) IgE</t>
  </si>
  <si>
    <t>Sárgadinnye f87 (Cucumis melo spp.) IgE</t>
  </si>
  <si>
    <t>Banán f92 (Musa spp.) IgE</t>
  </si>
  <si>
    <t>Őszibarack f95 (Prunus persica) IgE</t>
  </si>
  <si>
    <t>Ananász f210 (Ananas comosus) IgE</t>
  </si>
  <si>
    <t>Mustár f89 (Brassica/Sinapis spp.) IgE</t>
  </si>
  <si>
    <t>Alma f49 (Malus domestica) IgE</t>
  </si>
  <si>
    <t>Körte f94 (Pyrus spp.) IgE</t>
  </si>
  <si>
    <t>Cseresznye f242 (Prunus avium) IgE</t>
  </si>
  <si>
    <t>Szilva f255 (Prunus domestica) IgE</t>
  </si>
  <si>
    <t>Fűszerkömény f265 (Carum carvi) IgE</t>
  </si>
  <si>
    <t>Szerecsendió f266 (Myristica fragrans) IgE</t>
  </si>
  <si>
    <t>Szegfűszeg f268 (Syzygium aromaticum) IgE</t>
  </si>
  <si>
    <t>Csillagpázsit g2 (Cynodon dactylon) IgE</t>
  </si>
  <si>
    <t>Angol perje g5 (Lolium perenne) IgE</t>
  </si>
  <si>
    <t>Réti komócsin g6 (Phleum pratense) IgE</t>
  </si>
  <si>
    <t>Réti perje g8 (Poa pratensis) IgE</t>
  </si>
  <si>
    <t>Fehércirok g10 (Sorghum halepense) IgE</t>
  </si>
  <si>
    <t>Bahia fű g17 (Paspalum notatum) IgE</t>
  </si>
  <si>
    <t>Borjúpázsit g1 (Anthoxanthum odoratum) IgE</t>
  </si>
  <si>
    <t>Rozs g12 (Secale cereale) IgE</t>
  </si>
  <si>
    <t>Pelyhes selyemperje g13 (Holcus lanatus) IgE</t>
  </si>
  <si>
    <t>Hamvas éger t2 (Alnus incana) IgE</t>
  </si>
  <si>
    <t>Közönséges nyír t3 (Betula verrucosa) IgE</t>
  </si>
  <si>
    <t>Közönséges mogyoró t4 (Corylus avellana) IgE</t>
  </si>
  <si>
    <t>Fehér tölgy t7 (Quercus alba) IgE</t>
  </si>
  <si>
    <t>Kecskefűz t12 (Salix caprea) IgE</t>
  </si>
  <si>
    <t>Kőrisleveű juhar t1 (Acer negundo) IgE</t>
  </si>
  <si>
    <t>Amerikai bükk t5 (Fagus grandifolia) IgE</t>
  </si>
  <si>
    <t>Kaliforniai dió d10 (Juglans californica) IgE</t>
  </si>
  <si>
    <t>Amerikai szil t8 (Ulmus americana) IgE</t>
  </si>
  <si>
    <t>Közönséges platán t11 (Platanus acerifolia) IgE</t>
  </si>
  <si>
    <t>Folyóparti nyár t14 (Populus deltoides) IgE</t>
  </si>
  <si>
    <t>Ürömlevelű parlagfű w1 (Ambrosia artemisiifolia) IgE</t>
  </si>
  <si>
    <t>Fekete üröm w6 (Artemisia vulgaris) IgE</t>
  </si>
  <si>
    <t>Lándzsás útifű w9 (Plantago lanceolata) IgE</t>
  </si>
  <si>
    <t>Fehér libatop w10 (Chenopodium album) IgE</t>
  </si>
  <si>
    <t>Homoki ballagófű w11 (Salsola kali) IgE</t>
  </si>
  <si>
    <t>Kevert házi por h2 (Hollister-Stier) IgE</t>
  </si>
  <si>
    <t>Háziporatkák (Dermatophagoides pteronyssus d1) IgE</t>
  </si>
  <si>
    <t>Poratkák (Dermatophagoides farinae d2) IgE</t>
  </si>
  <si>
    <t>Német csótány i6 (Blatella germanica) IgE</t>
  </si>
  <si>
    <t>Macska szőr e1 (Felis domesticus) IgE</t>
  </si>
  <si>
    <t>Kutyaszőr e5 (Canis familiaris) IgE</t>
  </si>
  <si>
    <t>Tengerimalac hám e6 (Cavia porcellus) IgE</t>
  </si>
  <si>
    <t>Patkány epithelium e87 (Rattus norvegicus) IgE</t>
  </si>
  <si>
    <t>Egér epithelium e88 (Mus musculus) IgE</t>
  </si>
  <si>
    <t>Tollkeverék ex71 (Libatoll, csirketoll, kacsatoll, pulykatoll) IgE</t>
  </si>
  <si>
    <t>Ecsetpenész m1 (Penicillium chrysogenum) IgE</t>
  </si>
  <si>
    <t>Korompenész m2 (Cladosporium herbarum) IgE</t>
  </si>
  <si>
    <t>Kannapenész m3 (Aspergillus fumigatus) IgE</t>
  </si>
  <si>
    <t>Élesztőgomba m5 (Candida albicans) IgE</t>
  </si>
  <si>
    <t>Penészgomba m6 (Alternaria alternata) IgE</t>
  </si>
  <si>
    <t>VASACS</t>
  </si>
  <si>
    <t>Vas anyagcsere (vas, transzferrin, ferritin, transzferrin szaturáció)</t>
  </si>
  <si>
    <t>Ujjbegyből mért vércukor:            500 Ft</t>
  </si>
  <si>
    <t>KADBEM</t>
  </si>
  <si>
    <t>Vér kadmium mennyiség</t>
  </si>
  <si>
    <t>BEM vizsgálatok</t>
  </si>
  <si>
    <t>Vérvételt követően EDTA mintákat szobahőmérsékleten kell tárolni.</t>
  </si>
  <si>
    <t>KOMBEM</t>
  </si>
  <si>
    <t>Vér kobalt mennyiség</t>
  </si>
  <si>
    <t>KROMBEM</t>
  </si>
  <si>
    <t>Vér króm mennyiség</t>
  </si>
  <si>
    <t>NIKBEM</t>
  </si>
  <si>
    <t>Vér nikkel mennyiség</t>
  </si>
  <si>
    <t>OLOMBEM</t>
  </si>
  <si>
    <t>Vér ólom mennyiség</t>
  </si>
  <si>
    <t>FVLBEM</t>
  </si>
  <si>
    <t>Vizelet flourid mennyiség</t>
  </si>
  <si>
    <t>VMANGBEM</t>
  </si>
  <si>
    <t>Vizelet mangán mennyiség</t>
  </si>
  <si>
    <t>A mintavételi eszköz a laboratóriumból igényelhető ld. a speciális mintavételi tájékoztatót is. A nem előírás szerint vett minta (túltöltés/kevés minta) vizsgálatra nem alkalmas. Ez is a barna pöttyös mintavevőbe</t>
  </si>
  <si>
    <t>1999. 02. 09.</t>
  </si>
  <si>
    <t>vércuk</t>
  </si>
  <si>
    <t>1980. 07. 22.</t>
  </si>
  <si>
    <t>Vadász Jolán</t>
  </si>
  <si>
    <t>1965. 05. 27.</t>
  </si>
  <si>
    <t>Virág u. 10</t>
  </si>
  <si>
    <t>Vargánya u.10.</t>
  </si>
  <si>
    <t>ertzuiz@gmail.com</t>
  </si>
  <si>
    <t>gwwwwi@worktech.hu</t>
  </si>
  <si>
    <t>wwwapi@gmail.com</t>
  </si>
  <si>
    <t>wzwzwzwszterci@gmail.com</t>
  </si>
  <si>
    <t>wzwzwzke@gmail.com</t>
  </si>
  <si>
    <t>Paciens/Nev</t>
  </si>
  <si>
    <t xml:space="preserve"> Teszt Tibor07</t>
  </si>
  <si>
    <t>Teszt Tibor 07</t>
  </si>
  <si>
    <t>Teszt Tibor07</t>
  </si>
  <si>
    <t>Teszt Elek07</t>
  </si>
  <si>
    <t>Tesztike Esztike07</t>
  </si>
  <si>
    <t>Teszt Paciens07</t>
  </si>
  <si>
    <t>Teszt Eset07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</si>
</sst>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7" formatCode="#,##0.00\ &quot;Ft&quot;;\-#,##0.00\ &quot;Ft&quot;"/>
    <numFmt numFmtId="164" formatCode="_(&quot;Ft&quot;* #,##0.00_);_(&quot;Ft&quot;* \(#,##0.00\);_(&quot;Ft&quot;* &quot;-&quot;??_);_(@_)"/>
    <numFmt numFmtId="165" formatCode="_-* #,##0.00\ [$Ft-40E]_-;\-* #,##0.00\ [$Ft-40E]_-;_-* &quot;-&quot;??\ [$Ft-40E]_-;_-@_-"/>
    <numFmt numFmtId="166" formatCode="000\-000\-000"/>
    <numFmt numFmtId="167" formatCode="yyyy/mm/dd;@"/>
    <numFmt numFmtId="168" formatCode="_-* #,##0\ [$Ft-40E]_-;\-* #,##0\ [$Ft-40E]_-;_-* &quot;-&quot;??\ [$Ft-40E]_-;_-@_-"/>
    <numFmt numFmtId="169" formatCode="_-* #,##0\ &quot;Ft&quot;_-;\-* #,##0\ &quot;Ft&quot;_-;_-* &quot;-&quot;??\ &quot;Ft&quot;_-;_-@_-"/>
    <numFmt numFmtId="170" formatCode="#,##0&quot; Ft&quot;;[Red]\-#,##0&quot; Ft&quot;"/>
    <numFmt numFmtId="171" formatCode="#,##0\ &quot;Ft&quot;"/>
    <numFmt numFmtId="172" formatCode="_(&quot;Ft&quot;* #,##0_);_(&quot;Ft&quot;* \(#,##0\);_(&quot;Ft&quot;* &quot;-&quot;??_);_(@_)"/>
  </numFmts>
  <fonts count="227">
    <font>
      <sz val="11"/>
      <color theme="1"/>
      <name val="Arial"/>
    </font>
    <font>
      <sz val="11"/>
      <color theme="1"/>
      <name val="Calibri"/>
      <family val="2"/>
      <charset val="238"/>
      <scheme val="minor"/>
    </font>
    <font>
      <sz val="11"/>
      <color theme="1"/>
      <name val="Calibri"/>
      <family val="2"/>
      <charset val="238"/>
      <scheme val="minor"/>
    </font>
    <font>
      <sz val="11"/>
      <color theme="1"/>
      <name val="Calibri"/>
      <family val="2"/>
      <charset val="238"/>
      <scheme val="minor"/>
    </font>
    <font>
      <sz val="11"/>
      <color theme="1"/>
      <name val="Arial"/>
      <family val="2"/>
      <charset val="238"/>
    </font>
    <font>
      <sz val="11"/>
      <name val="Calibri"/>
      <family val="2"/>
      <charset val="238"/>
    </font>
    <font>
      <sz val="8"/>
      <name val="Arial"/>
      <family val="2"/>
      <charset val="238"/>
    </font>
    <font>
      <sz val="11"/>
      <color theme="1"/>
      <name val="Calibri"/>
      <family val="2"/>
      <scheme val="minor"/>
    </font>
    <font>
      <b/>
      <sz val="11"/>
      <color theme="1"/>
      <name val="Calibri"/>
      <family val="2"/>
      <charset val="238"/>
      <scheme val="minor"/>
    </font>
    <font>
      <sz val="11"/>
      <color theme="1"/>
      <name val="Arial"/>
      <family val="2"/>
      <charset val="238"/>
    </font>
    <font>
      <sz val="18"/>
      <color theme="3"/>
      <name val="Calibri"/>
      <family val="2"/>
      <charset val="238"/>
      <scheme val="maj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006100"/>
      <name val="Calibri"/>
      <family val="2"/>
      <charset val="238"/>
      <scheme val="minor"/>
    </font>
    <font>
      <sz val="11"/>
      <color rgb="FF9C0006"/>
      <name val="Calibri"/>
      <family val="2"/>
      <charset val="238"/>
      <scheme val="minor"/>
    </font>
    <font>
      <sz val="11"/>
      <color rgb="FF9C5700"/>
      <name val="Calibri"/>
      <family val="2"/>
      <charset val="238"/>
      <scheme val="minor"/>
    </font>
    <font>
      <sz val="11"/>
      <color rgb="FF3F3F76"/>
      <name val="Calibri"/>
      <family val="2"/>
      <charset val="238"/>
      <scheme val="minor"/>
    </font>
    <font>
      <b/>
      <sz val="11"/>
      <color rgb="FF3F3F3F"/>
      <name val="Calibri"/>
      <family val="2"/>
      <charset val="238"/>
      <scheme val="minor"/>
    </font>
    <font>
      <b/>
      <sz val="11"/>
      <color rgb="FFFA7D00"/>
      <name val="Calibri"/>
      <family val="2"/>
      <charset val="238"/>
      <scheme val="minor"/>
    </font>
    <font>
      <sz val="11"/>
      <color rgb="FFFA7D00"/>
      <name val="Calibri"/>
      <family val="2"/>
      <charset val="238"/>
      <scheme val="minor"/>
    </font>
    <font>
      <b/>
      <sz val="11"/>
      <color theme="0"/>
      <name val="Calibri"/>
      <family val="2"/>
      <charset val="238"/>
      <scheme val="minor"/>
    </font>
    <font>
      <sz val="11"/>
      <color rgb="FFFF0000"/>
      <name val="Calibri"/>
      <family val="2"/>
      <charset val="238"/>
      <scheme val="minor"/>
    </font>
    <font>
      <i/>
      <sz val="11"/>
      <color rgb="FF7F7F7F"/>
      <name val="Calibri"/>
      <family val="2"/>
      <charset val="238"/>
      <scheme val="minor"/>
    </font>
    <font>
      <sz val="11"/>
      <color theme="0"/>
      <name val="Calibri"/>
      <family val="2"/>
      <charset val="238"/>
      <scheme val="minor"/>
    </font>
    <font>
      <sz val="11"/>
      <name val="Arial"/>
      <family val="2"/>
      <charset val="238"/>
    </font>
    <font>
      <sz val="12"/>
      <color rgb="FF006100"/>
      <name val="Calibri"/>
      <family val="2"/>
      <charset val="238"/>
      <scheme val="minor"/>
    </font>
    <font>
      <b/>
      <sz val="11"/>
      <name val="Arial"/>
      <family val="2"/>
    </font>
    <font>
      <b/>
      <sz val="12"/>
      <color rgb="FF006100"/>
      <name val="Calibri"/>
      <family val="2"/>
      <scheme val="minor"/>
    </font>
    <font>
      <sz val="11"/>
      <color theme="1"/>
      <name val="Arial"/>
      <family val="2"/>
    </font>
    <font>
      <b/>
      <sz val="10"/>
      <color theme="1"/>
      <name val="Calibri"/>
      <family val="2"/>
    </font>
    <font>
      <sz val="12"/>
      <color theme="1"/>
      <name val="Calibri"/>
      <family val="2"/>
    </font>
    <font>
      <b/>
      <sz val="12"/>
      <color theme="1"/>
      <name val="Calibri"/>
      <family val="2"/>
    </font>
    <font>
      <b/>
      <sz val="10"/>
      <name val="Calibri"/>
      <family val="2"/>
      <charset val="238"/>
      <scheme val="minor"/>
    </font>
    <font>
      <u/>
      <sz val="10"/>
      <color theme="10"/>
      <name val="Arial"/>
      <family val="2"/>
      <charset val="238"/>
    </font>
    <font>
      <sz val="12"/>
      <color theme="1"/>
      <name val="Arial"/>
      <family val="2"/>
    </font>
    <font>
      <sz val="11"/>
      <color theme="1"/>
      <name val="Arial"/>
      <family val="2"/>
    </font>
    <font>
      <b/>
      <sz val="16"/>
      <color rgb="FF313131"/>
      <name val="Verdana"/>
      <family val="2"/>
    </font>
    <font>
      <b/>
      <sz val="11"/>
      <color rgb="FF000000"/>
      <name val="Verdana"/>
      <family val="2"/>
      <charset val="238"/>
    </font>
    <font>
      <sz val="14"/>
      <color theme="1"/>
      <name val="Arial"/>
      <family val="2"/>
      <charset val="238"/>
    </font>
    <font>
      <sz val="14"/>
      <color theme="1"/>
      <name val="Arial"/>
      <family val="2"/>
    </font>
    <font>
      <b/>
      <sz val="14"/>
      <color rgb="FF000000"/>
      <name val="Ariel"/>
      <charset val="238"/>
    </font>
    <font>
      <sz val="11"/>
      <color theme="1"/>
      <name val="AriEL"/>
      <charset val="238"/>
    </font>
    <font>
      <b/>
      <sz val="12"/>
      <color theme="1"/>
      <name val="Arial"/>
      <family val="2"/>
    </font>
    <font>
      <sz val="12"/>
      <color theme="1"/>
      <name val="Arial"/>
      <family val="2"/>
      <charset val="238"/>
    </font>
    <font>
      <b/>
      <sz val="16"/>
      <color rgb="FF313131"/>
      <name val="Arial"/>
      <family val="2"/>
      <charset val="238"/>
    </font>
    <font>
      <sz val="14"/>
      <color theme="1"/>
      <name val="AriEL"/>
      <charset val="238"/>
    </font>
    <font>
      <sz val="11"/>
      <color rgb="FF000000"/>
      <name val="Arial"/>
      <family val="2"/>
      <charset val="238"/>
    </font>
    <font>
      <sz val="12"/>
      <color theme="1"/>
      <name val="Poppins"/>
      <charset val="238"/>
    </font>
    <font>
      <sz val="11"/>
      <color rgb="FF000000"/>
      <name val="Calibri"/>
      <family val="2"/>
      <charset val="238"/>
    </font>
    <font>
      <b/>
      <sz val="20"/>
      <color rgb="FF0F4761"/>
      <name val="Century Gothic"/>
      <family val="1"/>
    </font>
    <font>
      <sz val="12"/>
      <color theme="1"/>
      <name val="Century Gothic"/>
      <family val="1"/>
    </font>
    <font>
      <sz val="12"/>
      <color rgb="FF010100"/>
      <name val="Century Gothic"/>
      <family val="1"/>
    </font>
    <font>
      <b/>
      <sz val="14"/>
      <color rgb="FF000000"/>
      <name val="Century Gothic"/>
      <family val="1"/>
    </font>
    <font>
      <sz val="14"/>
      <color theme="1"/>
      <name val="Century Gothic"/>
      <family val="1"/>
    </font>
    <font>
      <sz val="11"/>
      <color theme="1"/>
      <name val="Century Gothic"/>
      <family val="1"/>
    </font>
    <font>
      <b/>
      <sz val="14"/>
      <color theme="1"/>
      <name val="Century Gothic"/>
      <family val="1"/>
    </font>
    <font>
      <sz val="12"/>
      <color rgb="FF000000"/>
      <name val="Century Gothic"/>
      <family val="1"/>
    </font>
    <font>
      <sz val="11"/>
      <name val="Century Gothic"/>
      <family val="1"/>
    </font>
    <font>
      <sz val="12"/>
      <name val="Helvetica"/>
      <family val="2"/>
    </font>
    <font>
      <sz val="11"/>
      <name val="Helvetica"/>
      <family val="2"/>
    </font>
    <font>
      <b/>
      <sz val="12"/>
      <color rgb="FF006100"/>
      <name val="Century Gothic"/>
      <family val="1"/>
    </font>
    <font>
      <sz val="14"/>
      <color rgb="FF000000"/>
      <name val="Century Gothic"/>
      <family val="1"/>
    </font>
    <font>
      <sz val="11"/>
      <color rgb="FF000000"/>
      <name val="Helvetica Neue"/>
      <family val="2"/>
    </font>
    <font>
      <sz val="12"/>
      <color rgb="FF000000"/>
      <name val="Arial"/>
      <family val="2"/>
    </font>
    <font>
      <sz val="11"/>
      <color rgb="FF000000"/>
      <name val="Century Gothic"/>
      <family val="1"/>
    </font>
    <font>
      <sz val="11"/>
      <color rgb="FF010100"/>
      <name val="Century Gothic"/>
      <family val="1"/>
    </font>
    <font>
      <sz val="11"/>
      <color rgb="FFFDFD00"/>
      <name val="Century Gothic"/>
      <family val="1"/>
    </font>
    <font>
      <sz val="11"/>
      <color rgb="FFFEFE00"/>
      <name val="Century Gothic"/>
      <family val="1"/>
    </font>
    <font>
      <sz val="11"/>
      <color rgb="FF010100"/>
      <name val="Century Gothic"/>
      <family val="1"/>
      <charset val="238"/>
    </font>
    <font>
      <b/>
      <sz val="12"/>
      <name val="Century Gothic"/>
      <family val="1"/>
    </font>
    <font>
      <sz val="12"/>
      <name val="Century Gothic"/>
      <family val="1"/>
    </font>
    <font>
      <sz val="12"/>
      <color rgb="FF222222"/>
      <name val="Arial"/>
      <family val="2"/>
    </font>
    <font>
      <sz val="11"/>
      <color rgb="FF222222"/>
      <name val="Arial"/>
      <family val="2"/>
    </font>
    <font>
      <strike/>
      <sz val="11"/>
      <name val="Calibri"/>
      <family val="2"/>
      <charset val="238"/>
    </font>
    <font>
      <sz val="9"/>
      <name val="Helvetica"/>
      <family val="2"/>
    </font>
    <font>
      <sz val="9"/>
      <color rgb="FF000000"/>
      <name val="Helvetica"/>
      <family val="2"/>
    </font>
    <font>
      <b/>
      <sz val="11"/>
      <name val="Calibri"/>
      <family val="2"/>
    </font>
    <font>
      <sz val="11"/>
      <name val="Calibri"/>
      <family val="2"/>
    </font>
    <font>
      <i/>
      <sz val="11"/>
      <name val="Calibri"/>
      <family val="2"/>
    </font>
    <font>
      <b/>
      <sz val="11"/>
      <color rgb="FFFF0000"/>
      <name val="Calibri"/>
      <family val="2"/>
    </font>
    <font>
      <sz val="11"/>
      <color theme="1"/>
      <name val="Poppins"/>
      <charset val="238"/>
    </font>
    <font>
      <b/>
      <vertAlign val="superscript"/>
      <sz val="11"/>
      <color theme="1"/>
      <name val="Poppins"/>
      <charset val="238"/>
    </font>
    <font>
      <b/>
      <sz val="11"/>
      <color theme="4" tint="-0.249977111117893"/>
      <name val="Poppins"/>
      <charset val="238"/>
    </font>
    <font>
      <vertAlign val="superscript"/>
      <sz val="11"/>
      <color theme="1"/>
      <name val="Poppins"/>
      <charset val="238"/>
    </font>
    <font>
      <sz val="11"/>
      <name val="Calibri"/>
      <family val="2"/>
      <charset val="238"/>
      <scheme val="minor"/>
    </font>
    <font>
      <b/>
      <vertAlign val="superscript"/>
      <sz val="11"/>
      <color theme="4" tint="-0.249977111117893"/>
      <name val="Poppins"/>
      <charset val="238"/>
    </font>
    <font>
      <b/>
      <vertAlign val="superscript"/>
      <sz val="11"/>
      <color rgb="FF0053A8"/>
      <name val="Poppins"/>
      <charset val="238"/>
    </font>
    <font>
      <sz val="11"/>
      <name val="Poppins"/>
      <charset val="238"/>
    </font>
    <font>
      <strike/>
      <sz val="11"/>
      <color theme="1"/>
      <name val="Poppins"/>
      <charset val="238"/>
    </font>
    <font>
      <b/>
      <strike/>
      <vertAlign val="superscript"/>
      <sz val="11"/>
      <color theme="1"/>
      <name val="Poppins"/>
      <charset val="238"/>
    </font>
    <font>
      <strike/>
      <sz val="11"/>
      <name val="Arial"/>
      <family val="2"/>
      <charset val="238"/>
    </font>
    <font>
      <strike/>
      <sz val="11"/>
      <color theme="1"/>
      <name val="Arial"/>
      <family val="2"/>
      <charset val="238"/>
    </font>
    <font>
      <strike/>
      <sz val="11"/>
      <color theme="1"/>
      <name val="Calibri"/>
      <family val="2"/>
      <scheme val="minor"/>
    </font>
    <font>
      <strike/>
      <sz val="11"/>
      <color theme="1"/>
      <name val="Arial"/>
      <family val="2"/>
    </font>
    <font>
      <b/>
      <strike/>
      <sz val="11"/>
      <color theme="4" tint="-0.249977111117893"/>
      <name val="Poppins"/>
      <charset val="238"/>
    </font>
    <font>
      <b/>
      <strike/>
      <vertAlign val="superscript"/>
      <sz val="11"/>
      <color theme="4" tint="-0.249977111117893"/>
      <name val="Poppins"/>
      <charset val="238"/>
    </font>
    <font>
      <strike/>
      <sz val="11"/>
      <name val="Calibri"/>
      <family val="2"/>
      <charset val="238"/>
      <scheme val="minor"/>
    </font>
    <font>
      <b/>
      <sz val="11"/>
      <color theme="0"/>
      <name val="Poppins"/>
      <charset val="238"/>
    </font>
    <font>
      <b/>
      <sz val="11"/>
      <name val="Arial"/>
      <family val="2"/>
      <charset val="238"/>
    </font>
    <font>
      <sz val="11"/>
      <color rgb="FFFF33CC"/>
      <name val="Poppins"/>
      <charset val="238"/>
    </font>
    <font>
      <sz val="11"/>
      <color rgb="FFFF0000"/>
      <name val="Poppins"/>
      <charset val="238"/>
    </font>
    <font>
      <sz val="11"/>
      <color theme="4" tint="-0.499984740745262"/>
      <name val="Arial"/>
      <family val="2"/>
      <charset val="238"/>
    </font>
    <font>
      <sz val="11"/>
      <color theme="4" tint="-0.499984740745262"/>
      <name val="Poppins"/>
      <charset val="238"/>
    </font>
    <font>
      <b/>
      <sz val="11"/>
      <name val="Poppins"/>
      <charset val="238"/>
    </font>
    <font>
      <vertAlign val="superscript"/>
      <sz val="11"/>
      <name val="Poppins"/>
      <charset val="238"/>
    </font>
    <font>
      <b/>
      <sz val="11"/>
      <color theme="4" tint="-0.249977111117893"/>
      <name val="Arial"/>
      <family val="2"/>
      <charset val="238"/>
    </font>
    <font>
      <vertAlign val="superscript"/>
      <sz val="11"/>
      <name val="Dosis-Book"/>
      <charset val="238"/>
    </font>
    <font>
      <sz val="11"/>
      <color rgb="FF00B050"/>
      <name val="Poppins"/>
      <charset val="238"/>
    </font>
    <font>
      <b/>
      <sz val="11"/>
      <color rgb="FF00B050"/>
      <name val="Poppins"/>
      <charset val="238"/>
    </font>
    <font>
      <b/>
      <sz val="20"/>
      <color theme="1"/>
      <name val="Arial"/>
      <family val="2"/>
    </font>
    <font>
      <b/>
      <sz val="14"/>
      <color theme="1"/>
      <name val="Arial"/>
      <family val="2"/>
    </font>
    <font>
      <b/>
      <sz val="12"/>
      <color rgb="FF000000"/>
      <name val="Arial"/>
      <family val="2"/>
    </font>
    <font>
      <b/>
      <sz val="14"/>
      <color rgb="FF000000"/>
      <name val="Arial"/>
      <family val="2"/>
    </font>
    <font>
      <b/>
      <sz val="16"/>
      <color theme="1"/>
      <name val="Arial"/>
      <family val="2"/>
    </font>
    <font>
      <b/>
      <sz val="12"/>
      <name val="Arial"/>
      <family val="2"/>
    </font>
    <font>
      <sz val="8"/>
      <name val="Arial"/>
      <family val="2"/>
    </font>
    <font>
      <b/>
      <sz val="11"/>
      <color theme="8" tint="-0.249977111117893"/>
      <name val="Poppins"/>
      <charset val="238"/>
    </font>
    <font>
      <sz val="11"/>
      <color rgb="FF434343"/>
      <name val="Poppins"/>
      <charset val="238"/>
    </font>
    <font>
      <sz val="11"/>
      <color rgb="FF222222"/>
      <name val="Arial"/>
      <family val="2"/>
      <charset val="238"/>
    </font>
    <font>
      <sz val="11"/>
      <color rgb="FF000000"/>
      <name val="Poppins"/>
      <charset val="238"/>
    </font>
    <font>
      <b/>
      <sz val="11"/>
      <color theme="0"/>
      <name val="Arial"/>
      <family val="2"/>
      <charset val="238"/>
    </font>
    <font>
      <sz val="11"/>
      <color theme="0"/>
      <name val="Poppins"/>
      <charset val="238"/>
    </font>
    <font>
      <sz val="11"/>
      <color theme="0"/>
      <name val="Arial"/>
      <family val="2"/>
      <charset val="238"/>
    </font>
    <font>
      <b/>
      <sz val="12"/>
      <color rgb="FF7030A0"/>
      <name val="Arial"/>
      <family val="2"/>
    </font>
    <font>
      <sz val="16"/>
      <color rgb="FF313131"/>
      <name val="Century Gothic"/>
      <family val="1"/>
    </font>
    <font>
      <b/>
      <sz val="14"/>
      <color theme="1"/>
      <name val="Century Gothic"/>
      <family val="1"/>
      <charset val="238"/>
    </font>
    <font>
      <b/>
      <sz val="11"/>
      <color theme="1"/>
      <name val="Century Gothic"/>
      <family val="1"/>
      <charset val="238"/>
    </font>
    <font>
      <b/>
      <sz val="14"/>
      <color theme="1"/>
      <name val="Arial"/>
      <family val="2"/>
      <charset val="238"/>
    </font>
    <font>
      <b/>
      <sz val="12"/>
      <color theme="1"/>
      <name val="Century Gothic"/>
      <family val="1"/>
    </font>
    <font>
      <b/>
      <sz val="16"/>
      <color theme="1"/>
      <name val="Century Gothic"/>
      <family val="1"/>
    </font>
    <font>
      <b/>
      <sz val="12"/>
      <color rgb="FF000000"/>
      <name val="Century Gothic"/>
      <family val="1"/>
    </font>
    <font>
      <sz val="10"/>
      <color rgb="FF000000"/>
      <name val="Inherit"/>
    </font>
    <font>
      <b/>
      <sz val="10"/>
      <color rgb="FF000000"/>
      <name val="Century Gothic"/>
      <family val="1"/>
    </font>
    <font>
      <b/>
      <sz val="20"/>
      <color rgb="FF006000"/>
      <name val="Century Gothic"/>
      <family val="1"/>
    </font>
    <font>
      <b/>
      <sz val="20"/>
      <color rgb="FF006100"/>
      <name val="Century Gothic"/>
      <family val="1"/>
    </font>
    <font>
      <sz val="10"/>
      <color rgb="FF010100"/>
      <name val="Century Gothic"/>
      <family val="1"/>
      <charset val="238"/>
    </font>
    <font>
      <sz val="10"/>
      <color rgb="FF000000"/>
      <name val="Century Gothic"/>
      <family val="1"/>
    </font>
    <font>
      <sz val="10"/>
      <color rgb="FF020200"/>
      <name val="Century Gothic"/>
      <family val="1"/>
    </font>
    <font>
      <sz val="10"/>
      <color theme="1"/>
      <name val="AriEL"/>
      <charset val="238"/>
    </font>
    <font>
      <sz val="10"/>
      <color rgb="FF000000"/>
      <name val="Century Gothic"/>
      <family val="1"/>
      <charset val="238"/>
    </font>
    <font>
      <b/>
      <sz val="10"/>
      <color theme="1"/>
      <name val="Century Gothic"/>
      <family val="1"/>
      <charset val="238"/>
    </font>
    <font>
      <sz val="10"/>
      <color theme="1"/>
      <name val="Century Gothic"/>
      <family val="1"/>
      <charset val="238"/>
    </font>
    <font>
      <sz val="10"/>
      <color theme="1"/>
      <name val="Arial"/>
      <family val="2"/>
    </font>
    <font>
      <sz val="10"/>
      <color rgb="FF010100"/>
      <name val="Century Gothic"/>
      <family val="1"/>
    </font>
    <font>
      <sz val="10"/>
      <color theme="1"/>
      <name val="Century Gothic"/>
      <family val="1"/>
    </font>
    <font>
      <sz val="10"/>
      <color rgb="FF000000"/>
      <name val="Arial"/>
      <family val="2"/>
      <charset val="238"/>
    </font>
    <font>
      <sz val="10"/>
      <color theme="1"/>
      <name val="Arial"/>
      <family val="2"/>
      <charset val="238"/>
    </font>
    <font>
      <b/>
      <sz val="10"/>
      <color rgb="FF313131"/>
      <name val="Verdana"/>
      <family val="2"/>
      <charset val="238"/>
    </font>
    <font>
      <sz val="10"/>
      <color rgb="FF030300"/>
      <name val="Century Gothic"/>
      <family val="1"/>
    </font>
    <font>
      <sz val="10"/>
      <color rgb="FFFDFD00"/>
      <name val="Century Gothic"/>
      <family val="1"/>
    </font>
    <font>
      <sz val="10"/>
      <color rgb="FF000000"/>
      <name val="Helvetica"/>
      <family val="2"/>
      <charset val="238"/>
    </font>
    <font>
      <sz val="10"/>
      <color rgb="FF020200"/>
      <name val="Century Gothic"/>
      <family val="1"/>
      <charset val="238"/>
    </font>
    <font>
      <sz val="10"/>
      <color rgb="FFFCFC00"/>
      <name val="Century Gothic"/>
      <family val="1"/>
    </font>
    <font>
      <b/>
      <sz val="10"/>
      <color rgb="FF313131"/>
      <name val="Arial"/>
      <family val="2"/>
      <charset val="238"/>
    </font>
    <font>
      <sz val="10"/>
      <color rgb="FF000000"/>
      <name val="AriEL"/>
      <charset val="238"/>
    </font>
    <font>
      <sz val="10"/>
      <color rgb="FFFEFE00"/>
      <name val="Century Gothic"/>
      <family val="1"/>
    </font>
    <font>
      <b/>
      <sz val="14"/>
      <name val="Arial"/>
      <family val="2"/>
    </font>
    <font>
      <sz val="14"/>
      <color rgb="FF7030A0"/>
      <name val="Arial"/>
      <family val="2"/>
    </font>
    <font>
      <sz val="14"/>
      <name val="Arial"/>
      <family val="2"/>
    </font>
    <font>
      <b/>
      <sz val="14"/>
      <color rgb="FF006100"/>
      <name val="Century Gothic"/>
      <family val="1"/>
    </font>
    <font>
      <sz val="11"/>
      <color theme="0"/>
      <name val="Arial"/>
      <family val="2"/>
    </font>
    <font>
      <b/>
      <sz val="11"/>
      <color theme="0"/>
      <name val="Arial"/>
      <family val="2"/>
    </font>
    <font>
      <sz val="12"/>
      <name val="Arial"/>
      <family val="2"/>
    </font>
    <font>
      <b/>
      <sz val="11"/>
      <color rgb="FF000000"/>
      <name val="Century Gothic"/>
      <family val="1"/>
    </font>
    <font>
      <b/>
      <sz val="11"/>
      <color theme="1"/>
      <name val="Century Gothic"/>
      <family val="1"/>
    </font>
    <font>
      <b/>
      <sz val="10"/>
      <color theme="1"/>
      <name val="Century Gothic"/>
      <family val="1"/>
    </font>
    <font>
      <sz val="12"/>
      <color rgb="FF000000"/>
      <name val="Aptos Narrow"/>
      <family val="2"/>
    </font>
    <font>
      <b/>
      <sz val="12"/>
      <color rgb="FFFF0000"/>
      <name val="Century Gothic"/>
      <family val="2"/>
      <charset val="238"/>
    </font>
    <font>
      <b/>
      <sz val="12"/>
      <color rgb="FF000000"/>
      <name val="Century Gothic"/>
      <family val="2"/>
      <charset val="238"/>
    </font>
    <font>
      <sz val="11"/>
      <color rgb="FF000000"/>
      <name val="Century Gothic"/>
      <family val="2"/>
      <charset val="238"/>
    </font>
    <font>
      <b/>
      <sz val="14"/>
      <color rgb="FFED7D31"/>
      <name val="Arial"/>
      <family val="2"/>
      <charset val="238"/>
    </font>
    <font>
      <b/>
      <sz val="12"/>
      <color rgb="FF00B0F0"/>
      <name val="Arial"/>
      <family val="2"/>
      <charset val="238"/>
    </font>
    <font>
      <b/>
      <sz val="14"/>
      <name val="Arial"/>
      <family val="2"/>
      <charset val="238"/>
    </font>
    <font>
      <sz val="12"/>
      <name val="Arial"/>
      <family val="2"/>
      <charset val="238"/>
    </font>
    <font>
      <b/>
      <sz val="12"/>
      <name val="Arial CE"/>
      <family val="2"/>
      <charset val="238"/>
    </font>
    <font>
      <sz val="12"/>
      <name val="Arial CE"/>
      <family val="2"/>
      <charset val="238"/>
    </font>
    <font>
      <b/>
      <sz val="16"/>
      <color theme="1"/>
      <name val="Arial"/>
      <family val="2"/>
      <charset val="238"/>
    </font>
    <font>
      <sz val="14"/>
      <color theme="1"/>
      <name val="Century Gothic"/>
      <family val="2"/>
      <charset val="238"/>
    </font>
    <font>
      <b/>
      <sz val="14"/>
      <color rgb="FFFF0000"/>
      <name val="Calibri"/>
      <family val="2"/>
      <charset val="238"/>
    </font>
    <font>
      <b/>
      <strike/>
      <sz val="11"/>
      <color theme="4" tint="-0.249977111117893"/>
      <name val="Calibri"/>
      <family val="2"/>
      <charset val="238"/>
    </font>
    <font>
      <b/>
      <strike/>
      <vertAlign val="superscript"/>
      <sz val="11"/>
      <color theme="4" tint="-0.249977111117893"/>
      <name val="Calibri"/>
      <family val="2"/>
      <charset val="238"/>
    </font>
    <font>
      <strike/>
      <sz val="11"/>
      <color theme="1"/>
      <name val="Calibri"/>
      <family val="2"/>
      <charset val="238"/>
    </font>
    <font>
      <b/>
      <strike/>
      <sz val="11"/>
      <name val="Calibri"/>
      <family val="2"/>
      <charset val="238"/>
    </font>
    <font>
      <b/>
      <sz val="22"/>
      <color theme="0"/>
      <name val="Poppins"/>
      <charset val="238"/>
    </font>
    <font>
      <b/>
      <sz val="11"/>
      <color theme="1"/>
      <name val="Poppins"/>
      <charset val="238"/>
    </font>
    <font>
      <u/>
      <sz val="11"/>
      <color rgb="FF0070C0"/>
      <name val="Poppins"/>
      <charset val="238"/>
    </font>
    <font>
      <sz val="22"/>
      <color rgb="FF0070C0"/>
      <name val="Poppins ExtraBold"/>
      <charset val="238"/>
    </font>
    <font>
      <sz val="11"/>
      <color rgb="FF0070C0"/>
      <name val="Poppins"/>
      <charset val="238"/>
    </font>
    <font>
      <b/>
      <sz val="12"/>
      <color theme="1"/>
      <name val="Poppins"/>
      <charset val="238"/>
    </font>
    <font>
      <b/>
      <sz val="11"/>
      <color rgb="FF000000"/>
      <name val="Poppins"/>
      <charset val="238"/>
    </font>
    <font>
      <b/>
      <sz val="11"/>
      <color rgb="FF366092"/>
      <name val="Poppins"/>
      <charset val="238"/>
    </font>
    <font>
      <sz val="11"/>
      <color theme="1"/>
      <name val="Aptos Narrow"/>
      <family val="2"/>
      <charset val="238"/>
    </font>
    <font>
      <b/>
      <vertAlign val="superscript"/>
      <sz val="11"/>
      <color rgb="FF000000"/>
      <name val="Poppins"/>
      <charset val="238"/>
    </font>
    <font>
      <vertAlign val="superscript"/>
      <sz val="11"/>
      <color rgb="FF000000"/>
      <name val="Poppins"/>
      <charset val="238"/>
    </font>
    <font>
      <sz val="11"/>
      <name val="Aptos Narrow"/>
      <family val="2"/>
      <charset val="238"/>
    </font>
    <font>
      <b/>
      <vertAlign val="superscript"/>
      <sz val="11"/>
      <color rgb="FF366092"/>
      <name val="Poppins"/>
      <charset val="238"/>
    </font>
    <font>
      <b/>
      <vertAlign val="superscript"/>
      <sz val="11"/>
      <color rgb="FF6A6D73"/>
      <name val="Dosis-Book"/>
      <charset val="238"/>
    </font>
    <font>
      <b/>
      <sz val="11"/>
      <color rgb="FF0070C0"/>
      <name val="Poppins"/>
      <charset val="238"/>
    </font>
    <font>
      <b/>
      <sz val="11"/>
      <color rgb="FF0070C0"/>
      <name val="Arial"/>
      <family val="2"/>
      <charset val="238"/>
    </font>
    <font>
      <sz val="12"/>
      <color rgb="FF000000"/>
      <name val="Century Gothic"/>
      <family val="2"/>
      <charset val="238"/>
    </font>
    <font>
      <b/>
      <sz val="14"/>
      <color theme="1"/>
      <name val="Poppins"/>
      <charset val="238"/>
    </font>
    <font>
      <b/>
      <sz val="14"/>
      <name val="Poppins"/>
      <charset val="238"/>
    </font>
    <font>
      <b/>
      <sz val="14"/>
      <color theme="4" tint="-0.249977111117893"/>
      <name val="Poppins"/>
      <charset val="238"/>
    </font>
    <font>
      <b/>
      <sz val="18"/>
      <color rgb="FF7030A0"/>
      <name val="Arial"/>
      <family val="2"/>
    </font>
    <font>
      <b/>
      <sz val="14"/>
      <color rgb="FF7030A0"/>
      <name val="Arial"/>
      <family val="2"/>
    </font>
    <font>
      <sz val="9"/>
      <color rgb="FF3C3C3C"/>
      <name val="Segoe UI"/>
      <family val="2"/>
      <charset val="238"/>
    </font>
    <font>
      <sz val="11"/>
      <name val="Century Gothic"/>
      <family val="2"/>
      <charset val="238"/>
    </font>
    <font>
      <b/>
      <sz val="16"/>
      <color theme="1"/>
      <name val="Century Gothic"/>
      <family val="2"/>
      <charset val="238"/>
    </font>
    <font>
      <sz val="11"/>
      <color theme="1"/>
      <name val="Century Gothic"/>
      <family val="2"/>
      <charset val="238"/>
    </font>
    <font>
      <b/>
      <sz val="11"/>
      <color theme="1"/>
      <name val="Century Gothic"/>
      <family val="2"/>
      <charset val="238"/>
    </font>
    <font>
      <sz val="11"/>
      <color rgb="FF00B050"/>
      <name val="Century Gothic"/>
      <family val="2"/>
      <charset val="238"/>
    </font>
    <font>
      <b/>
      <sz val="11"/>
      <color theme="4" tint="-0.249977111117893"/>
      <name val="Century Gothic"/>
      <family val="2"/>
      <charset val="238"/>
    </font>
    <font>
      <b/>
      <sz val="11"/>
      <color rgb="FF000000"/>
      <name val="Century Gothic"/>
      <family val="2"/>
      <charset val="238"/>
    </font>
    <font>
      <b/>
      <sz val="11"/>
      <name val="Century Gothic"/>
      <family val="2"/>
      <charset val="238"/>
    </font>
    <font>
      <b/>
      <sz val="12"/>
      <color rgb="FF006100"/>
      <name val="Century Gothic"/>
      <family val="2"/>
      <charset val="238"/>
    </font>
    <font>
      <sz val="12"/>
      <color theme="1"/>
      <name val="Century Gothic"/>
      <family val="2"/>
      <charset val="238"/>
    </font>
    <font>
      <b/>
      <sz val="18"/>
      <color theme="1"/>
      <name val="Century Gothic"/>
      <family val="1"/>
      <charset val="238"/>
    </font>
    <font>
      <b/>
      <sz val="18"/>
      <color rgb="FF006100"/>
      <name val="Century Gothic"/>
      <family val="1"/>
    </font>
    <font>
      <sz val="12"/>
      <color rgb="FF008080"/>
      <name val="Arial"/>
      <family val="2"/>
      <charset val="238"/>
    </font>
    <font>
      <sz val="12"/>
      <color rgb="FFFF0000"/>
      <name val="Aptos Narrow"/>
      <family val="2"/>
    </font>
    <font>
      <b/>
      <sz val="11"/>
      <color theme="1"/>
      <name val="Arial"/>
      <family val="2"/>
      <charset val="238"/>
    </font>
    <font>
      <sz val="11"/>
      <name val="Century Gothic"/>
      <family val="1"/>
      <charset val="238"/>
    </font>
    <font>
      <b/>
      <vertAlign val="superscript"/>
      <sz val="11"/>
      <color theme="0"/>
      <name val="Poppins"/>
      <charset val="238"/>
    </font>
    <font>
      <u/>
      <sz val="11"/>
      <color theme="10"/>
      <name val="Arial"/>
      <family val="2"/>
      <charset val="238"/>
    </font>
    <font>
      <strike/>
      <sz val="11"/>
      <name val="Poppins"/>
      <charset val="238"/>
    </font>
    <font>
      <b/>
      <sz val="11"/>
      <color rgb="FF2F75B5"/>
      <name val="Century Gothic"/>
      <family val="2"/>
      <charset val="238"/>
    </font>
  </fonts>
  <fills count="7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149998474074526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0000"/>
        <bgColor indexed="64"/>
      </patternFill>
    </fill>
    <fill>
      <patternFill patternType="solid">
        <fgColor theme="2" tint="-0.14999847407452621"/>
        <bgColor indexed="64"/>
      </patternFill>
    </fill>
    <fill>
      <patternFill patternType="solid">
        <fgColor rgb="FFFFFFFF"/>
        <bgColor rgb="FFFFFFCC"/>
      </patternFill>
    </fill>
    <fill>
      <patternFill patternType="solid">
        <fgColor rgb="FFFFFF00"/>
        <bgColor rgb="FF000000"/>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tint="0.79998168889431442"/>
        <bgColor theme="4" tint="0.79998168889431442"/>
      </patternFill>
    </fill>
    <fill>
      <patternFill patternType="solid">
        <fgColor rgb="FFFF0000"/>
        <bgColor theme="4" tint="0.79998168889431442"/>
      </patternFill>
    </fill>
    <fill>
      <patternFill patternType="solid">
        <fgColor rgb="FF92D050"/>
        <bgColor indexed="64"/>
      </patternFill>
    </fill>
    <fill>
      <patternFill patternType="solid">
        <fgColor rgb="FFFF33CC"/>
        <bgColor indexed="64"/>
      </patternFill>
    </fill>
    <fill>
      <patternFill patternType="solid">
        <fgColor theme="8" tint="0.59999389629810485"/>
        <bgColor indexed="64"/>
      </patternFill>
    </fill>
    <fill>
      <patternFill patternType="solid">
        <fgColor theme="4"/>
        <bgColor theme="4"/>
      </patternFill>
    </fill>
    <fill>
      <patternFill patternType="solid">
        <fgColor rgb="FF00B0F0"/>
        <bgColor indexed="64"/>
      </patternFill>
    </fill>
    <fill>
      <patternFill patternType="solid">
        <fgColor rgb="FF00B0F0"/>
        <bgColor theme="4" tint="0.79998168889431442"/>
      </patternFill>
    </fill>
    <fill>
      <patternFill patternType="solid">
        <fgColor rgb="FF90E0FC"/>
        <bgColor indexed="64"/>
      </patternFill>
    </fill>
    <fill>
      <patternFill patternType="solid">
        <fgColor rgb="FFEE80F8"/>
        <bgColor indexed="64"/>
      </patternFill>
    </fill>
    <fill>
      <patternFill patternType="solid">
        <fgColor rgb="FFFCBCFF"/>
        <bgColor indexed="64"/>
      </patternFill>
    </fill>
    <fill>
      <patternFill patternType="solid">
        <fgColor rgb="FF954F9A"/>
        <bgColor indexed="64"/>
      </patternFill>
    </fill>
    <fill>
      <patternFill patternType="solid">
        <fgColor rgb="FFFF7C80"/>
        <bgColor theme="4" tint="0.79998168889431442"/>
      </patternFill>
    </fill>
    <fill>
      <patternFill patternType="solid">
        <fgColor rgb="FFFF7C80"/>
        <bgColor indexed="64"/>
      </patternFill>
    </fill>
    <fill>
      <patternFill patternType="solid">
        <fgColor rgb="FFBDD7EE"/>
        <bgColor rgb="FF000000"/>
      </patternFill>
    </fill>
    <fill>
      <patternFill patternType="solid">
        <fgColor rgb="FFFCBCFF"/>
        <bgColor theme="4" tint="0.79998168889431442"/>
      </patternFill>
    </fill>
    <fill>
      <patternFill patternType="solid">
        <fgColor rgb="FFFCBCFF"/>
        <bgColor rgb="FFDDEBF7"/>
      </patternFill>
    </fill>
    <fill>
      <patternFill patternType="solid">
        <fgColor rgb="FFFFFFFF"/>
        <bgColor indexed="64"/>
      </patternFill>
    </fill>
    <fill>
      <patternFill patternType="solid">
        <fgColor theme="1" tint="0.34998626667073579"/>
        <bgColor indexed="64"/>
      </patternFill>
    </fill>
    <fill>
      <patternFill patternType="solid">
        <fgColor theme="0" tint="-4.9989318521683403E-2"/>
        <bgColor indexed="64"/>
      </patternFill>
    </fill>
    <fill>
      <patternFill patternType="solid">
        <fgColor theme="0"/>
        <bgColor indexed="64"/>
      </patternFill>
    </fill>
    <fill>
      <patternFill patternType="solid">
        <fgColor theme="3" tint="0.39997558519241921"/>
        <bgColor indexed="64"/>
      </patternFill>
    </fill>
    <fill>
      <patternFill patternType="solid">
        <fgColor rgb="FF0070C0"/>
        <bgColor indexed="64"/>
      </patternFill>
    </fill>
    <fill>
      <patternFill patternType="solid">
        <fgColor rgb="FFF2F2F2"/>
        <bgColor rgb="FF000000"/>
      </patternFill>
    </fill>
    <fill>
      <patternFill patternType="solid">
        <fgColor rgb="FFFFFFFF"/>
        <bgColor rgb="FF000000"/>
      </patternFill>
    </fill>
    <fill>
      <patternFill patternType="solid">
        <fgColor rgb="FFFFC000"/>
        <bgColor indexed="64"/>
      </patternFill>
    </fill>
    <fill>
      <patternFill patternType="solid">
        <fgColor rgb="FFD9D9D9"/>
        <bgColor indexed="64"/>
      </patternFill>
    </fill>
    <fill>
      <patternFill patternType="solid">
        <fgColor rgb="FFD2F2FE"/>
        <bgColor indexed="64"/>
      </patternFill>
    </fill>
    <fill>
      <patternFill patternType="solid">
        <fgColor rgb="FFFCBCFF"/>
        <bgColor theme="4"/>
      </patternFill>
    </fill>
    <fill>
      <patternFill patternType="solid">
        <fgColor rgb="FF5B9BD5"/>
        <bgColor theme="4"/>
      </patternFill>
    </fill>
    <fill>
      <patternFill patternType="solid">
        <fgColor rgb="FF90E0FC"/>
        <bgColor rgb="FF000000"/>
      </patternFill>
    </fill>
    <fill>
      <patternFill patternType="solid">
        <fgColor rgb="FFFCBCFF"/>
        <bgColor rgb="FF000000"/>
      </patternFill>
    </fill>
    <fill>
      <patternFill patternType="solid">
        <fgColor rgb="FFD2F2FE"/>
        <bgColor rgb="FF000000"/>
      </patternFill>
    </fill>
    <fill>
      <patternFill patternType="solid">
        <fgColor rgb="FF90E0FC"/>
        <bgColor theme="4"/>
      </patternFill>
    </fill>
    <fill>
      <patternFill patternType="solid">
        <fgColor rgb="FFFFFF00"/>
        <bgColor theme="4" tint="0.79998168889431442"/>
      </patternFill>
    </fill>
  </fills>
  <borders count="82">
    <border>
      <left/>
      <right/>
      <top/>
      <bottom/>
      <diagonal/>
    </border>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medium">
        <color indexed="64"/>
      </bottom>
      <diagonal/>
    </border>
    <border>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bottom/>
      <diagonal/>
    </border>
    <border>
      <left style="hair">
        <color indexed="64"/>
      </left>
      <right style="hair">
        <color indexed="64"/>
      </right>
      <top/>
      <bottom style="hair">
        <color indexed="64"/>
      </bottom>
      <diagonal/>
    </border>
    <border>
      <left style="hair">
        <color indexed="64"/>
      </left>
      <right/>
      <top style="hair">
        <color indexed="64"/>
      </top>
      <bottom style="hair">
        <color indexed="64"/>
      </bottom>
      <diagonal/>
    </border>
    <border>
      <left style="hair">
        <color indexed="64"/>
      </left>
      <right/>
      <top/>
      <bottom/>
      <diagonal/>
    </border>
    <border>
      <left style="hair">
        <color indexed="64"/>
      </left>
      <right/>
      <top/>
      <bottom style="hair">
        <color indexed="64"/>
      </bottom>
      <diagonal/>
    </border>
    <border>
      <left style="hair">
        <color indexed="64"/>
      </left>
      <right/>
      <top style="hair">
        <color indexed="64"/>
      </top>
      <bottom/>
      <diagonal/>
    </border>
    <border>
      <left/>
      <right style="hair">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hair">
        <color indexed="64"/>
      </top>
      <bottom/>
      <diagonal/>
    </border>
    <border>
      <left style="medium">
        <color indexed="64"/>
      </left>
      <right/>
      <top style="thin">
        <color indexed="64"/>
      </top>
      <bottom style="medium">
        <color indexed="64"/>
      </bottom>
      <diagonal/>
    </border>
    <border>
      <left/>
      <right style="thin">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style="thin">
        <color indexed="64"/>
      </right>
      <top/>
      <bottom/>
      <diagonal/>
    </border>
    <border>
      <left/>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style="hair">
        <color indexed="64"/>
      </right>
      <top style="hair">
        <color indexed="64"/>
      </top>
      <bottom/>
      <diagonal/>
    </border>
    <border>
      <left style="thin">
        <color rgb="FF95B3D7"/>
      </left>
      <right/>
      <top style="thin">
        <color rgb="FF95B3D7"/>
      </top>
      <bottom style="thin">
        <color rgb="FF95B3D7"/>
      </bottom>
      <diagonal/>
    </border>
    <border>
      <left/>
      <right/>
      <top style="thin">
        <color rgb="FF95B3D7"/>
      </top>
      <bottom style="thin">
        <color rgb="FF95B3D7"/>
      </bottom>
      <diagonal/>
    </border>
    <border>
      <left/>
      <right style="thin">
        <color rgb="FF95B3D7"/>
      </right>
      <top style="thin">
        <color rgb="FF95B3D7"/>
      </top>
      <bottom style="thin">
        <color rgb="FF95B3D7"/>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rgb="FFE5E5E5"/>
      </left>
      <right style="medium">
        <color rgb="FFE1E1E1"/>
      </right>
      <top style="medium">
        <color rgb="FFE5E5E5"/>
      </top>
      <bottom style="medium">
        <color rgb="FFE5E5E5"/>
      </bottom>
      <diagonal/>
    </border>
    <border>
      <left style="medium">
        <color rgb="FFE1E1E1"/>
      </left>
      <right style="medium">
        <color rgb="FFE5E5E5"/>
      </right>
      <top style="medium">
        <color rgb="FFE5E5E5"/>
      </top>
      <bottom style="medium">
        <color rgb="FFE5E5E5"/>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style="hair">
        <color indexed="64"/>
      </top>
      <bottom/>
      <diagonal/>
    </border>
    <border>
      <left style="thin">
        <color theme="4" tint="0.39997558519241921"/>
      </left>
      <right/>
      <top/>
      <bottom style="thin">
        <color theme="4" tint="0.39997558519241921"/>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bottom style="thin">
        <color theme="4" tint="0.39997558519241921"/>
      </bottom>
      <diagonal/>
    </border>
    <border>
      <left style="medium">
        <color indexed="64"/>
      </left>
      <right style="medium">
        <color indexed="64"/>
      </right>
      <top style="medium">
        <color indexed="64"/>
      </top>
      <bottom style="medium">
        <color indexed="64"/>
      </bottom>
      <diagonal/>
    </border>
    <border>
      <left/>
      <right style="hair">
        <color indexed="64"/>
      </right>
      <top style="hair">
        <color indexed="64"/>
      </top>
      <bottom/>
      <diagonal/>
    </border>
    <border>
      <left/>
      <right style="hair">
        <color indexed="64"/>
      </right>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hair">
        <color indexed="64"/>
      </top>
      <bottom style="hair">
        <color indexed="64"/>
      </bottom>
      <diagonal/>
    </border>
    <border>
      <left style="medium">
        <color indexed="64"/>
      </left>
      <right style="medium">
        <color indexed="64"/>
      </right>
      <top style="hair">
        <color indexed="64"/>
      </top>
      <bottom/>
      <diagonal/>
    </border>
    <border>
      <left style="medium">
        <color indexed="64"/>
      </left>
      <right style="medium">
        <color indexed="64"/>
      </right>
      <top/>
      <bottom style="hair">
        <color indexed="64"/>
      </bottom>
      <diagonal/>
    </border>
    <border>
      <left style="medium">
        <color indexed="64"/>
      </left>
      <right style="medium">
        <color indexed="64"/>
      </right>
      <top/>
      <bottom style="thin">
        <color theme="4" tint="0.39997558519241921"/>
      </bottom>
      <diagonal/>
    </border>
    <border>
      <left style="medium">
        <color indexed="64"/>
      </left>
      <right style="medium">
        <color indexed="64"/>
      </right>
      <top style="thin">
        <color theme="4" tint="0.39997558519241921"/>
      </top>
      <bottom style="thin">
        <color theme="4" tint="0.39997558519241921"/>
      </bottom>
      <diagonal/>
    </border>
    <border>
      <left style="medium">
        <color indexed="64"/>
      </left>
      <right style="medium">
        <color indexed="64"/>
      </right>
      <top/>
      <bottom style="thin">
        <color rgb="FF9BC2E6"/>
      </bottom>
      <diagonal/>
    </border>
    <border>
      <left style="medium">
        <color indexed="64"/>
      </left>
      <right style="medium">
        <color indexed="64"/>
      </right>
      <top style="thin">
        <color rgb="FF9BC2E6"/>
      </top>
      <bottom style="thin">
        <color rgb="FF9BC2E6"/>
      </bottom>
      <diagonal/>
    </border>
    <border>
      <left style="medium">
        <color indexed="64"/>
      </left>
      <right style="medium">
        <color indexed="64"/>
      </right>
      <top/>
      <bottom style="medium">
        <color indexed="64"/>
      </bottom>
      <diagonal/>
    </border>
  </borders>
  <cellStyleXfs count="112">
    <xf numFmtId="0" fontId="0" fillId="0" borderId="0"/>
    <xf numFmtId="0" fontId="7" fillId="0" borderId="1"/>
    <xf numFmtId="0" fontId="3" fillId="0" borderId="1"/>
    <xf numFmtId="0" fontId="11" fillId="0" borderId="2" applyNumberFormat="0" applyFill="0" applyAlignment="0" applyProtection="0"/>
    <xf numFmtId="0" fontId="12" fillId="0" borderId="3" applyNumberFormat="0" applyFill="0" applyAlignment="0" applyProtection="0"/>
    <xf numFmtId="0" fontId="13" fillId="0" borderId="4" applyNumberFormat="0" applyFill="0" applyAlignment="0" applyProtection="0"/>
    <xf numFmtId="0" fontId="17" fillId="5" borderId="5" applyNumberFormat="0" applyAlignment="0" applyProtection="0"/>
    <xf numFmtId="0" fontId="18" fillId="6" borderId="6" applyNumberFormat="0" applyAlignment="0" applyProtection="0"/>
    <xf numFmtId="0" fontId="19" fillId="6" borderId="5" applyNumberFormat="0" applyAlignment="0" applyProtection="0"/>
    <xf numFmtId="0" fontId="20" fillId="0" borderId="7" applyNumberFormat="0" applyFill="0" applyAlignment="0" applyProtection="0"/>
    <xf numFmtId="0" fontId="21" fillId="7" borderId="8" applyNumberFormat="0" applyAlignment="0" applyProtection="0"/>
    <xf numFmtId="0" fontId="8" fillId="0" borderId="10" applyNumberFormat="0" applyFill="0" applyAlignment="0" applyProtection="0"/>
    <xf numFmtId="0" fontId="9" fillId="0" borderId="1"/>
    <xf numFmtId="0" fontId="2" fillId="0" borderId="1"/>
    <xf numFmtId="0" fontId="9" fillId="0" borderId="1"/>
    <xf numFmtId="0" fontId="9" fillId="0" borderId="1"/>
    <xf numFmtId="0" fontId="9" fillId="0" borderId="1"/>
    <xf numFmtId="0" fontId="9" fillId="0" borderId="1"/>
    <xf numFmtId="0" fontId="9" fillId="0" borderId="1"/>
    <xf numFmtId="0" fontId="2" fillId="0" borderId="1"/>
    <xf numFmtId="0" fontId="10" fillId="0" borderId="1" applyNumberFormat="0" applyFill="0" applyBorder="0" applyAlignment="0" applyProtection="0"/>
    <xf numFmtId="0" fontId="13" fillId="0" borderId="1" applyNumberFormat="0" applyFill="0" applyBorder="0" applyAlignment="0" applyProtection="0"/>
    <xf numFmtId="0" fontId="14" fillId="2" borderId="1" applyNumberFormat="0" applyBorder="0" applyAlignment="0" applyProtection="0"/>
    <xf numFmtId="0" fontId="15" fillId="3" borderId="1" applyNumberFormat="0" applyBorder="0" applyAlignment="0" applyProtection="0"/>
    <xf numFmtId="0" fontId="16" fillId="4" borderId="1" applyNumberFormat="0" applyBorder="0" applyAlignment="0" applyProtection="0"/>
    <xf numFmtId="0" fontId="22" fillId="0" borderId="1" applyNumberFormat="0" applyFill="0" applyBorder="0" applyAlignment="0" applyProtection="0"/>
    <xf numFmtId="0" fontId="2" fillId="8" borderId="9" applyNumberFormat="0" applyFont="0" applyAlignment="0" applyProtection="0"/>
    <xf numFmtId="0" fontId="23" fillId="0" borderId="1" applyNumberFormat="0" applyFill="0" applyBorder="0" applyAlignment="0" applyProtection="0"/>
    <xf numFmtId="0" fontId="24" fillId="9" borderId="1" applyNumberFormat="0" applyBorder="0" applyAlignment="0" applyProtection="0"/>
    <xf numFmtId="0" fontId="2" fillId="10" borderId="1" applyNumberFormat="0" applyBorder="0" applyAlignment="0" applyProtection="0"/>
    <xf numFmtId="0" fontId="2" fillId="11" borderId="1" applyNumberFormat="0" applyBorder="0" applyAlignment="0" applyProtection="0"/>
    <xf numFmtId="0" fontId="2" fillId="12" borderId="1" applyNumberFormat="0" applyBorder="0" applyAlignment="0" applyProtection="0"/>
    <xf numFmtId="0" fontId="24" fillId="13" borderId="1" applyNumberFormat="0" applyBorder="0" applyAlignment="0" applyProtection="0"/>
    <xf numFmtId="0" fontId="2" fillId="14" borderId="1" applyNumberFormat="0" applyBorder="0" applyAlignment="0" applyProtection="0"/>
    <xf numFmtId="0" fontId="2" fillId="15" borderId="1" applyNumberFormat="0" applyBorder="0" applyAlignment="0" applyProtection="0"/>
    <xf numFmtId="0" fontId="2" fillId="16" borderId="1" applyNumberFormat="0" applyBorder="0" applyAlignment="0" applyProtection="0"/>
    <xf numFmtId="0" fontId="24" fillId="17" borderId="1" applyNumberFormat="0" applyBorder="0" applyAlignment="0" applyProtection="0"/>
    <xf numFmtId="0" fontId="2" fillId="18" borderId="1" applyNumberFormat="0" applyBorder="0" applyAlignment="0" applyProtection="0"/>
    <xf numFmtId="0" fontId="2" fillId="19" borderId="1" applyNumberFormat="0" applyBorder="0" applyAlignment="0" applyProtection="0"/>
    <xf numFmtId="0" fontId="2" fillId="20" borderId="1" applyNumberFormat="0" applyBorder="0" applyAlignment="0" applyProtection="0"/>
    <xf numFmtId="0" fontId="24" fillId="21" borderId="1" applyNumberFormat="0" applyBorder="0" applyAlignment="0" applyProtection="0"/>
    <xf numFmtId="0" fontId="2" fillId="22" borderId="1" applyNumberFormat="0" applyBorder="0" applyAlignment="0" applyProtection="0"/>
    <xf numFmtId="0" fontId="2" fillId="23" borderId="1" applyNumberFormat="0" applyBorder="0" applyAlignment="0" applyProtection="0"/>
    <xf numFmtId="0" fontId="2" fillId="24" borderId="1" applyNumberFormat="0" applyBorder="0" applyAlignment="0" applyProtection="0"/>
    <xf numFmtId="0" fontId="24" fillId="25" borderId="1" applyNumberFormat="0" applyBorder="0" applyAlignment="0" applyProtection="0"/>
    <xf numFmtId="0" fontId="2" fillId="26" borderId="1" applyNumberFormat="0" applyBorder="0" applyAlignment="0" applyProtection="0"/>
    <xf numFmtId="0" fontId="2" fillId="27" borderId="1" applyNumberFormat="0" applyBorder="0" applyAlignment="0" applyProtection="0"/>
    <xf numFmtId="0" fontId="2" fillId="28" borderId="1" applyNumberFormat="0" applyBorder="0" applyAlignment="0" applyProtection="0"/>
    <xf numFmtId="0" fontId="24" fillId="29" borderId="1" applyNumberFormat="0" applyBorder="0" applyAlignment="0" applyProtection="0"/>
    <xf numFmtId="0" fontId="2" fillId="30" borderId="1" applyNumberFormat="0" applyBorder="0" applyAlignment="0" applyProtection="0"/>
    <xf numFmtId="0" fontId="2" fillId="31" borderId="1" applyNumberFormat="0" applyBorder="0" applyAlignment="0" applyProtection="0"/>
    <xf numFmtId="0" fontId="2" fillId="32" borderId="1" applyNumberFormat="0" applyBorder="0" applyAlignment="0" applyProtection="0"/>
    <xf numFmtId="0" fontId="9" fillId="0" borderId="1"/>
    <xf numFmtId="0" fontId="9" fillId="0" borderId="1"/>
    <xf numFmtId="0" fontId="9" fillId="0" borderId="1"/>
    <xf numFmtId="0" fontId="9" fillId="0" borderId="1"/>
    <xf numFmtId="0" fontId="9" fillId="0" borderId="1"/>
    <xf numFmtId="0" fontId="9" fillId="0" borderId="1"/>
    <xf numFmtId="0" fontId="9" fillId="0" borderId="1"/>
    <xf numFmtId="0" fontId="9" fillId="0" borderId="1"/>
    <xf numFmtId="0" fontId="9" fillId="0" borderId="1"/>
    <xf numFmtId="0" fontId="9" fillId="0" borderId="1"/>
    <xf numFmtId="0" fontId="9" fillId="0" borderId="1"/>
    <xf numFmtId="0" fontId="9" fillId="0" borderId="1"/>
    <xf numFmtId="0" fontId="9" fillId="0" borderId="1"/>
    <xf numFmtId="0" fontId="9" fillId="0" borderId="1"/>
    <xf numFmtId="0" fontId="4" fillId="0" borderId="1"/>
    <xf numFmtId="0" fontId="1" fillId="0" borderId="1"/>
    <xf numFmtId="0" fontId="4" fillId="0" borderId="1"/>
    <xf numFmtId="0" fontId="1" fillId="0" borderId="1"/>
    <xf numFmtId="0" fontId="4" fillId="0" borderId="1"/>
    <xf numFmtId="0" fontId="4" fillId="0" borderId="1"/>
    <xf numFmtId="0" fontId="4" fillId="0" borderId="1"/>
    <xf numFmtId="0" fontId="4" fillId="0" borderId="1"/>
    <xf numFmtId="0" fontId="4" fillId="0" borderId="1"/>
    <xf numFmtId="0" fontId="1" fillId="0" borderId="1"/>
    <xf numFmtId="0" fontId="1" fillId="8" borderId="9" applyNumberFormat="0" applyFont="0" applyAlignment="0" applyProtection="0"/>
    <xf numFmtId="0" fontId="1" fillId="10" borderId="1" applyNumberFormat="0" applyBorder="0" applyAlignment="0" applyProtection="0"/>
    <xf numFmtId="0" fontId="1" fillId="11" borderId="1" applyNumberFormat="0" applyBorder="0" applyAlignment="0" applyProtection="0"/>
    <xf numFmtId="0" fontId="1" fillId="12" borderId="1" applyNumberFormat="0" applyBorder="0" applyAlignment="0" applyProtection="0"/>
    <xf numFmtId="0" fontId="1" fillId="14" borderId="1" applyNumberFormat="0" applyBorder="0" applyAlignment="0" applyProtection="0"/>
    <xf numFmtId="0" fontId="1" fillId="15" borderId="1" applyNumberFormat="0" applyBorder="0" applyAlignment="0" applyProtection="0"/>
    <xf numFmtId="0" fontId="1" fillId="16" borderId="1" applyNumberFormat="0" applyBorder="0" applyAlignment="0" applyProtection="0"/>
    <xf numFmtId="0" fontId="1" fillId="18" borderId="1" applyNumberFormat="0" applyBorder="0" applyAlignment="0" applyProtection="0"/>
    <xf numFmtId="0" fontId="1" fillId="19" borderId="1" applyNumberFormat="0" applyBorder="0" applyAlignment="0" applyProtection="0"/>
    <xf numFmtId="0" fontId="1" fillId="20" borderId="1" applyNumberFormat="0" applyBorder="0" applyAlignment="0" applyProtection="0"/>
    <xf numFmtId="0" fontId="1" fillId="22" borderId="1" applyNumberFormat="0" applyBorder="0" applyAlignment="0" applyProtection="0"/>
    <xf numFmtId="0" fontId="1" fillId="23" borderId="1" applyNumberFormat="0" applyBorder="0" applyAlignment="0" applyProtection="0"/>
    <xf numFmtId="0" fontId="1" fillId="24" borderId="1" applyNumberFormat="0" applyBorder="0" applyAlignment="0" applyProtection="0"/>
    <xf numFmtId="0" fontId="1" fillId="26" borderId="1" applyNumberFormat="0" applyBorder="0" applyAlignment="0" applyProtection="0"/>
    <xf numFmtId="0" fontId="1" fillId="27" borderId="1" applyNumberFormat="0" applyBorder="0" applyAlignment="0" applyProtection="0"/>
    <xf numFmtId="0" fontId="1" fillId="28" borderId="1" applyNumberFormat="0" applyBorder="0" applyAlignment="0" applyProtection="0"/>
    <xf numFmtId="0" fontId="1" fillId="30" borderId="1" applyNumberFormat="0" applyBorder="0" applyAlignment="0" applyProtection="0"/>
    <xf numFmtId="0" fontId="1" fillId="31" borderId="1" applyNumberFormat="0" applyBorder="0" applyAlignment="0" applyProtection="0"/>
    <xf numFmtId="0" fontId="1" fillId="32" borderId="1" applyNumberFormat="0" applyBorder="0" applyAlignment="0" applyProtection="0"/>
    <xf numFmtId="0" fontId="4" fillId="0" borderId="1"/>
    <xf numFmtId="0" fontId="4" fillId="0" borderId="1"/>
    <xf numFmtId="0" fontId="4" fillId="0" borderId="1"/>
    <xf numFmtId="0" fontId="4" fillId="0" borderId="1"/>
    <xf numFmtId="0" fontId="4" fillId="0" borderId="1"/>
    <xf numFmtId="0" fontId="4" fillId="0" borderId="1"/>
    <xf numFmtId="0" fontId="4" fillId="0" borderId="1"/>
    <xf numFmtId="0" fontId="4" fillId="0" borderId="1"/>
    <xf numFmtId="0" fontId="4" fillId="0" borderId="1"/>
    <xf numFmtId="0" fontId="4" fillId="0" borderId="1"/>
    <xf numFmtId="0" fontId="4" fillId="0" borderId="1"/>
    <xf numFmtId="0" fontId="4" fillId="0" borderId="1"/>
    <xf numFmtId="0" fontId="4" fillId="0" borderId="1"/>
    <xf numFmtId="0" fontId="4" fillId="0" borderId="1"/>
    <xf numFmtId="0" fontId="26" fillId="2" borderId="0" applyNumberFormat="0" applyBorder="0" applyAlignment="0" applyProtection="0"/>
    <xf numFmtId="0" fontId="34" fillId="0" borderId="1" applyNumberFormat="0" applyFill="0" applyBorder="0" applyAlignment="0" applyProtection="0"/>
    <xf numFmtId="164" fontId="36" fillId="0" borderId="0" applyFont="0" applyFill="0" applyBorder="0" applyAlignment="0" applyProtection="0"/>
  </cellStyleXfs>
  <cellXfs count="1589">
    <xf numFmtId="0" fontId="0" fillId="0" borderId="0" xfId="0"/>
    <xf numFmtId="0" fontId="5" fillId="0" borderId="1" xfId="0" applyFont="1" applyBorder="1"/>
    <xf numFmtId="0" fontId="5" fillId="0" borderId="1" xfId="0" applyFont="1" applyBorder="1" applyAlignment="1">
      <alignment vertical="center"/>
    </xf>
    <xf numFmtId="1" fontId="5" fillId="0" borderId="1" xfId="0" applyNumberFormat="1" applyFont="1" applyBorder="1"/>
    <xf numFmtId="0" fontId="5" fillId="0" borderId="1" xfId="0" applyFont="1" applyBorder="1" applyAlignment="1">
      <alignment horizontal="left" vertical="center"/>
    </xf>
    <xf numFmtId="0" fontId="25" fillId="0" borderId="0" xfId="0" applyFont="1"/>
    <xf numFmtId="0" fontId="5" fillId="0" borderId="0" xfId="0" applyFont="1"/>
    <xf numFmtId="0" fontId="25" fillId="0" borderId="0" xfId="0" applyFont="1" applyAlignment="1">
      <alignment vertical="center"/>
    </xf>
    <xf numFmtId="0" fontId="25" fillId="0" borderId="0" xfId="0" applyFont="1" applyAlignment="1">
      <alignment vertical="center" wrapText="1"/>
    </xf>
    <xf numFmtId="0" fontId="25" fillId="0" borderId="0" xfId="0" applyFont="1" applyAlignment="1">
      <alignment horizontal="left" vertical="center"/>
    </xf>
    <xf numFmtId="1" fontId="5" fillId="0" borderId="1" xfId="0" applyNumberFormat="1" applyFont="1" applyBorder="1" applyAlignment="1">
      <alignment vertical="center"/>
    </xf>
    <xf numFmtId="0" fontId="5" fillId="0" borderId="0" xfId="0" applyFont="1" applyAlignment="1">
      <alignment vertical="center"/>
    </xf>
    <xf numFmtId="1" fontId="5" fillId="0" borderId="1" xfId="0" applyNumberFormat="1" applyFont="1" applyBorder="1" applyAlignment="1">
      <alignment horizontal="left" vertical="center"/>
    </xf>
    <xf numFmtId="0" fontId="5" fillId="0" borderId="1" xfId="0" applyFont="1" applyBorder="1" applyAlignment="1">
      <alignment horizontal="left"/>
    </xf>
    <xf numFmtId="1" fontId="5" fillId="0" borderId="1" xfId="0" applyNumberFormat="1" applyFont="1" applyBorder="1" applyAlignment="1">
      <alignment vertical="center" wrapText="1"/>
    </xf>
    <xf numFmtId="1" fontId="5" fillId="0" borderId="1" xfId="0" applyNumberFormat="1" applyFont="1" applyBorder="1" applyAlignment="1">
      <alignment horizontal="left"/>
    </xf>
    <xf numFmtId="0" fontId="25" fillId="0" borderId="0" xfId="0" applyFont="1" applyAlignment="1">
      <alignment horizontal="center"/>
    </xf>
    <xf numFmtId="0" fontId="5" fillId="33" borderId="1" xfId="0" applyFont="1" applyFill="1" applyBorder="1" applyAlignment="1">
      <alignment horizontal="center" vertical="center" wrapText="1"/>
    </xf>
    <xf numFmtId="49" fontId="5" fillId="0" borderId="1" xfId="0" applyNumberFormat="1" applyFont="1" applyBorder="1" applyAlignment="1">
      <alignment horizontal="center"/>
    </xf>
    <xf numFmtId="3" fontId="5" fillId="0" borderId="1" xfId="0" applyNumberFormat="1" applyFont="1" applyBorder="1" applyAlignment="1">
      <alignment horizontal="center"/>
    </xf>
    <xf numFmtId="49" fontId="5" fillId="0" borderId="1" xfId="0" applyNumberFormat="1" applyFont="1" applyBorder="1" applyAlignment="1">
      <alignment horizontal="center" vertical="center"/>
    </xf>
    <xf numFmtId="0" fontId="5" fillId="0" borderId="1" xfId="0" applyFont="1" applyBorder="1" applyAlignment="1">
      <alignment horizontal="center"/>
    </xf>
    <xf numFmtId="3" fontId="5" fillId="0" borderId="1" xfId="0" applyNumberFormat="1" applyFont="1" applyBorder="1" applyAlignment="1">
      <alignment horizontal="center" vertical="center"/>
    </xf>
    <xf numFmtId="49" fontId="5" fillId="0" borderId="1" xfId="0" applyNumberFormat="1" applyFont="1" applyBorder="1" applyAlignment="1">
      <alignment horizontal="center" vertical="top"/>
    </xf>
    <xf numFmtId="0" fontId="5" fillId="0" borderId="1" xfId="0" applyFont="1" applyBorder="1" applyAlignment="1">
      <alignment horizontal="center" vertical="center"/>
    </xf>
    <xf numFmtId="3" fontId="5" fillId="0" borderId="1" xfId="0" applyNumberFormat="1" applyFont="1" applyBorder="1" applyAlignment="1">
      <alignment horizontal="center" vertical="center" wrapText="1"/>
    </xf>
    <xf numFmtId="0" fontId="25" fillId="0" borderId="1" xfId="0" applyFont="1" applyBorder="1" applyAlignment="1">
      <alignment horizontal="center"/>
    </xf>
    <xf numFmtId="0" fontId="25" fillId="0" borderId="1" xfId="0" applyFont="1" applyBorder="1"/>
    <xf numFmtId="0" fontId="27" fillId="0" borderId="0" xfId="0" applyFont="1"/>
    <xf numFmtId="0" fontId="5" fillId="34" borderId="1" xfId="0" applyFont="1" applyFill="1" applyBorder="1" applyAlignment="1">
      <alignment horizontal="center" vertical="center" wrapText="1"/>
    </xf>
    <xf numFmtId="0" fontId="25" fillId="34" borderId="0" xfId="0" applyFont="1" applyFill="1" applyAlignment="1">
      <alignment horizontal="center" vertical="center"/>
    </xf>
    <xf numFmtId="0" fontId="25" fillId="34" borderId="0" xfId="0" applyFont="1" applyFill="1" applyAlignment="1">
      <alignment horizontal="center" vertical="center" wrapText="1"/>
    </xf>
    <xf numFmtId="165" fontId="5" fillId="33" borderId="1" xfId="0" applyNumberFormat="1" applyFont="1" applyFill="1" applyBorder="1" applyAlignment="1">
      <alignment horizontal="center" vertical="center" wrapText="1"/>
    </xf>
    <xf numFmtId="165" fontId="5" fillId="0" borderId="1" xfId="0" applyNumberFormat="1" applyFont="1" applyBorder="1"/>
    <xf numFmtId="165" fontId="5" fillId="0" borderId="1" xfId="0" applyNumberFormat="1" applyFont="1" applyBorder="1" applyAlignment="1">
      <alignment vertical="center"/>
    </xf>
    <xf numFmtId="165" fontId="5" fillId="0" borderId="1" xfId="0" applyNumberFormat="1" applyFont="1" applyBorder="1" applyAlignment="1">
      <alignment horizontal="right" vertical="center"/>
    </xf>
    <xf numFmtId="165" fontId="5" fillId="0" borderId="0" xfId="0" applyNumberFormat="1" applyFont="1"/>
    <xf numFmtId="165" fontId="5" fillId="0" borderId="0" xfId="0" applyNumberFormat="1" applyFont="1" applyAlignment="1">
      <alignment vertical="center"/>
    </xf>
    <xf numFmtId="165" fontId="5" fillId="0" borderId="1" xfId="0" applyNumberFormat="1" applyFont="1" applyBorder="1" applyAlignment="1">
      <alignment horizontal="right"/>
    </xf>
    <xf numFmtId="165" fontId="25" fillId="0" borderId="0" xfId="0" applyNumberFormat="1" applyFont="1"/>
    <xf numFmtId="0" fontId="28" fillId="34" borderId="0" xfId="109" applyFont="1" applyFill="1"/>
    <xf numFmtId="165" fontId="28" fillId="34" borderId="1" xfId="109" applyNumberFormat="1" applyFont="1" applyFill="1" applyBorder="1"/>
    <xf numFmtId="0" fontId="25" fillId="0" borderId="0" xfId="0" applyFont="1" applyAlignment="1">
      <alignment horizontal="center" vertical="center"/>
    </xf>
    <xf numFmtId="0" fontId="25" fillId="35" borderId="0" xfId="0" applyFont="1" applyFill="1" applyAlignment="1">
      <alignment horizontal="center" vertical="center"/>
    </xf>
    <xf numFmtId="0" fontId="5" fillId="36" borderId="1" xfId="0" applyFont="1" applyFill="1" applyBorder="1"/>
    <xf numFmtId="165" fontId="5" fillId="36" borderId="1" xfId="0" applyNumberFormat="1" applyFont="1" applyFill="1" applyBorder="1"/>
    <xf numFmtId="49" fontId="5" fillId="36" borderId="1" xfId="0" applyNumberFormat="1" applyFont="1" applyFill="1" applyBorder="1" applyAlignment="1">
      <alignment horizontal="center"/>
    </xf>
    <xf numFmtId="0" fontId="25" fillId="36" borderId="0" xfId="0" applyFont="1" applyFill="1" applyAlignment="1">
      <alignment horizontal="center" vertical="center"/>
    </xf>
    <xf numFmtId="0" fontId="25" fillId="36" borderId="0" xfId="0" applyFont="1" applyFill="1"/>
    <xf numFmtId="0" fontId="5" fillId="36" borderId="0" xfId="0" applyFont="1" applyFill="1"/>
    <xf numFmtId="165" fontId="5" fillId="36" borderId="0" xfId="0" applyNumberFormat="1" applyFont="1" applyFill="1"/>
    <xf numFmtId="0" fontId="5" fillId="36" borderId="1" xfId="0" applyFont="1" applyFill="1" applyBorder="1" applyAlignment="1">
      <alignment horizontal="center"/>
    </xf>
    <xf numFmtId="0" fontId="5" fillId="35" borderId="1" xfId="0" applyFont="1" applyFill="1" applyBorder="1"/>
    <xf numFmtId="165" fontId="5" fillId="35" borderId="1" xfId="0" applyNumberFormat="1" applyFont="1" applyFill="1" applyBorder="1"/>
    <xf numFmtId="49" fontId="5" fillId="35" borderId="1" xfId="0" applyNumberFormat="1" applyFont="1" applyFill="1" applyBorder="1" applyAlignment="1">
      <alignment horizontal="center"/>
    </xf>
    <xf numFmtId="0" fontId="25" fillId="35" borderId="0" xfId="0" applyFont="1" applyFill="1"/>
    <xf numFmtId="0" fontId="25" fillId="0" borderId="0" xfId="0" applyFont="1" applyAlignment="1">
      <alignment vertical="top"/>
    </xf>
    <xf numFmtId="0" fontId="30" fillId="0" borderId="0" xfId="0" applyFont="1"/>
    <xf numFmtId="0" fontId="32" fillId="0" borderId="0" xfId="0" applyFont="1"/>
    <xf numFmtId="0" fontId="33" fillId="0" borderId="0" xfId="0" applyFont="1" applyAlignment="1">
      <alignment vertical="center"/>
    </xf>
    <xf numFmtId="0" fontId="35" fillId="0" borderId="0" xfId="0" applyFont="1"/>
    <xf numFmtId="0" fontId="31" fillId="0" borderId="0" xfId="0" applyFont="1"/>
    <xf numFmtId="0" fontId="29" fillId="0" borderId="0" xfId="0" applyFont="1"/>
    <xf numFmtId="0" fontId="5" fillId="35" borderId="1" xfId="0" applyFont="1" applyFill="1" applyBorder="1" applyAlignment="1">
      <alignment horizontal="center"/>
    </xf>
    <xf numFmtId="0" fontId="0" fillId="0" borderId="0" xfId="0" applyAlignment="1">
      <alignment vertical="top" wrapText="1"/>
    </xf>
    <xf numFmtId="0" fontId="0" fillId="33" borderId="0" xfId="0" applyFill="1"/>
    <xf numFmtId="168" fontId="5" fillId="33" borderId="1" xfId="0" applyNumberFormat="1" applyFont="1" applyFill="1" applyBorder="1" applyAlignment="1">
      <alignment horizontal="center" vertical="center" wrapText="1"/>
    </xf>
    <xf numFmtId="168" fontId="5" fillId="0" borderId="1" xfId="0" applyNumberFormat="1" applyFont="1" applyBorder="1"/>
    <xf numFmtId="168" fontId="28" fillId="34" borderId="1" xfId="109" applyNumberFormat="1" applyFont="1" applyFill="1" applyBorder="1"/>
    <xf numFmtId="168" fontId="25" fillId="0" borderId="0" xfId="0" applyNumberFormat="1" applyFont="1"/>
    <xf numFmtId="0" fontId="4" fillId="0" borderId="0" xfId="0" applyFont="1"/>
    <xf numFmtId="0" fontId="25" fillId="34" borderId="21" xfId="0" applyFont="1" applyFill="1" applyBorder="1" applyAlignment="1" applyProtection="1">
      <alignment horizontal="center" vertical="center"/>
      <protection locked="0"/>
    </xf>
    <xf numFmtId="169" fontId="25" fillId="35" borderId="19" xfId="111" applyNumberFormat="1" applyFont="1" applyFill="1" applyBorder="1"/>
    <xf numFmtId="0" fontId="25" fillId="35" borderId="25" xfId="0" applyFont="1" applyFill="1" applyBorder="1"/>
    <xf numFmtId="0" fontId="25" fillId="35" borderId="23" xfId="0" applyFont="1" applyFill="1" applyBorder="1"/>
    <xf numFmtId="0" fontId="25" fillId="35" borderId="26" xfId="0" applyFont="1" applyFill="1" applyBorder="1"/>
    <xf numFmtId="0" fontId="5" fillId="33" borderId="24" xfId="0" applyFont="1" applyFill="1" applyBorder="1" applyAlignment="1">
      <alignment horizontal="center" vertical="center" wrapText="1"/>
    </xf>
    <xf numFmtId="0" fontId="5" fillId="34" borderId="25" xfId="0" applyFont="1" applyFill="1" applyBorder="1" applyAlignment="1">
      <alignment horizontal="center" vertical="center" wrapText="1"/>
    </xf>
    <xf numFmtId="0" fontId="5" fillId="33" borderId="21" xfId="0" applyFont="1" applyFill="1" applyBorder="1" applyAlignment="1">
      <alignment horizontal="center" vertical="center" wrapText="1"/>
    </xf>
    <xf numFmtId="169" fontId="5" fillId="0" borderId="1" xfId="111" applyNumberFormat="1" applyFont="1" applyBorder="1"/>
    <xf numFmtId="168" fontId="25" fillId="0" borderId="0" xfId="0" applyNumberFormat="1" applyFont="1" applyAlignment="1">
      <alignment horizontal="left"/>
    </xf>
    <xf numFmtId="0" fontId="25" fillId="37" borderId="0" xfId="0" applyFont="1" applyFill="1" applyAlignment="1">
      <alignment vertical="center"/>
    </xf>
    <xf numFmtId="0" fontId="25" fillId="0" borderId="24" xfId="0" applyFont="1" applyBorder="1"/>
    <xf numFmtId="0" fontId="0" fillId="38" borderId="0" xfId="0" applyFill="1"/>
    <xf numFmtId="0" fontId="25" fillId="0" borderId="0" xfId="0" applyFont="1" applyAlignment="1">
      <alignment horizontal="right"/>
    </xf>
    <xf numFmtId="0" fontId="37" fillId="0" borderId="0" xfId="0" applyFont="1" applyAlignment="1">
      <alignment horizontal="center"/>
    </xf>
    <xf numFmtId="0" fontId="33" fillId="0" borderId="31" xfId="0" applyFont="1" applyBorder="1" applyAlignment="1">
      <alignment vertical="center"/>
    </xf>
    <xf numFmtId="0" fontId="38" fillId="0" borderId="0" xfId="0" applyFont="1"/>
    <xf numFmtId="0" fontId="25" fillId="0" borderId="38" xfId="0" applyFont="1" applyBorder="1" applyAlignment="1">
      <alignment horizontal="center" vertical="center"/>
    </xf>
    <xf numFmtId="0" fontId="25" fillId="35" borderId="0" xfId="0" applyFont="1" applyFill="1" applyAlignment="1" applyProtection="1">
      <alignment horizontal="center" vertical="center"/>
      <protection locked="0"/>
    </xf>
    <xf numFmtId="0" fontId="40" fillId="0" borderId="0" xfId="0" applyFont="1"/>
    <xf numFmtId="0" fontId="40" fillId="0" borderId="1" xfId="0" applyFont="1" applyBorder="1"/>
    <xf numFmtId="0" fontId="42" fillId="0" borderId="0" xfId="0" applyFont="1"/>
    <xf numFmtId="0" fontId="47" fillId="0" borderId="0" xfId="0" applyFont="1"/>
    <xf numFmtId="0" fontId="40" fillId="0" borderId="29" xfId="0" applyFont="1" applyBorder="1"/>
    <xf numFmtId="0" fontId="41" fillId="0" borderId="0" xfId="0" applyFont="1" applyAlignment="1">
      <alignment horizontal="left" indent="2"/>
    </xf>
    <xf numFmtId="0" fontId="39" fillId="0" borderId="0" xfId="0" applyFont="1" applyAlignment="1">
      <alignment horizontal="left" vertical="center" indent="2"/>
    </xf>
    <xf numFmtId="0" fontId="47" fillId="0" borderId="0" xfId="0" applyFont="1" applyAlignment="1">
      <alignment horizontal="left" indent="2"/>
    </xf>
    <xf numFmtId="0" fontId="25" fillId="0" borderId="27" xfId="0" applyFont="1" applyBorder="1" applyAlignment="1">
      <alignment horizontal="center" vertical="center"/>
    </xf>
    <xf numFmtId="0" fontId="25" fillId="35" borderId="22" xfId="0" applyFont="1" applyFill="1" applyBorder="1" applyAlignment="1" applyProtection="1">
      <alignment horizontal="center"/>
      <protection locked="0"/>
    </xf>
    <xf numFmtId="0" fontId="25" fillId="35" borderId="20" xfId="0" applyFont="1" applyFill="1" applyBorder="1" applyAlignment="1" applyProtection="1">
      <alignment horizontal="center"/>
      <protection locked="0"/>
    </xf>
    <xf numFmtId="0" fontId="25" fillId="35" borderId="20" xfId="0" applyFont="1" applyFill="1" applyBorder="1" applyAlignment="1">
      <alignment horizontal="center"/>
    </xf>
    <xf numFmtId="0" fontId="25" fillId="0" borderId="27" xfId="0" applyFont="1" applyBorder="1"/>
    <xf numFmtId="0" fontId="25" fillId="0" borderId="0" xfId="0" applyFont="1" applyAlignment="1">
      <alignment horizontal="left" vertical="top" wrapText="1"/>
    </xf>
    <xf numFmtId="0" fontId="48" fillId="0" borderId="0" xfId="0" applyFont="1" applyAlignment="1">
      <alignment horizontal="left" vertical="top" wrapText="1"/>
    </xf>
    <xf numFmtId="0" fontId="48" fillId="0" borderId="0" xfId="0" applyFont="1"/>
    <xf numFmtId="0" fontId="45" fillId="0" borderId="0" xfId="0" applyFont="1" applyAlignment="1">
      <alignment horizontal="center"/>
    </xf>
    <xf numFmtId="0" fontId="53" fillId="0" borderId="0" xfId="0" applyFont="1" applyAlignment="1">
      <alignment horizontal="left" indent="2"/>
    </xf>
    <xf numFmtId="0" fontId="54" fillId="0" borderId="0" xfId="0" applyFont="1" applyAlignment="1">
      <alignment horizontal="left"/>
    </xf>
    <xf numFmtId="0" fontId="55" fillId="0" borderId="0" xfId="0" applyFont="1"/>
    <xf numFmtId="0" fontId="54" fillId="0" borderId="0" xfId="0" applyFont="1"/>
    <xf numFmtId="0" fontId="55" fillId="0" borderId="0" xfId="0" applyFont="1" applyAlignment="1">
      <alignment horizontal="left"/>
    </xf>
    <xf numFmtId="0" fontId="52" fillId="0" borderId="0" xfId="0" applyFont="1" applyAlignment="1">
      <alignment horizontal="justify" vertical="center"/>
    </xf>
    <xf numFmtId="0" fontId="33" fillId="0" borderId="1" xfId="0" applyFont="1" applyBorder="1" applyAlignment="1">
      <alignment vertical="center"/>
    </xf>
    <xf numFmtId="0" fontId="58" fillId="36" borderId="0" xfId="0" applyFont="1" applyFill="1"/>
    <xf numFmtId="0" fontId="51" fillId="36" borderId="0" xfId="0" applyFont="1" applyFill="1" applyAlignment="1">
      <alignment horizontal="left" vertical="top" wrapText="1"/>
    </xf>
    <xf numFmtId="0" fontId="58" fillId="36" borderId="0" xfId="0" applyFont="1" applyFill="1" applyAlignment="1">
      <alignment vertical="center"/>
    </xf>
    <xf numFmtId="0" fontId="52" fillId="0" borderId="0" xfId="0" applyFont="1" applyAlignment="1">
      <alignment horizontal="justify" vertical="center" wrapText="1"/>
    </xf>
    <xf numFmtId="0" fontId="44" fillId="0" borderId="1" xfId="0" applyFont="1" applyBorder="1"/>
    <xf numFmtId="0" fontId="25" fillId="34" borderId="38" xfId="0" applyFont="1" applyFill="1" applyBorder="1" applyAlignment="1" applyProtection="1">
      <alignment horizontal="center" vertical="center"/>
      <protection locked="0"/>
    </xf>
    <xf numFmtId="0" fontId="59" fillId="0" borderId="0" xfId="0" applyFont="1" applyAlignment="1">
      <alignment horizontal="left"/>
    </xf>
    <xf numFmtId="0" fontId="59" fillId="0" borderId="0" xfId="0" applyFont="1"/>
    <xf numFmtId="0" fontId="60" fillId="0" borderId="0" xfId="0" applyFont="1"/>
    <xf numFmtId="0" fontId="62" fillId="0" borderId="0" xfId="0" applyFont="1" applyAlignment="1">
      <alignment horizontal="left" indent="2"/>
    </xf>
    <xf numFmtId="14" fontId="54" fillId="0" borderId="0" xfId="0" applyNumberFormat="1" applyFont="1"/>
    <xf numFmtId="168" fontId="5" fillId="35" borderId="1" xfId="0" applyNumberFormat="1" applyFont="1" applyFill="1" applyBorder="1"/>
    <xf numFmtId="168" fontId="61" fillId="0" borderId="1" xfId="109" applyNumberFormat="1" applyFont="1" applyFill="1" applyBorder="1" applyAlignment="1">
      <alignment horizontal="center"/>
    </xf>
    <xf numFmtId="0" fontId="52" fillId="0" borderId="0" xfId="0" applyFont="1" applyAlignment="1">
      <alignment horizontal="center" vertical="center" wrapText="1"/>
    </xf>
    <xf numFmtId="0" fontId="63" fillId="0" borderId="0" xfId="0" applyFont="1"/>
    <xf numFmtId="0" fontId="50" fillId="0" borderId="1" xfId="0" applyFont="1" applyBorder="1" applyAlignment="1">
      <alignment horizontal="center" vertical="center" wrapText="1"/>
    </xf>
    <xf numFmtId="0" fontId="65" fillId="0" borderId="0" xfId="0" applyFont="1" applyAlignment="1">
      <alignment horizontal="left" indent="2"/>
    </xf>
    <xf numFmtId="0" fontId="69" fillId="0" borderId="0" xfId="0" applyFont="1" applyAlignment="1">
      <alignment horizontal="left" vertical="center"/>
    </xf>
    <xf numFmtId="0" fontId="70" fillId="0" borderId="1" xfId="0" applyFont="1" applyBorder="1" applyAlignment="1">
      <alignment horizontal="left" vertical="center"/>
    </xf>
    <xf numFmtId="0" fontId="71" fillId="0" borderId="1" xfId="109" applyFont="1" applyFill="1" applyBorder="1"/>
    <xf numFmtId="0" fontId="0" fillId="0" borderId="0" xfId="0" applyAlignment="1">
      <alignment horizontal="justify" vertical="center"/>
    </xf>
    <xf numFmtId="0" fontId="0" fillId="0" borderId="0" xfId="0" applyAlignment="1">
      <alignment horizontal="justify" vertical="center" wrapText="1"/>
    </xf>
    <xf numFmtId="49" fontId="71" fillId="0" borderId="1" xfId="109" applyNumberFormat="1" applyFont="1" applyFill="1" applyBorder="1" applyAlignment="1">
      <alignment horizontal="center"/>
    </xf>
    <xf numFmtId="0" fontId="70" fillId="0" borderId="1" xfId="109" applyFont="1" applyFill="1" applyBorder="1"/>
    <xf numFmtId="1" fontId="51" fillId="0" borderId="1" xfId="0" applyNumberFormat="1" applyFont="1" applyBorder="1" applyAlignment="1">
      <alignment horizontal="left" vertical="top" wrapText="1"/>
    </xf>
    <xf numFmtId="0" fontId="73" fillId="0" borderId="0" xfId="0" applyFont="1"/>
    <xf numFmtId="0" fontId="72" fillId="41" borderId="0" xfId="0" applyFont="1" applyFill="1"/>
    <xf numFmtId="0" fontId="73" fillId="37" borderId="0" xfId="0" applyFont="1" applyFill="1"/>
    <xf numFmtId="0" fontId="73" fillId="41" borderId="0" xfId="0" applyFont="1" applyFill="1"/>
    <xf numFmtId="0" fontId="5" fillId="42" borderId="1" xfId="0" applyFont="1" applyFill="1" applyBorder="1"/>
    <xf numFmtId="168" fontId="5" fillId="42" borderId="1" xfId="0" applyNumberFormat="1" applyFont="1" applyFill="1" applyBorder="1"/>
    <xf numFmtId="168" fontId="5" fillId="37" borderId="1" xfId="0" applyNumberFormat="1" applyFont="1" applyFill="1" applyBorder="1"/>
    <xf numFmtId="49" fontId="5" fillId="33" borderId="24" xfId="0" applyNumberFormat="1" applyFont="1" applyFill="1" applyBorder="1" applyAlignment="1">
      <alignment horizontal="center" vertical="center" wrapText="1"/>
    </xf>
    <xf numFmtId="49" fontId="5" fillId="42" borderId="1" xfId="0" applyNumberFormat="1" applyFont="1" applyFill="1" applyBorder="1" applyAlignment="1">
      <alignment horizontal="center"/>
    </xf>
    <xf numFmtId="49" fontId="5" fillId="0" borderId="27" xfId="0" applyNumberFormat="1" applyFont="1" applyBorder="1" applyAlignment="1">
      <alignment horizontal="center"/>
    </xf>
    <xf numFmtId="49" fontId="25" fillId="35" borderId="25" xfId="0" applyNumberFormat="1" applyFont="1" applyFill="1" applyBorder="1"/>
    <xf numFmtId="49" fontId="25" fillId="35" borderId="23" xfId="0" applyNumberFormat="1" applyFont="1" applyFill="1" applyBorder="1"/>
    <xf numFmtId="49" fontId="25" fillId="0" borderId="0" xfId="0" applyNumberFormat="1" applyFont="1"/>
    <xf numFmtId="49" fontId="25" fillId="0" borderId="0" xfId="0" applyNumberFormat="1" applyFont="1" applyAlignment="1">
      <alignment vertical="top"/>
    </xf>
    <xf numFmtId="49" fontId="25" fillId="0" borderId="1" xfId="0" applyNumberFormat="1" applyFont="1" applyBorder="1" applyAlignment="1">
      <alignment horizontal="center"/>
    </xf>
    <xf numFmtId="49" fontId="25" fillId="0" borderId="0" xfId="0" applyNumberFormat="1" applyFont="1" applyAlignment="1">
      <alignment horizontal="center"/>
    </xf>
    <xf numFmtId="0" fontId="74" fillId="0" borderId="1" xfId="0" applyFont="1" applyBorder="1"/>
    <xf numFmtId="49" fontId="74" fillId="0" borderId="1" xfId="0" applyNumberFormat="1" applyFont="1" applyBorder="1" applyAlignment="1">
      <alignment horizontal="center"/>
    </xf>
    <xf numFmtId="0" fontId="74" fillId="41" borderId="1" xfId="0" applyFont="1" applyFill="1" applyBorder="1"/>
    <xf numFmtId="168" fontId="74" fillId="41" borderId="1" xfId="0" applyNumberFormat="1" applyFont="1" applyFill="1" applyBorder="1"/>
    <xf numFmtId="49" fontId="74" fillId="41" borderId="1" xfId="0" applyNumberFormat="1" applyFont="1" applyFill="1" applyBorder="1" applyAlignment="1">
      <alignment horizontal="center"/>
    </xf>
    <xf numFmtId="168" fontId="74" fillId="0" borderId="1" xfId="0" applyNumberFormat="1" applyFont="1" applyBorder="1"/>
    <xf numFmtId="49" fontId="74" fillId="42" borderId="1" xfId="0" applyNumberFormat="1" applyFont="1" applyFill="1" applyBorder="1" applyAlignment="1">
      <alignment horizontal="center"/>
    </xf>
    <xf numFmtId="0" fontId="60" fillId="0" borderId="1" xfId="0" applyFont="1" applyBorder="1"/>
    <xf numFmtId="0" fontId="75" fillId="0" borderId="0" xfId="0" applyFont="1"/>
    <xf numFmtId="0" fontId="76" fillId="0" borderId="0" xfId="0" applyFont="1"/>
    <xf numFmtId="0" fontId="25" fillId="42" borderId="21" xfId="0" applyFont="1" applyFill="1" applyBorder="1" applyAlignment="1" applyProtection="1">
      <alignment horizontal="center" vertical="center"/>
      <protection locked="0"/>
    </xf>
    <xf numFmtId="0" fontId="25" fillId="42" borderId="0" xfId="0" applyFont="1" applyFill="1"/>
    <xf numFmtId="0" fontId="29" fillId="42" borderId="0" xfId="0" applyFont="1" applyFill="1"/>
    <xf numFmtId="168" fontId="25" fillId="42" borderId="0" xfId="0" applyNumberFormat="1" applyFont="1" applyFill="1"/>
    <xf numFmtId="0" fontId="25" fillId="37" borderId="21" xfId="0" applyFont="1" applyFill="1" applyBorder="1" applyAlignment="1" applyProtection="1">
      <alignment horizontal="center" vertical="center"/>
      <protection locked="0"/>
    </xf>
    <xf numFmtId="168" fontId="25" fillId="37" borderId="0" xfId="0" applyNumberFormat="1" applyFont="1" applyFill="1"/>
    <xf numFmtId="0" fontId="25" fillId="0" borderId="0" xfId="0" applyFont="1" applyAlignment="1">
      <alignment horizontal="right" vertical="center"/>
    </xf>
    <xf numFmtId="0" fontId="78" fillId="0" borderId="1" xfId="0" applyFont="1" applyBorder="1"/>
    <xf numFmtId="0" fontId="25" fillId="37" borderId="0" xfId="0" applyFont="1" applyFill="1"/>
    <xf numFmtId="0" fontId="25" fillId="42" borderId="0" xfId="0" applyFont="1" applyFill="1" applyAlignment="1">
      <alignment horizontal="left" vertical="center"/>
    </xf>
    <xf numFmtId="0" fontId="25" fillId="42" borderId="0" xfId="0" applyFont="1" applyFill="1" applyAlignment="1">
      <alignment vertical="center"/>
    </xf>
    <xf numFmtId="0" fontId="81" fillId="43" borderId="46" xfId="0" applyFont="1" applyFill="1" applyBorder="1" applyAlignment="1">
      <alignment horizontal="left" vertical="top" wrapText="1"/>
    </xf>
    <xf numFmtId="1" fontId="81" fillId="43" borderId="47" xfId="0" applyNumberFormat="1" applyFont="1" applyFill="1" applyBorder="1" applyAlignment="1">
      <alignment horizontal="left" vertical="top" wrapText="1"/>
    </xf>
    <xf numFmtId="171" fontId="81" fillId="43" borderId="47" xfId="111" applyNumberFormat="1" applyFont="1" applyFill="1" applyBorder="1" applyAlignment="1">
      <alignment horizontal="right" vertical="center" wrapText="1"/>
    </xf>
    <xf numFmtId="0" fontId="81" fillId="43" borderId="47" xfId="0" applyFont="1" applyFill="1" applyBorder="1" applyAlignment="1">
      <alignment horizontal="left" vertical="top" wrapText="1"/>
    </xf>
    <xf numFmtId="171" fontId="81" fillId="43" borderId="47" xfId="111" applyNumberFormat="1" applyFont="1" applyFill="1" applyBorder="1" applyAlignment="1">
      <alignment horizontal="center" vertical="center" wrapText="1"/>
    </xf>
    <xf numFmtId="1" fontId="81" fillId="43" borderId="47" xfId="0" applyNumberFormat="1" applyFont="1" applyFill="1" applyBorder="1" applyAlignment="1">
      <alignment horizontal="center" vertical="center" wrapText="1"/>
    </xf>
    <xf numFmtId="1" fontId="81" fillId="43" borderId="48" xfId="0" applyNumberFormat="1" applyFont="1" applyFill="1" applyBorder="1" applyAlignment="1">
      <alignment horizontal="center" vertical="center" wrapText="1"/>
    </xf>
    <xf numFmtId="0" fontId="81" fillId="0" borderId="46" xfId="0" applyFont="1" applyBorder="1" applyAlignment="1">
      <alignment horizontal="left" vertical="top" wrapText="1"/>
    </xf>
    <xf numFmtId="171" fontId="81" fillId="0" borderId="47" xfId="111" applyNumberFormat="1" applyFont="1" applyBorder="1" applyAlignment="1">
      <alignment horizontal="right" vertical="center" wrapText="1"/>
    </xf>
    <xf numFmtId="0" fontId="81" fillId="0" borderId="47" xfId="0" applyFont="1" applyBorder="1" applyAlignment="1">
      <alignment horizontal="left" vertical="top" wrapText="1"/>
    </xf>
    <xf numFmtId="171" fontId="81" fillId="0" borderId="47" xfId="111" applyNumberFormat="1" applyFont="1" applyBorder="1" applyAlignment="1">
      <alignment horizontal="center" vertical="center" wrapText="1"/>
    </xf>
    <xf numFmtId="1" fontId="81" fillId="0" borderId="47" xfId="0" applyNumberFormat="1" applyFont="1" applyBorder="1" applyAlignment="1">
      <alignment horizontal="center" vertical="center" wrapText="1"/>
    </xf>
    <xf numFmtId="1" fontId="81" fillId="0" borderId="48" xfId="0" applyNumberFormat="1" applyFont="1" applyBorder="1" applyAlignment="1">
      <alignment horizontal="center" vertical="center" wrapText="1"/>
    </xf>
    <xf numFmtId="0" fontId="83" fillId="0" borderId="46" xfId="0" applyFont="1" applyBorder="1" applyAlignment="1">
      <alignment horizontal="left" vertical="top" wrapText="1"/>
    </xf>
    <xf numFmtId="1" fontId="83" fillId="0" borderId="47" xfId="0" applyNumberFormat="1" applyFont="1" applyBorder="1" applyAlignment="1">
      <alignment horizontal="left" vertical="top" wrapText="1"/>
    </xf>
    <xf numFmtId="171" fontId="83" fillId="0" borderId="47" xfId="111" applyNumberFormat="1" applyFont="1" applyBorder="1" applyAlignment="1">
      <alignment horizontal="right" vertical="center" wrapText="1"/>
    </xf>
    <xf numFmtId="0" fontId="83" fillId="0" borderId="47" xfId="0" applyFont="1" applyBorder="1" applyAlignment="1">
      <alignment horizontal="left" vertical="top" wrapText="1"/>
    </xf>
    <xf numFmtId="0" fontId="83" fillId="0" borderId="47" xfId="0" applyFont="1" applyBorder="1" applyAlignment="1">
      <alignment horizontal="center" vertical="center" wrapText="1"/>
    </xf>
    <xf numFmtId="1" fontId="83" fillId="0" borderId="47" xfId="0" applyNumberFormat="1" applyFont="1" applyBorder="1" applyAlignment="1">
      <alignment horizontal="center" vertical="center" wrapText="1"/>
    </xf>
    <xf numFmtId="1" fontId="83" fillId="0" borderId="48" xfId="0" applyNumberFormat="1" applyFont="1" applyBorder="1" applyAlignment="1">
      <alignment horizontal="center" vertical="center" wrapText="1"/>
    </xf>
    <xf numFmtId="0" fontId="83" fillId="43" borderId="46" xfId="0" applyFont="1" applyFill="1" applyBorder="1" applyAlignment="1">
      <alignment horizontal="left" vertical="top" wrapText="1"/>
    </xf>
    <xf numFmtId="1" fontId="83" fillId="43" borderId="47" xfId="0" applyNumberFormat="1" applyFont="1" applyFill="1" applyBorder="1" applyAlignment="1">
      <alignment horizontal="left" vertical="top" wrapText="1"/>
    </xf>
    <xf numFmtId="171" fontId="83" fillId="43" borderId="47" xfId="111" applyNumberFormat="1" applyFont="1" applyFill="1" applyBorder="1" applyAlignment="1">
      <alignment horizontal="right" vertical="center" wrapText="1"/>
    </xf>
    <xf numFmtId="0" fontId="83" fillId="43" borderId="47" xfId="0" applyFont="1" applyFill="1" applyBorder="1" applyAlignment="1">
      <alignment horizontal="left" vertical="top" wrapText="1"/>
    </xf>
    <xf numFmtId="0" fontId="83" fillId="43" borderId="47" xfId="0" applyFont="1" applyFill="1" applyBorder="1" applyAlignment="1">
      <alignment horizontal="center" vertical="center" wrapText="1"/>
    </xf>
    <xf numFmtId="1" fontId="83" fillId="43" borderId="47" xfId="0" applyNumberFormat="1" applyFont="1" applyFill="1" applyBorder="1" applyAlignment="1">
      <alignment horizontal="center" vertical="center" wrapText="1"/>
    </xf>
    <xf numFmtId="1" fontId="83" fillId="43" borderId="48" xfId="0" applyNumberFormat="1" applyFont="1" applyFill="1" applyBorder="1" applyAlignment="1">
      <alignment horizontal="center" vertical="center" wrapText="1"/>
    </xf>
    <xf numFmtId="1" fontId="81" fillId="0" borderId="47" xfId="0" applyNumberFormat="1" applyFont="1" applyBorder="1" applyAlignment="1">
      <alignment horizontal="left" vertical="top" wrapText="1"/>
    </xf>
    <xf numFmtId="0" fontId="81" fillId="43" borderId="47" xfId="0" applyFont="1" applyFill="1" applyBorder="1" applyAlignment="1">
      <alignment horizontal="center" vertical="center" wrapText="1"/>
    </xf>
    <xf numFmtId="1" fontId="81" fillId="0" borderId="48" xfId="0" quotePrefix="1" applyNumberFormat="1" applyFont="1" applyBorder="1" applyAlignment="1">
      <alignment horizontal="center" vertical="center" wrapText="1"/>
    </xf>
    <xf numFmtId="1" fontId="81" fillId="0" borderId="47" xfId="0" quotePrefix="1" applyNumberFormat="1" applyFont="1" applyBorder="1" applyAlignment="1">
      <alignment horizontal="center" vertical="center" wrapText="1"/>
    </xf>
    <xf numFmtId="1" fontId="81" fillId="43" borderId="48" xfId="0" quotePrefix="1" applyNumberFormat="1" applyFont="1" applyFill="1" applyBorder="1" applyAlignment="1">
      <alignment horizontal="center" vertical="center" wrapText="1"/>
    </xf>
    <xf numFmtId="1" fontId="83" fillId="43" borderId="48" xfId="0" quotePrefix="1" applyNumberFormat="1" applyFont="1" applyFill="1" applyBorder="1" applyAlignment="1">
      <alignment horizontal="center" vertical="center" wrapText="1"/>
    </xf>
    <xf numFmtId="0" fontId="85" fillId="0" borderId="46" xfId="0" applyFont="1" applyBorder="1" applyAlignment="1">
      <alignment horizontal="left" vertical="top" wrapText="1"/>
    </xf>
    <xf numFmtId="1" fontId="83" fillId="0" borderId="48" xfId="0" quotePrefix="1" applyNumberFormat="1" applyFont="1" applyBorder="1" applyAlignment="1">
      <alignment horizontal="center" vertical="center" wrapText="1"/>
    </xf>
    <xf numFmtId="1" fontId="83" fillId="43" borderId="46" xfId="0" applyNumberFormat="1" applyFont="1" applyFill="1" applyBorder="1" applyAlignment="1">
      <alignment horizontal="left" vertical="top" wrapText="1"/>
    </xf>
    <xf numFmtId="0" fontId="83" fillId="43" borderId="48" xfId="0" quotePrefix="1" applyFont="1" applyFill="1" applyBorder="1" applyAlignment="1">
      <alignment horizontal="center" vertical="center" wrapText="1"/>
    </xf>
    <xf numFmtId="0" fontId="81" fillId="0" borderId="47" xfId="0" applyFont="1" applyBorder="1" applyAlignment="1">
      <alignment horizontal="center" vertical="center" wrapText="1"/>
    </xf>
    <xf numFmtId="16" fontId="83" fillId="43" borderId="48" xfId="0" quotePrefix="1" applyNumberFormat="1" applyFont="1" applyFill="1" applyBorder="1" applyAlignment="1">
      <alignment horizontal="center" vertical="center" wrapText="1"/>
    </xf>
    <xf numFmtId="0" fontId="83" fillId="0" borderId="48" xfId="0" applyFont="1" applyBorder="1" applyAlignment="1">
      <alignment horizontal="center" vertical="center" wrapText="1"/>
    </xf>
    <xf numFmtId="1" fontId="81" fillId="43" borderId="47" xfId="0" quotePrefix="1" applyNumberFormat="1" applyFont="1" applyFill="1" applyBorder="1" applyAlignment="1">
      <alignment horizontal="center" vertical="center" wrapText="1"/>
    </xf>
    <xf numFmtId="0" fontId="74" fillId="42" borderId="1" xfId="0" applyFont="1" applyFill="1" applyBorder="1"/>
    <xf numFmtId="0" fontId="89" fillId="0" borderId="46" xfId="0" applyFont="1" applyBorder="1" applyAlignment="1">
      <alignment horizontal="left" vertical="top" wrapText="1"/>
    </xf>
    <xf numFmtId="1" fontId="89" fillId="0" borderId="47" xfId="0" quotePrefix="1" applyNumberFormat="1" applyFont="1" applyBorder="1" applyAlignment="1">
      <alignment horizontal="left" vertical="top" wrapText="1"/>
    </xf>
    <xf numFmtId="171" fontId="89" fillId="0" borderId="47" xfId="111" applyNumberFormat="1" applyFont="1" applyBorder="1" applyAlignment="1">
      <alignment horizontal="right" vertical="center" wrapText="1"/>
    </xf>
    <xf numFmtId="171" fontId="89" fillId="43" borderId="47" xfId="111" applyNumberFormat="1" applyFont="1" applyFill="1" applyBorder="1" applyAlignment="1">
      <alignment horizontal="right" vertical="center" wrapText="1"/>
    </xf>
    <xf numFmtId="0" fontId="89" fillId="0" borderId="47" xfId="0" applyFont="1" applyBorder="1" applyAlignment="1">
      <alignment horizontal="left" vertical="top" wrapText="1"/>
    </xf>
    <xf numFmtId="171" fontId="89" fillId="0" borderId="47" xfId="111" applyNumberFormat="1" applyFont="1" applyBorder="1" applyAlignment="1">
      <alignment horizontal="center" vertical="center" wrapText="1"/>
    </xf>
    <xf numFmtId="1" fontId="89" fillId="0" borderId="47" xfId="0" applyNumberFormat="1" applyFont="1" applyBorder="1" applyAlignment="1">
      <alignment horizontal="center" vertical="center" wrapText="1"/>
    </xf>
    <xf numFmtId="1" fontId="89" fillId="0" borderId="48" xfId="0" applyNumberFormat="1" applyFont="1" applyBorder="1" applyAlignment="1">
      <alignment horizontal="center" vertical="center" wrapText="1"/>
    </xf>
    <xf numFmtId="168" fontId="74" fillId="42" borderId="1" xfId="0" applyNumberFormat="1" applyFont="1" applyFill="1" applyBorder="1"/>
    <xf numFmtId="0" fontId="91" fillId="42" borderId="21" xfId="0" applyFont="1" applyFill="1" applyBorder="1" applyAlignment="1" applyProtection="1">
      <alignment horizontal="center" vertical="center"/>
      <protection locked="0"/>
    </xf>
    <xf numFmtId="0" fontId="91" fillId="42" borderId="0" xfId="0" applyFont="1" applyFill="1"/>
    <xf numFmtId="0" fontId="92" fillId="42" borderId="0" xfId="0" applyFont="1" applyFill="1"/>
    <xf numFmtId="168" fontId="91" fillId="42" borderId="0" xfId="0" applyNumberFormat="1" applyFont="1" applyFill="1"/>
    <xf numFmtId="0" fontId="91" fillId="0" borderId="0" xfId="0" applyFont="1"/>
    <xf numFmtId="9" fontId="5" fillId="33" borderId="24" xfId="0" applyNumberFormat="1" applyFont="1" applyFill="1" applyBorder="1" applyAlignment="1">
      <alignment horizontal="center" vertical="center" wrapText="1"/>
    </xf>
    <xf numFmtId="0" fontId="5" fillId="37" borderId="1" xfId="0" applyFont="1" applyFill="1" applyBorder="1"/>
    <xf numFmtId="0" fontId="83" fillId="44" borderId="46" xfId="0" applyFont="1" applyFill="1" applyBorder="1" applyAlignment="1">
      <alignment horizontal="left" vertical="top" wrapText="1"/>
    </xf>
    <xf numFmtId="1" fontId="83" fillId="44" borderId="47" xfId="0" applyNumberFormat="1" applyFont="1" applyFill="1" applyBorder="1" applyAlignment="1">
      <alignment horizontal="left" vertical="top" wrapText="1"/>
    </xf>
    <xf numFmtId="171" fontId="83" fillId="44" borderId="47" xfId="111" applyNumberFormat="1" applyFont="1" applyFill="1" applyBorder="1" applyAlignment="1">
      <alignment horizontal="right" vertical="center" wrapText="1"/>
    </xf>
    <xf numFmtId="171" fontId="81" fillId="44" borderId="47" xfId="111" applyNumberFormat="1" applyFont="1" applyFill="1" applyBorder="1" applyAlignment="1">
      <alignment horizontal="right" vertical="center" wrapText="1"/>
    </xf>
    <xf numFmtId="0" fontId="83" fillId="44" borderId="47" xfId="0" applyFont="1" applyFill="1" applyBorder="1" applyAlignment="1">
      <alignment horizontal="left" vertical="top" wrapText="1"/>
    </xf>
    <xf numFmtId="0" fontId="83" fillId="44" borderId="47" xfId="0" applyFont="1" applyFill="1" applyBorder="1" applyAlignment="1">
      <alignment horizontal="center" vertical="center" wrapText="1"/>
    </xf>
    <xf numFmtId="1" fontId="83" fillId="44" borderId="47" xfId="0" applyNumberFormat="1" applyFont="1" applyFill="1" applyBorder="1" applyAlignment="1">
      <alignment horizontal="center" vertical="center" wrapText="1"/>
    </xf>
    <xf numFmtId="1" fontId="83" fillId="44" borderId="48" xfId="0" applyNumberFormat="1" applyFont="1" applyFill="1" applyBorder="1" applyAlignment="1">
      <alignment horizontal="center" vertical="center" wrapText="1"/>
    </xf>
    <xf numFmtId="49" fontId="5" fillId="37" borderId="1" xfId="0" applyNumberFormat="1" applyFont="1" applyFill="1" applyBorder="1" applyAlignment="1">
      <alignment horizontal="center"/>
    </xf>
    <xf numFmtId="0" fontId="29" fillId="37" borderId="0" xfId="0" applyFont="1" applyFill="1"/>
    <xf numFmtId="0" fontId="83" fillId="37" borderId="46" xfId="0" applyFont="1" applyFill="1" applyBorder="1" applyAlignment="1">
      <alignment horizontal="left" vertical="top" wrapText="1"/>
    </xf>
    <xf numFmtId="1" fontId="83" fillId="37" borderId="47" xfId="0" applyNumberFormat="1" applyFont="1" applyFill="1" applyBorder="1" applyAlignment="1">
      <alignment horizontal="left" vertical="top" wrapText="1"/>
    </xf>
    <xf numFmtId="171" fontId="83" fillId="37" borderId="47" xfId="111" applyNumberFormat="1" applyFont="1" applyFill="1" applyBorder="1" applyAlignment="1">
      <alignment horizontal="right" vertical="center" wrapText="1"/>
    </xf>
    <xf numFmtId="0" fontId="83" fillId="37" borderId="47" xfId="0" applyFont="1" applyFill="1" applyBorder="1" applyAlignment="1">
      <alignment horizontal="left" vertical="top" wrapText="1"/>
    </xf>
    <xf numFmtId="0" fontId="83" fillId="37" borderId="47" xfId="0" applyFont="1" applyFill="1" applyBorder="1" applyAlignment="1">
      <alignment horizontal="center" vertical="center" wrapText="1"/>
    </xf>
    <xf numFmtId="1" fontId="83" fillId="37" borderId="47" xfId="0" applyNumberFormat="1" applyFont="1" applyFill="1" applyBorder="1" applyAlignment="1">
      <alignment horizontal="center" vertical="center" wrapText="1"/>
    </xf>
    <xf numFmtId="1" fontId="83" fillId="37" borderId="48" xfId="0" applyNumberFormat="1" applyFont="1" applyFill="1" applyBorder="1" applyAlignment="1">
      <alignment horizontal="center" vertical="center" wrapText="1"/>
    </xf>
    <xf numFmtId="168" fontId="5" fillId="45" borderId="1" xfId="0" applyNumberFormat="1" applyFont="1" applyFill="1" applyBorder="1"/>
    <xf numFmtId="168" fontId="5" fillId="46" borderId="1" xfId="0" applyNumberFormat="1" applyFont="1" applyFill="1" applyBorder="1"/>
    <xf numFmtId="0" fontId="5" fillId="41" borderId="1" xfId="0" applyFont="1" applyFill="1" applyBorder="1"/>
    <xf numFmtId="168" fontId="5" fillId="41" borderId="1" xfId="0" applyNumberFormat="1" applyFont="1" applyFill="1" applyBorder="1"/>
    <xf numFmtId="49" fontId="5" fillId="41" borderId="1" xfId="0" applyNumberFormat="1" applyFont="1" applyFill="1" applyBorder="1" applyAlignment="1">
      <alignment horizontal="center"/>
    </xf>
    <xf numFmtId="169" fontId="5" fillId="0" borderId="1" xfId="111" applyNumberFormat="1" applyFont="1" applyFill="1" applyBorder="1"/>
    <xf numFmtId="169" fontId="25" fillId="0" borderId="19" xfId="111" applyNumberFormat="1" applyFont="1" applyFill="1" applyBorder="1"/>
    <xf numFmtId="168" fontId="28" fillId="0" borderId="1" xfId="109" applyNumberFormat="1" applyFont="1" applyFill="1" applyBorder="1"/>
    <xf numFmtId="0" fontId="78" fillId="37" borderId="1" xfId="0" applyFont="1" applyFill="1" applyBorder="1"/>
    <xf numFmtId="1" fontId="89" fillId="0" borderId="47" xfId="0" applyNumberFormat="1" applyFont="1" applyBorder="1" applyAlignment="1">
      <alignment horizontal="left" vertical="top" wrapText="1"/>
    </xf>
    <xf numFmtId="1" fontId="89" fillId="0" borderId="48" xfId="0" quotePrefix="1" applyNumberFormat="1" applyFont="1" applyBorder="1" applyAlignment="1">
      <alignment horizontal="center" vertical="center" wrapText="1"/>
    </xf>
    <xf numFmtId="0" fontId="91" fillId="34" borderId="21" xfId="0" applyFont="1" applyFill="1" applyBorder="1" applyAlignment="1" applyProtection="1">
      <alignment horizontal="center" vertical="center"/>
      <protection locked="0"/>
    </xf>
    <xf numFmtId="0" fontId="92" fillId="0" borderId="0" xfId="0" applyFont="1"/>
    <xf numFmtId="168" fontId="91" fillId="0" borderId="0" xfId="0" applyNumberFormat="1" applyFont="1"/>
    <xf numFmtId="0" fontId="81" fillId="44" borderId="46" xfId="0" applyFont="1" applyFill="1" applyBorder="1" applyAlignment="1">
      <alignment horizontal="left" vertical="top" wrapText="1"/>
    </xf>
    <xf numFmtId="0" fontId="81" fillId="44" borderId="47" xfId="0" applyFont="1" applyFill="1" applyBorder="1" applyAlignment="1">
      <alignment horizontal="left" vertical="top" wrapText="1"/>
    </xf>
    <xf numFmtId="171" fontId="81" fillId="44" borderId="47" xfId="111" applyNumberFormat="1" applyFont="1" applyFill="1" applyBorder="1" applyAlignment="1">
      <alignment horizontal="center" vertical="center" wrapText="1"/>
    </xf>
    <xf numFmtId="1" fontId="81" fillId="44" borderId="47" xfId="0" applyNumberFormat="1" applyFont="1" applyFill="1" applyBorder="1" applyAlignment="1">
      <alignment horizontal="center" vertical="center" wrapText="1"/>
    </xf>
    <xf numFmtId="1" fontId="81" fillId="44" borderId="48" xfId="0" applyNumberFormat="1" applyFont="1" applyFill="1" applyBorder="1" applyAlignment="1">
      <alignment horizontal="center" vertical="center" wrapText="1"/>
    </xf>
    <xf numFmtId="0" fontId="81" fillId="37" borderId="46" xfId="0" applyFont="1" applyFill="1" applyBorder="1" applyAlignment="1">
      <alignment horizontal="left" vertical="top" wrapText="1"/>
    </xf>
    <xf numFmtId="1" fontId="81" fillId="37" borderId="47" xfId="0" applyNumberFormat="1" applyFont="1" applyFill="1" applyBorder="1" applyAlignment="1">
      <alignment horizontal="left" vertical="top" wrapText="1"/>
    </xf>
    <xf numFmtId="171" fontId="81" fillId="37" borderId="47" xfId="111" applyNumberFormat="1" applyFont="1" applyFill="1" applyBorder="1" applyAlignment="1">
      <alignment horizontal="right" vertical="center" wrapText="1"/>
    </xf>
    <xf numFmtId="0" fontId="81" fillId="37" borderId="47" xfId="0" applyFont="1" applyFill="1" applyBorder="1" applyAlignment="1">
      <alignment horizontal="left" vertical="top" wrapText="1"/>
    </xf>
    <xf numFmtId="171" fontId="81" fillId="37" borderId="47" xfId="111" applyNumberFormat="1" applyFont="1" applyFill="1" applyBorder="1" applyAlignment="1">
      <alignment horizontal="center" vertical="center" wrapText="1"/>
    </xf>
    <xf numFmtId="1" fontId="81" fillId="37" borderId="47" xfId="0" applyNumberFormat="1" applyFont="1" applyFill="1" applyBorder="1" applyAlignment="1">
      <alignment horizontal="center" vertical="center" wrapText="1"/>
    </xf>
    <xf numFmtId="1" fontId="81" fillId="37" borderId="48" xfId="0" applyNumberFormat="1" applyFont="1" applyFill="1" applyBorder="1" applyAlignment="1">
      <alignment horizontal="center" vertical="center" wrapText="1"/>
    </xf>
    <xf numFmtId="171" fontId="81" fillId="0" borderId="47" xfId="111" applyNumberFormat="1" applyFont="1" applyFill="1" applyBorder="1" applyAlignment="1">
      <alignment horizontal="right" vertical="center" wrapText="1"/>
    </xf>
    <xf numFmtId="171" fontId="81" fillId="0" borderId="47" xfId="111" applyNumberFormat="1" applyFont="1" applyFill="1" applyBorder="1" applyAlignment="1">
      <alignment horizontal="center" vertical="center" wrapText="1"/>
    </xf>
    <xf numFmtId="0" fontId="25" fillId="0" borderId="21" xfId="0" applyFont="1" applyBorder="1" applyAlignment="1" applyProtection="1">
      <alignment horizontal="center" vertical="center"/>
      <protection locked="0"/>
    </xf>
    <xf numFmtId="171" fontId="83" fillId="0" borderId="47" xfId="111" applyNumberFormat="1" applyFont="1" applyFill="1" applyBorder="1" applyAlignment="1">
      <alignment horizontal="right" vertical="center" wrapText="1"/>
    </xf>
    <xf numFmtId="0" fontId="74" fillId="37" borderId="1" xfId="0" applyFont="1" applyFill="1" applyBorder="1"/>
    <xf numFmtId="1" fontId="83" fillId="37" borderId="48" xfId="0" quotePrefix="1" applyNumberFormat="1" applyFont="1" applyFill="1" applyBorder="1" applyAlignment="1">
      <alignment horizontal="center" vertical="center" wrapText="1"/>
    </xf>
    <xf numFmtId="168" fontId="74" fillId="37" borderId="1" xfId="0" applyNumberFormat="1" applyFont="1" applyFill="1" applyBorder="1"/>
    <xf numFmtId="49" fontId="74" fillId="37" borderId="1" xfId="0" applyNumberFormat="1" applyFont="1" applyFill="1" applyBorder="1" applyAlignment="1">
      <alignment horizontal="center"/>
    </xf>
    <xf numFmtId="1" fontId="81" fillId="44" borderId="47" xfId="0" applyNumberFormat="1" applyFont="1" applyFill="1" applyBorder="1" applyAlignment="1">
      <alignment horizontal="left" vertical="top" wrapText="1"/>
    </xf>
    <xf numFmtId="0" fontId="91" fillId="0" borderId="0" xfId="0" applyFont="1" applyAlignment="1">
      <alignment vertical="center"/>
    </xf>
    <xf numFmtId="0" fontId="89" fillId="43" borderId="46" xfId="0" applyFont="1" applyFill="1" applyBorder="1" applyAlignment="1">
      <alignment horizontal="left" vertical="top" wrapText="1"/>
    </xf>
    <xf numFmtId="1" fontId="89" fillId="43" borderId="47" xfId="0" applyNumberFormat="1" applyFont="1" applyFill="1" applyBorder="1" applyAlignment="1">
      <alignment horizontal="left" vertical="top" wrapText="1"/>
    </xf>
    <xf numFmtId="0" fontId="89" fillId="43" borderId="47" xfId="0" applyFont="1" applyFill="1" applyBorder="1" applyAlignment="1">
      <alignment horizontal="left" vertical="top" wrapText="1"/>
    </xf>
    <xf numFmtId="171" fontId="89" fillId="43" borderId="47" xfId="111" applyNumberFormat="1" applyFont="1" applyFill="1" applyBorder="1" applyAlignment="1">
      <alignment horizontal="center" vertical="center" wrapText="1"/>
    </xf>
    <xf numFmtId="1" fontId="89" fillId="43" borderId="47" xfId="0" applyNumberFormat="1" applyFont="1" applyFill="1" applyBorder="1" applyAlignment="1">
      <alignment horizontal="center" vertical="center" wrapText="1"/>
    </xf>
    <xf numFmtId="1" fontId="89" fillId="43" borderId="48" xfId="0" applyNumberFormat="1" applyFont="1" applyFill="1" applyBorder="1" applyAlignment="1">
      <alignment horizontal="center" vertical="center" wrapText="1"/>
    </xf>
    <xf numFmtId="168" fontId="74" fillId="45" borderId="1" xfId="0" applyNumberFormat="1" applyFont="1" applyFill="1" applyBorder="1"/>
    <xf numFmtId="0" fontId="93" fillId="0" borderId="46" xfId="0" applyFont="1" applyBorder="1" applyAlignment="1">
      <alignment horizontal="left"/>
    </xf>
    <xf numFmtId="0" fontId="94" fillId="0" borderId="0" xfId="0" applyFont="1"/>
    <xf numFmtId="0" fontId="95" fillId="0" borderId="46" xfId="0" applyFont="1" applyBorder="1" applyAlignment="1">
      <alignment horizontal="left" vertical="top" wrapText="1"/>
    </xf>
    <xf numFmtId="1" fontId="95" fillId="0" borderId="47" xfId="0" applyNumberFormat="1" applyFont="1" applyBorder="1" applyAlignment="1">
      <alignment horizontal="left" vertical="top" wrapText="1"/>
    </xf>
    <xf numFmtId="171" fontId="95" fillId="0" borderId="47" xfId="111" applyNumberFormat="1" applyFont="1" applyBorder="1" applyAlignment="1">
      <alignment horizontal="right" vertical="center" wrapText="1"/>
    </xf>
    <xf numFmtId="0" fontId="95" fillId="0" borderId="47" xfId="0" applyFont="1" applyBorder="1" applyAlignment="1">
      <alignment horizontal="left" vertical="top" wrapText="1"/>
    </xf>
    <xf numFmtId="0" fontId="95" fillId="0" borderId="47" xfId="0" applyFont="1" applyBorder="1" applyAlignment="1">
      <alignment horizontal="center" vertical="center" wrapText="1"/>
    </xf>
    <xf numFmtId="1" fontId="95" fillId="0" borderId="47" xfId="0" applyNumberFormat="1" applyFont="1" applyBorder="1" applyAlignment="1">
      <alignment horizontal="center" vertical="center" wrapText="1"/>
    </xf>
    <xf numFmtId="1" fontId="95" fillId="0" borderId="48" xfId="0" applyNumberFormat="1" applyFont="1" applyBorder="1" applyAlignment="1">
      <alignment horizontal="center" vertical="center" wrapText="1"/>
    </xf>
    <xf numFmtId="0" fontId="95" fillId="43" borderId="46" xfId="0" applyFont="1" applyFill="1" applyBorder="1" applyAlignment="1">
      <alignment horizontal="left" vertical="top" wrapText="1"/>
    </xf>
    <xf numFmtId="1" fontId="95" fillId="43" borderId="47" xfId="0" applyNumberFormat="1" applyFont="1" applyFill="1" applyBorder="1" applyAlignment="1">
      <alignment horizontal="left" vertical="top" wrapText="1"/>
    </xf>
    <xf numFmtId="171" fontId="95" fillId="43" borderId="47" xfId="111" applyNumberFormat="1" applyFont="1" applyFill="1" applyBorder="1" applyAlignment="1">
      <alignment horizontal="right" vertical="center" wrapText="1"/>
    </xf>
    <xf numFmtId="0" fontId="95" fillId="43" borderId="47" xfId="0" applyFont="1" applyFill="1" applyBorder="1" applyAlignment="1">
      <alignment horizontal="left" vertical="top" wrapText="1"/>
    </xf>
    <xf numFmtId="0" fontId="95" fillId="43" borderId="47" xfId="0" applyFont="1" applyFill="1" applyBorder="1" applyAlignment="1">
      <alignment horizontal="center" vertical="center" wrapText="1"/>
    </xf>
    <xf numFmtId="1" fontId="95" fillId="43" borderId="47" xfId="0" applyNumberFormat="1" applyFont="1" applyFill="1" applyBorder="1" applyAlignment="1">
      <alignment horizontal="center" vertical="center" wrapText="1"/>
    </xf>
    <xf numFmtId="1" fontId="95" fillId="43" borderId="48" xfId="0" applyNumberFormat="1" applyFont="1" applyFill="1" applyBorder="1" applyAlignment="1">
      <alignment horizontal="center" vertical="center" wrapText="1"/>
    </xf>
    <xf numFmtId="1" fontId="89" fillId="43" borderId="48" xfId="0" quotePrefix="1" applyNumberFormat="1" applyFont="1" applyFill="1" applyBorder="1" applyAlignment="1">
      <alignment horizontal="center" vertical="center" wrapText="1"/>
    </xf>
    <xf numFmtId="169" fontId="25" fillId="0" borderId="0" xfId="0" applyNumberFormat="1" applyFont="1"/>
    <xf numFmtId="0" fontId="4" fillId="37" borderId="0" xfId="0" applyFont="1" applyFill="1"/>
    <xf numFmtId="171" fontId="95" fillId="0" borderId="47" xfId="111" applyNumberFormat="1" applyFont="1" applyFill="1" applyBorder="1" applyAlignment="1">
      <alignment horizontal="right" vertical="center" wrapText="1"/>
    </xf>
    <xf numFmtId="171" fontId="89" fillId="0" borderId="47" xfId="111" applyNumberFormat="1" applyFont="1" applyFill="1" applyBorder="1" applyAlignment="1">
      <alignment horizontal="right" vertical="center" wrapText="1"/>
    </xf>
    <xf numFmtId="0" fontId="95" fillId="0" borderId="48" xfId="0" quotePrefix="1" applyFont="1" applyBorder="1" applyAlignment="1">
      <alignment horizontal="center" vertical="center" wrapText="1"/>
    </xf>
    <xf numFmtId="0" fontId="91" fillId="0" borderId="21" xfId="0" applyFont="1" applyBorder="1" applyAlignment="1" applyProtection="1">
      <alignment horizontal="center" vertical="center"/>
      <protection locked="0"/>
    </xf>
    <xf numFmtId="0" fontId="25" fillId="0" borderId="49" xfId="0" applyFont="1" applyBorder="1" applyAlignment="1">
      <alignment horizontal="center"/>
    </xf>
    <xf numFmtId="0" fontId="25" fillId="0" borderId="49" xfId="0" applyFont="1" applyBorder="1"/>
    <xf numFmtId="0" fontId="91" fillId="42" borderId="49" xfId="0" applyFont="1" applyFill="1" applyBorder="1"/>
    <xf numFmtId="0" fontId="25" fillId="42" borderId="49" xfId="0" applyFont="1" applyFill="1" applyBorder="1"/>
    <xf numFmtId="0" fontId="25" fillId="37" borderId="49" xfId="0" applyFont="1" applyFill="1" applyBorder="1"/>
    <xf numFmtId="0" fontId="25" fillId="37" borderId="49" xfId="0" applyFont="1" applyFill="1" applyBorder="1" applyAlignment="1">
      <alignment vertical="center"/>
    </xf>
    <xf numFmtId="0" fontId="25" fillId="0" borderId="49" xfId="0" applyFont="1" applyBorder="1" applyAlignment="1">
      <alignment vertical="center"/>
    </xf>
    <xf numFmtId="0" fontId="25" fillId="0" borderId="49" xfId="0" applyFont="1" applyBorder="1" applyAlignment="1">
      <alignment vertical="center" wrapText="1"/>
    </xf>
    <xf numFmtId="0" fontId="25" fillId="0" borderId="49" xfId="0" applyFont="1" applyBorder="1" applyAlignment="1">
      <alignment horizontal="left" vertical="center"/>
    </xf>
    <xf numFmtId="0" fontId="25" fillId="42" borderId="49" xfId="0" applyFont="1" applyFill="1" applyBorder="1" applyAlignment="1">
      <alignment horizontal="left" vertical="center"/>
    </xf>
    <xf numFmtId="0" fontId="91" fillId="0" borderId="49" xfId="0" applyFont="1" applyBorder="1"/>
    <xf numFmtId="0" fontId="25" fillId="42" borderId="49" xfId="0" applyFont="1" applyFill="1" applyBorder="1" applyAlignment="1">
      <alignment vertical="center"/>
    </xf>
    <xf numFmtId="0" fontId="91" fillId="0" borderId="49" xfId="0" applyFont="1" applyBorder="1" applyAlignment="1">
      <alignment vertical="center"/>
    </xf>
    <xf numFmtId="1" fontId="81" fillId="44" borderId="48" xfId="0" quotePrefix="1" applyNumberFormat="1" applyFont="1" applyFill="1" applyBorder="1" applyAlignment="1">
      <alignment horizontal="center" vertical="center" wrapText="1"/>
    </xf>
    <xf numFmtId="1" fontId="81" fillId="37" borderId="48" xfId="0" quotePrefix="1" applyNumberFormat="1" applyFont="1" applyFill="1" applyBorder="1" applyAlignment="1">
      <alignment horizontal="center" vertical="center" wrapText="1"/>
    </xf>
    <xf numFmtId="0" fontId="93" fillId="43" borderId="46" xfId="0" applyFont="1" applyFill="1" applyBorder="1" applyAlignment="1">
      <alignment horizontal="left"/>
    </xf>
    <xf numFmtId="0" fontId="97" fillId="0" borderId="46" xfId="0" applyFont="1" applyBorder="1" applyAlignment="1">
      <alignment horizontal="left"/>
    </xf>
    <xf numFmtId="1" fontId="88" fillId="44" borderId="47" xfId="0" applyNumberFormat="1" applyFont="1" applyFill="1" applyBorder="1" applyAlignment="1">
      <alignment horizontal="left" vertical="top" wrapText="1"/>
    </xf>
    <xf numFmtId="16" fontId="83" fillId="0" borderId="48" xfId="0" quotePrefix="1" applyNumberFormat="1" applyFont="1" applyBorder="1" applyAlignment="1">
      <alignment horizontal="center" vertical="center" wrapText="1"/>
    </xf>
    <xf numFmtId="0" fontId="83" fillId="37" borderId="48" xfId="0" applyFont="1" applyFill="1" applyBorder="1" applyAlignment="1">
      <alignment horizontal="center" vertical="center" wrapText="1"/>
    </xf>
    <xf numFmtId="0" fontId="7" fillId="37" borderId="46" xfId="0" applyFont="1" applyFill="1" applyBorder="1" applyAlignment="1">
      <alignment horizontal="left" vertical="top"/>
    </xf>
    <xf numFmtId="0" fontId="95" fillId="43" borderId="48" xfId="0" applyFont="1" applyFill="1" applyBorder="1" applyAlignment="1">
      <alignment horizontal="center" vertical="center" wrapText="1"/>
    </xf>
    <xf numFmtId="171" fontId="89" fillId="0" borderId="47" xfId="111" applyNumberFormat="1" applyFont="1" applyFill="1" applyBorder="1" applyAlignment="1">
      <alignment horizontal="center" vertical="center" wrapText="1"/>
    </xf>
    <xf numFmtId="1" fontId="83" fillId="0" borderId="46" xfId="0" applyNumberFormat="1" applyFont="1" applyBorder="1" applyAlignment="1">
      <alignment horizontal="left" vertical="top" wrapText="1"/>
    </xf>
    <xf numFmtId="171" fontId="83" fillId="0" borderId="47" xfId="0" applyNumberFormat="1" applyFont="1" applyBorder="1" applyAlignment="1">
      <alignment horizontal="right" vertical="center" wrapText="1"/>
    </xf>
    <xf numFmtId="1" fontId="88" fillId="0" borderId="47" xfId="0" applyNumberFormat="1" applyFont="1" applyBorder="1" applyAlignment="1">
      <alignment horizontal="left" vertical="top" wrapText="1"/>
    </xf>
    <xf numFmtId="0" fontId="7" fillId="0" borderId="46" xfId="0" applyFont="1" applyBorder="1" applyAlignment="1">
      <alignment horizontal="left" vertical="top"/>
    </xf>
    <xf numFmtId="0" fontId="5" fillId="46" borderId="24" xfId="0" applyFont="1" applyFill="1" applyBorder="1" applyAlignment="1">
      <alignment horizontal="center" vertical="center" wrapText="1"/>
    </xf>
    <xf numFmtId="0" fontId="5" fillId="46" borderId="21" xfId="0" applyFont="1" applyFill="1" applyBorder="1" applyAlignment="1">
      <alignment horizontal="center" vertical="center" wrapText="1"/>
    </xf>
    <xf numFmtId="168" fontId="5" fillId="46" borderId="1" xfId="0" applyNumberFormat="1" applyFont="1" applyFill="1" applyBorder="1" applyAlignment="1">
      <alignment horizontal="center" vertical="center" wrapText="1"/>
    </xf>
    <xf numFmtId="49" fontId="5" fillId="46" borderId="24" xfId="0" applyNumberFormat="1" applyFont="1" applyFill="1" applyBorder="1" applyAlignment="1">
      <alignment horizontal="center" vertical="center" wrapText="1"/>
    </xf>
    <xf numFmtId="0" fontId="5" fillId="47" borderId="24" xfId="0" applyFont="1" applyFill="1" applyBorder="1" applyAlignment="1">
      <alignment horizontal="center" vertical="center" wrapText="1"/>
    </xf>
    <xf numFmtId="0" fontId="54" fillId="0" borderId="1" xfId="0" applyFont="1" applyBorder="1" applyAlignment="1">
      <alignment horizontal="center"/>
    </xf>
    <xf numFmtId="0" fontId="39" fillId="0" borderId="1" xfId="0" applyFont="1" applyBorder="1" applyAlignment="1">
      <alignment horizontal="center"/>
    </xf>
    <xf numFmtId="0" fontId="110" fillId="0" borderId="1" xfId="0" applyFont="1" applyBorder="1" applyAlignment="1">
      <alignment horizontal="center" vertical="center"/>
    </xf>
    <xf numFmtId="0" fontId="43" fillId="0" borderId="0" xfId="0" applyFont="1"/>
    <xf numFmtId="0" fontId="111" fillId="0" borderId="0" xfId="0" applyFont="1"/>
    <xf numFmtId="0" fontId="112" fillId="0" borderId="0" xfId="0" applyFont="1" applyAlignment="1">
      <alignment horizontal="right"/>
    </xf>
    <xf numFmtId="0" fontId="113" fillId="0" borderId="0" xfId="0" applyFont="1" applyAlignment="1">
      <alignment horizontal="right"/>
    </xf>
    <xf numFmtId="0" fontId="43" fillId="0" borderId="0" xfId="0" applyFont="1" applyAlignment="1">
      <alignment horizontal="left"/>
    </xf>
    <xf numFmtId="14" fontId="43" fillId="0" borderId="0" xfId="0" applyNumberFormat="1" applyFont="1" applyAlignment="1">
      <alignment horizontal="left"/>
    </xf>
    <xf numFmtId="0" fontId="111" fillId="0" borderId="34" xfId="0" applyFont="1" applyBorder="1"/>
    <xf numFmtId="0" fontId="115" fillId="0" borderId="43" xfId="0" applyFont="1" applyBorder="1" applyAlignment="1">
      <alignment horizontal="left" vertical="center"/>
    </xf>
    <xf numFmtId="0" fontId="115" fillId="0" borderId="13" xfId="0" applyFont="1" applyBorder="1" applyAlignment="1">
      <alignment horizontal="left" vertical="center"/>
    </xf>
    <xf numFmtId="0" fontId="115" fillId="0" borderId="40" xfId="0" applyFont="1" applyBorder="1" applyAlignment="1">
      <alignment horizontal="left" vertical="center"/>
    </xf>
    <xf numFmtId="0" fontId="0" fillId="0" borderId="1" xfId="0" applyBorder="1"/>
    <xf numFmtId="0" fontId="35" fillId="0" borderId="1" xfId="0" applyFont="1" applyBorder="1"/>
    <xf numFmtId="0" fontId="40" fillId="0" borderId="31" xfId="0" applyFont="1" applyBorder="1"/>
    <xf numFmtId="0" fontId="40" fillId="0" borderId="32" xfId="0" applyFont="1" applyBorder="1"/>
    <xf numFmtId="0" fontId="40" fillId="0" borderId="30" xfId="0" applyFont="1" applyBorder="1"/>
    <xf numFmtId="0" fontId="61" fillId="0" borderId="1" xfId="109" applyFont="1" applyFill="1" applyBorder="1" applyAlignment="1">
      <alignment vertical="top"/>
    </xf>
    <xf numFmtId="0" fontId="44" fillId="0" borderId="1" xfId="0" applyFont="1" applyBorder="1" applyAlignment="1">
      <alignment vertical="top"/>
    </xf>
    <xf numFmtId="0" fontId="25" fillId="0" borderId="1" xfId="0" applyFont="1" applyBorder="1" applyAlignment="1">
      <alignment vertical="center"/>
    </xf>
    <xf numFmtId="0" fontId="124" fillId="0" borderId="0" xfId="0" applyFont="1"/>
    <xf numFmtId="0" fontId="40" fillId="0" borderId="32" xfId="0" applyFont="1" applyBorder="1" applyAlignment="1">
      <alignment vertical="top" wrapText="1"/>
    </xf>
    <xf numFmtId="0" fontId="125" fillId="0" borderId="0" xfId="0" applyFont="1" applyAlignment="1">
      <alignment horizontal="center"/>
    </xf>
    <xf numFmtId="0" fontId="54" fillId="0" borderId="31" xfId="0" applyFont="1" applyBorder="1"/>
    <xf numFmtId="0" fontId="54" fillId="0" borderId="1" xfId="0" applyFont="1" applyBorder="1"/>
    <xf numFmtId="0" fontId="54" fillId="0" borderId="1" xfId="0" applyFont="1" applyBorder="1" applyAlignment="1">
      <alignment horizontal="right"/>
    </xf>
    <xf numFmtId="0" fontId="54" fillId="0" borderId="1" xfId="0" applyFont="1" applyBorder="1" applyAlignment="1">
      <alignment horizontal="left" vertical="top" wrapText="1"/>
    </xf>
    <xf numFmtId="0" fontId="55" fillId="0" borderId="1" xfId="0" applyFont="1" applyBorder="1"/>
    <xf numFmtId="0" fontId="51" fillId="0" borderId="1" xfId="0" applyFont="1" applyBorder="1"/>
    <xf numFmtId="0" fontId="54" fillId="0" borderId="28" xfId="0" applyFont="1" applyBorder="1"/>
    <xf numFmtId="0" fontId="54" fillId="0" borderId="29" xfId="0" applyFont="1" applyBorder="1"/>
    <xf numFmtId="0" fontId="129" fillId="33" borderId="28" xfId="0" applyFont="1" applyFill="1" applyBorder="1"/>
    <xf numFmtId="0" fontId="54" fillId="33" borderId="29" xfId="0" applyFont="1" applyFill="1" applyBorder="1"/>
    <xf numFmtId="0" fontId="54" fillId="33" borderId="30" xfId="0" applyFont="1" applyFill="1" applyBorder="1"/>
    <xf numFmtId="1" fontId="51" fillId="0" borderId="31" xfId="0" applyNumberFormat="1" applyFont="1" applyBorder="1" applyAlignment="1">
      <alignment horizontal="left" vertical="top" wrapText="1"/>
    </xf>
    <xf numFmtId="1" fontId="51" fillId="0" borderId="32" xfId="0" applyNumberFormat="1" applyFont="1" applyBorder="1" applyAlignment="1">
      <alignment horizontal="left" vertical="top" wrapText="1"/>
    </xf>
    <xf numFmtId="1" fontId="129" fillId="0" borderId="31" xfId="0" applyNumberFormat="1" applyFont="1" applyBorder="1" applyAlignment="1">
      <alignment horizontal="left" vertical="top" wrapText="1"/>
    </xf>
    <xf numFmtId="1" fontId="54" fillId="0" borderId="1" xfId="0" applyNumberFormat="1" applyFont="1" applyBorder="1" applyAlignment="1">
      <alignment horizontal="left" vertical="top" wrapText="1"/>
    </xf>
    <xf numFmtId="1" fontId="54" fillId="0" borderId="32" xfId="0" applyNumberFormat="1" applyFont="1" applyBorder="1" applyAlignment="1">
      <alignment horizontal="left" vertical="top" wrapText="1"/>
    </xf>
    <xf numFmtId="0" fontId="51" fillId="33" borderId="29" xfId="0" applyFont="1" applyFill="1" applyBorder="1"/>
    <xf numFmtId="0" fontId="51" fillId="33" borderId="30" xfId="0" applyFont="1" applyFill="1" applyBorder="1"/>
    <xf numFmtId="0" fontId="51" fillId="0" borderId="29" xfId="0" applyFont="1" applyBorder="1"/>
    <xf numFmtId="0" fontId="51" fillId="0" borderId="30" xfId="0" applyFont="1" applyBorder="1"/>
    <xf numFmtId="1" fontId="51" fillId="0" borderId="31" xfId="0" applyNumberFormat="1" applyFont="1" applyBorder="1" applyAlignment="1">
      <alignment vertical="top" wrapText="1"/>
    </xf>
    <xf numFmtId="1" fontId="51" fillId="0" borderId="1" xfId="0" applyNumberFormat="1" applyFont="1" applyBorder="1" applyAlignment="1">
      <alignment vertical="top" wrapText="1"/>
    </xf>
    <xf numFmtId="0" fontId="51" fillId="0" borderId="32" xfId="0" applyFont="1" applyBorder="1"/>
    <xf numFmtId="1" fontId="51" fillId="0" borderId="1" xfId="0" applyNumberFormat="1" applyFont="1" applyBorder="1" applyAlignment="1">
      <alignment horizontal="center" wrapText="1"/>
    </xf>
    <xf numFmtId="1" fontId="51" fillId="0" borderId="32" xfId="0" applyNumberFormat="1" applyFont="1" applyBorder="1" applyAlignment="1">
      <alignment wrapText="1"/>
    </xf>
    <xf numFmtId="14" fontId="51" fillId="0" borderId="1" xfId="0" applyNumberFormat="1" applyFont="1" applyBorder="1" applyAlignment="1">
      <alignment vertical="top" wrapText="1"/>
    </xf>
    <xf numFmtId="0" fontId="51" fillId="0" borderId="31" xfId="0" applyFont="1" applyBorder="1"/>
    <xf numFmtId="1" fontId="51" fillId="0" borderId="1" xfId="0" applyNumberFormat="1" applyFont="1" applyBorder="1" applyAlignment="1">
      <alignment horizontal="center" vertical="top" wrapText="1"/>
    </xf>
    <xf numFmtId="1" fontId="51" fillId="0" borderId="32" xfId="0" applyNumberFormat="1" applyFont="1" applyBorder="1" applyAlignment="1">
      <alignment vertical="top" wrapText="1"/>
    </xf>
    <xf numFmtId="0" fontId="55" fillId="0" borderId="31" xfId="0" applyFont="1" applyBorder="1"/>
    <xf numFmtId="0" fontId="55" fillId="0" borderId="32" xfId="0" applyFont="1" applyBorder="1"/>
    <xf numFmtId="0" fontId="51" fillId="0" borderId="31" xfId="0" applyFont="1" applyBorder="1" applyAlignment="1">
      <alignment horizontal="left" vertical="top"/>
    </xf>
    <xf numFmtId="0" fontId="129" fillId="0" borderId="1" xfId="0" applyFont="1" applyBorder="1"/>
    <xf numFmtId="0" fontId="129" fillId="0" borderId="32" xfId="0" applyFont="1" applyBorder="1"/>
    <xf numFmtId="0" fontId="130" fillId="0" borderId="1" xfId="0" applyFont="1" applyBorder="1" applyAlignment="1">
      <alignment horizontal="center" vertical="center"/>
    </xf>
    <xf numFmtId="0" fontId="129" fillId="0" borderId="31" xfId="0" applyFont="1" applyBorder="1"/>
    <xf numFmtId="0" fontId="131" fillId="0" borderId="32" xfId="0" applyFont="1" applyBorder="1" applyAlignment="1">
      <alignment horizontal="right"/>
    </xf>
    <xf numFmtId="0" fontId="56" fillId="0" borderId="1" xfId="0" applyFont="1" applyBorder="1"/>
    <xf numFmtId="0" fontId="53" fillId="0" borderId="32" xfId="0" applyFont="1" applyBorder="1" applyAlignment="1">
      <alignment horizontal="right"/>
    </xf>
    <xf numFmtId="0" fontId="56" fillId="0" borderId="32" xfId="0" applyFont="1" applyBorder="1"/>
    <xf numFmtId="0" fontId="56" fillId="0" borderId="31" xfId="0" applyFont="1" applyBorder="1"/>
    <xf numFmtId="0" fontId="129" fillId="0" borderId="31" xfId="0" applyFont="1" applyBorder="1" applyAlignment="1">
      <alignment horizontal="left"/>
    </xf>
    <xf numFmtId="14" fontId="129" fillId="0" borderId="1" xfId="0" applyNumberFormat="1" applyFont="1" applyBorder="1" applyAlignment="1">
      <alignment horizontal="left"/>
    </xf>
    <xf numFmtId="0" fontId="70" fillId="0" borderId="37" xfId="0" applyFont="1" applyBorder="1" applyAlignment="1">
      <alignment horizontal="left" vertical="center"/>
    </xf>
    <xf numFmtId="0" fontId="70" fillId="0" borderId="36" xfId="0" applyFont="1" applyBorder="1" applyAlignment="1">
      <alignment horizontal="left" vertical="center"/>
    </xf>
    <xf numFmtId="167" fontId="70" fillId="0" borderId="36" xfId="0" applyNumberFormat="1" applyFont="1" applyBorder="1" applyAlignment="1">
      <alignment horizontal="left" vertical="center"/>
    </xf>
    <xf numFmtId="0" fontId="70" fillId="0" borderId="39" xfId="0" applyFont="1" applyBorder="1" applyAlignment="1">
      <alignment horizontal="left" vertical="center"/>
    </xf>
    <xf numFmtId="0" fontId="70" fillId="0" borderId="31" xfId="0" applyFont="1" applyBorder="1" applyAlignment="1">
      <alignment horizontal="left" vertical="center"/>
    </xf>
    <xf numFmtId="166" fontId="70" fillId="0" borderId="1" xfId="0" applyNumberFormat="1" applyFont="1" applyBorder="1" applyAlignment="1">
      <alignment horizontal="left" vertical="center"/>
    </xf>
    <xf numFmtId="166" fontId="70" fillId="0" borderId="30" xfId="0" applyNumberFormat="1" applyFont="1" applyBorder="1" applyAlignment="1">
      <alignment horizontal="left" vertical="center"/>
    </xf>
    <xf numFmtId="0" fontId="54" fillId="0" borderId="32" xfId="0" applyFont="1" applyBorder="1"/>
    <xf numFmtId="1" fontId="51" fillId="0" borderId="34" xfId="0" applyNumberFormat="1" applyFont="1" applyBorder="1" applyAlignment="1">
      <alignment vertical="top" wrapText="1"/>
    </xf>
    <xf numFmtId="1" fontId="51" fillId="0" borderId="34" xfId="0" applyNumberFormat="1" applyFont="1" applyBorder="1" applyAlignment="1">
      <alignment horizontal="center" vertical="top" wrapText="1"/>
    </xf>
    <xf numFmtId="0" fontId="54" fillId="0" borderId="30" xfId="0" applyFont="1" applyBorder="1"/>
    <xf numFmtId="0" fontId="61" fillId="34" borderId="31" xfId="109" applyFont="1" applyFill="1" applyBorder="1"/>
    <xf numFmtId="0" fontId="51" fillId="0" borderId="33" xfId="0" applyFont="1" applyBorder="1"/>
    <xf numFmtId="0" fontId="51" fillId="0" borderId="34" xfId="0" applyFont="1" applyBorder="1"/>
    <xf numFmtId="1" fontId="51" fillId="0" borderId="35" xfId="0" applyNumberFormat="1" applyFont="1" applyBorder="1" applyAlignment="1">
      <alignment vertical="top" wrapText="1"/>
    </xf>
    <xf numFmtId="169" fontId="55" fillId="0" borderId="0" xfId="111" applyNumberFormat="1" applyFont="1"/>
    <xf numFmtId="168" fontId="71" fillId="34" borderId="1" xfId="109" applyNumberFormat="1" applyFont="1" applyFill="1" applyBorder="1" applyAlignment="1">
      <alignment horizontal="center"/>
    </xf>
    <xf numFmtId="0" fontId="51" fillId="0" borderId="29" xfId="0" applyFont="1" applyBorder="1" applyAlignment="1">
      <alignment horizontal="right"/>
    </xf>
    <xf numFmtId="0" fontId="135" fillId="34" borderId="31" xfId="109" applyFont="1" applyFill="1" applyBorder="1"/>
    <xf numFmtId="168" fontId="25" fillId="0" borderId="1" xfId="0" applyNumberFormat="1" applyFont="1" applyBorder="1" applyAlignment="1">
      <alignment vertical="center"/>
    </xf>
    <xf numFmtId="0" fontId="55" fillId="0" borderId="34" xfId="0" applyFont="1" applyBorder="1"/>
    <xf numFmtId="1" fontId="88" fillId="0" borderId="46" xfId="0" applyNumberFormat="1" applyFont="1" applyBorder="1" applyAlignment="1">
      <alignment horizontal="left" vertical="center" wrapText="1"/>
    </xf>
    <xf numFmtId="169" fontId="88" fillId="0" borderId="46" xfId="111" applyNumberFormat="1" applyFont="1" applyFill="1" applyBorder="1" applyAlignment="1">
      <alignment horizontal="center" vertical="center" wrapText="1"/>
    </xf>
    <xf numFmtId="1" fontId="81" fillId="0" borderId="1" xfId="0" applyNumberFormat="1" applyFont="1" applyBorder="1" applyAlignment="1">
      <alignment horizontal="center" vertical="center" wrapText="1"/>
    </xf>
    <xf numFmtId="0" fontId="81" fillId="0" borderId="1" xfId="0" applyFont="1" applyBorder="1" applyAlignment="1">
      <alignment vertical="center"/>
    </xf>
    <xf numFmtId="0" fontId="62" fillId="0" borderId="28" xfId="0" applyFont="1" applyBorder="1" applyAlignment="1">
      <alignment horizontal="left" indent="2"/>
    </xf>
    <xf numFmtId="0" fontId="0" fillId="0" borderId="30" xfId="0" applyBorder="1"/>
    <xf numFmtId="0" fontId="62" fillId="0" borderId="31" xfId="0" applyFont="1" applyBorder="1" applyAlignment="1">
      <alignment horizontal="left" indent="2"/>
    </xf>
    <xf numFmtId="0" fontId="0" fillId="0" borderId="32" xfId="0" applyBorder="1"/>
    <xf numFmtId="0" fontId="126" fillId="0" borderId="1" xfId="0" applyFont="1" applyBorder="1"/>
    <xf numFmtId="166" fontId="126" fillId="0" borderId="1" xfId="0" applyNumberFormat="1" applyFont="1" applyBorder="1"/>
    <xf numFmtId="0" fontId="126" fillId="0" borderId="1" xfId="0" applyFont="1" applyBorder="1" applyAlignment="1">
      <alignment horizontal="left"/>
    </xf>
    <xf numFmtId="0" fontId="128" fillId="0" borderId="1" xfId="0" applyFont="1" applyBorder="1"/>
    <xf numFmtId="49" fontId="126" fillId="0" borderId="1" xfId="0" applyNumberFormat="1" applyFont="1" applyBorder="1" applyAlignment="1">
      <alignment horizontal="left"/>
    </xf>
    <xf numFmtId="0" fontId="127" fillId="0" borderId="1" xfId="0" applyFont="1" applyBorder="1"/>
    <xf numFmtId="0" fontId="55" fillId="0" borderId="1" xfId="0" applyFont="1" applyBorder="1" applyAlignment="1">
      <alignment horizontal="left"/>
    </xf>
    <xf numFmtId="22" fontId="55" fillId="0" borderId="1" xfId="0" applyNumberFormat="1" applyFont="1" applyBorder="1"/>
    <xf numFmtId="0" fontId="53" fillId="0" borderId="31" xfId="0" applyFont="1" applyBorder="1" applyAlignment="1">
      <alignment horizontal="left" indent="2"/>
    </xf>
    <xf numFmtId="0" fontId="55" fillId="0" borderId="35" xfId="0" applyFont="1" applyBorder="1"/>
    <xf numFmtId="0" fontId="54" fillId="0" borderId="31" xfId="0" applyFont="1" applyBorder="1" applyAlignment="1">
      <alignment vertical="top" wrapText="1"/>
    </xf>
    <xf numFmtId="0" fontId="54" fillId="0" borderId="1" xfId="0" applyFont="1" applyBorder="1" applyAlignment="1">
      <alignment vertical="top" wrapText="1"/>
    </xf>
    <xf numFmtId="0" fontId="54" fillId="0" borderId="32" xfId="0" applyFont="1" applyBorder="1" applyAlignment="1">
      <alignment vertical="top" wrapText="1"/>
    </xf>
    <xf numFmtId="169" fontId="98" fillId="50" borderId="46" xfId="111" applyNumberFormat="1" applyFont="1" applyFill="1" applyBorder="1" applyAlignment="1">
      <alignment horizontal="center" vertical="center" wrapText="1"/>
    </xf>
    <xf numFmtId="0" fontId="139" fillId="0" borderId="0" xfId="0" applyFont="1"/>
    <xf numFmtId="0" fontId="143" fillId="0" borderId="0" xfId="0" applyFont="1"/>
    <xf numFmtId="0" fontId="142" fillId="0" borderId="1" xfId="0" applyFont="1" applyBorder="1" applyAlignment="1">
      <alignment horizontal="justify" vertical="center" wrapText="1"/>
    </xf>
    <xf numFmtId="0" fontId="146" fillId="0" borderId="0" xfId="0" applyFont="1"/>
    <xf numFmtId="0" fontId="147" fillId="0" borderId="0" xfId="0" applyFont="1"/>
    <xf numFmtId="0" fontId="140" fillId="0" borderId="0" xfId="0" applyFont="1" applyAlignment="1">
      <alignment horizontal="justify" vertical="center" wrapText="1"/>
    </xf>
    <xf numFmtId="0" fontId="148" fillId="0" borderId="0" xfId="0" applyFont="1" applyAlignment="1">
      <alignment horizontal="center"/>
    </xf>
    <xf numFmtId="0" fontId="136" fillId="0" borderId="0" xfId="0" applyFont="1" applyAlignment="1">
      <alignment horizontal="justify" vertical="top" wrapText="1"/>
    </xf>
    <xf numFmtId="0" fontId="151" fillId="0" borderId="0" xfId="0" applyFont="1"/>
    <xf numFmtId="0" fontId="136" fillId="0" borderId="0" xfId="0" applyFont="1"/>
    <xf numFmtId="0" fontId="154" fillId="0" borderId="0" xfId="0" applyFont="1" applyAlignment="1">
      <alignment horizontal="left"/>
    </xf>
    <xf numFmtId="0" fontId="154" fillId="0" borderId="0" xfId="0" applyFont="1" applyAlignment="1">
      <alignment horizontal="center"/>
    </xf>
    <xf numFmtId="0" fontId="34" fillId="0" borderId="0" xfId="110" applyBorder="1"/>
    <xf numFmtId="0" fontId="136" fillId="0" borderId="0" xfId="0" applyFont="1" applyAlignment="1">
      <alignment horizontal="justify" vertical="center"/>
    </xf>
    <xf numFmtId="0" fontId="34" fillId="0" borderId="0" xfId="110" applyBorder="1" applyAlignment="1">
      <alignment horizontal="left"/>
    </xf>
    <xf numFmtId="0" fontId="152" fillId="0" borderId="0" xfId="0" applyFont="1" applyAlignment="1">
      <alignment horizontal="left" vertical="center" wrapText="1" indent="2"/>
    </xf>
    <xf numFmtId="0" fontId="152" fillId="0" borderId="0" xfId="0" applyFont="1" applyAlignment="1">
      <alignment horizontal="left" vertical="center" indent="2"/>
    </xf>
    <xf numFmtId="0" fontId="142" fillId="0" borderId="1" xfId="0" applyFont="1" applyBorder="1" applyAlignment="1">
      <alignment horizontal="left" vertical="center"/>
    </xf>
    <xf numFmtId="0" fontId="155" fillId="0" borderId="0" xfId="0" applyFont="1" applyAlignment="1">
      <alignment horizontal="left" indent="2"/>
    </xf>
    <xf numFmtId="0" fontId="139" fillId="0" borderId="1" xfId="0" applyFont="1" applyBorder="1" applyAlignment="1" applyProtection="1">
      <alignment horizontal="center"/>
      <protection locked="0"/>
    </xf>
    <xf numFmtId="0" fontId="51" fillId="0" borderId="0" xfId="0" applyFont="1" applyAlignment="1">
      <alignment vertical="center" wrapText="1"/>
    </xf>
    <xf numFmtId="0" fontId="51" fillId="0" borderId="0" xfId="0" applyFont="1" applyAlignment="1">
      <alignment vertical="top" wrapText="1"/>
    </xf>
    <xf numFmtId="0" fontId="157" fillId="0" borderId="37" xfId="0" applyFont="1" applyBorder="1" applyAlignment="1">
      <alignment horizontal="left" vertical="center"/>
    </xf>
    <xf numFmtId="0" fontId="157" fillId="0" borderId="36" xfId="0" applyFont="1" applyBorder="1" applyAlignment="1">
      <alignment horizontal="left" vertical="center"/>
    </xf>
    <xf numFmtId="167" fontId="157" fillId="0" borderId="36" xfId="0" applyNumberFormat="1" applyFont="1" applyBorder="1" applyAlignment="1">
      <alignment horizontal="left" vertical="center"/>
    </xf>
    <xf numFmtId="0" fontId="158" fillId="52" borderId="11" xfId="0" applyFont="1" applyFill="1" applyBorder="1" applyAlignment="1" applyProtection="1">
      <alignment horizontal="right" vertical="center"/>
      <protection locked="0"/>
    </xf>
    <xf numFmtId="0" fontId="158" fillId="0" borderId="12" xfId="0" applyFont="1" applyBorder="1" applyAlignment="1" applyProtection="1">
      <alignment vertical="center"/>
      <protection locked="0"/>
    </xf>
    <xf numFmtId="0" fontId="158" fillId="0" borderId="12" xfId="0" applyFont="1" applyBorder="1" applyAlignment="1" applyProtection="1">
      <alignment horizontal="right" vertical="center"/>
      <protection locked="0"/>
    </xf>
    <xf numFmtId="0" fontId="158" fillId="0" borderId="18" xfId="0" applyFont="1" applyBorder="1" applyAlignment="1" applyProtection="1">
      <alignment vertical="center"/>
      <protection locked="0"/>
    </xf>
    <xf numFmtId="0" fontId="157" fillId="0" borderId="51" xfId="0" applyFont="1" applyBorder="1" applyAlignment="1" applyProtection="1">
      <alignment horizontal="left" vertical="center"/>
      <protection locked="0"/>
    </xf>
    <xf numFmtId="0" fontId="157" fillId="0" borderId="53" xfId="0" applyFont="1" applyBorder="1" applyAlignment="1" applyProtection="1">
      <alignment horizontal="left" vertical="center"/>
      <protection locked="0"/>
    </xf>
    <xf numFmtId="0" fontId="159" fillId="0" borderId="12" xfId="0" applyFont="1" applyBorder="1" applyAlignment="1" applyProtection="1">
      <alignment vertical="center"/>
      <protection locked="0"/>
    </xf>
    <xf numFmtId="0" fontId="159" fillId="0" borderId="18" xfId="0" applyFont="1" applyBorder="1" applyAlignment="1" applyProtection="1">
      <alignment vertical="center"/>
      <protection locked="0"/>
    </xf>
    <xf numFmtId="0" fontId="157" fillId="0" borderId="39" xfId="0" applyFont="1" applyBorder="1" applyAlignment="1">
      <alignment horizontal="left" vertical="center"/>
    </xf>
    <xf numFmtId="0" fontId="157" fillId="0" borderId="42" xfId="0" applyFont="1" applyBorder="1" applyAlignment="1" applyProtection="1">
      <alignment vertical="center"/>
      <protection locked="0"/>
    </xf>
    <xf numFmtId="168" fontId="160" fillId="0" borderId="1" xfId="109" applyNumberFormat="1" applyFont="1" applyFill="1" applyBorder="1" applyAlignment="1">
      <alignment horizontal="center" vertical="top"/>
    </xf>
    <xf numFmtId="0" fontId="157" fillId="0" borderId="11" xfId="0" applyFont="1" applyBorder="1" applyAlignment="1" applyProtection="1">
      <alignment vertical="center"/>
      <protection locked="0"/>
    </xf>
    <xf numFmtId="0" fontId="157" fillId="0" borderId="12" xfId="0" applyFont="1" applyBorder="1" applyAlignment="1" applyProtection="1">
      <alignment vertical="center"/>
      <protection locked="0"/>
    </xf>
    <xf numFmtId="0" fontId="157" fillId="0" borderId="18" xfId="0" applyFont="1" applyBorder="1" applyAlignment="1" applyProtection="1">
      <alignment vertical="center"/>
      <protection locked="0"/>
    </xf>
    <xf numFmtId="0" fontId="137" fillId="0" borderId="0" xfId="0" applyFont="1"/>
    <xf numFmtId="0" fontId="161" fillId="54" borderId="1" xfId="0" applyFont="1" applyFill="1" applyBorder="1"/>
    <xf numFmtId="0" fontId="162" fillId="54" borderId="1" xfId="0" applyFont="1" applyFill="1" applyBorder="1" applyAlignment="1">
      <alignment horizontal="left"/>
    </xf>
    <xf numFmtId="1" fontId="88" fillId="0" borderId="1" xfId="0" applyNumberFormat="1" applyFont="1" applyBorder="1" applyAlignment="1">
      <alignment horizontal="center" vertical="center" wrapText="1"/>
    </xf>
    <xf numFmtId="0" fontId="55" fillId="0" borderId="29" xfId="0" applyFont="1" applyBorder="1"/>
    <xf numFmtId="0" fontId="55" fillId="0" borderId="30" xfId="0" applyFont="1" applyBorder="1"/>
    <xf numFmtId="0" fontId="56" fillId="0" borderId="31" xfId="0" applyFont="1" applyBorder="1" applyAlignment="1">
      <alignment vertical="top" wrapText="1"/>
    </xf>
    <xf numFmtId="0" fontId="53" fillId="0" borderId="28" xfId="0" applyFont="1" applyBorder="1" applyAlignment="1">
      <alignment horizontal="left" vertical="center"/>
    </xf>
    <xf numFmtId="0" fontId="53" fillId="0" borderId="31" xfId="0" applyFont="1" applyBorder="1" applyAlignment="1">
      <alignment horizontal="left" vertical="center"/>
    </xf>
    <xf numFmtId="0" fontId="132" fillId="0" borderId="1" xfId="0" applyFont="1" applyBorder="1"/>
    <xf numFmtId="0" fontId="132" fillId="0" borderId="32" xfId="0" applyFont="1" applyBorder="1"/>
    <xf numFmtId="0" fontId="0" fillId="0" borderId="33" xfId="0" applyBorder="1"/>
    <xf numFmtId="169" fontId="104" fillId="50" borderId="46" xfId="111" applyNumberFormat="1" applyFont="1" applyFill="1" applyBorder="1" applyAlignment="1">
      <alignment horizontal="center" vertical="center" wrapText="1"/>
    </xf>
    <xf numFmtId="0" fontId="64" fillId="0" borderId="0" xfId="0" applyFont="1"/>
    <xf numFmtId="0" fontId="163" fillId="0" borderId="1" xfId="0" applyFont="1" applyBorder="1"/>
    <xf numFmtId="0" fontId="64" fillId="0" borderId="0" xfId="0" applyFont="1" applyAlignment="1">
      <alignment wrapText="1"/>
    </xf>
    <xf numFmtId="169" fontId="88" fillId="49" borderId="46" xfId="111" applyNumberFormat="1" applyFont="1" applyFill="1" applyBorder="1" applyAlignment="1">
      <alignment horizontal="center" vertical="center" wrapText="1"/>
    </xf>
    <xf numFmtId="169" fontId="88" fillId="49" borderId="1" xfId="111" applyNumberFormat="1" applyFont="1" applyFill="1" applyBorder="1" applyAlignment="1">
      <alignment horizontal="center" vertical="center" wrapText="1"/>
    </xf>
    <xf numFmtId="169" fontId="5" fillId="33" borderId="1" xfId="111" applyNumberFormat="1" applyFont="1" applyFill="1" applyBorder="1" applyAlignment="1">
      <alignment horizontal="center" vertical="center" wrapText="1"/>
    </xf>
    <xf numFmtId="169" fontId="59" fillId="0" borderId="0" xfId="111" applyNumberFormat="1" applyFont="1" applyAlignment="1">
      <alignment horizontal="left"/>
    </xf>
    <xf numFmtId="169" fontId="59" fillId="0" borderId="0" xfId="111" applyNumberFormat="1" applyFont="1"/>
    <xf numFmtId="169" fontId="60" fillId="0" borderId="0" xfId="111" applyNumberFormat="1" applyFont="1"/>
    <xf numFmtId="169" fontId="25" fillId="0" borderId="0" xfId="111" applyNumberFormat="1" applyFont="1"/>
    <xf numFmtId="169" fontId="75" fillId="0" borderId="0" xfId="111" applyNumberFormat="1" applyFont="1"/>
    <xf numFmtId="169" fontId="25" fillId="35" borderId="0" xfId="111" applyNumberFormat="1" applyFont="1" applyFill="1"/>
    <xf numFmtId="169" fontId="28" fillId="34" borderId="0" xfId="111" applyNumberFormat="1" applyFont="1" applyFill="1"/>
    <xf numFmtId="169" fontId="25" fillId="0" borderId="0" xfId="111" applyNumberFormat="1" applyFont="1" applyAlignment="1">
      <alignment horizontal="left"/>
    </xf>
    <xf numFmtId="169" fontId="98" fillId="50" borderId="1" xfId="111" applyNumberFormat="1" applyFont="1" applyFill="1" applyBorder="1" applyAlignment="1">
      <alignment horizontal="center" vertical="center" wrapText="1"/>
    </xf>
    <xf numFmtId="169" fontId="104" fillId="50" borderId="1" xfId="111" applyNumberFormat="1" applyFont="1" applyFill="1" applyBorder="1" applyAlignment="1">
      <alignment horizontal="center" vertical="center" wrapText="1"/>
    </xf>
    <xf numFmtId="169" fontId="59" fillId="49" borderId="0" xfId="111" applyNumberFormat="1" applyFont="1" applyFill="1" applyAlignment="1">
      <alignment horizontal="left"/>
    </xf>
    <xf numFmtId="169" fontId="59" fillId="49" borderId="0" xfId="111" applyNumberFormat="1" applyFont="1" applyFill="1"/>
    <xf numFmtId="169" fontId="60" fillId="49" borderId="0" xfId="111" applyNumberFormat="1" applyFont="1" applyFill="1"/>
    <xf numFmtId="169" fontId="98" fillId="55" borderId="1" xfId="111" applyNumberFormat="1" applyFont="1" applyFill="1" applyBorder="1" applyAlignment="1">
      <alignment horizontal="center" vertical="center" wrapText="1"/>
    </xf>
    <xf numFmtId="169" fontId="60" fillId="56" borderId="0" xfId="111" applyNumberFormat="1" applyFont="1" applyFill="1"/>
    <xf numFmtId="169" fontId="88" fillId="56" borderId="1" xfId="111" applyNumberFormat="1" applyFont="1" applyFill="1" applyBorder="1" applyAlignment="1">
      <alignment horizontal="center" vertical="center" wrapText="1"/>
    </xf>
    <xf numFmtId="168" fontId="5" fillId="49" borderId="1" xfId="0" applyNumberFormat="1" applyFont="1" applyFill="1" applyBorder="1"/>
    <xf numFmtId="168" fontId="5" fillId="56" borderId="1" xfId="0" applyNumberFormat="1" applyFont="1" applyFill="1" applyBorder="1"/>
    <xf numFmtId="169" fontId="88" fillId="56" borderId="46" xfId="111" applyNumberFormat="1" applyFont="1" applyFill="1" applyBorder="1" applyAlignment="1">
      <alignment horizontal="center" vertical="center" wrapText="1"/>
    </xf>
    <xf numFmtId="168" fontId="102" fillId="56" borderId="46" xfId="0" applyNumberFormat="1" applyFont="1" applyFill="1" applyBorder="1" applyAlignment="1">
      <alignment horizontal="center" vertical="center" wrapText="1"/>
    </xf>
    <xf numFmtId="0" fontId="88" fillId="0" borderId="46" xfId="111" applyNumberFormat="1" applyFont="1" applyFill="1" applyBorder="1" applyAlignment="1">
      <alignment horizontal="center" vertical="center" wrapText="1"/>
    </xf>
    <xf numFmtId="0" fontId="25" fillId="57" borderId="38" xfId="0" applyFont="1" applyFill="1" applyBorder="1" applyAlignment="1" applyProtection="1">
      <alignment horizontal="center" vertical="center"/>
      <protection locked="0"/>
    </xf>
    <xf numFmtId="169" fontId="57" fillId="0" borderId="0" xfId="111" applyNumberFormat="1" applyFont="1" applyAlignment="1"/>
    <xf numFmtId="0" fontId="56" fillId="0" borderId="34" xfId="0" applyFont="1" applyBorder="1"/>
    <xf numFmtId="1" fontId="51" fillId="0" borderId="1" xfId="0" applyNumberFormat="1" applyFont="1" applyBorder="1" applyAlignment="1">
      <alignment wrapText="1"/>
    </xf>
    <xf numFmtId="0" fontId="130" fillId="0" borderId="1" xfId="0" applyFont="1" applyBorder="1"/>
    <xf numFmtId="0" fontId="70" fillId="0" borderId="43" xfId="0" applyFont="1" applyBorder="1"/>
    <xf numFmtId="0" fontId="70" fillId="0" borderId="13" xfId="0" applyFont="1" applyBorder="1"/>
    <xf numFmtId="0" fontId="70" fillId="0" borderId="40" xfId="0" applyFont="1" applyBorder="1"/>
    <xf numFmtId="0" fontId="70" fillId="0" borderId="1" xfId="0" applyFont="1" applyBorder="1"/>
    <xf numFmtId="0" fontId="70" fillId="0" borderId="29" xfId="0" applyFont="1" applyBorder="1"/>
    <xf numFmtId="1" fontId="51" fillId="0" borderId="34" xfId="0" applyNumberFormat="1" applyFont="1" applyBorder="1" applyAlignment="1">
      <alignment wrapText="1"/>
    </xf>
    <xf numFmtId="0" fontId="49" fillId="39" borderId="1" xfId="0" applyFont="1" applyFill="1" applyBorder="1" applyAlignment="1">
      <alignment horizontal="center" wrapText="1"/>
    </xf>
    <xf numFmtId="0" fontId="152" fillId="0" borderId="1" xfId="0" applyFont="1" applyBorder="1" applyAlignment="1">
      <alignment horizontal="left" vertical="center" wrapText="1"/>
    </xf>
    <xf numFmtId="0" fontId="136" fillId="0" borderId="28" xfId="0" applyFont="1" applyBorder="1" applyAlignment="1">
      <alignment horizontal="left" vertical="center" indent="2"/>
    </xf>
    <xf numFmtId="0" fontId="139" fillId="0" borderId="29" xfId="0" applyFont="1" applyBorder="1"/>
    <xf numFmtId="0" fontId="139" fillId="0" borderId="30" xfId="0" applyFont="1" applyBorder="1"/>
    <xf numFmtId="0" fontId="140" fillId="0" borderId="31" xfId="0" applyFont="1" applyBorder="1" applyAlignment="1">
      <alignment horizontal="left" indent="2"/>
    </xf>
    <xf numFmtId="0" fontId="141" fillId="0" borderId="1" xfId="0" applyFont="1" applyBorder="1" applyAlignment="1">
      <alignment horizontal="left"/>
    </xf>
    <xf numFmtId="0" fontId="142" fillId="0" borderId="1" xfId="0" applyFont="1" applyBorder="1"/>
    <xf numFmtId="0" fontId="166" fillId="0" borderId="1" xfId="0" applyFont="1" applyBorder="1"/>
    <xf numFmtId="0" fontId="142" fillId="0" borderId="32" xfId="0" applyFont="1" applyBorder="1"/>
    <xf numFmtId="0" fontId="141" fillId="0" borderId="1" xfId="0" applyFont="1" applyBorder="1"/>
    <xf numFmtId="166" fontId="141" fillId="0" borderId="1" xfId="0" applyNumberFormat="1" applyFont="1" applyBorder="1"/>
    <xf numFmtId="166" fontId="142" fillId="0" borderId="1" xfId="0" applyNumberFormat="1" applyFont="1" applyBorder="1"/>
    <xf numFmtId="166" fontId="142" fillId="0" borderId="32" xfId="0" applyNumberFormat="1" applyFont="1" applyBorder="1"/>
    <xf numFmtId="0" fontId="143" fillId="0" borderId="1" xfId="0" applyFont="1" applyBorder="1"/>
    <xf numFmtId="0" fontId="142" fillId="0" borderId="1" xfId="0" applyFont="1" applyBorder="1" applyAlignment="1">
      <alignment horizontal="left"/>
    </xf>
    <xf numFmtId="22" fontId="142" fillId="0" borderId="1" xfId="0" applyNumberFormat="1" applyFont="1" applyBorder="1"/>
    <xf numFmtId="22" fontId="142" fillId="0" borderId="32" xfId="0" applyNumberFormat="1" applyFont="1" applyBorder="1"/>
    <xf numFmtId="0" fontId="53" fillId="0" borderId="33" xfId="0" applyFont="1" applyBorder="1" applyAlignment="1">
      <alignment horizontal="left" indent="2"/>
    </xf>
    <xf numFmtId="0" fontId="54" fillId="0" borderId="34" xfId="0" applyFont="1" applyBorder="1" applyAlignment="1">
      <alignment horizontal="left"/>
    </xf>
    <xf numFmtId="0" fontId="139" fillId="0" borderId="32" xfId="0" applyFont="1" applyBorder="1"/>
    <xf numFmtId="49" fontId="141" fillId="0" borderId="1" xfId="0" applyNumberFormat="1" applyFont="1" applyBorder="1" applyAlignment="1">
      <alignment horizontal="left"/>
    </xf>
    <xf numFmtId="0" fontId="140" fillId="0" borderId="33" xfId="0" applyFont="1" applyBorder="1" applyAlignment="1">
      <alignment horizontal="left" indent="2"/>
    </xf>
    <xf numFmtId="0" fontId="142" fillId="0" borderId="34" xfId="0" applyFont="1" applyBorder="1" applyAlignment="1">
      <alignment horizontal="left"/>
    </xf>
    <xf numFmtId="0" fontId="142" fillId="0" borderId="34" xfId="0" applyFont="1" applyBorder="1"/>
    <xf numFmtId="22" fontId="142" fillId="0" borderId="34" xfId="0" applyNumberFormat="1" applyFont="1" applyBorder="1"/>
    <xf numFmtId="0" fontId="139" fillId="0" borderId="35" xfId="0" applyFont="1" applyBorder="1"/>
    <xf numFmtId="168" fontId="61" fillId="0" borderId="1" xfId="109" applyNumberFormat="1" applyFont="1" applyFill="1" applyBorder="1" applyAlignment="1">
      <alignment horizontal="center" vertical="top"/>
    </xf>
    <xf numFmtId="0" fontId="157" fillId="0" borderId="12" xfId="0" applyFont="1" applyBorder="1" applyAlignment="1" applyProtection="1">
      <alignment horizontal="left" vertical="center"/>
      <protection locked="0"/>
    </xf>
    <xf numFmtId="0" fontId="157" fillId="0" borderId="18" xfId="0" applyFont="1" applyBorder="1" applyAlignment="1" applyProtection="1">
      <alignment horizontal="left" vertical="center"/>
      <protection locked="0"/>
    </xf>
    <xf numFmtId="1" fontId="175" fillId="0" borderId="0" xfId="0" applyNumberFormat="1" applyFont="1" applyAlignment="1">
      <alignment horizontal="center"/>
    </xf>
    <xf numFmtId="1" fontId="176" fillId="0" borderId="0" xfId="0" applyNumberFormat="1" applyFont="1"/>
    <xf numFmtId="1" fontId="176" fillId="0" borderId="0" xfId="0" applyNumberFormat="1" applyFont="1" applyAlignment="1">
      <alignment horizontal="left"/>
    </xf>
    <xf numFmtId="0" fontId="44" fillId="0" borderId="0" xfId="0" applyFont="1"/>
    <xf numFmtId="14" fontId="157" fillId="0" borderId="11" xfId="0" applyNumberFormat="1" applyFont="1" applyBorder="1" applyAlignment="1" applyProtection="1">
      <alignment horizontal="left" vertical="center"/>
      <protection locked="0"/>
    </xf>
    <xf numFmtId="0" fontId="25" fillId="0" borderId="20" xfId="0" applyFont="1" applyBorder="1"/>
    <xf numFmtId="0" fontId="25" fillId="0" borderId="20" xfId="0" applyFont="1" applyBorder="1" applyAlignment="1">
      <alignment horizontal="center" vertical="center"/>
    </xf>
    <xf numFmtId="0" fontId="98" fillId="48" borderId="20" xfId="0" applyFont="1" applyFill="1" applyBorder="1" applyAlignment="1">
      <alignment horizontal="center" vertical="center" wrapText="1"/>
    </xf>
    <xf numFmtId="1" fontId="88" fillId="60" borderId="20" xfId="0" applyNumberFormat="1" applyFont="1" applyFill="1" applyBorder="1" applyAlignment="1">
      <alignment horizontal="left" vertical="center" wrapText="1"/>
    </xf>
    <xf numFmtId="169" fontId="88" fillId="60" borderId="20" xfId="111" applyNumberFormat="1" applyFont="1" applyFill="1" applyBorder="1" applyAlignment="1">
      <alignment horizontal="center" vertical="center" wrapText="1"/>
    </xf>
    <xf numFmtId="1" fontId="88" fillId="60" borderId="20" xfId="0" applyNumberFormat="1" applyFont="1" applyFill="1" applyBorder="1" applyAlignment="1">
      <alignment horizontal="center" vertical="center" wrapText="1"/>
    </xf>
    <xf numFmtId="0" fontId="25" fillId="51" borderId="20" xfId="0" applyFont="1" applyFill="1" applyBorder="1" applyAlignment="1" applyProtection="1">
      <alignment horizontal="center" vertical="center"/>
      <protection locked="0"/>
    </xf>
    <xf numFmtId="0" fontId="25" fillId="53" borderId="20" xfId="0" applyFont="1" applyFill="1" applyBorder="1" applyAlignment="1" applyProtection="1">
      <alignment horizontal="center" vertical="center"/>
      <protection locked="0"/>
    </xf>
    <xf numFmtId="1" fontId="83" fillId="60" borderId="20" xfId="0" applyNumberFormat="1" applyFont="1" applyFill="1" applyBorder="1" applyAlignment="1">
      <alignment horizontal="left" vertical="center" wrapText="1"/>
    </xf>
    <xf numFmtId="0" fontId="81" fillId="60" borderId="20" xfId="0" applyFont="1" applyFill="1" applyBorder="1" applyAlignment="1">
      <alignment vertical="center"/>
    </xf>
    <xf numFmtId="0" fontId="88" fillId="60" borderId="20" xfId="0" applyFont="1" applyFill="1" applyBorder="1" applyAlignment="1">
      <alignment horizontal="center" vertical="center" wrapText="1"/>
    </xf>
    <xf numFmtId="0" fontId="25" fillId="60" borderId="20" xfId="0" applyFont="1" applyFill="1" applyBorder="1" applyAlignment="1">
      <alignment vertical="center"/>
    </xf>
    <xf numFmtId="0" fontId="25" fillId="0" borderId="20" xfId="0" applyFont="1" applyBorder="1" applyAlignment="1">
      <alignment vertical="center"/>
    </xf>
    <xf numFmtId="169" fontId="108" fillId="60" borderId="20" xfId="111" applyNumberFormat="1" applyFont="1" applyFill="1" applyBorder="1" applyAlignment="1">
      <alignment horizontal="center" vertical="center" wrapText="1"/>
    </xf>
    <xf numFmtId="169" fontId="83" fillId="60" borderId="20" xfId="111" applyNumberFormat="1" applyFont="1" applyFill="1" applyBorder="1" applyAlignment="1">
      <alignment horizontal="center" vertical="center" wrapText="1"/>
    </xf>
    <xf numFmtId="1" fontId="83" fillId="60" borderId="20" xfId="0" applyNumberFormat="1" applyFont="1" applyFill="1" applyBorder="1" applyAlignment="1">
      <alignment horizontal="center" vertical="center" wrapText="1"/>
    </xf>
    <xf numFmtId="1" fontId="83" fillId="0" borderId="20" xfId="0" applyNumberFormat="1" applyFont="1" applyBorder="1" applyAlignment="1">
      <alignment horizontal="left" vertical="center" wrapText="1"/>
    </xf>
    <xf numFmtId="0" fontId="106" fillId="51" borderId="20" xfId="0" applyFont="1" applyFill="1" applyBorder="1" applyAlignment="1" applyProtection="1">
      <alignment horizontal="center" vertical="center"/>
      <protection locked="0"/>
    </xf>
    <xf numFmtId="0" fontId="106" fillId="53" borderId="20" xfId="0" applyFont="1" applyFill="1" applyBorder="1" applyAlignment="1" applyProtection="1">
      <alignment horizontal="center" vertical="center"/>
      <protection locked="0"/>
    </xf>
    <xf numFmtId="169" fontId="83" fillId="0" borderId="20" xfId="111" applyNumberFormat="1" applyFont="1" applyFill="1" applyBorder="1" applyAlignment="1">
      <alignment horizontal="center" vertical="center" wrapText="1"/>
    </xf>
    <xf numFmtId="1" fontId="83" fillId="0" borderId="20" xfId="0" applyNumberFormat="1" applyFont="1" applyBorder="1" applyAlignment="1">
      <alignment horizontal="center" vertical="center" wrapText="1"/>
    </xf>
    <xf numFmtId="0" fontId="81" fillId="0" borderId="20" xfId="0" applyFont="1" applyBorder="1" applyAlignment="1">
      <alignment vertical="center"/>
    </xf>
    <xf numFmtId="0" fontId="88" fillId="0" borderId="20" xfId="0" applyFont="1" applyBorder="1" applyAlignment="1">
      <alignment horizontal="center" vertical="center" wrapText="1"/>
    </xf>
    <xf numFmtId="0" fontId="83" fillId="0" borderId="20" xfId="0" applyFont="1" applyBorder="1" applyAlignment="1">
      <alignment horizontal="left" vertical="center" wrapText="1"/>
    </xf>
    <xf numFmtId="0" fontId="83" fillId="60" borderId="20" xfId="0" applyFont="1" applyFill="1" applyBorder="1" applyAlignment="1">
      <alignment horizontal="left" vertical="center" wrapText="1"/>
    </xf>
    <xf numFmtId="0" fontId="25" fillId="36" borderId="20" xfId="0" applyFont="1" applyFill="1" applyBorder="1" applyAlignment="1">
      <alignment vertical="center"/>
    </xf>
    <xf numFmtId="0" fontId="118" fillId="0" borderId="20" xfId="0" applyFont="1" applyBorder="1" applyAlignment="1">
      <alignment vertical="center"/>
    </xf>
    <xf numFmtId="1" fontId="88" fillId="0" borderId="20" xfId="0" applyNumberFormat="1" applyFont="1" applyBorder="1" applyAlignment="1">
      <alignment horizontal="left" vertical="center" wrapText="1"/>
    </xf>
    <xf numFmtId="169" fontId="88" fillId="0" borderId="20" xfId="111" applyNumberFormat="1" applyFont="1" applyFill="1" applyBorder="1" applyAlignment="1">
      <alignment horizontal="center" vertical="center" wrapText="1"/>
    </xf>
    <xf numFmtId="1" fontId="88" fillId="0" borderId="20" xfId="0" applyNumberFormat="1" applyFont="1" applyBorder="1" applyAlignment="1">
      <alignment horizontal="center" vertical="center" wrapText="1"/>
    </xf>
    <xf numFmtId="0" fontId="88" fillId="0" borderId="20" xfId="0" applyFont="1" applyBorder="1" applyAlignment="1">
      <alignment horizontal="left" vertical="center" wrapText="1"/>
    </xf>
    <xf numFmtId="1" fontId="81" fillId="0" borderId="20" xfId="0" applyNumberFormat="1" applyFont="1" applyBorder="1" applyAlignment="1">
      <alignment horizontal="left" vertical="center" wrapText="1"/>
    </xf>
    <xf numFmtId="169" fontId="81" fillId="0" borderId="20" xfId="111" applyNumberFormat="1" applyFont="1" applyFill="1" applyBorder="1" applyAlignment="1">
      <alignment horizontal="center" vertical="center" wrapText="1"/>
    </xf>
    <xf numFmtId="1" fontId="81" fillId="0" borderId="20" xfId="0" applyNumberFormat="1" applyFont="1" applyBorder="1" applyAlignment="1">
      <alignment horizontal="center" vertical="center" wrapText="1"/>
    </xf>
    <xf numFmtId="0" fontId="106" fillId="0" borderId="20" xfId="0" applyFont="1" applyBorder="1" applyAlignment="1">
      <alignment vertical="center"/>
    </xf>
    <xf numFmtId="0" fontId="106" fillId="0" borderId="20" xfId="0" applyFont="1" applyBorder="1"/>
    <xf numFmtId="1" fontId="81" fillId="60" borderId="20" xfId="0" applyNumberFormat="1" applyFont="1" applyFill="1" applyBorder="1" applyAlignment="1">
      <alignment horizontal="left" vertical="center" wrapText="1"/>
    </xf>
    <xf numFmtId="169" fontId="81" fillId="60" borderId="20" xfId="111" applyNumberFormat="1" applyFont="1" applyFill="1" applyBorder="1" applyAlignment="1">
      <alignment horizontal="center" vertical="center" wrapText="1"/>
    </xf>
    <xf numFmtId="1" fontId="81" fillId="60" borderId="20" xfId="0" applyNumberFormat="1" applyFont="1" applyFill="1" applyBorder="1" applyAlignment="1">
      <alignment horizontal="center" vertical="center" wrapText="1"/>
    </xf>
    <xf numFmtId="0" fontId="81" fillId="60" borderId="20" xfId="0" applyFont="1" applyFill="1" applyBorder="1" applyAlignment="1">
      <alignment horizontal="left" vertical="center" wrapText="1"/>
    </xf>
    <xf numFmtId="0" fontId="81" fillId="60" borderId="20" xfId="0" applyFont="1" applyFill="1" applyBorder="1" applyAlignment="1">
      <alignment horizontal="center" vertical="center" wrapText="1"/>
    </xf>
    <xf numFmtId="0" fontId="88" fillId="60" borderId="20" xfId="0" applyFont="1" applyFill="1" applyBorder="1" applyAlignment="1">
      <alignment horizontal="left" vertical="center" wrapText="1"/>
    </xf>
    <xf numFmtId="0" fontId="81" fillId="0" borderId="20" xfId="0" applyFont="1" applyBorder="1" applyAlignment="1">
      <alignment horizontal="left" vertical="center" wrapText="1"/>
    </xf>
    <xf numFmtId="0" fontId="25" fillId="0" borderId="20" xfId="0" applyFont="1" applyBorder="1" applyAlignment="1">
      <alignment vertical="center" wrapText="1"/>
    </xf>
    <xf numFmtId="0" fontId="25" fillId="0" borderId="20" xfId="0" applyFont="1" applyBorder="1" applyAlignment="1">
      <alignment horizontal="left" vertical="center"/>
    </xf>
    <xf numFmtId="0" fontId="83" fillId="60" borderId="20" xfId="0" applyFont="1" applyFill="1" applyBorder="1" applyAlignment="1">
      <alignment horizontal="center" vertical="center" wrapText="1"/>
    </xf>
    <xf numFmtId="169" fontId="109" fillId="60" borderId="20" xfId="111" applyNumberFormat="1" applyFont="1" applyFill="1" applyBorder="1" applyAlignment="1">
      <alignment horizontal="center" vertical="center" wrapText="1"/>
    </xf>
    <xf numFmtId="169" fontId="109" fillId="0" borderId="20" xfId="111" applyNumberFormat="1" applyFont="1" applyFill="1" applyBorder="1" applyAlignment="1">
      <alignment horizontal="center" vertical="center" wrapText="1"/>
    </xf>
    <xf numFmtId="1" fontId="120" fillId="0" borderId="20" xfId="0" applyNumberFormat="1" applyFont="1" applyBorder="1" applyAlignment="1">
      <alignment horizontal="left" vertical="center" wrapText="1"/>
    </xf>
    <xf numFmtId="169" fontId="100" fillId="60" borderId="20" xfId="111" applyNumberFormat="1" applyFont="1" applyFill="1" applyBorder="1" applyAlignment="1">
      <alignment horizontal="center" vertical="center" wrapText="1"/>
    </xf>
    <xf numFmtId="1" fontId="88" fillId="49" borderId="20" xfId="0" applyNumberFormat="1" applyFont="1" applyFill="1" applyBorder="1" applyAlignment="1">
      <alignment horizontal="left" vertical="center" wrapText="1"/>
    </xf>
    <xf numFmtId="1" fontId="120" fillId="49" borderId="20" xfId="0" applyNumberFormat="1" applyFont="1" applyFill="1" applyBorder="1" applyAlignment="1">
      <alignment horizontal="left" vertical="center" wrapText="1"/>
    </xf>
    <xf numFmtId="169" fontId="88" fillId="49" borderId="20" xfId="111" applyNumberFormat="1" applyFont="1" applyFill="1" applyBorder="1" applyAlignment="1">
      <alignment horizontal="center" vertical="center" wrapText="1"/>
    </xf>
    <xf numFmtId="1" fontId="88" fillId="49" borderId="20" xfId="0" applyNumberFormat="1" applyFont="1" applyFill="1" applyBorder="1" applyAlignment="1">
      <alignment horizontal="center" vertical="center" wrapText="1"/>
    </xf>
    <xf numFmtId="1" fontId="83" fillId="49" borderId="20" xfId="0" applyNumberFormat="1" applyFont="1" applyFill="1" applyBorder="1" applyAlignment="1">
      <alignment horizontal="left" vertical="center" wrapText="1"/>
    </xf>
    <xf numFmtId="0" fontId="81" fillId="49" borderId="20" xfId="0" applyFont="1" applyFill="1" applyBorder="1" applyAlignment="1">
      <alignment vertical="center"/>
    </xf>
    <xf numFmtId="0" fontId="88" fillId="49" borderId="20" xfId="0" applyFont="1" applyFill="1" applyBorder="1" applyAlignment="1">
      <alignment horizontal="center" vertical="center" wrapText="1"/>
    </xf>
    <xf numFmtId="1" fontId="120" fillId="60" borderId="20" xfId="0" applyNumberFormat="1" applyFont="1" applyFill="1" applyBorder="1" applyAlignment="1">
      <alignment horizontal="left" vertical="center" wrapText="1"/>
    </xf>
    <xf numFmtId="1" fontId="98" fillId="50" borderId="20" xfId="0" applyNumberFormat="1" applyFont="1" applyFill="1" applyBorder="1" applyAlignment="1">
      <alignment horizontal="left" vertical="center" wrapText="1"/>
    </xf>
    <xf numFmtId="1" fontId="98" fillId="50" borderId="20" xfId="0" applyNumberFormat="1" applyFont="1" applyFill="1" applyBorder="1" applyAlignment="1">
      <alignment horizontal="center" vertical="center" wrapText="1"/>
    </xf>
    <xf numFmtId="1" fontId="104" fillId="49" borderId="20" xfId="0" applyNumberFormat="1" applyFont="1" applyFill="1" applyBorder="1" applyAlignment="1">
      <alignment horizontal="left" vertical="center" wrapText="1"/>
    </xf>
    <xf numFmtId="1" fontId="88" fillId="50" borderId="20" xfId="0" applyNumberFormat="1" applyFont="1" applyFill="1" applyBorder="1" applyAlignment="1">
      <alignment horizontal="left" vertical="center" wrapText="1"/>
    </xf>
    <xf numFmtId="169" fontId="88" fillId="50" borderId="20" xfId="111" applyNumberFormat="1" applyFont="1" applyFill="1" applyBorder="1" applyAlignment="1">
      <alignment horizontal="center" vertical="center" wrapText="1"/>
    </xf>
    <xf numFmtId="1" fontId="88" fillId="50" borderId="20" xfId="0" applyNumberFormat="1" applyFont="1" applyFill="1" applyBorder="1" applyAlignment="1">
      <alignment horizontal="center" vertical="center" wrapText="1"/>
    </xf>
    <xf numFmtId="168" fontId="102" fillId="49" borderId="20" xfId="0" applyNumberFormat="1" applyFont="1" applyFill="1" applyBorder="1" applyAlignment="1">
      <alignment horizontal="center" vertical="center" wrapText="1"/>
    </xf>
    <xf numFmtId="1" fontId="103" fillId="49" borderId="20" xfId="0" applyNumberFormat="1" applyFont="1" applyFill="1" applyBorder="1" applyAlignment="1">
      <alignment horizontal="center" vertical="center" wrapText="1"/>
    </xf>
    <xf numFmtId="1" fontId="104" fillId="50" borderId="20" xfId="0" applyNumberFormat="1" applyFont="1" applyFill="1" applyBorder="1" applyAlignment="1">
      <alignment horizontal="left" vertical="center" wrapText="1"/>
    </xf>
    <xf numFmtId="1" fontId="104" fillId="49" borderId="20" xfId="0" applyNumberFormat="1" applyFont="1" applyFill="1" applyBorder="1" applyAlignment="1">
      <alignment horizontal="center" vertical="center" wrapText="1"/>
    </xf>
    <xf numFmtId="1" fontId="81" fillId="49" borderId="20" xfId="0" applyNumberFormat="1" applyFont="1" applyFill="1" applyBorder="1" applyAlignment="1">
      <alignment horizontal="left" vertical="center" wrapText="1"/>
    </xf>
    <xf numFmtId="169" fontId="81" fillId="49" borderId="20" xfId="111" applyNumberFormat="1" applyFont="1" applyFill="1" applyBorder="1" applyAlignment="1">
      <alignment horizontal="center" vertical="center" wrapText="1"/>
    </xf>
    <xf numFmtId="1" fontId="81" fillId="49" borderId="20" xfId="0" applyNumberFormat="1" applyFont="1" applyFill="1" applyBorder="1" applyAlignment="1">
      <alignment horizontal="center" vertical="center" wrapText="1"/>
    </xf>
    <xf numFmtId="0" fontId="102" fillId="51" borderId="20" xfId="0" applyFont="1" applyFill="1" applyBorder="1" applyAlignment="1" applyProtection="1">
      <alignment horizontal="center" vertical="center"/>
      <protection locked="0"/>
    </xf>
    <xf numFmtId="0" fontId="102" fillId="53" borderId="20" xfId="0" applyFont="1" applyFill="1" applyBorder="1" applyAlignment="1" applyProtection="1">
      <alignment horizontal="center" vertical="center"/>
      <protection locked="0"/>
    </xf>
    <xf numFmtId="0" fontId="58" fillId="36" borderId="20" xfId="0" applyFont="1" applyFill="1" applyBorder="1" applyAlignment="1">
      <alignment horizontal="center" vertical="center"/>
    </xf>
    <xf numFmtId="0" fontId="58" fillId="36" borderId="20" xfId="0" applyFont="1" applyFill="1" applyBorder="1" applyAlignment="1">
      <alignment vertical="center"/>
    </xf>
    <xf numFmtId="0" fontId="25" fillId="36" borderId="20" xfId="0" applyFont="1" applyFill="1" applyBorder="1" applyAlignment="1">
      <alignment horizontal="center" vertical="center"/>
    </xf>
    <xf numFmtId="0" fontId="25" fillId="0" borderId="23" xfId="0" applyFont="1" applyBorder="1" applyAlignment="1">
      <alignment horizontal="left" vertical="center"/>
    </xf>
    <xf numFmtId="0" fontId="25" fillId="0" borderId="54" xfId="0" applyFont="1" applyBorder="1" applyAlignment="1">
      <alignment horizontal="left" vertical="center"/>
    </xf>
    <xf numFmtId="0" fontId="25" fillId="0" borderId="55" xfId="0" applyFont="1" applyBorder="1" applyAlignment="1">
      <alignment horizontal="left" vertical="center"/>
    </xf>
    <xf numFmtId="0" fontId="25" fillId="61" borderId="20" xfId="0" applyFont="1" applyFill="1" applyBorder="1" applyAlignment="1">
      <alignment horizontal="center" vertical="center"/>
    </xf>
    <xf numFmtId="168" fontId="173" fillId="46" borderId="20" xfId="0" applyNumberFormat="1" applyFont="1" applyFill="1" applyBorder="1" applyAlignment="1">
      <alignment vertical="center"/>
    </xf>
    <xf numFmtId="0" fontId="178" fillId="0" borderId="31" xfId="0" applyFont="1" applyBorder="1"/>
    <xf numFmtId="169" fontId="51" fillId="0" borderId="1" xfId="111" applyNumberFormat="1" applyFont="1" applyBorder="1" applyAlignment="1">
      <alignment horizontal="right" wrapText="1"/>
    </xf>
    <xf numFmtId="169" fontId="51" fillId="0" borderId="1" xfId="0" applyNumberFormat="1" applyFont="1" applyBorder="1" applyAlignment="1">
      <alignment horizontal="right" vertical="top" wrapText="1"/>
    </xf>
    <xf numFmtId="168" fontId="129" fillId="0" borderId="29" xfId="0" applyNumberFormat="1" applyFont="1" applyBorder="1" applyAlignment="1">
      <alignment horizontal="right"/>
    </xf>
    <xf numFmtId="0" fontId="124" fillId="0" borderId="0" xfId="0" applyFont="1" applyAlignment="1">
      <alignment horizontal="left"/>
    </xf>
    <xf numFmtId="0" fontId="74" fillId="53" borderId="20" xfId="0" applyFont="1" applyFill="1" applyBorder="1" applyAlignment="1" applyProtection="1">
      <alignment horizontal="center" vertical="center"/>
      <protection locked="0"/>
    </xf>
    <xf numFmtId="0" fontId="180" fillId="53" borderId="20" xfId="0" applyFont="1" applyFill="1" applyBorder="1" applyAlignment="1" applyProtection="1">
      <alignment horizontal="center" vertical="center"/>
      <protection locked="0"/>
    </xf>
    <xf numFmtId="0" fontId="180" fillId="60" borderId="20" xfId="0" applyFont="1" applyFill="1" applyBorder="1" applyAlignment="1">
      <alignment horizontal="left" vertical="center" wrapText="1"/>
    </xf>
    <xf numFmtId="1" fontId="74" fillId="60" borderId="20" xfId="0" applyNumberFormat="1" applyFont="1" applyFill="1" applyBorder="1" applyAlignment="1">
      <alignment horizontal="left" vertical="center" wrapText="1"/>
    </xf>
    <xf numFmtId="1" fontId="180" fillId="60" borderId="20" xfId="0" applyNumberFormat="1" applyFont="1" applyFill="1" applyBorder="1" applyAlignment="1">
      <alignment horizontal="left" vertical="center" wrapText="1"/>
    </xf>
    <xf numFmtId="0" fontId="74" fillId="60" borderId="20" xfId="0" applyFont="1" applyFill="1" applyBorder="1" applyAlignment="1">
      <alignment horizontal="center" vertical="center" wrapText="1"/>
    </xf>
    <xf numFmtId="0" fontId="74" fillId="51" borderId="20" xfId="0" applyFont="1" applyFill="1" applyBorder="1" applyAlignment="1" applyProtection="1">
      <alignment horizontal="center" vertical="center"/>
      <protection locked="0"/>
    </xf>
    <xf numFmtId="0" fontId="118" fillId="60" borderId="20" xfId="0" applyFont="1" applyFill="1" applyBorder="1" applyAlignment="1">
      <alignment vertical="center"/>
    </xf>
    <xf numFmtId="1" fontId="182" fillId="60" borderId="20" xfId="0" applyNumberFormat="1" applyFont="1" applyFill="1" applyBorder="1" applyAlignment="1">
      <alignment horizontal="left" vertical="center" wrapText="1"/>
    </xf>
    <xf numFmtId="169" fontId="182" fillId="60" borderId="20" xfId="111" applyNumberFormat="1" applyFont="1" applyFill="1" applyBorder="1" applyAlignment="1">
      <alignment horizontal="center" vertical="center" wrapText="1"/>
    </xf>
    <xf numFmtId="1" fontId="182" fillId="60" borderId="20" xfId="0" applyNumberFormat="1" applyFont="1" applyFill="1" applyBorder="1" applyAlignment="1">
      <alignment horizontal="center" vertical="center" wrapText="1"/>
    </xf>
    <xf numFmtId="0" fontId="182" fillId="60" borderId="20" xfId="0" applyFont="1" applyFill="1" applyBorder="1" applyAlignment="1">
      <alignment vertical="center"/>
    </xf>
    <xf numFmtId="0" fontId="81" fillId="62" borderId="0" xfId="0" applyFont="1" applyFill="1" applyAlignment="1">
      <alignment horizontal="center" vertical="top" wrapText="1"/>
    </xf>
    <xf numFmtId="0" fontId="81" fillId="62" borderId="0" xfId="0" applyFont="1" applyFill="1" applyAlignment="1">
      <alignment horizontal="left" vertical="top" wrapText="1"/>
    </xf>
    <xf numFmtId="0" fontId="81" fillId="62" borderId="0" xfId="0" applyFont="1" applyFill="1" applyAlignment="1">
      <alignment horizontal="right" vertical="top" wrapText="1"/>
    </xf>
    <xf numFmtId="0" fontId="81" fillId="0" borderId="0" xfId="0" applyFont="1" applyAlignment="1">
      <alignment horizontal="center" vertical="top" wrapText="1"/>
    </xf>
    <xf numFmtId="0" fontId="81" fillId="63" borderId="0" xfId="0" applyFont="1" applyFill="1" applyAlignment="1">
      <alignment horizontal="center" vertical="top" wrapText="1"/>
    </xf>
    <xf numFmtId="0" fontId="81" fillId="63" borderId="0" xfId="0" applyFont="1" applyFill="1" applyAlignment="1">
      <alignment horizontal="left" vertical="top" wrapText="1"/>
    </xf>
    <xf numFmtId="0" fontId="81" fillId="63" borderId="0" xfId="0" applyFont="1" applyFill="1" applyAlignment="1">
      <alignment horizontal="right" vertical="top" wrapText="1"/>
    </xf>
    <xf numFmtId="0" fontId="81" fillId="0" borderId="0" xfId="0" applyFont="1" applyAlignment="1">
      <alignment horizontal="left" vertical="top" wrapText="1"/>
    </xf>
    <xf numFmtId="171" fontId="81" fillId="0" borderId="0" xfId="0" applyNumberFormat="1" applyFont="1" applyAlignment="1">
      <alignment horizontal="center" vertical="top" wrapText="1"/>
    </xf>
    <xf numFmtId="0" fontId="81" fillId="0" borderId="0" xfId="0" applyFont="1" applyAlignment="1">
      <alignment horizontal="right" vertical="top" wrapText="1"/>
    </xf>
    <xf numFmtId="0" fontId="184" fillId="64" borderId="0" xfId="0" applyFont="1" applyFill="1" applyAlignment="1">
      <alignment horizontal="center" vertical="top" wrapText="1"/>
    </xf>
    <xf numFmtId="0" fontId="81" fillId="0" borderId="0" xfId="0" applyFont="1" applyAlignment="1">
      <alignment horizontal="justify" vertical="top" wrapText="1"/>
    </xf>
    <xf numFmtId="0" fontId="185" fillId="0" borderId="0" xfId="0" applyFont="1" applyAlignment="1">
      <alignment horizontal="left" vertical="top" wrapText="1"/>
    </xf>
    <xf numFmtId="0" fontId="185" fillId="0" borderId="0" xfId="0" applyFont="1" applyAlignment="1">
      <alignment horizontal="justify" vertical="top" wrapText="1"/>
    </xf>
    <xf numFmtId="0" fontId="81" fillId="0" borderId="0" xfId="0" quotePrefix="1" applyFont="1" applyAlignment="1">
      <alignment horizontal="center" vertical="top" wrapText="1"/>
    </xf>
    <xf numFmtId="0" fontId="186" fillId="0" borderId="0" xfId="0" quotePrefix="1" applyFont="1" applyAlignment="1">
      <alignment horizontal="center" vertical="top" wrapText="1"/>
    </xf>
    <xf numFmtId="0" fontId="98" fillId="65" borderId="0" xfId="0" applyFont="1" applyFill="1" applyAlignment="1">
      <alignment horizontal="center" vertical="center" wrapText="1"/>
    </xf>
    <xf numFmtId="171" fontId="81" fillId="62" borderId="0" xfId="0" applyNumberFormat="1" applyFont="1" applyFill="1" applyAlignment="1">
      <alignment horizontal="center" vertical="top" wrapText="1"/>
    </xf>
    <xf numFmtId="0" fontId="187" fillId="62" borderId="0" xfId="0" applyFont="1" applyFill="1" applyAlignment="1">
      <alignment horizontal="left" wrapText="1"/>
    </xf>
    <xf numFmtId="0" fontId="188" fillId="62" borderId="0" xfId="0" applyFont="1" applyFill="1" applyAlignment="1">
      <alignment horizontal="left" vertical="top" wrapText="1"/>
    </xf>
    <xf numFmtId="171" fontId="188" fillId="62" borderId="0" xfId="0" applyNumberFormat="1" applyFont="1" applyFill="1" applyAlignment="1">
      <alignment horizontal="center" vertical="top" wrapText="1"/>
    </xf>
    <xf numFmtId="171" fontId="81" fillId="63" borderId="0" xfId="0" applyNumberFormat="1" applyFont="1" applyFill="1" applyAlignment="1">
      <alignment horizontal="center" vertical="top" wrapText="1"/>
    </xf>
    <xf numFmtId="0" fontId="185" fillId="0" borderId="0" xfId="0" applyFont="1" applyAlignment="1">
      <alignment horizontal="center" vertical="center" wrapText="1"/>
    </xf>
    <xf numFmtId="171" fontId="185" fillId="0" borderId="0" xfId="0" applyNumberFormat="1" applyFont="1" applyAlignment="1">
      <alignment horizontal="center" vertical="center" wrapText="1"/>
    </xf>
    <xf numFmtId="0" fontId="81" fillId="0" borderId="0" xfId="0" applyFont="1" applyAlignment="1">
      <alignment horizontal="left" vertical="center" wrapText="1"/>
    </xf>
    <xf numFmtId="171" fontId="81" fillId="0" borderId="0" xfId="0" applyNumberFormat="1" applyFont="1" applyAlignment="1">
      <alignment horizontal="center" vertical="center" wrapText="1"/>
    </xf>
    <xf numFmtId="0" fontId="81" fillId="0" borderId="0" xfId="0" applyFont="1" applyAlignment="1">
      <alignment horizontal="center" vertical="center" wrapText="1"/>
    </xf>
    <xf numFmtId="171" fontId="81" fillId="0" borderId="0" xfId="111" applyNumberFormat="1" applyFont="1" applyFill="1" applyAlignment="1">
      <alignment horizontal="center" vertical="center" wrapText="1"/>
    </xf>
    <xf numFmtId="0" fontId="185" fillId="0" borderId="0" xfId="0" applyFont="1" applyAlignment="1">
      <alignment horizontal="left" vertical="center" wrapText="1"/>
    </xf>
    <xf numFmtId="171" fontId="81" fillId="0" borderId="0" xfId="0" quotePrefix="1" applyNumberFormat="1" applyFont="1" applyAlignment="1">
      <alignment horizontal="center" vertical="center" wrapText="1"/>
    </xf>
    <xf numFmtId="0" fontId="81" fillId="0" borderId="0" xfId="0" quotePrefix="1" applyFont="1" applyAlignment="1">
      <alignment horizontal="center" vertical="center" wrapText="1"/>
    </xf>
    <xf numFmtId="0" fontId="120" fillId="66" borderId="1" xfId="0" applyFont="1" applyFill="1" applyBorder="1" applyAlignment="1">
      <alignment horizontal="center" vertical="top" wrapText="1"/>
    </xf>
    <xf numFmtId="0" fontId="120" fillId="66" borderId="1" xfId="0" applyFont="1" applyFill="1" applyBorder="1" applyAlignment="1">
      <alignment horizontal="left" vertical="top" wrapText="1"/>
    </xf>
    <xf numFmtId="0" fontId="120" fillId="66" borderId="1" xfId="0" applyFont="1" applyFill="1" applyBorder="1" applyAlignment="1">
      <alignment horizontal="right" vertical="center" wrapText="1"/>
    </xf>
    <xf numFmtId="0" fontId="120" fillId="66" borderId="1" xfId="0" applyFont="1" applyFill="1" applyBorder="1" applyAlignment="1">
      <alignment horizontal="center" vertical="center" wrapText="1"/>
    </xf>
    <xf numFmtId="0" fontId="120" fillId="0" borderId="1" xfId="0" applyFont="1" applyBorder="1" applyAlignment="1">
      <alignment horizontal="center" vertical="top" wrapText="1"/>
    </xf>
    <xf numFmtId="0" fontId="188" fillId="66" borderId="1" xfId="0" applyFont="1" applyFill="1" applyBorder="1" applyAlignment="1">
      <alignment horizontal="center" vertical="center" wrapText="1"/>
    </xf>
    <xf numFmtId="0" fontId="120" fillId="67" borderId="1" xfId="0" applyFont="1" applyFill="1" applyBorder="1" applyAlignment="1">
      <alignment horizontal="center" vertical="top" wrapText="1"/>
    </xf>
    <xf numFmtId="0" fontId="120" fillId="67" borderId="1" xfId="0" applyFont="1" applyFill="1" applyBorder="1" applyAlignment="1">
      <alignment horizontal="left" vertical="top" wrapText="1"/>
    </xf>
    <xf numFmtId="0" fontId="120" fillId="67" borderId="1" xfId="0" applyFont="1" applyFill="1" applyBorder="1" applyAlignment="1">
      <alignment horizontal="right" vertical="center" wrapText="1"/>
    </xf>
    <xf numFmtId="0" fontId="120" fillId="67" borderId="1" xfId="0" applyFont="1" applyFill="1" applyBorder="1" applyAlignment="1">
      <alignment horizontal="center" vertical="center" wrapText="1"/>
    </xf>
    <xf numFmtId="0" fontId="190" fillId="0" borderId="1" xfId="0" applyFont="1" applyBorder="1" applyAlignment="1">
      <alignment horizontal="center" vertical="center" wrapText="1"/>
    </xf>
    <xf numFmtId="1" fontId="191" fillId="0" borderId="1" xfId="0" applyNumberFormat="1" applyFont="1" applyBorder="1" applyAlignment="1">
      <alignment horizontal="center" vertical="top" wrapText="1"/>
    </xf>
    <xf numFmtId="0" fontId="120" fillId="0" borderId="1" xfId="0" applyFont="1" applyBorder="1" applyAlignment="1">
      <alignment horizontal="left" vertical="top" wrapText="1"/>
    </xf>
    <xf numFmtId="1" fontId="120" fillId="0" borderId="1" xfId="0" applyNumberFormat="1" applyFont="1" applyBorder="1" applyAlignment="1">
      <alignment horizontal="left" vertical="top" wrapText="1"/>
    </xf>
    <xf numFmtId="171" fontId="120" fillId="0" borderId="1" xfId="111" applyNumberFormat="1" applyFont="1" applyFill="1" applyBorder="1" applyAlignment="1">
      <alignment horizontal="right" vertical="center" wrapText="1"/>
    </xf>
    <xf numFmtId="171" fontId="120" fillId="0" borderId="1" xfId="111" applyNumberFormat="1" applyFont="1" applyFill="1" applyBorder="1" applyAlignment="1">
      <alignment horizontal="center" vertical="center" wrapText="1"/>
    </xf>
    <xf numFmtId="1" fontId="120" fillId="0" borderId="1" xfId="0" applyNumberFormat="1" applyFont="1" applyBorder="1" applyAlignment="1">
      <alignment horizontal="center" vertical="center" wrapText="1"/>
    </xf>
    <xf numFmtId="0" fontId="192" fillId="0" borderId="1" xfId="0" applyFont="1" applyBorder="1"/>
    <xf numFmtId="0" fontId="88" fillId="0" borderId="1" xfId="0" applyFont="1" applyBorder="1" applyAlignment="1">
      <alignment horizontal="left" vertical="top" wrapText="1"/>
    </xf>
    <xf numFmtId="1" fontId="88" fillId="0" borderId="1" xfId="0" applyNumberFormat="1" applyFont="1" applyBorder="1" applyAlignment="1">
      <alignment horizontal="left" vertical="top" wrapText="1"/>
    </xf>
    <xf numFmtId="0" fontId="88" fillId="0" borderId="1" xfId="0" applyFont="1" applyBorder="1" applyAlignment="1">
      <alignment horizontal="center" vertical="center" wrapText="1"/>
    </xf>
    <xf numFmtId="0" fontId="191" fillId="0" borderId="1" xfId="0" applyFont="1" applyBorder="1" applyAlignment="1">
      <alignment horizontal="left" vertical="top" wrapText="1"/>
    </xf>
    <xf numFmtId="1" fontId="191" fillId="0" borderId="1" xfId="0" applyNumberFormat="1" applyFont="1" applyBorder="1" applyAlignment="1">
      <alignment horizontal="left" vertical="top" wrapText="1"/>
    </xf>
    <xf numFmtId="0" fontId="191" fillId="0" borderId="1" xfId="0" applyFont="1" applyBorder="1" applyAlignment="1">
      <alignment horizontal="center" vertical="center" wrapText="1"/>
    </xf>
    <xf numFmtId="1" fontId="191" fillId="0" borderId="1" xfId="0" applyNumberFormat="1" applyFont="1" applyBorder="1" applyAlignment="1">
      <alignment horizontal="center" vertical="center" wrapText="1"/>
    </xf>
    <xf numFmtId="0" fontId="120" fillId="0" borderId="1" xfId="0" applyFont="1" applyBorder="1" applyAlignment="1">
      <alignment horizontal="center" vertical="center" wrapText="1"/>
    </xf>
    <xf numFmtId="1" fontId="120" fillId="0" borderId="1" xfId="0" quotePrefix="1" applyNumberFormat="1" applyFont="1" applyBorder="1" applyAlignment="1">
      <alignment horizontal="center" vertical="center" wrapText="1"/>
    </xf>
    <xf numFmtId="1" fontId="191" fillId="0" borderId="1" xfId="0" quotePrefix="1" applyNumberFormat="1" applyFont="1" applyBorder="1" applyAlignment="1">
      <alignment horizontal="center" vertical="center" wrapText="1"/>
    </xf>
    <xf numFmtId="0" fontId="195" fillId="0" borderId="1" xfId="0" applyFont="1" applyBorder="1" applyAlignment="1">
      <alignment horizontal="left" vertical="top" wrapText="1"/>
    </xf>
    <xf numFmtId="0" fontId="192" fillId="0" borderId="1" xfId="0" applyFont="1" applyBorder="1" applyAlignment="1">
      <alignment horizontal="left"/>
    </xf>
    <xf numFmtId="0" fontId="191" fillId="0" borderId="1" xfId="0" quotePrefix="1" applyFont="1" applyBorder="1" applyAlignment="1">
      <alignment horizontal="center" vertical="center" wrapText="1"/>
    </xf>
    <xf numFmtId="0" fontId="195" fillId="0" borderId="1" xfId="0" applyFont="1" applyBorder="1" applyAlignment="1">
      <alignment horizontal="left"/>
    </xf>
    <xf numFmtId="1" fontId="104" fillId="0" borderId="1" xfId="0" applyNumberFormat="1" applyFont="1" applyBorder="1" applyAlignment="1">
      <alignment horizontal="center" vertical="center" wrapText="1"/>
    </xf>
    <xf numFmtId="16" fontId="191" fillId="0" borderId="1" xfId="0" quotePrefix="1" applyNumberFormat="1" applyFont="1" applyBorder="1" applyAlignment="1">
      <alignment horizontal="center" vertical="center" wrapText="1"/>
    </xf>
    <xf numFmtId="0" fontId="192" fillId="0" borderId="1" xfId="0" applyFont="1" applyBorder="1" applyAlignment="1">
      <alignment horizontal="left" vertical="top"/>
    </xf>
    <xf numFmtId="0" fontId="120" fillId="0" borderId="1" xfId="0" applyFont="1" applyBorder="1" applyAlignment="1">
      <alignment horizontal="right" vertical="center" wrapText="1"/>
    </xf>
    <xf numFmtId="1" fontId="83" fillId="60" borderId="56" xfId="0" applyNumberFormat="1" applyFont="1" applyFill="1" applyBorder="1" applyAlignment="1">
      <alignment horizontal="left" vertical="center" wrapText="1"/>
    </xf>
    <xf numFmtId="0" fontId="81" fillId="60" borderId="56" xfId="0" applyFont="1" applyFill="1" applyBorder="1" applyAlignment="1">
      <alignment vertical="center"/>
    </xf>
    <xf numFmtId="0" fontId="88" fillId="60" borderId="56" xfId="0" applyFont="1" applyFill="1" applyBorder="1" applyAlignment="1">
      <alignment horizontal="center" vertical="center" wrapText="1"/>
    </xf>
    <xf numFmtId="1" fontId="83" fillId="0" borderId="56" xfId="0" applyNumberFormat="1" applyFont="1" applyBorder="1" applyAlignment="1">
      <alignment horizontal="left" vertical="center" wrapText="1"/>
    </xf>
    <xf numFmtId="0" fontId="25" fillId="0" borderId="56" xfId="0" applyFont="1" applyBorder="1" applyAlignment="1">
      <alignment vertical="center"/>
    </xf>
    <xf numFmtId="0" fontId="25" fillId="0" borderId="56" xfId="0" applyFont="1" applyBorder="1"/>
    <xf numFmtId="0" fontId="88" fillId="0" borderId="56" xfId="0" applyFont="1" applyBorder="1" applyAlignment="1">
      <alignment horizontal="center" vertical="center" wrapText="1"/>
    </xf>
    <xf numFmtId="0" fontId="120" fillId="0" borderId="20" xfId="0" applyFont="1" applyBorder="1" applyAlignment="1">
      <alignment horizontal="left" vertical="top" wrapText="1"/>
    </xf>
    <xf numFmtId="1" fontId="120" fillId="0" borderId="20" xfId="0" applyNumberFormat="1" applyFont="1" applyBorder="1" applyAlignment="1">
      <alignment horizontal="left" vertical="top" wrapText="1"/>
    </xf>
    <xf numFmtId="1" fontId="120" fillId="0" borderId="20" xfId="0" applyNumberFormat="1" applyFont="1" applyBorder="1" applyAlignment="1">
      <alignment horizontal="center" vertical="center" wrapText="1"/>
    </xf>
    <xf numFmtId="1" fontId="104" fillId="0" borderId="20" xfId="0" applyNumberFormat="1" applyFont="1" applyBorder="1" applyAlignment="1">
      <alignment horizontal="center" vertical="center" wrapText="1"/>
    </xf>
    <xf numFmtId="1" fontId="198" fillId="60" borderId="20" xfId="0" applyNumberFormat="1" applyFont="1" applyFill="1" applyBorder="1" applyAlignment="1">
      <alignment horizontal="left" vertical="center" wrapText="1"/>
    </xf>
    <xf numFmtId="169" fontId="198" fillId="60" borderId="20" xfId="111" applyNumberFormat="1" applyFont="1" applyFill="1" applyBorder="1" applyAlignment="1">
      <alignment horizontal="center" vertical="center" wrapText="1"/>
    </xf>
    <xf numFmtId="1" fontId="198" fillId="60" borderId="20" xfId="0" applyNumberFormat="1" applyFont="1" applyFill="1" applyBorder="1" applyAlignment="1">
      <alignment horizontal="center" vertical="center" wrapText="1"/>
    </xf>
    <xf numFmtId="0" fontId="199" fillId="51" borderId="20" xfId="0" applyFont="1" applyFill="1" applyBorder="1" applyAlignment="1" applyProtection="1">
      <alignment horizontal="center" vertical="center"/>
      <protection locked="0"/>
    </xf>
    <xf numFmtId="0" fontId="199" fillId="53" borderId="20" xfId="0" applyFont="1" applyFill="1" applyBorder="1" applyAlignment="1" applyProtection="1">
      <alignment horizontal="center" vertical="center"/>
      <protection locked="0"/>
    </xf>
    <xf numFmtId="0" fontId="198" fillId="60" borderId="20" xfId="0" applyFont="1" applyFill="1" applyBorder="1" applyAlignment="1">
      <alignment vertical="center"/>
    </xf>
    <xf numFmtId="0" fontId="198" fillId="60" borderId="20" xfId="0" applyFont="1" applyFill="1" applyBorder="1" applyAlignment="1">
      <alignment horizontal="center" vertical="center" wrapText="1"/>
    </xf>
    <xf numFmtId="0" fontId="106" fillId="60" borderId="20" xfId="0" applyFont="1" applyFill="1" applyBorder="1" applyAlignment="1">
      <alignment vertical="center"/>
    </xf>
    <xf numFmtId="1" fontId="120" fillId="60" borderId="20" xfId="0" applyNumberFormat="1" applyFont="1" applyFill="1" applyBorder="1" applyAlignment="1">
      <alignment horizontal="center" vertical="center" wrapText="1"/>
    </xf>
    <xf numFmtId="1" fontId="81" fillId="60" borderId="56" xfId="0" applyNumberFormat="1" applyFont="1" applyFill="1" applyBorder="1" applyAlignment="1">
      <alignment horizontal="center" vertical="center" wrapText="1"/>
    </xf>
    <xf numFmtId="169" fontId="57" fillId="0" borderId="0" xfId="111" applyNumberFormat="1" applyFont="1" applyAlignment="1">
      <alignment horizontal="right"/>
    </xf>
    <xf numFmtId="0" fontId="54" fillId="0" borderId="34" xfId="0" applyFont="1" applyBorder="1" applyAlignment="1">
      <alignment horizontal="left" vertical="top" wrapText="1"/>
    </xf>
    <xf numFmtId="0" fontId="142" fillId="0" borderId="1" xfId="0" applyFont="1" applyBorder="1" applyAlignment="1">
      <alignment horizontal="center"/>
    </xf>
    <xf numFmtId="0" fontId="54" fillId="0" borderId="29" xfId="0" applyFont="1" applyBorder="1" applyAlignment="1">
      <alignment horizontal="left" vertical="top" wrapText="1"/>
    </xf>
    <xf numFmtId="1" fontId="51" fillId="0" borderId="35" xfId="0" applyNumberFormat="1" applyFont="1" applyBorder="1" applyAlignment="1">
      <alignment horizontal="left" vertical="top" wrapText="1"/>
    </xf>
    <xf numFmtId="0" fontId="51" fillId="0" borderId="34" xfId="0" applyFont="1" applyBorder="1" applyAlignment="1">
      <alignment horizontal="left" wrapText="1"/>
    </xf>
    <xf numFmtId="0" fontId="81" fillId="0" borderId="28" xfId="0" applyFont="1" applyBorder="1" applyAlignment="1">
      <alignment horizontal="left" vertical="top" wrapText="1"/>
    </xf>
    <xf numFmtId="0" fontId="81" fillId="0" borderId="29" xfId="0" applyFont="1" applyBorder="1" applyAlignment="1">
      <alignment horizontal="center" vertical="top" wrapText="1"/>
    </xf>
    <xf numFmtId="0" fontId="81" fillId="0" borderId="30" xfId="0" applyFont="1" applyBorder="1" applyAlignment="1">
      <alignment horizontal="left" vertical="top" wrapText="1"/>
    </xf>
    <xf numFmtId="0" fontId="81" fillId="0" borderId="31" xfId="0" applyFont="1" applyBorder="1" applyAlignment="1">
      <alignment horizontal="left" vertical="top" wrapText="1"/>
    </xf>
    <xf numFmtId="171" fontId="81" fillId="0" borderId="1" xfId="0" applyNumberFormat="1" applyFont="1" applyBorder="1" applyAlignment="1">
      <alignment horizontal="center" vertical="top" wrapText="1"/>
    </xf>
    <xf numFmtId="0" fontId="81" fillId="0" borderId="32" xfId="0" applyFont="1" applyBorder="1" applyAlignment="1">
      <alignment horizontal="left" vertical="top" wrapText="1"/>
    </xf>
    <xf numFmtId="0" fontId="81" fillId="0" borderId="33" xfId="0" applyFont="1" applyBorder="1" applyAlignment="1">
      <alignment horizontal="left" vertical="top" wrapText="1"/>
    </xf>
    <xf numFmtId="171" fontId="81" fillId="0" borderId="34" xfId="0" applyNumberFormat="1" applyFont="1" applyBorder="1" applyAlignment="1">
      <alignment horizontal="center" vertical="top" wrapText="1"/>
    </xf>
    <xf numFmtId="0" fontId="81" fillId="0" borderId="35" xfId="0" applyFont="1" applyBorder="1" applyAlignment="1">
      <alignment horizontal="left" vertical="top" wrapText="1"/>
    </xf>
    <xf numFmtId="0" fontId="99" fillId="0" borderId="20" xfId="0" applyFont="1" applyBorder="1" applyAlignment="1">
      <alignment vertical="center"/>
    </xf>
    <xf numFmtId="0" fontId="25" fillId="0" borderId="20" xfId="0" applyFont="1" applyBorder="1" applyAlignment="1">
      <alignment horizontal="right" vertical="center"/>
    </xf>
    <xf numFmtId="0" fontId="182" fillId="0" borderId="20" xfId="0" applyFont="1" applyBorder="1" applyAlignment="1">
      <alignment horizontal="left" vertical="center" wrapText="1"/>
    </xf>
    <xf numFmtId="0" fontId="183" fillId="0" borderId="20" xfId="0" applyFont="1" applyBorder="1" applyAlignment="1">
      <alignment vertical="center"/>
    </xf>
    <xf numFmtId="0" fontId="180" fillId="0" borderId="20" xfId="0" applyFont="1" applyBorder="1" applyAlignment="1">
      <alignment vertical="center"/>
    </xf>
    <xf numFmtId="1" fontId="74" fillId="0" borderId="20" xfId="0" applyNumberFormat="1" applyFont="1" applyBorder="1" applyAlignment="1">
      <alignment horizontal="left" vertical="center" wrapText="1"/>
    </xf>
    <xf numFmtId="0" fontId="74" fillId="0" borderId="20" xfId="0" applyFont="1" applyBorder="1" applyAlignment="1">
      <alignment vertical="center"/>
    </xf>
    <xf numFmtId="1" fontId="180" fillId="0" borderId="20" xfId="0" applyNumberFormat="1" applyFont="1" applyBorder="1" applyAlignment="1">
      <alignment horizontal="left" vertical="center" wrapText="1"/>
    </xf>
    <xf numFmtId="0" fontId="198" fillId="0" borderId="20" xfId="0" applyFont="1" applyBorder="1" applyAlignment="1">
      <alignment horizontal="left" vertical="center" wrapText="1"/>
    </xf>
    <xf numFmtId="1" fontId="198" fillId="0" borderId="20" xfId="0" applyNumberFormat="1" applyFont="1" applyBorder="1" applyAlignment="1">
      <alignment horizontal="left" vertical="center" wrapText="1"/>
    </xf>
    <xf numFmtId="0" fontId="199" fillId="0" borderId="20" xfId="0" applyFont="1" applyBorder="1" applyAlignment="1">
      <alignment vertical="center"/>
    </xf>
    <xf numFmtId="1" fontId="98" fillId="0" borderId="20" xfId="0" applyNumberFormat="1" applyFont="1" applyBorder="1" applyAlignment="1">
      <alignment horizontal="left" vertical="center" wrapText="1"/>
    </xf>
    <xf numFmtId="1" fontId="104" fillId="0" borderId="20" xfId="0" applyNumberFormat="1" applyFont="1" applyBorder="1" applyAlignment="1">
      <alignment horizontal="left" vertical="center" wrapText="1"/>
    </xf>
    <xf numFmtId="0" fontId="123" fillId="0" borderId="20" xfId="0" applyFont="1" applyBorder="1" applyAlignment="1">
      <alignment vertical="center"/>
    </xf>
    <xf numFmtId="0" fontId="121" fillId="0" borderId="20" xfId="0" applyFont="1" applyBorder="1" applyAlignment="1">
      <alignment vertical="center"/>
    </xf>
    <xf numFmtId="168" fontId="25" fillId="0" borderId="20" xfId="0" applyNumberFormat="1" applyFont="1" applyBorder="1" applyAlignment="1">
      <alignment vertical="center"/>
    </xf>
    <xf numFmtId="168" fontId="25" fillId="0" borderId="56" xfId="0" applyNumberFormat="1" applyFont="1" applyBorder="1" applyAlignment="1">
      <alignment vertical="center"/>
    </xf>
    <xf numFmtId="1" fontId="81" fillId="60" borderId="56" xfId="0" applyNumberFormat="1" applyFont="1" applyFill="1" applyBorder="1" applyAlignment="1">
      <alignment horizontal="left" vertical="center" wrapText="1"/>
    </xf>
    <xf numFmtId="1" fontId="81" fillId="0" borderId="56" xfId="0" applyNumberFormat="1" applyFont="1" applyBorder="1" applyAlignment="1">
      <alignment horizontal="left" vertical="center" wrapText="1"/>
    </xf>
    <xf numFmtId="1" fontId="88" fillId="0" borderId="56" xfId="0" applyNumberFormat="1" applyFont="1" applyBorder="1" applyAlignment="1">
      <alignment horizontal="left" vertical="center" wrapText="1"/>
    </xf>
    <xf numFmtId="169" fontId="81" fillId="60" borderId="56" xfId="111" applyNumberFormat="1" applyFont="1" applyFill="1" applyBorder="1" applyAlignment="1">
      <alignment horizontal="center" vertical="center" wrapText="1"/>
    </xf>
    <xf numFmtId="169" fontId="81" fillId="0" borderId="56" xfId="111" applyNumberFormat="1" applyFont="1" applyFill="1" applyBorder="1" applyAlignment="1">
      <alignment horizontal="center" vertical="center" wrapText="1"/>
    </xf>
    <xf numFmtId="1" fontId="81" fillId="0" borderId="56" xfId="0" applyNumberFormat="1" applyFont="1" applyBorder="1" applyAlignment="1">
      <alignment horizontal="center" vertical="center" wrapText="1"/>
    </xf>
    <xf numFmtId="1" fontId="83" fillId="38" borderId="20" xfId="0" applyNumberFormat="1" applyFont="1" applyFill="1" applyBorder="1" applyAlignment="1">
      <alignment horizontal="left" vertical="center" wrapText="1"/>
    </xf>
    <xf numFmtId="1" fontId="88" fillId="38" borderId="20" xfId="0" applyNumberFormat="1" applyFont="1" applyFill="1" applyBorder="1" applyAlignment="1">
      <alignment horizontal="left" vertical="center" wrapText="1"/>
    </xf>
    <xf numFmtId="1" fontId="88" fillId="69" borderId="20" xfId="0" applyNumberFormat="1" applyFont="1" applyFill="1" applyBorder="1" applyAlignment="1">
      <alignment horizontal="left" vertical="center" wrapText="1"/>
    </xf>
    <xf numFmtId="169" fontId="88" fillId="69" borderId="20" xfId="111" applyNumberFormat="1" applyFont="1" applyFill="1" applyBorder="1" applyAlignment="1">
      <alignment horizontal="center" vertical="center" wrapText="1"/>
    </xf>
    <xf numFmtId="1" fontId="88" fillId="69" borderId="20" xfId="0" applyNumberFormat="1" applyFont="1" applyFill="1" applyBorder="1" applyAlignment="1">
      <alignment horizontal="center" vertical="center" wrapText="1"/>
    </xf>
    <xf numFmtId="1" fontId="83" fillId="69" borderId="20" xfId="0" applyNumberFormat="1" applyFont="1" applyFill="1" applyBorder="1" applyAlignment="1">
      <alignment horizontal="left" vertical="center" wrapText="1"/>
    </xf>
    <xf numFmtId="0" fontId="81" fillId="69" borderId="20" xfId="0" applyFont="1" applyFill="1" applyBorder="1" applyAlignment="1">
      <alignment vertical="center"/>
    </xf>
    <xf numFmtId="0" fontId="88" fillId="69" borderId="20" xfId="0" applyFont="1" applyFill="1" applyBorder="1" applyAlignment="1">
      <alignment horizontal="center" vertical="center" wrapText="1"/>
    </xf>
    <xf numFmtId="169" fontId="88" fillId="38" borderId="20" xfId="111" applyNumberFormat="1" applyFont="1" applyFill="1" applyBorder="1" applyAlignment="1">
      <alignment horizontal="center" vertical="center" wrapText="1"/>
    </xf>
    <xf numFmtId="1" fontId="88" fillId="38" borderId="20" xfId="0" applyNumberFormat="1" applyFont="1" applyFill="1" applyBorder="1" applyAlignment="1">
      <alignment horizontal="center" vertical="center" wrapText="1"/>
    </xf>
    <xf numFmtId="0" fontId="81" fillId="38" borderId="20" xfId="0" applyFont="1" applyFill="1" applyBorder="1" applyAlignment="1">
      <alignment vertical="center"/>
    </xf>
    <xf numFmtId="0" fontId="88" fillId="38" borderId="20" xfId="0" applyFont="1" applyFill="1" applyBorder="1" applyAlignment="1">
      <alignment horizontal="center" vertical="center" wrapText="1"/>
    </xf>
    <xf numFmtId="169" fontId="83" fillId="69" borderId="20" xfId="111" applyNumberFormat="1" applyFont="1" applyFill="1" applyBorder="1" applyAlignment="1">
      <alignment horizontal="center" vertical="center" wrapText="1"/>
    </xf>
    <xf numFmtId="1" fontId="83" fillId="69" borderId="20" xfId="0" applyNumberFormat="1" applyFont="1" applyFill="1" applyBorder="1" applyAlignment="1">
      <alignment horizontal="center" vertical="center" wrapText="1"/>
    </xf>
    <xf numFmtId="169" fontId="109" fillId="69" borderId="20" xfId="111" applyNumberFormat="1" applyFont="1" applyFill="1" applyBorder="1" applyAlignment="1">
      <alignment horizontal="center" vertical="center" wrapText="1"/>
    </xf>
    <xf numFmtId="1" fontId="83" fillId="38" borderId="20" xfId="0" applyNumberFormat="1" applyFont="1" applyFill="1" applyBorder="1" applyAlignment="1">
      <alignment horizontal="center" vertical="center" wrapText="1"/>
    </xf>
    <xf numFmtId="0" fontId="81" fillId="38" borderId="20" xfId="0" applyFont="1" applyFill="1" applyBorder="1" applyAlignment="1">
      <alignment horizontal="center" vertical="center" wrapText="1"/>
    </xf>
    <xf numFmtId="169" fontId="83" fillId="38" borderId="20" xfId="111" applyNumberFormat="1" applyFont="1" applyFill="1" applyBorder="1" applyAlignment="1">
      <alignment horizontal="center" vertical="center" wrapText="1"/>
    </xf>
    <xf numFmtId="1" fontId="81" fillId="37" borderId="20" xfId="0" applyNumberFormat="1" applyFont="1" applyFill="1" applyBorder="1" applyAlignment="1">
      <alignment horizontal="left" vertical="center" wrapText="1"/>
    </xf>
    <xf numFmtId="0" fontId="106" fillId="37" borderId="20" xfId="0" applyFont="1" applyFill="1" applyBorder="1" applyAlignment="1" applyProtection="1">
      <alignment horizontal="center" vertical="center"/>
      <protection locked="0"/>
    </xf>
    <xf numFmtId="1" fontId="83" fillId="37" borderId="20" xfId="0" applyNumberFormat="1" applyFont="1" applyFill="1" applyBorder="1" applyAlignment="1">
      <alignment horizontal="left" vertical="center" wrapText="1"/>
    </xf>
    <xf numFmtId="1" fontId="88" fillId="37" borderId="20" xfId="0" applyNumberFormat="1" applyFont="1" applyFill="1" applyBorder="1" applyAlignment="1">
      <alignment horizontal="left" vertical="center" wrapText="1"/>
    </xf>
    <xf numFmtId="0" fontId="25" fillId="37" borderId="20" xfId="0" applyFont="1" applyFill="1" applyBorder="1" applyAlignment="1" applyProtection="1">
      <alignment horizontal="center" vertical="center"/>
      <protection locked="0"/>
    </xf>
    <xf numFmtId="0" fontId="88" fillId="37" borderId="20" xfId="0" applyFont="1" applyFill="1" applyBorder="1" applyAlignment="1">
      <alignment horizontal="left" vertical="center" wrapText="1"/>
    </xf>
    <xf numFmtId="1" fontId="83" fillId="44" borderId="20" xfId="0" applyNumberFormat="1" applyFont="1" applyFill="1" applyBorder="1" applyAlignment="1">
      <alignment horizontal="left" vertical="center" wrapText="1"/>
    </xf>
    <xf numFmtId="1" fontId="81" fillId="0" borderId="1" xfId="0" applyNumberFormat="1" applyFont="1" applyBorder="1" applyAlignment="1">
      <alignment horizontal="left" vertical="center" wrapText="1"/>
    </xf>
    <xf numFmtId="172" fontId="88" fillId="0" borderId="1" xfId="111" applyNumberFormat="1" applyFont="1" applyBorder="1" applyAlignment="1">
      <alignment horizontal="left" vertical="center" wrapText="1"/>
    </xf>
    <xf numFmtId="169" fontId="81" fillId="0" borderId="1" xfId="111" applyNumberFormat="1" applyFont="1" applyFill="1" applyBorder="1" applyAlignment="1">
      <alignment horizontal="center" vertical="center" wrapText="1"/>
    </xf>
    <xf numFmtId="1" fontId="83" fillId="0" borderId="1" xfId="0" applyNumberFormat="1" applyFont="1" applyBorder="1" applyAlignment="1">
      <alignment horizontal="left" vertical="center" wrapText="1"/>
    </xf>
    <xf numFmtId="0" fontId="106" fillId="0" borderId="20" xfId="0" applyFont="1" applyBorder="1" applyAlignment="1" applyProtection="1">
      <alignment horizontal="center" vertical="center"/>
      <protection locked="0"/>
    </xf>
    <xf numFmtId="0" fontId="25" fillId="0" borderId="20" xfId="0" applyFont="1" applyBorder="1" applyAlignment="1" applyProtection="1">
      <alignment horizontal="center" vertical="center"/>
      <protection locked="0"/>
    </xf>
    <xf numFmtId="0" fontId="177" fillId="0" borderId="0" xfId="0" applyFont="1"/>
    <xf numFmtId="0" fontId="128" fillId="0" borderId="0" xfId="0" applyFont="1"/>
    <xf numFmtId="1" fontId="201" fillId="0" borderId="1" xfId="0" applyNumberFormat="1" applyFont="1" applyBorder="1" applyAlignment="1">
      <alignment horizontal="left" vertical="center" wrapText="1"/>
    </xf>
    <xf numFmtId="0" fontId="173" fillId="0" borderId="1" xfId="0" applyFont="1" applyBorder="1"/>
    <xf numFmtId="172" fontId="202" fillId="0" borderId="1" xfId="111" applyNumberFormat="1" applyFont="1" applyBorder="1" applyAlignment="1">
      <alignment horizontal="left" vertical="center" wrapText="1"/>
    </xf>
    <xf numFmtId="1" fontId="201" fillId="0" borderId="1" xfId="0" applyNumberFormat="1" applyFont="1" applyBorder="1" applyAlignment="1">
      <alignment horizontal="center" vertical="center" wrapText="1"/>
    </xf>
    <xf numFmtId="169" fontId="201" fillId="0" borderId="1" xfId="111" applyNumberFormat="1" applyFont="1" applyFill="1" applyBorder="1" applyAlignment="1">
      <alignment horizontal="center" vertical="center" wrapText="1"/>
    </xf>
    <xf numFmtId="1" fontId="203" fillId="0" borderId="1" xfId="0" applyNumberFormat="1" applyFont="1" applyBorder="1" applyAlignment="1">
      <alignment horizontal="left" vertical="center" wrapText="1"/>
    </xf>
    <xf numFmtId="0" fontId="201" fillId="0" borderId="1" xfId="0" applyFont="1" applyBorder="1" applyAlignment="1">
      <alignment vertical="center"/>
    </xf>
    <xf numFmtId="0" fontId="202" fillId="0" borderId="1" xfId="0" applyFont="1" applyBorder="1" applyAlignment="1">
      <alignment horizontal="center" vertical="center" wrapText="1"/>
    </xf>
    <xf numFmtId="0" fontId="173" fillId="0" borderId="1" xfId="0" applyFont="1" applyBorder="1" applyAlignment="1">
      <alignment vertical="center"/>
    </xf>
    <xf numFmtId="168" fontId="173" fillId="0" borderId="1" xfId="0" applyNumberFormat="1" applyFont="1" applyBorder="1" applyAlignment="1">
      <alignment vertical="center"/>
    </xf>
    <xf numFmtId="0" fontId="177" fillId="0" borderId="20" xfId="0" applyFont="1" applyBorder="1" applyAlignment="1">
      <alignment vertical="center"/>
    </xf>
    <xf numFmtId="1" fontId="120" fillId="0" borderId="58" xfId="0" applyNumberFormat="1" applyFont="1" applyBorder="1" applyAlignment="1">
      <alignment horizontal="left" vertical="top" wrapText="1"/>
    </xf>
    <xf numFmtId="0" fontId="25" fillId="0" borderId="56" xfId="0" applyFont="1" applyBorder="1" applyAlignment="1" applyProtection="1">
      <alignment horizontal="center" vertical="center"/>
      <protection locked="0"/>
    </xf>
    <xf numFmtId="169" fontId="104" fillId="0" borderId="20" xfId="111" applyNumberFormat="1" applyFont="1" applyFill="1" applyBorder="1" applyAlignment="1">
      <alignment horizontal="center" vertical="center" wrapText="1"/>
    </xf>
    <xf numFmtId="0" fontId="25" fillId="0" borderId="1" xfId="0" applyFont="1" applyBorder="1" applyAlignment="1" applyProtection="1">
      <alignment horizontal="center" vertical="center"/>
      <protection locked="0"/>
    </xf>
    <xf numFmtId="0" fontId="173" fillId="0" borderId="1" xfId="0" applyFont="1" applyBorder="1" applyAlignment="1" applyProtection="1">
      <alignment horizontal="center" vertical="center"/>
      <protection locked="0"/>
    </xf>
    <xf numFmtId="0" fontId="118" fillId="0" borderId="24" xfId="0" applyFont="1" applyBorder="1" applyAlignment="1">
      <alignment vertical="center"/>
    </xf>
    <xf numFmtId="0" fontId="118" fillId="0" borderId="1" xfId="0" applyFont="1" applyBorder="1" applyAlignment="1">
      <alignment vertical="center"/>
    </xf>
    <xf numFmtId="0" fontId="0" fillId="0" borderId="0" xfId="0" applyAlignment="1">
      <alignment horizontal="right"/>
    </xf>
    <xf numFmtId="168" fontId="178" fillId="0" borderId="29" xfId="111" applyNumberFormat="1" applyFont="1" applyBorder="1"/>
    <xf numFmtId="169" fontId="57" fillId="0" borderId="29" xfId="111" applyNumberFormat="1" applyFont="1" applyBorder="1" applyAlignment="1">
      <alignment horizontal="right"/>
    </xf>
    <xf numFmtId="0" fontId="178" fillId="0" borderId="28" xfId="0" applyFont="1" applyBorder="1" applyAlignment="1">
      <alignment horizontal="right"/>
    </xf>
    <xf numFmtId="0" fontId="70" fillId="0" borderId="60" xfId="0" applyFont="1" applyBorder="1" applyAlignment="1">
      <alignment horizontal="left" vertical="center"/>
    </xf>
    <xf numFmtId="0" fontId="54" fillId="0" borderId="50" xfId="0" applyFont="1" applyBorder="1"/>
    <xf numFmtId="0" fontId="51" fillId="0" borderId="50" xfId="0" applyFont="1" applyBorder="1" applyAlignment="1">
      <alignment wrapText="1"/>
    </xf>
    <xf numFmtId="1" fontId="51" fillId="0" borderId="50" xfId="0" applyNumberFormat="1" applyFont="1" applyBorder="1" applyAlignment="1">
      <alignment horizontal="center" vertical="top" wrapText="1"/>
    </xf>
    <xf numFmtId="0" fontId="54" fillId="0" borderId="61" xfId="0" applyFont="1" applyBorder="1"/>
    <xf numFmtId="168" fontId="130" fillId="0" borderId="29" xfId="0" applyNumberFormat="1" applyFont="1" applyBorder="1" applyAlignment="1">
      <alignment horizontal="right"/>
    </xf>
    <xf numFmtId="0" fontId="39" fillId="0" borderId="0" xfId="0" applyFont="1"/>
    <xf numFmtId="1" fontId="98" fillId="0" borderId="20" xfId="0" applyNumberFormat="1" applyFont="1" applyBorder="1" applyAlignment="1">
      <alignment horizontal="center" vertical="center" wrapText="1"/>
    </xf>
    <xf numFmtId="1" fontId="51" fillId="0" borderId="29" xfId="0" applyNumberFormat="1" applyFont="1" applyBorder="1" applyAlignment="1">
      <alignment horizontal="left" vertical="top" wrapText="1"/>
    </xf>
    <xf numFmtId="1" fontId="51" fillId="0" borderId="30" xfId="0" applyNumberFormat="1" applyFont="1" applyBorder="1" applyAlignment="1">
      <alignment horizontal="left" vertical="top" wrapText="1"/>
    </xf>
    <xf numFmtId="1" fontId="71" fillId="0" borderId="32" xfId="0" applyNumberFormat="1" applyFont="1" applyBorder="1" applyAlignment="1">
      <alignment vertical="top" wrapText="1"/>
    </xf>
    <xf numFmtId="0" fontId="40" fillId="0" borderId="33" xfId="0" applyFont="1" applyBorder="1"/>
    <xf numFmtId="0" fontId="0" fillId="0" borderId="34" xfId="0" applyBorder="1"/>
    <xf numFmtId="0" fontId="40" fillId="0" borderId="34" xfId="0" applyFont="1" applyBorder="1"/>
    <xf numFmtId="169" fontId="51" fillId="0" borderId="34" xfId="0" applyNumberFormat="1" applyFont="1" applyBorder="1" applyAlignment="1">
      <alignment horizontal="right" vertical="top" wrapText="1"/>
    </xf>
    <xf numFmtId="0" fontId="40" fillId="0" borderId="35" xfId="0" applyFont="1" applyBorder="1"/>
    <xf numFmtId="0" fontId="88" fillId="69" borderId="20" xfId="0" applyFont="1" applyFill="1" applyBorder="1" applyAlignment="1">
      <alignment horizontal="left" vertical="center" wrapText="1"/>
    </xf>
    <xf numFmtId="0" fontId="81" fillId="69" borderId="20" xfId="0" applyFont="1" applyFill="1" applyBorder="1" applyAlignment="1">
      <alignment horizontal="center" vertical="center" wrapText="1"/>
    </xf>
    <xf numFmtId="0" fontId="83" fillId="69" borderId="20" xfId="0" applyFont="1" applyFill="1" applyBorder="1" applyAlignment="1">
      <alignment horizontal="left" vertical="center" wrapText="1"/>
    </xf>
    <xf numFmtId="0" fontId="83" fillId="69" borderId="20" xfId="0" applyFont="1" applyFill="1" applyBorder="1" applyAlignment="1">
      <alignment horizontal="center" vertical="center" wrapText="1"/>
    </xf>
    <xf numFmtId="0" fontId="206" fillId="60" borderId="62" xfId="0" applyFont="1" applyFill="1" applyBorder="1" applyAlignment="1">
      <alignment horizontal="left" vertical="center" wrapText="1"/>
    </xf>
    <xf numFmtId="0" fontId="206" fillId="60" borderId="63" xfId="0" applyFont="1" applyFill="1" applyBorder="1" applyAlignment="1">
      <alignment horizontal="left" vertical="center" wrapText="1"/>
    </xf>
    <xf numFmtId="0" fontId="207" fillId="33" borderId="21" xfId="0" applyFont="1" applyFill="1" applyBorder="1" applyAlignment="1">
      <alignment horizontal="center" vertical="center" wrapText="1"/>
    </xf>
    <xf numFmtId="0" fontId="207" fillId="33" borderId="24" xfId="0" applyFont="1" applyFill="1" applyBorder="1" applyAlignment="1">
      <alignment horizontal="center" vertical="center" wrapText="1"/>
    </xf>
    <xf numFmtId="169" fontId="208" fillId="49" borderId="0" xfId="111" applyNumberFormat="1" applyFont="1" applyFill="1" applyAlignment="1">
      <alignment vertical="center"/>
    </xf>
    <xf numFmtId="165" fontId="207" fillId="33" borderId="1" xfId="0" applyNumberFormat="1" applyFont="1" applyFill="1" applyBorder="1" applyAlignment="1">
      <alignment horizontal="center" vertical="center" wrapText="1"/>
    </xf>
    <xf numFmtId="0" fontId="207" fillId="33" borderId="1" xfId="0" applyFont="1" applyFill="1" applyBorder="1" applyAlignment="1">
      <alignment horizontal="center" vertical="center" wrapText="1"/>
    </xf>
    <xf numFmtId="0" fontId="209" fillId="0" borderId="0" xfId="0" applyFont="1"/>
    <xf numFmtId="0" fontId="210" fillId="70" borderId="60" xfId="0" applyFont="1" applyFill="1" applyBorder="1" applyProtection="1">
      <protection locked="0"/>
    </xf>
    <xf numFmtId="168" fontId="209" fillId="70" borderId="50" xfId="0" applyNumberFormat="1" applyFont="1" applyFill="1" applyBorder="1" applyAlignment="1">
      <alignment horizontal="center"/>
    </xf>
    <xf numFmtId="168" fontId="209" fillId="70" borderId="50" xfId="0" applyNumberFormat="1" applyFont="1" applyFill="1" applyBorder="1"/>
    <xf numFmtId="0" fontId="207" fillId="70" borderId="61" xfId="0" applyFont="1" applyFill="1" applyBorder="1" applyAlignment="1">
      <alignment horizontal="center"/>
    </xf>
    <xf numFmtId="0" fontId="209" fillId="53" borderId="1" xfId="0" applyFont="1" applyFill="1" applyBorder="1" applyAlignment="1" applyProtection="1">
      <alignment horizontal="center"/>
      <protection locked="0"/>
    </xf>
    <xf numFmtId="168" fontId="209" fillId="51" borderId="1" xfId="0" applyNumberFormat="1" applyFont="1" applyFill="1" applyBorder="1" applyAlignment="1">
      <alignment horizontal="center"/>
    </xf>
    <xf numFmtId="0" fontId="170" fillId="0" borderId="1" xfId="0" applyFont="1" applyBorder="1" applyAlignment="1">
      <alignment horizontal="center" wrapText="1"/>
    </xf>
    <xf numFmtId="168" fontId="209" fillId="0" borderId="1" xfId="0" applyNumberFormat="1" applyFont="1" applyBorder="1" applyAlignment="1">
      <alignment horizontal="center"/>
    </xf>
    <xf numFmtId="168" fontId="209" fillId="0" borderId="1" xfId="0" applyNumberFormat="1" applyFont="1" applyBorder="1"/>
    <xf numFmtId="0" fontId="207" fillId="0" borderId="1" xfId="0" applyFont="1" applyBorder="1" applyAlignment="1">
      <alignment horizontal="center"/>
    </xf>
    <xf numFmtId="0" fontId="209" fillId="53" borderId="1" xfId="0" applyFont="1" applyFill="1" applyBorder="1" applyAlignment="1">
      <alignment horizontal="center" vertical="center"/>
    </xf>
    <xf numFmtId="0" fontId="209" fillId="0" borderId="1" xfId="0" applyFont="1" applyBorder="1"/>
    <xf numFmtId="0" fontId="207" fillId="0" borderId="1" xfId="0" applyFont="1" applyBorder="1"/>
    <xf numFmtId="1" fontId="207" fillId="0" borderId="1" xfId="0" applyNumberFormat="1" applyFont="1" applyBorder="1" applyAlignment="1">
      <alignment horizontal="center"/>
    </xf>
    <xf numFmtId="0" fontId="209" fillId="0" borderId="1" xfId="0" applyFont="1" applyBorder="1" applyAlignment="1">
      <alignment vertical="center"/>
    </xf>
    <xf numFmtId="0" fontId="210" fillId="51" borderId="60" xfId="0" applyFont="1" applyFill="1" applyBorder="1"/>
    <xf numFmtId="168" fontId="209" fillId="51" borderId="50" xfId="0" applyNumberFormat="1" applyFont="1" applyFill="1" applyBorder="1" applyAlignment="1">
      <alignment horizontal="center"/>
    </xf>
    <xf numFmtId="168" fontId="209" fillId="51" borderId="50" xfId="0" applyNumberFormat="1" applyFont="1" applyFill="1" applyBorder="1"/>
    <xf numFmtId="0" fontId="207" fillId="51" borderId="61" xfId="0" applyFont="1" applyFill="1" applyBorder="1" applyAlignment="1">
      <alignment horizontal="center"/>
    </xf>
    <xf numFmtId="0" fontId="209" fillId="0" borderId="1" xfId="0" applyFont="1" applyBorder="1" applyAlignment="1">
      <alignment horizontal="center"/>
    </xf>
    <xf numFmtId="1" fontId="207" fillId="53" borderId="1" xfId="0" applyNumberFormat="1" applyFont="1" applyFill="1" applyBorder="1" applyAlignment="1">
      <alignment horizontal="center" vertical="top" wrapText="1"/>
    </xf>
    <xf numFmtId="1" fontId="207" fillId="0" borderId="1" xfId="0" applyNumberFormat="1" applyFont="1" applyBorder="1" applyAlignment="1">
      <alignment horizontal="center" vertical="top" wrapText="1"/>
    </xf>
    <xf numFmtId="169" fontId="207" fillId="0" borderId="1" xfId="111" applyNumberFormat="1" applyFont="1" applyFill="1" applyBorder="1" applyAlignment="1">
      <alignment horizontal="center" vertical="top" wrapText="1"/>
    </xf>
    <xf numFmtId="1" fontId="212" fillId="53" borderId="1" xfId="0" applyNumberFormat="1" applyFont="1" applyFill="1" applyBorder="1" applyAlignment="1">
      <alignment horizontal="center" vertical="top" wrapText="1"/>
    </xf>
    <xf numFmtId="1" fontId="212" fillId="0" borderId="1" xfId="0" applyNumberFormat="1" applyFont="1" applyBorder="1" applyAlignment="1">
      <alignment horizontal="center" vertical="top" wrapText="1"/>
    </xf>
    <xf numFmtId="169" fontId="212" fillId="0" borderId="1" xfId="111" applyNumberFormat="1" applyFont="1" applyFill="1" applyBorder="1" applyAlignment="1">
      <alignment horizontal="center" vertical="top" wrapText="1"/>
    </xf>
    <xf numFmtId="0" fontId="210" fillId="70" borderId="60" xfId="0" applyFont="1" applyFill="1" applyBorder="1"/>
    <xf numFmtId="0" fontId="207" fillId="0" borderId="1" xfId="0" applyFont="1" applyBorder="1" applyAlignment="1">
      <alignment horizontal="center" vertical="top" wrapText="1"/>
    </xf>
    <xf numFmtId="1" fontId="207" fillId="58" borderId="1" xfId="0" applyNumberFormat="1" applyFont="1" applyFill="1" applyBorder="1" applyAlignment="1">
      <alignment horizontal="center" vertical="top" wrapText="1"/>
    </xf>
    <xf numFmtId="169" fontId="211" fillId="0" borderId="1" xfId="111" applyNumberFormat="1" applyFont="1" applyBorder="1" applyAlignment="1">
      <alignment horizontal="center" vertical="top" wrapText="1"/>
    </xf>
    <xf numFmtId="169" fontId="211" fillId="0" borderId="1" xfId="111" applyNumberFormat="1" applyFont="1" applyFill="1" applyBorder="1" applyAlignment="1">
      <alignment horizontal="center" vertical="top" wrapText="1"/>
    </xf>
    <xf numFmtId="0" fontId="210" fillId="51" borderId="60" xfId="0" applyFont="1" applyFill="1" applyBorder="1" applyAlignment="1">
      <alignment wrapText="1"/>
    </xf>
    <xf numFmtId="0" fontId="210" fillId="70" borderId="60" xfId="0" applyFont="1" applyFill="1" applyBorder="1" applyAlignment="1">
      <alignment wrapText="1"/>
    </xf>
    <xf numFmtId="0" fontId="210" fillId="70" borderId="60" xfId="0" applyFont="1" applyFill="1" applyBorder="1" applyAlignment="1">
      <alignment horizontal="left" vertical="top" wrapText="1"/>
    </xf>
    <xf numFmtId="0" fontId="210" fillId="51" borderId="60" xfId="0" applyFont="1" applyFill="1" applyBorder="1" applyAlignment="1">
      <alignment horizontal="left" vertical="top" wrapText="1"/>
    </xf>
    <xf numFmtId="168" fontId="207" fillId="0" borderId="1" xfId="0" applyNumberFormat="1" applyFont="1" applyBorder="1" applyAlignment="1">
      <alignment horizontal="center"/>
    </xf>
    <xf numFmtId="0" fontId="207" fillId="0" borderId="1" xfId="0" applyFont="1" applyBorder="1" applyAlignment="1">
      <alignment vertical="center"/>
    </xf>
    <xf numFmtId="0" fontId="207" fillId="0" borderId="1" xfId="0" applyFont="1" applyBorder="1" applyAlignment="1">
      <alignment horizontal="left" vertical="center"/>
    </xf>
    <xf numFmtId="1" fontId="207" fillId="59" borderId="1" xfId="0" applyNumberFormat="1" applyFont="1" applyFill="1" applyBorder="1" applyAlignment="1">
      <alignment horizontal="center" vertical="top" wrapText="1"/>
    </xf>
    <xf numFmtId="168" fontId="170" fillId="0" borderId="1" xfId="0" applyNumberFormat="1" applyFont="1" applyBorder="1"/>
    <xf numFmtId="0" fontId="170" fillId="0" borderId="1" xfId="0" applyFont="1" applyBorder="1" applyAlignment="1">
      <alignment vertical="center"/>
    </xf>
    <xf numFmtId="168" fontId="170" fillId="0" borderId="1" xfId="0" applyNumberFormat="1" applyFont="1" applyBorder="1" applyAlignment="1">
      <alignment horizontal="center"/>
    </xf>
    <xf numFmtId="0" fontId="170" fillId="0" borderId="1" xfId="0" applyFont="1" applyBorder="1"/>
    <xf numFmtId="168" fontId="207" fillId="0" borderId="1" xfId="0" applyNumberFormat="1" applyFont="1" applyBorder="1"/>
    <xf numFmtId="0" fontId="207" fillId="0" borderId="0" xfId="0" applyFont="1"/>
    <xf numFmtId="0" fontId="170" fillId="53" borderId="1" xfId="0" applyFont="1" applyFill="1" applyBorder="1" applyAlignment="1">
      <alignment horizontal="center" vertical="center"/>
    </xf>
    <xf numFmtId="0" fontId="170" fillId="0" borderId="1" xfId="0" applyFont="1" applyBorder="1" applyAlignment="1">
      <alignment horizontal="center" vertical="center" wrapText="1"/>
    </xf>
    <xf numFmtId="168" fontId="207" fillId="0" borderId="1" xfId="0" applyNumberFormat="1" applyFont="1" applyBorder="1" applyAlignment="1">
      <alignment horizontal="center" vertical="center"/>
    </xf>
    <xf numFmtId="168" fontId="209" fillId="0" borderId="1" xfId="0" applyNumberFormat="1" applyFont="1" applyBorder="1" applyAlignment="1">
      <alignment horizontal="center" vertical="center"/>
    </xf>
    <xf numFmtId="168" fontId="209" fillId="0" borderId="1" xfId="0" applyNumberFormat="1" applyFont="1" applyBorder="1" applyAlignment="1">
      <alignment vertical="center"/>
    </xf>
    <xf numFmtId="168" fontId="207" fillId="0" borderId="1" xfId="0" applyNumberFormat="1" applyFont="1" applyBorder="1" applyAlignment="1">
      <alignment vertical="center"/>
    </xf>
    <xf numFmtId="0" fontId="207" fillId="0" borderId="0" xfId="0" applyFont="1" applyAlignment="1">
      <alignment vertical="center"/>
    </xf>
    <xf numFmtId="1" fontId="207" fillId="53" borderId="1" xfId="0" applyNumberFormat="1" applyFont="1" applyFill="1" applyBorder="1" applyAlignment="1">
      <alignment horizontal="center" vertical="center" wrapText="1"/>
    </xf>
    <xf numFmtId="1" fontId="207" fillId="0" borderId="1" xfId="0" applyNumberFormat="1" applyFont="1" applyBorder="1" applyAlignment="1">
      <alignment horizontal="center" vertical="center" wrapText="1"/>
    </xf>
    <xf numFmtId="1" fontId="209" fillId="58" borderId="1" xfId="0" applyNumberFormat="1" applyFont="1" applyFill="1" applyBorder="1" applyAlignment="1">
      <alignment horizontal="center" vertical="center" wrapText="1"/>
    </xf>
    <xf numFmtId="0" fontId="207" fillId="37" borderId="1" xfId="0" applyFont="1" applyFill="1" applyBorder="1" applyAlignment="1">
      <alignment horizontal="left" vertical="center"/>
    </xf>
    <xf numFmtId="169" fontId="211" fillId="0" borderId="1" xfId="0" applyNumberFormat="1" applyFont="1" applyBorder="1" applyAlignment="1">
      <alignment horizontal="center" vertical="top" wrapText="1"/>
    </xf>
    <xf numFmtId="1" fontId="209" fillId="0" borderId="1" xfId="0" applyNumberFormat="1" applyFont="1" applyBorder="1" applyAlignment="1">
      <alignment horizontal="center" vertical="center" wrapText="1"/>
    </xf>
    <xf numFmtId="1" fontId="207" fillId="0" borderId="20" xfId="0" applyNumberFormat="1" applyFont="1" applyBorder="1" applyAlignment="1">
      <alignment horizontal="center" vertical="center" wrapText="1"/>
    </xf>
    <xf numFmtId="169" fontId="207" fillId="0" borderId="20" xfId="111" applyNumberFormat="1" applyFont="1" applyFill="1" applyBorder="1" applyAlignment="1">
      <alignment horizontal="center" vertical="center" wrapText="1"/>
    </xf>
    <xf numFmtId="0" fontId="207" fillId="0" borderId="20" xfId="0" applyFont="1" applyBorder="1"/>
    <xf numFmtId="0" fontId="207" fillId="0" borderId="20" xfId="0" applyFont="1" applyBorder="1" applyAlignment="1">
      <alignment horizontal="center" vertical="center" wrapText="1"/>
    </xf>
    <xf numFmtId="0" fontId="207" fillId="0" borderId="20" xfId="0" applyFont="1" applyBorder="1" applyAlignment="1">
      <alignment vertical="center"/>
    </xf>
    <xf numFmtId="0" fontId="207" fillId="60" borderId="20" xfId="0" applyFont="1" applyFill="1" applyBorder="1" applyAlignment="1">
      <alignment horizontal="center" vertical="center" wrapText="1"/>
    </xf>
    <xf numFmtId="1" fontId="214" fillId="49" borderId="20" xfId="0" applyNumberFormat="1" applyFont="1" applyFill="1" applyBorder="1" applyAlignment="1">
      <alignment horizontal="center" vertical="center" wrapText="1"/>
    </xf>
    <xf numFmtId="169" fontId="214" fillId="49" borderId="20" xfId="111" applyNumberFormat="1" applyFont="1" applyFill="1" applyBorder="1" applyAlignment="1">
      <alignment horizontal="center" vertical="center" wrapText="1"/>
    </xf>
    <xf numFmtId="0" fontId="214" fillId="49" borderId="20" xfId="0" applyFont="1" applyFill="1" applyBorder="1" applyAlignment="1">
      <alignment horizontal="center" vertical="center" wrapText="1"/>
    </xf>
    <xf numFmtId="1" fontId="207" fillId="60" borderId="20" xfId="0" applyNumberFormat="1" applyFont="1" applyFill="1" applyBorder="1" applyAlignment="1">
      <alignment horizontal="center" vertical="center" wrapText="1"/>
    </xf>
    <xf numFmtId="169" fontId="207" fillId="60" borderId="20" xfId="111" applyNumberFormat="1" applyFont="1" applyFill="1" applyBorder="1" applyAlignment="1">
      <alignment horizontal="center" vertical="center" wrapText="1"/>
    </xf>
    <xf numFmtId="169" fontId="207" fillId="0" borderId="1" xfId="0" applyNumberFormat="1" applyFont="1" applyBorder="1" applyAlignment="1">
      <alignment horizontal="center" vertical="top" wrapText="1"/>
    </xf>
    <xf numFmtId="0" fontId="170" fillId="39" borderId="1" xfId="0" applyFont="1" applyFill="1" applyBorder="1" applyAlignment="1">
      <alignment horizontal="center" wrapText="1"/>
    </xf>
    <xf numFmtId="1" fontId="207" fillId="60" borderId="56" xfId="0" applyNumberFormat="1" applyFont="1" applyFill="1" applyBorder="1" applyAlignment="1">
      <alignment horizontal="center" vertical="center" wrapText="1"/>
    </xf>
    <xf numFmtId="0" fontId="210" fillId="51" borderId="28" xfId="0" applyFont="1" applyFill="1" applyBorder="1"/>
    <xf numFmtId="168" fontId="209" fillId="51" borderId="29" xfId="0" applyNumberFormat="1" applyFont="1" applyFill="1" applyBorder="1" applyAlignment="1">
      <alignment horizontal="center"/>
    </xf>
    <xf numFmtId="168" fontId="209" fillId="51" borderId="29" xfId="0" applyNumberFormat="1" applyFont="1" applyFill="1" applyBorder="1"/>
    <xf numFmtId="0" fontId="207" fillId="51" borderId="30" xfId="0" applyFont="1" applyFill="1" applyBorder="1" applyAlignment="1">
      <alignment horizontal="center"/>
    </xf>
    <xf numFmtId="0" fontId="170" fillId="0" borderId="20" xfId="0" applyFont="1" applyBorder="1" applyAlignment="1">
      <alignment horizontal="center" wrapText="1"/>
    </xf>
    <xf numFmtId="168" fontId="209" fillId="0" borderId="20" xfId="0" applyNumberFormat="1" applyFont="1" applyBorder="1" applyAlignment="1">
      <alignment horizontal="center"/>
    </xf>
    <xf numFmtId="0" fontId="207" fillId="0" borderId="20" xfId="0" applyFont="1" applyBorder="1" applyAlignment="1">
      <alignment horizontal="center"/>
    </xf>
    <xf numFmtId="0" fontId="170" fillId="39" borderId="20" xfId="0" applyFont="1" applyFill="1" applyBorder="1" applyAlignment="1">
      <alignment horizontal="center" wrapText="1"/>
    </xf>
    <xf numFmtId="0" fontId="207" fillId="0" borderId="20" xfId="0" applyFont="1" applyBorder="1" applyAlignment="1">
      <alignment horizontal="center" vertical="top" wrapText="1"/>
    </xf>
    <xf numFmtId="168" fontId="170" fillId="0" borderId="20" xfId="0" applyNumberFormat="1" applyFont="1" applyBorder="1" applyAlignment="1">
      <alignment horizontal="center"/>
    </xf>
    <xf numFmtId="0" fontId="210" fillId="0" borderId="1" xfId="0" applyFont="1" applyBorder="1"/>
    <xf numFmtId="0" fontId="207" fillId="37" borderId="1" xfId="0" applyFont="1" applyFill="1" applyBorder="1" applyAlignment="1">
      <alignment vertical="center"/>
    </xf>
    <xf numFmtId="0" fontId="210" fillId="0" borderId="1" xfId="0" applyFont="1" applyBorder="1" applyAlignment="1">
      <alignment horizontal="left"/>
    </xf>
    <xf numFmtId="170" fontId="170" fillId="0" borderId="1" xfId="0" applyNumberFormat="1" applyFont="1" applyBorder="1" applyAlignment="1">
      <alignment horizontal="center" wrapText="1"/>
    </xf>
    <xf numFmtId="0" fontId="209" fillId="0" borderId="1" xfId="0" applyFont="1" applyBorder="1" applyAlignment="1">
      <alignment horizontal="center" wrapText="1"/>
    </xf>
    <xf numFmtId="0" fontId="209" fillId="0" borderId="1" xfId="0" applyFont="1" applyBorder="1" applyAlignment="1">
      <alignment horizontal="center" vertical="top" wrapText="1"/>
    </xf>
    <xf numFmtId="0" fontId="209" fillId="53" borderId="1" xfId="0" applyFont="1" applyFill="1" applyBorder="1" applyAlignment="1">
      <alignment horizontal="center"/>
    </xf>
    <xf numFmtId="169" fontId="209" fillId="0" borderId="1" xfId="0" applyNumberFormat="1" applyFont="1" applyBorder="1"/>
    <xf numFmtId="0" fontId="209" fillId="0" borderId="1" xfId="0" applyFont="1" applyBorder="1" applyAlignment="1">
      <alignment horizontal="left"/>
    </xf>
    <xf numFmtId="0" fontId="210" fillId="37" borderId="1" xfId="0" applyFont="1" applyFill="1" applyBorder="1" applyAlignment="1">
      <alignment horizontal="left"/>
    </xf>
    <xf numFmtId="0" fontId="209" fillId="37" borderId="1" xfId="0" applyFont="1" applyFill="1" applyBorder="1" applyAlignment="1">
      <alignment horizontal="center"/>
    </xf>
    <xf numFmtId="0" fontId="209" fillId="37" borderId="1" xfId="0" applyFont="1" applyFill="1" applyBorder="1"/>
    <xf numFmtId="169" fontId="209" fillId="37" borderId="1" xfId="0" applyNumberFormat="1" applyFont="1" applyFill="1" applyBorder="1"/>
    <xf numFmtId="0" fontId="210" fillId="37" borderId="1" xfId="0" applyFont="1" applyFill="1" applyBorder="1" applyAlignment="1">
      <alignment horizontal="center"/>
    </xf>
    <xf numFmtId="0" fontId="209" fillId="0" borderId="1" xfId="0" applyFont="1" applyBorder="1" applyAlignment="1">
      <alignment horizontal="left" indent="3"/>
    </xf>
    <xf numFmtId="0" fontId="200" fillId="0" borderId="1" xfId="0" applyFont="1" applyBorder="1" applyAlignment="1">
      <alignment vertical="center"/>
    </xf>
    <xf numFmtId="0" fontId="207" fillId="35" borderId="1" xfId="0" applyFont="1" applyFill="1" applyBorder="1"/>
    <xf numFmtId="0" fontId="207" fillId="35" borderId="1" xfId="0" applyFont="1" applyFill="1" applyBorder="1" applyAlignment="1">
      <alignment horizontal="left"/>
    </xf>
    <xf numFmtId="165" fontId="207" fillId="35" borderId="1" xfId="0" applyNumberFormat="1" applyFont="1" applyFill="1" applyBorder="1"/>
    <xf numFmtId="168" fontId="207" fillId="35" borderId="1" xfId="0" applyNumberFormat="1" applyFont="1" applyFill="1" applyBorder="1"/>
    <xf numFmtId="0" fontId="207" fillId="35" borderId="1" xfId="0" applyFont="1" applyFill="1" applyBorder="1" applyAlignment="1">
      <alignment horizontal="center" vertical="center"/>
    </xf>
    <xf numFmtId="0" fontId="207" fillId="53" borderId="1" xfId="0" applyFont="1" applyFill="1" applyBorder="1" applyAlignment="1" applyProtection="1">
      <alignment horizontal="center"/>
      <protection locked="0"/>
    </xf>
    <xf numFmtId="165" fontId="207" fillId="0" borderId="1" xfId="0" applyNumberFormat="1" applyFont="1" applyBorder="1"/>
    <xf numFmtId="0" fontId="207" fillId="53" borderId="1" xfId="0" applyFont="1" applyFill="1" applyBorder="1" applyAlignment="1">
      <alignment horizontal="center"/>
    </xf>
    <xf numFmtId="0" fontId="214" fillId="0" borderId="1" xfId="0" applyFont="1" applyBorder="1"/>
    <xf numFmtId="0" fontId="207" fillId="53" borderId="0" xfId="0" applyFont="1" applyFill="1" applyAlignment="1">
      <alignment horizontal="center"/>
    </xf>
    <xf numFmtId="0" fontId="207" fillId="0" borderId="0" xfId="0" applyFont="1" applyAlignment="1">
      <alignment horizontal="left" vertical="center"/>
    </xf>
    <xf numFmtId="0" fontId="215" fillId="34" borderId="0" xfId="109" applyFont="1" applyFill="1"/>
    <xf numFmtId="168" fontId="215" fillId="34" borderId="1" xfId="109" applyNumberFormat="1" applyFont="1" applyFill="1" applyBorder="1"/>
    <xf numFmtId="0" fontId="209" fillId="0" borderId="0" xfId="0" applyFont="1" applyAlignment="1">
      <alignment horizontal="center"/>
    </xf>
    <xf numFmtId="0" fontId="209" fillId="53" borderId="0" xfId="0" applyFont="1" applyFill="1" applyAlignment="1">
      <alignment horizontal="center"/>
    </xf>
    <xf numFmtId="0" fontId="214" fillId="0" borderId="0" xfId="0" applyFont="1"/>
    <xf numFmtId="168" fontId="207" fillId="0" borderId="0" xfId="0" applyNumberFormat="1" applyFont="1"/>
    <xf numFmtId="168" fontId="207" fillId="0" borderId="0" xfId="0" applyNumberFormat="1" applyFont="1" applyAlignment="1">
      <alignment horizontal="left"/>
    </xf>
    <xf numFmtId="0" fontId="207" fillId="36" borderId="0" xfId="0" applyFont="1" applyFill="1"/>
    <xf numFmtId="0" fontId="216" fillId="36" borderId="0" xfId="0" applyFont="1" applyFill="1" applyAlignment="1">
      <alignment horizontal="left" vertical="top" wrapText="1"/>
    </xf>
    <xf numFmtId="0" fontId="207" fillId="36" borderId="0" xfId="0" applyFont="1" applyFill="1" applyAlignment="1">
      <alignment vertical="center"/>
    </xf>
    <xf numFmtId="0" fontId="209" fillId="0" borderId="0" xfId="0" applyFont="1" applyAlignment="1">
      <alignment horizontal="left"/>
    </xf>
    <xf numFmtId="0" fontId="200" fillId="0" borderId="0" xfId="0" applyFont="1"/>
    <xf numFmtId="0" fontId="216" fillId="0" borderId="0" xfId="0" applyFont="1" applyAlignment="1">
      <alignment horizontal="left" vertical="top" wrapText="1"/>
    </xf>
    <xf numFmtId="0" fontId="200" fillId="40" borderId="1" xfId="0" applyFont="1" applyFill="1" applyBorder="1" applyAlignment="1">
      <alignment horizontal="left" vertical="top" wrapText="1"/>
    </xf>
    <xf numFmtId="0" fontId="210" fillId="51" borderId="60" xfId="0" applyFont="1" applyFill="1" applyBorder="1" applyAlignment="1">
      <alignment horizontal="left"/>
    </xf>
    <xf numFmtId="0" fontId="210" fillId="70" borderId="60" xfId="0" applyFont="1" applyFill="1" applyBorder="1" applyAlignment="1">
      <alignment horizontal="left"/>
    </xf>
    <xf numFmtId="0" fontId="209" fillId="0" borderId="20" xfId="0" applyFont="1" applyBorder="1" applyAlignment="1">
      <alignment horizontal="center"/>
    </xf>
    <xf numFmtId="0" fontId="209" fillId="0" borderId="20" xfId="0" applyFont="1" applyBorder="1" applyAlignment="1">
      <alignment horizontal="center" vertical="center"/>
    </xf>
    <xf numFmtId="0" fontId="209" fillId="0" borderId="56" xfId="0" applyFont="1" applyBorder="1" applyAlignment="1">
      <alignment horizontal="center"/>
    </xf>
    <xf numFmtId="168" fontId="209" fillId="0" borderId="56" xfId="0" applyNumberFormat="1" applyFont="1" applyBorder="1" applyAlignment="1">
      <alignment horizontal="center"/>
    </xf>
    <xf numFmtId="0" fontId="207" fillId="0" borderId="56" xfId="0" applyFont="1" applyBorder="1" applyAlignment="1">
      <alignment horizontal="center"/>
    </xf>
    <xf numFmtId="0" fontId="170" fillId="0" borderId="1" xfId="0" applyFont="1" applyBorder="1" applyAlignment="1">
      <alignment horizontal="center" vertical="top" wrapText="1"/>
    </xf>
    <xf numFmtId="0" fontId="209" fillId="0" borderId="50" xfId="0" applyFont="1" applyBorder="1"/>
    <xf numFmtId="0" fontId="209" fillId="0" borderId="1" xfId="0" applyFont="1" applyBorder="1" applyAlignment="1">
      <alignment horizontal="center" vertical="top"/>
    </xf>
    <xf numFmtId="0" fontId="213" fillId="0" borderId="1" xfId="0" applyFont="1" applyBorder="1" applyAlignment="1">
      <alignment horizontal="center" wrapText="1"/>
    </xf>
    <xf numFmtId="0" fontId="214" fillId="0" borderId="1" xfId="0" applyFont="1" applyBorder="1" applyAlignment="1">
      <alignment horizontal="center"/>
    </xf>
    <xf numFmtId="1" fontId="209" fillId="0" borderId="1" xfId="0" applyNumberFormat="1" applyFont="1" applyBorder="1" applyAlignment="1">
      <alignment horizontal="center" vertical="top" wrapText="1"/>
    </xf>
    <xf numFmtId="169" fontId="209" fillId="0" borderId="1" xfId="111" applyNumberFormat="1" applyFont="1" applyFill="1" applyBorder="1" applyAlignment="1">
      <alignment horizontal="center" vertical="top" wrapText="1"/>
    </xf>
    <xf numFmtId="0" fontId="207" fillId="0" borderId="1" xfId="0" applyFont="1" applyBorder="1" applyAlignment="1">
      <alignment horizontal="center" vertical="center"/>
    </xf>
    <xf numFmtId="1" fontId="207" fillId="0" borderId="1" xfId="0" applyNumberFormat="1" applyFont="1" applyBorder="1" applyAlignment="1">
      <alignment horizontal="left" vertical="center" wrapText="1"/>
    </xf>
    <xf numFmtId="169" fontId="207" fillId="0" borderId="1" xfId="111" applyNumberFormat="1" applyFont="1" applyFill="1" applyBorder="1" applyAlignment="1">
      <alignment horizontal="center" vertical="center" wrapText="1"/>
    </xf>
    <xf numFmtId="1" fontId="34" fillId="60" borderId="20" xfId="110" applyNumberFormat="1" applyFill="1" applyBorder="1" applyAlignment="1">
      <alignment horizontal="left" vertical="center" wrapText="1"/>
    </xf>
    <xf numFmtId="0" fontId="209" fillId="0" borderId="24" xfId="0" applyFont="1" applyBorder="1" applyAlignment="1">
      <alignment horizontal="center" vertical="center"/>
    </xf>
    <xf numFmtId="1" fontId="212" fillId="0" borderId="20" xfId="0" applyNumberFormat="1" applyFont="1" applyBorder="1" applyAlignment="1">
      <alignment horizontal="center" vertical="center" wrapText="1"/>
    </xf>
    <xf numFmtId="1" fontId="214" fillId="0" borderId="20" xfId="0" applyNumberFormat="1" applyFont="1" applyBorder="1" applyAlignment="1">
      <alignment horizontal="center" vertical="center" wrapText="1"/>
    </xf>
    <xf numFmtId="168" fontId="207" fillId="0" borderId="20" xfId="0" applyNumberFormat="1" applyFont="1" applyBorder="1" applyAlignment="1">
      <alignment horizontal="center"/>
    </xf>
    <xf numFmtId="168" fontId="207" fillId="0" borderId="20" xfId="0" applyNumberFormat="1" applyFont="1" applyBorder="1" applyAlignment="1">
      <alignment horizontal="center" wrapText="1"/>
    </xf>
    <xf numFmtId="0" fontId="170" fillId="0" borderId="56" xfId="0" applyFont="1" applyBorder="1" applyAlignment="1">
      <alignment horizontal="center" wrapText="1"/>
    </xf>
    <xf numFmtId="0" fontId="210" fillId="70" borderId="28" xfId="0" applyFont="1" applyFill="1" applyBorder="1"/>
    <xf numFmtId="168" fontId="209" fillId="70" borderId="29" xfId="0" applyNumberFormat="1" applyFont="1" applyFill="1" applyBorder="1" applyAlignment="1">
      <alignment horizontal="center"/>
    </xf>
    <xf numFmtId="168" fontId="209" fillId="70" borderId="29" xfId="0" applyNumberFormat="1" applyFont="1" applyFill="1" applyBorder="1"/>
    <xf numFmtId="0" fontId="207" fillId="70" borderId="30" xfId="0" applyFont="1" applyFill="1" applyBorder="1" applyAlignment="1">
      <alignment horizontal="center"/>
    </xf>
    <xf numFmtId="0" fontId="170" fillId="0" borderId="20" xfId="0" applyFont="1" applyBorder="1" applyAlignment="1">
      <alignment horizontal="center" vertical="center" wrapText="1"/>
    </xf>
    <xf numFmtId="168" fontId="207" fillId="0" borderId="20" xfId="0" applyNumberFormat="1" applyFont="1" applyBorder="1" applyAlignment="1">
      <alignment horizontal="center" vertical="center" wrapText="1"/>
    </xf>
    <xf numFmtId="168" fontId="209" fillId="0" borderId="20" xfId="0" applyNumberFormat="1" applyFont="1" applyBorder="1" applyAlignment="1">
      <alignment horizontal="center" vertical="center"/>
    </xf>
    <xf numFmtId="0" fontId="207" fillId="0" borderId="20" xfId="0" applyFont="1" applyBorder="1" applyAlignment="1">
      <alignment horizontal="center" vertical="center"/>
    </xf>
    <xf numFmtId="168" fontId="209" fillId="0" borderId="1" xfId="0" applyNumberFormat="1" applyFont="1" applyBorder="1" applyAlignment="1">
      <alignment horizontal="center" vertical="center" wrapText="1"/>
    </xf>
    <xf numFmtId="0" fontId="210" fillId="51" borderId="31" xfId="0" applyFont="1" applyFill="1" applyBorder="1"/>
    <xf numFmtId="0" fontId="207" fillId="51" borderId="32" xfId="0" applyFont="1" applyFill="1" applyBorder="1" applyAlignment="1">
      <alignment horizontal="center"/>
    </xf>
    <xf numFmtId="168" fontId="209" fillId="70" borderId="50" xfId="0" applyNumberFormat="1" applyFont="1" applyFill="1" applyBorder="1" applyAlignment="1">
      <alignment horizontal="center" vertical="center"/>
    </xf>
    <xf numFmtId="168" fontId="209" fillId="70" borderId="50" xfId="0" applyNumberFormat="1" applyFont="1" applyFill="1" applyBorder="1" applyAlignment="1">
      <alignment vertical="center"/>
    </xf>
    <xf numFmtId="0" fontId="207" fillId="70" borderId="61" xfId="0" applyFont="1" applyFill="1" applyBorder="1" applyAlignment="1">
      <alignment horizontal="center" vertical="center"/>
    </xf>
    <xf numFmtId="168" fontId="209" fillId="51" borderId="50" xfId="0" applyNumberFormat="1" applyFont="1" applyFill="1" applyBorder="1" applyAlignment="1">
      <alignment horizontal="center" vertical="center"/>
    </xf>
    <xf numFmtId="168" fontId="209" fillId="51" borderId="50" xfId="0" applyNumberFormat="1" applyFont="1" applyFill="1" applyBorder="1" applyAlignment="1">
      <alignment vertical="center"/>
    </xf>
    <xf numFmtId="0" fontId="207" fillId="51" borderId="61" xfId="0" applyFont="1" applyFill="1" applyBorder="1" applyAlignment="1">
      <alignment horizontal="center" vertical="center"/>
    </xf>
    <xf numFmtId="0" fontId="25" fillId="36" borderId="20" xfId="0" applyFont="1" applyFill="1" applyBorder="1" applyAlignment="1" applyProtection="1">
      <alignment horizontal="center" vertical="center"/>
      <protection locked="0"/>
    </xf>
    <xf numFmtId="1" fontId="207" fillId="0" borderId="56" xfId="0" applyNumberFormat="1" applyFont="1" applyBorder="1" applyAlignment="1">
      <alignment horizontal="center" vertical="center" wrapText="1"/>
    </xf>
    <xf numFmtId="169" fontId="207" fillId="0" borderId="56" xfId="111" applyNumberFormat="1" applyFont="1" applyFill="1" applyBorder="1" applyAlignment="1">
      <alignment horizontal="center" vertical="center" wrapText="1"/>
    </xf>
    <xf numFmtId="0" fontId="207" fillId="0" borderId="56" xfId="0" applyFont="1" applyBorder="1" applyAlignment="1">
      <alignment horizontal="center" vertical="center" wrapText="1"/>
    </xf>
    <xf numFmtId="0" fontId="170" fillId="0" borderId="22" xfId="0" applyFont="1" applyBorder="1" applyAlignment="1">
      <alignment horizontal="center" wrapText="1"/>
    </xf>
    <xf numFmtId="168" fontId="209" fillId="0" borderId="22" xfId="0" applyNumberFormat="1" applyFont="1" applyBorder="1" applyAlignment="1">
      <alignment horizontal="center"/>
    </xf>
    <xf numFmtId="0" fontId="207" fillId="0" borderId="22" xfId="0" applyFont="1" applyBorder="1" applyAlignment="1">
      <alignment horizontal="center"/>
    </xf>
    <xf numFmtId="168" fontId="207" fillId="0" borderId="56" xfId="0" applyNumberFormat="1" applyFont="1" applyBorder="1" applyAlignment="1">
      <alignment horizontal="center"/>
    </xf>
    <xf numFmtId="0" fontId="0" fillId="0" borderId="0" xfId="0" applyAlignment="1">
      <alignment vertical="center"/>
    </xf>
    <xf numFmtId="0" fontId="81" fillId="0" borderId="0" xfId="0" applyFont="1" applyAlignment="1">
      <alignment vertical="center" wrapText="1"/>
    </xf>
    <xf numFmtId="0" fontId="188" fillId="0" borderId="0" xfId="0" applyFont="1" applyAlignment="1">
      <alignment vertical="center" wrapText="1"/>
    </xf>
    <xf numFmtId="0" fontId="25" fillId="61" borderId="20" xfId="0" applyFont="1" applyFill="1" applyBorder="1" applyAlignment="1">
      <alignment vertical="center"/>
    </xf>
    <xf numFmtId="0" fontId="174" fillId="61" borderId="20" xfId="0" applyFont="1" applyFill="1" applyBorder="1" applyAlignment="1">
      <alignment horizontal="center" vertical="center"/>
    </xf>
    <xf numFmtId="49" fontId="25" fillId="61" borderId="20" xfId="0" applyNumberFormat="1" applyFont="1" applyFill="1" applyBorder="1" applyAlignment="1">
      <alignment horizontal="center" vertical="center"/>
    </xf>
    <xf numFmtId="0" fontId="4" fillId="0" borderId="20" xfId="0" applyFont="1" applyBorder="1" applyAlignment="1">
      <alignment vertical="center"/>
    </xf>
    <xf numFmtId="0" fontId="120" fillId="0" borderId="20" xfId="0" applyFont="1" applyBorder="1" applyAlignment="1">
      <alignment horizontal="left" vertical="center" wrapText="1"/>
    </xf>
    <xf numFmtId="0" fontId="120" fillId="60" borderId="20" xfId="0" applyFont="1" applyFill="1" applyBorder="1" applyAlignment="1">
      <alignment horizontal="left" vertical="center" wrapText="1"/>
    </xf>
    <xf numFmtId="0" fontId="25" fillId="49" borderId="20" xfId="0" applyFont="1" applyFill="1" applyBorder="1" applyAlignment="1">
      <alignment vertical="center"/>
    </xf>
    <xf numFmtId="0" fontId="106" fillId="49" borderId="20" xfId="0" applyFont="1" applyFill="1" applyBorder="1" applyAlignment="1">
      <alignment vertical="center"/>
    </xf>
    <xf numFmtId="0" fontId="123" fillId="49" borderId="20" xfId="0" applyFont="1" applyFill="1" applyBorder="1" applyAlignment="1">
      <alignment vertical="center"/>
    </xf>
    <xf numFmtId="0" fontId="121" fillId="49" borderId="20" xfId="0" applyFont="1" applyFill="1" applyBorder="1" applyAlignment="1">
      <alignment vertical="center"/>
    </xf>
    <xf numFmtId="0" fontId="5" fillId="0" borderId="20" xfId="0" applyFont="1" applyBorder="1" applyAlignment="1">
      <alignment vertical="center"/>
    </xf>
    <xf numFmtId="0" fontId="5" fillId="0" borderId="20" xfId="0" applyFont="1" applyBorder="1" applyAlignment="1">
      <alignment horizontal="center" vertical="center"/>
    </xf>
    <xf numFmtId="168" fontId="5" fillId="0" borderId="20" xfId="0" applyNumberFormat="1" applyFont="1" applyBorder="1" applyAlignment="1">
      <alignment vertical="center"/>
    </xf>
    <xf numFmtId="49" fontId="5" fillId="0" borderId="20" xfId="0" applyNumberFormat="1" applyFont="1" applyBorder="1" applyAlignment="1">
      <alignment horizontal="center" vertical="center"/>
    </xf>
    <xf numFmtId="169" fontId="5" fillId="0" borderId="20" xfId="111" applyNumberFormat="1" applyFont="1" applyBorder="1" applyAlignment="1">
      <alignment vertical="center"/>
    </xf>
    <xf numFmtId="0" fontId="29" fillId="0" borderId="20" xfId="0" applyFont="1" applyBorder="1" applyAlignment="1">
      <alignment horizontal="center" vertical="center"/>
    </xf>
    <xf numFmtId="0" fontId="25" fillId="35" borderId="20" xfId="0" applyFont="1" applyFill="1" applyBorder="1" applyAlignment="1">
      <alignment vertical="center"/>
    </xf>
    <xf numFmtId="0" fontId="25" fillId="35" borderId="20" xfId="0" applyFont="1" applyFill="1" applyBorder="1" applyAlignment="1">
      <alignment horizontal="center" vertical="center"/>
    </xf>
    <xf numFmtId="169" fontId="25" fillId="35" borderId="20" xfId="111" applyNumberFormat="1" applyFont="1" applyFill="1" applyBorder="1" applyAlignment="1">
      <alignment vertical="center"/>
    </xf>
    <xf numFmtId="49" fontId="25" fillId="35" borderId="20" xfId="0" applyNumberFormat="1" applyFont="1" applyFill="1" applyBorder="1" applyAlignment="1">
      <alignment horizontal="center" vertical="center"/>
    </xf>
    <xf numFmtId="0" fontId="25" fillId="35" borderId="20" xfId="0" applyFont="1" applyFill="1" applyBorder="1" applyAlignment="1" applyProtection="1">
      <alignment horizontal="center" vertical="center"/>
      <protection locked="0"/>
    </xf>
    <xf numFmtId="169" fontId="25" fillId="36" borderId="20" xfId="111" applyNumberFormat="1" applyFont="1" applyFill="1" applyBorder="1" applyAlignment="1">
      <alignment vertical="center"/>
    </xf>
    <xf numFmtId="49" fontId="25" fillId="36" borderId="20" xfId="0" applyNumberFormat="1" applyFont="1" applyFill="1" applyBorder="1" applyAlignment="1">
      <alignment horizontal="center" vertical="center"/>
    </xf>
    <xf numFmtId="49" fontId="25" fillId="0" borderId="20" xfId="0" applyNumberFormat="1" applyFont="1" applyBorder="1" applyAlignment="1">
      <alignment horizontal="center" vertical="center"/>
    </xf>
    <xf numFmtId="0" fontId="27" fillId="0" borderId="20" xfId="0" applyFont="1" applyBorder="1" applyAlignment="1">
      <alignment vertical="center"/>
    </xf>
    <xf numFmtId="0" fontId="25" fillId="0" borderId="20" xfId="0" applyFont="1" applyBorder="1" applyAlignment="1">
      <alignment horizontal="left" vertical="center" wrapText="1"/>
    </xf>
    <xf numFmtId="0" fontId="72" fillId="36" borderId="20" xfId="0" applyFont="1" applyFill="1" applyBorder="1" applyAlignment="1">
      <alignment vertical="center"/>
    </xf>
    <xf numFmtId="0" fontId="119" fillId="36" borderId="20" xfId="0" applyFont="1" applyFill="1" applyBorder="1" applyAlignment="1">
      <alignment vertical="center"/>
    </xf>
    <xf numFmtId="0" fontId="51" fillId="36" borderId="20" xfId="0" applyFont="1" applyFill="1" applyBorder="1" applyAlignment="1">
      <alignment horizontal="center" vertical="center" wrapText="1"/>
    </xf>
    <xf numFmtId="0" fontId="51" fillId="36" borderId="20" xfId="0" applyFont="1" applyFill="1" applyBorder="1" applyAlignment="1">
      <alignment horizontal="left" vertical="center" wrapText="1"/>
    </xf>
    <xf numFmtId="0" fontId="73" fillId="41" borderId="20" xfId="0" applyFont="1" applyFill="1" applyBorder="1" applyAlignment="1">
      <alignment vertical="center"/>
    </xf>
    <xf numFmtId="0" fontId="119" fillId="41" borderId="20" xfId="0" applyFont="1" applyFill="1" applyBorder="1" applyAlignment="1">
      <alignment vertical="center"/>
    </xf>
    <xf numFmtId="0" fontId="119" fillId="0" borderId="20" xfId="0" applyFont="1" applyBorder="1" applyAlignment="1">
      <alignment vertical="center"/>
    </xf>
    <xf numFmtId="0" fontId="48" fillId="0" borderId="20" xfId="0" applyFont="1" applyBorder="1" applyAlignment="1">
      <alignment horizontal="left" vertical="center" wrapText="1"/>
    </xf>
    <xf numFmtId="0" fontId="73" fillId="0" borderId="20" xfId="0" applyFont="1" applyBorder="1" applyAlignment="1">
      <alignment vertical="center"/>
    </xf>
    <xf numFmtId="0" fontId="73" fillId="37" borderId="20" xfId="0" applyFont="1" applyFill="1" applyBorder="1" applyAlignment="1">
      <alignment vertical="center"/>
    </xf>
    <xf numFmtId="0" fontId="119" fillId="37" borderId="20" xfId="0" applyFont="1" applyFill="1" applyBorder="1" applyAlignment="1">
      <alignment vertical="center"/>
    </xf>
    <xf numFmtId="0" fontId="63" fillId="0" borderId="20" xfId="0" applyFont="1" applyBorder="1" applyAlignment="1">
      <alignment vertical="center"/>
    </xf>
    <xf numFmtId="0" fontId="48" fillId="0" borderId="20" xfId="0" applyFont="1" applyBorder="1" applyAlignment="1">
      <alignment vertical="center"/>
    </xf>
    <xf numFmtId="168" fontId="25" fillId="0" borderId="20" xfId="0" applyNumberFormat="1" applyFont="1" applyBorder="1" applyAlignment="1">
      <alignment horizontal="center" vertical="center"/>
    </xf>
    <xf numFmtId="168" fontId="25" fillId="0" borderId="23" xfId="0" applyNumberFormat="1" applyFont="1" applyBorder="1" applyAlignment="1">
      <alignment horizontal="left" vertical="center"/>
    </xf>
    <xf numFmtId="168" fontId="25" fillId="0" borderId="54" xfId="0" applyNumberFormat="1" applyFont="1" applyBorder="1" applyAlignment="1">
      <alignment horizontal="left" vertical="center"/>
    </xf>
    <xf numFmtId="168" fontId="25" fillId="0" borderId="55" xfId="0" applyNumberFormat="1" applyFont="1" applyBorder="1" applyAlignment="1">
      <alignment horizontal="left" vertical="center"/>
    </xf>
    <xf numFmtId="0" fontId="25" fillId="68" borderId="20" xfId="0" applyFont="1" applyFill="1" applyBorder="1" applyAlignment="1">
      <alignment vertical="center"/>
    </xf>
    <xf numFmtId="168" fontId="25" fillId="68" borderId="23" xfId="0" applyNumberFormat="1" applyFont="1" applyFill="1" applyBorder="1" applyAlignment="1">
      <alignment horizontal="left" vertical="center"/>
    </xf>
    <xf numFmtId="0" fontId="27" fillId="0" borderId="20" xfId="0" applyFont="1" applyBorder="1" applyAlignment="1">
      <alignment horizontal="center" vertical="center"/>
    </xf>
    <xf numFmtId="0" fontId="63" fillId="0" borderId="20" xfId="0" applyFont="1" applyBorder="1" applyAlignment="1">
      <alignment horizontal="center" vertical="center"/>
    </xf>
    <xf numFmtId="0" fontId="25" fillId="0" borderId="20" xfId="0" applyFont="1" applyBorder="1" applyAlignment="1">
      <alignment horizontal="center" vertical="center" wrapText="1"/>
    </xf>
    <xf numFmtId="0" fontId="48" fillId="0" borderId="20" xfId="0" applyFont="1" applyBorder="1" applyAlignment="1">
      <alignment horizontal="center" vertical="center" wrapText="1"/>
    </xf>
    <xf numFmtId="0" fontId="29" fillId="0" borderId="20" xfId="0" applyFont="1" applyBorder="1" applyAlignment="1">
      <alignment vertical="center"/>
    </xf>
    <xf numFmtId="168" fontId="5" fillId="36" borderId="20" xfId="0" applyNumberFormat="1" applyFont="1" applyFill="1" applyBorder="1" applyAlignment="1">
      <alignment vertical="center"/>
    </xf>
    <xf numFmtId="49" fontId="5" fillId="36" borderId="20" xfId="0" applyNumberFormat="1" applyFont="1" applyFill="1" applyBorder="1" applyAlignment="1">
      <alignment horizontal="center" vertical="center"/>
    </xf>
    <xf numFmtId="0" fontId="99" fillId="53" borderId="20" xfId="0" applyFont="1" applyFill="1" applyBorder="1" applyAlignment="1" applyProtection="1">
      <alignment horizontal="center" vertical="center"/>
      <protection locked="0"/>
    </xf>
    <xf numFmtId="0" fontId="209" fillId="53" borderId="1" xfId="0" applyFont="1" applyFill="1" applyBorder="1" applyAlignment="1" applyProtection="1">
      <alignment horizontal="center" wrapText="1"/>
      <protection locked="0"/>
    </xf>
    <xf numFmtId="0" fontId="88" fillId="49" borderId="20" xfId="0" applyFont="1" applyFill="1" applyBorder="1" applyAlignment="1">
      <alignment vertical="center"/>
    </xf>
    <xf numFmtId="0" fontId="4" fillId="60" borderId="20" xfId="0" applyFont="1" applyFill="1" applyBorder="1" applyAlignment="1">
      <alignment vertical="center"/>
    </xf>
    <xf numFmtId="0" fontId="0" fillId="0" borderId="0" xfId="0" applyProtection="1">
      <protection locked="0"/>
    </xf>
    <xf numFmtId="0" fontId="0" fillId="33" borderId="0" xfId="0" applyFill="1" applyProtection="1">
      <protection locked="0"/>
    </xf>
    <xf numFmtId="0" fontId="0" fillId="0" borderId="0" xfId="0" applyAlignment="1" applyProtection="1">
      <alignment vertical="top" wrapText="1"/>
      <protection locked="0"/>
    </xf>
    <xf numFmtId="0" fontId="0" fillId="0" borderId="1" xfId="0" applyBorder="1" applyAlignment="1" applyProtection="1">
      <alignment vertical="top" wrapText="1"/>
      <protection locked="0"/>
    </xf>
    <xf numFmtId="0" fontId="0" fillId="33" borderId="1" xfId="0" applyFill="1" applyBorder="1" applyProtection="1">
      <protection locked="0"/>
    </xf>
    <xf numFmtId="0" fontId="0" fillId="38" borderId="1" xfId="0" applyFill="1" applyBorder="1" applyProtection="1">
      <protection locked="0"/>
    </xf>
    <xf numFmtId="0" fontId="0" fillId="38" borderId="0" xfId="0" applyFill="1" applyProtection="1">
      <protection locked="0"/>
    </xf>
    <xf numFmtId="0" fontId="0" fillId="0" borderId="1" xfId="0" applyBorder="1" applyProtection="1">
      <protection locked="0"/>
    </xf>
    <xf numFmtId="0" fontId="32" fillId="0" borderId="1" xfId="0" applyFont="1" applyBorder="1" applyProtection="1">
      <protection locked="0"/>
    </xf>
    <xf numFmtId="0" fontId="32" fillId="0" borderId="0" xfId="0" applyFont="1" applyProtection="1">
      <protection locked="0"/>
    </xf>
    <xf numFmtId="0" fontId="31" fillId="0" borderId="0" xfId="0" applyFont="1" applyProtection="1">
      <protection locked="0"/>
    </xf>
    <xf numFmtId="0" fontId="35" fillId="0" borderId="0" xfId="0" applyFont="1" applyProtection="1">
      <protection locked="0"/>
    </xf>
    <xf numFmtId="0" fontId="33" fillId="0" borderId="1" xfId="0" applyFont="1" applyBorder="1" applyAlignment="1" applyProtection="1">
      <alignment vertical="center"/>
      <protection locked="0"/>
    </xf>
    <xf numFmtId="0" fontId="33" fillId="0" borderId="0" xfId="0" applyFont="1" applyAlignment="1" applyProtection="1">
      <alignment vertical="center"/>
      <protection locked="0"/>
    </xf>
    <xf numFmtId="0" fontId="35" fillId="0" borderId="1" xfId="0" applyFont="1" applyBorder="1" applyProtection="1">
      <protection locked="0"/>
    </xf>
    <xf numFmtId="0" fontId="0" fillId="0" borderId="0" xfId="0" applyAlignment="1" applyProtection="1">
      <alignment horizontal="left" vertical="top" wrapText="1"/>
      <protection locked="0"/>
    </xf>
    <xf numFmtId="0" fontId="124" fillId="0" borderId="0" xfId="0" applyFont="1" applyProtection="1">
      <protection locked="0"/>
    </xf>
    <xf numFmtId="0" fontId="0" fillId="0" borderId="0" xfId="0" applyAlignment="1" applyProtection="1">
      <alignment horizontal="justify" vertical="center"/>
      <protection locked="0"/>
    </xf>
    <xf numFmtId="0" fontId="0" fillId="0" borderId="0" xfId="0" applyAlignment="1" applyProtection="1">
      <alignment horizontal="justify" vertical="center" wrapText="1"/>
      <protection locked="0"/>
    </xf>
    <xf numFmtId="0" fontId="55" fillId="0" borderId="0" xfId="0" applyFont="1" applyProtection="1">
      <protection locked="0"/>
    </xf>
    <xf numFmtId="0" fontId="147" fillId="0" borderId="0" xfId="0" applyFont="1" applyProtection="1">
      <protection locked="0"/>
    </xf>
    <xf numFmtId="0" fontId="143" fillId="0" borderId="0" xfId="0" applyFont="1" applyProtection="1">
      <protection locked="0"/>
    </xf>
    <xf numFmtId="0" fontId="29" fillId="0" borderId="0" xfId="0" applyFont="1" applyProtection="1">
      <protection locked="0"/>
    </xf>
    <xf numFmtId="0" fontId="4" fillId="0" borderId="0" xfId="0" applyFont="1" applyProtection="1">
      <protection locked="0"/>
    </xf>
    <xf numFmtId="0" fontId="4" fillId="33" borderId="0" xfId="0" applyFont="1" applyFill="1" applyProtection="1">
      <protection locked="0"/>
    </xf>
    <xf numFmtId="7" fontId="0" fillId="0" borderId="0" xfId="0" applyNumberFormat="1"/>
    <xf numFmtId="22" fontId="0" fillId="0" borderId="0" xfId="0" applyNumberFormat="1"/>
    <xf numFmtId="1" fontId="0" fillId="0" borderId="0" xfId="0" applyNumberFormat="1"/>
    <xf numFmtId="1" fontId="104" fillId="60" borderId="20" xfId="0" applyNumberFormat="1" applyFont="1" applyFill="1" applyBorder="1" applyAlignment="1">
      <alignment horizontal="center" vertical="center" wrapText="1"/>
    </xf>
    <xf numFmtId="0" fontId="28" fillId="36" borderId="20" xfId="109" applyFont="1" applyFill="1" applyBorder="1" applyAlignment="1">
      <alignment vertical="center"/>
    </xf>
    <xf numFmtId="0" fontId="28" fillId="36" borderId="20" xfId="109" applyFont="1" applyFill="1" applyBorder="1" applyAlignment="1">
      <alignment horizontal="center" vertical="center"/>
    </xf>
    <xf numFmtId="168" fontId="28" fillId="36" borderId="20" xfId="109" applyNumberFormat="1" applyFont="1" applyFill="1" applyBorder="1" applyAlignment="1">
      <alignment vertical="center"/>
    </xf>
    <xf numFmtId="0" fontId="81" fillId="69" borderId="20" xfId="0" applyFont="1" applyFill="1" applyBorder="1" applyAlignment="1">
      <alignment horizontal="left" vertical="center" wrapText="1"/>
    </xf>
    <xf numFmtId="169" fontId="81" fillId="69" borderId="20" xfId="111" applyNumberFormat="1" applyFont="1" applyFill="1" applyBorder="1" applyAlignment="1">
      <alignment horizontal="center" vertical="center" wrapText="1"/>
    </xf>
    <xf numFmtId="169" fontId="108" fillId="69" borderId="20" xfId="111" applyNumberFormat="1" applyFont="1" applyFill="1" applyBorder="1" applyAlignment="1">
      <alignment horizontal="center" vertical="center" wrapText="1"/>
    </xf>
    <xf numFmtId="0" fontId="191" fillId="60" borderId="20" xfId="0" applyFont="1" applyFill="1" applyBorder="1" applyAlignment="1">
      <alignment horizontal="left" vertical="center" wrapText="1"/>
    </xf>
    <xf numFmtId="1" fontId="191" fillId="60" borderId="20" xfId="0" applyNumberFormat="1" applyFont="1" applyFill="1" applyBorder="1" applyAlignment="1">
      <alignment horizontal="left" vertical="center" wrapText="1"/>
    </xf>
    <xf numFmtId="0" fontId="191" fillId="60" borderId="20" xfId="0" applyFont="1" applyFill="1" applyBorder="1" applyAlignment="1">
      <alignment horizontal="center" vertical="center" wrapText="1"/>
    </xf>
    <xf numFmtId="1" fontId="191" fillId="60" borderId="20" xfId="0" applyNumberFormat="1" applyFont="1" applyFill="1" applyBorder="1" applyAlignment="1">
      <alignment horizontal="center" vertical="center" wrapText="1"/>
    </xf>
    <xf numFmtId="0" fontId="161" fillId="0" borderId="29" xfId="0" applyFont="1" applyBorder="1"/>
    <xf numFmtId="0" fontId="162" fillId="0" borderId="29" xfId="0" applyFont="1" applyBorder="1" applyAlignment="1">
      <alignment horizontal="left"/>
    </xf>
    <xf numFmtId="0" fontId="217" fillId="0" borderId="1" xfId="0" applyFont="1" applyBorder="1" applyAlignment="1">
      <alignment horizontal="left"/>
    </xf>
    <xf numFmtId="0" fontId="61" fillId="0" borderId="1" xfId="109" applyFont="1" applyFill="1" applyBorder="1" applyAlignment="1">
      <alignment vertical="center"/>
    </xf>
    <xf numFmtId="0" fontId="44" fillId="0" borderId="1" xfId="0" applyFont="1" applyBorder="1" applyAlignment="1">
      <alignment vertical="center"/>
    </xf>
    <xf numFmtId="1" fontId="51" fillId="0" borderId="1" xfId="0" applyNumberFormat="1" applyFont="1" applyBorder="1" applyAlignment="1">
      <alignment horizontal="left" vertical="center" wrapText="1"/>
    </xf>
    <xf numFmtId="0" fontId="0" fillId="0" borderId="0" xfId="0" applyAlignment="1" applyProtection="1">
      <alignment vertical="center"/>
      <protection locked="0"/>
    </xf>
    <xf numFmtId="0" fontId="160" fillId="0" borderId="1" xfId="109" applyFont="1" applyFill="1" applyBorder="1" applyAlignment="1">
      <alignment vertical="center"/>
    </xf>
    <xf numFmtId="0" fontId="121" fillId="54" borderId="1" xfId="0" applyFont="1" applyFill="1" applyBorder="1"/>
    <xf numFmtId="169" fontId="104" fillId="49" borderId="20" xfId="111" applyNumberFormat="1" applyFont="1" applyFill="1" applyBorder="1" applyAlignment="1">
      <alignment horizontal="center" vertical="center" wrapText="1"/>
    </xf>
    <xf numFmtId="0" fontId="207" fillId="60" borderId="64" xfId="0" applyFont="1" applyFill="1" applyBorder="1" applyAlignment="1">
      <alignment horizontal="center" vertical="center" wrapText="1"/>
    </xf>
    <xf numFmtId="1" fontId="207" fillId="60" borderId="64" xfId="0" applyNumberFormat="1" applyFont="1" applyFill="1" applyBorder="1" applyAlignment="1">
      <alignment horizontal="center" vertical="center" wrapText="1"/>
    </xf>
    <xf numFmtId="1" fontId="207" fillId="0" borderId="64" xfId="0" applyNumberFormat="1" applyFont="1" applyBorder="1" applyAlignment="1">
      <alignment horizontal="center" vertical="center" wrapText="1"/>
    </xf>
    <xf numFmtId="1" fontId="207" fillId="33" borderId="64" xfId="0" applyNumberFormat="1" applyFont="1" applyFill="1" applyBorder="1" applyAlignment="1">
      <alignment horizontal="center" vertical="center" wrapText="1"/>
    </xf>
    <xf numFmtId="0" fontId="207" fillId="0" borderId="64" xfId="0" applyFont="1" applyBorder="1" applyAlignment="1">
      <alignment horizontal="center" vertical="center" wrapText="1"/>
    </xf>
    <xf numFmtId="1" fontId="207" fillId="69" borderId="64" xfId="0" applyNumberFormat="1" applyFont="1" applyFill="1" applyBorder="1" applyAlignment="1">
      <alignment horizontal="center" vertical="center" wrapText="1"/>
    </xf>
    <xf numFmtId="1" fontId="207" fillId="33" borderId="20" xfId="0" applyNumberFormat="1" applyFont="1" applyFill="1" applyBorder="1" applyAlignment="1">
      <alignment horizontal="center" vertical="center" wrapText="1"/>
    </xf>
    <xf numFmtId="1" fontId="207" fillId="69" borderId="20" xfId="0" applyNumberFormat="1" applyFont="1" applyFill="1" applyBorder="1" applyAlignment="1">
      <alignment horizontal="center" vertical="center" wrapText="1"/>
    </xf>
    <xf numFmtId="168" fontId="207" fillId="60" borderId="20" xfId="111" applyNumberFormat="1" applyFont="1" applyFill="1" applyBorder="1" applyAlignment="1">
      <alignment horizontal="center" vertical="center" wrapText="1"/>
    </xf>
    <xf numFmtId="168" fontId="207" fillId="0" borderId="20" xfId="111" applyNumberFormat="1" applyFont="1" applyFill="1" applyBorder="1" applyAlignment="1">
      <alignment horizontal="center" vertical="center" wrapText="1"/>
    </xf>
    <xf numFmtId="168" fontId="207" fillId="69" borderId="20" xfId="111" applyNumberFormat="1" applyFont="1" applyFill="1" applyBorder="1" applyAlignment="1">
      <alignment horizontal="center" vertical="center" wrapText="1"/>
    </xf>
    <xf numFmtId="169" fontId="209" fillId="0" borderId="22" xfId="111" applyNumberFormat="1" applyFont="1" applyFill="1" applyBorder="1" applyAlignment="1">
      <alignment horizontal="center" vertical="center" wrapText="1"/>
    </xf>
    <xf numFmtId="1" fontId="209" fillId="60" borderId="22" xfId="0" applyNumberFormat="1" applyFont="1" applyFill="1" applyBorder="1" applyAlignment="1">
      <alignment horizontal="center" vertical="center" wrapText="1"/>
    </xf>
    <xf numFmtId="1" fontId="209" fillId="0" borderId="22" xfId="0" applyNumberFormat="1" applyFont="1" applyBorder="1" applyAlignment="1">
      <alignment horizontal="center" vertical="center" wrapText="1"/>
    </xf>
    <xf numFmtId="165" fontId="209" fillId="0" borderId="1" xfId="0" applyNumberFormat="1" applyFont="1" applyBorder="1" applyAlignment="1">
      <alignment horizontal="center"/>
    </xf>
    <xf numFmtId="165" fontId="209" fillId="0" borderId="1" xfId="0" applyNumberFormat="1" applyFont="1" applyBorder="1"/>
    <xf numFmtId="0" fontId="209" fillId="0" borderId="1" xfId="0" applyFont="1" applyBorder="1" applyAlignment="1">
      <alignment horizontal="center" vertical="center"/>
    </xf>
    <xf numFmtId="168" fontId="209" fillId="0" borderId="1" xfId="111" applyNumberFormat="1" applyFont="1" applyBorder="1" applyAlignment="1">
      <alignment horizontal="center"/>
    </xf>
    <xf numFmtId="168" fontId="209" fillId="0" borderId="1" xfId="111" applyNumberFormat="1" applyFont="1" applyBorder="1"/>
    <xf numFmtId="1" fontId="209" fillId="60" borderId="56" xfId="0" applyNumberFormat="1" applyFont="1" applyFill="1" applyBorder="1" applyAlignment="1">
      <alignment horizontal="center" vertical="center" wrapText="1"/>
    </xf>
    <xf numFmtId="1" fontId="209" fillId="0" borderId="56" xfId="0" applyNumberFormat="1" applyFont="1" applyBorder="1" applyAlignment="1">
      <alignment horizontal="center" vertical="center" wrapText="1"/>
    </xf>
    <xf numFmtId="169" fontId="209" fillId="0" borderId="56" xfId="111" applyNumberFormat="1" applyFont="1" applyFill="1" applyBorder="1" applyAlignment="1">
      <alignment horizontal="center" vertical="center" wrapText="1"/>
    </xf>
    <xf numFmtId="0" fontId="209" fillId="70" borderId="50" xfId="0" applyFont="1" applyFill="1" applyBorder="1" applyAlignment="1">
      <alignment horizontal="center"/>
    </xf>
    <xf numFmtId="0" fontId="118" fillId="69" borderId="20" xfId="0" applyFont="1" applyFill="1" applyBorder="1" applyAlignment="1">
      <alignment vertical="center"/>
    </xf>
    <xf numFmtId="0" fontId="209" fillId="51" borderId="50" xfId="0" applyFont="1" applyFill="1" applyBorder="1" applyAlignment="1">
      <alignment horizontal="center"/>
    </xf>
    <xf numFmtId="0" fontId="207" fillId="0" borderId="0" xfId="0" applyFont="1" applyAlignment="1">
      <alignment horizontal="center" vertical="center"/>
    </xf>
    <xf numFmtId="0" fontId="210" fillId="53" borderId="1" xfId="0" applyFont="1" applyFill="1" applyBorder="1" applyAlignment="1">
      <alignment horizontal="left"/>
    </xf>
    <xf numFmtId="0" fontId="209" fillId="53" borderId="1" xfId="0" applyFont="1" applyFill="1" applyBorder="1" applyAlignment="1">
      <alignment horizontal="left"/>
    </xf>
    <xf numFmtId="0" fontId="170" fillId="53" borderId="1" xfId="0" applyFont="1" applyFill="1" applyBorder="1" applyAlignment="1">
      <alignment horizontal="center" wrapText="1"/>
    </xf>
    <xf numFmtId="1" fontId="88" fillId="0" borderId="1" xfId="0" applyNumberFormat="1" applyFont="1" applyBorder="1" applyAlignment="1">
      <alignment horizontal="left" vertical="center" wrapText="1"/>
    </xf>
    <xf numFmtId="169" fontId="88" fillId="0" borderId="1" xfId="111" applyNumberFormat="1" applyFont="1" applyFill="1" applyBorder="1" applyAlignment="1">
      <alignment horizontal="center" vertical="center" wrapText="1"/>
    </xf>
    <xf numFmtId="1" fontId="207" fillId="0" borderId="46" xfId="0" applyNumberFormat="1" applyFont="1" applyBorder="1" applyAlignment="1">
      <alignment horizontal="center" vertical="center" wrapText="1"/>
    </xf>
    <xf numFmtId="169" fontId="207" fillId="0" borderId="46" xfId="111" applyNumberFormat="1" applyFont="1" applyFill="1" applyBorder="1" applyAlignment="1">
      <alignment horizontal="center" vertical="center" wrapText="1"/>
    </xf>
    <xf numFmtId="0" fontId="209" fillId="51" borderId="61" xfId="0" applyFont="1" applyFill="1" applyBorder="1" applyAlignment="1">
      <alignment horizontal="center"/>
    </xf>
    <xf numFmtId="1" fontId="207" fillId="33" borderId="65" xfId="0" applyNumberFormat="1" applyFont="1" applyFill="1" applyBorder="1" applyAlignment="1">
      <alignment horizontal="center" vertical="center" wrapText="1"/>
    </xf>
    <xf numFmtId="1" fontId="207" fillId="33" borderId="56" xfId="0" applyNumberFormat="1" applyFont="1" applyFill="1" applyBorder="1" applyAlignment="1">
      <alignment horizontal="center" vertical="center" wrapText="1"/>
    </xf>
    <xf numFmtId="168" fontId="207" fillId="69" borderId="56" xfId="111" applyNumberFormat="1" applyFont="1" applyFill="1" applyBorder="1" applyAlignment="1">
      <alignment horizontal="center" vertical="center" wrapText="1"/>
    </xf>
    <xf numFmtId="169" fontId="209" fillId="51" borderId="50" xfId="0" applyNumberFormat="1" applyFont="1" applyFill="1" applyBorder="1"/>
    <xf numFmtId="1" fontId="207" fillId="60" borderId="65" xfId="0" applyNumberFormat="1" applyFont="1" applyFill="1" applyBorder="1" applyAlignment="1">
      <alignment horizontal="center" vertical="center" wrapText="1"/>
    </xf>
    <xf numFmtId="168" fontId="207" fillId="60" borderId="56" xfId="111" applyNumberFormat="1" applyFont="1" applyFill="1" applyBorder="1" applyAlignment="1">
      <alignment horizontal="center" vertical="center" wrapText="1"/>
    </xf>
    <xf numFmtId="169" fontId="207" fillId="0" borderId="66" xfId="111" applyNumberFormat="1" applyFont="1" applyFill="1" applyBorder="1" applyAlignment="1">
      <alignment horizontal="center" vertical="center" wrapText="1"/>
    </xf>
    <xf numFmtId="169" fontId="207" fillId="0" borderId="1" xfId="0" applyNumberFormat="1" applyFont="1" applyBorder="1"/>
    <xf numFmtId="169" fontId="209" fillId="70" borderId="50" xfId="0" applyNumberFormat="1" applyFont="1" applyFill="1" applyBorder="1" applyAlignment="1">
      <alignment horizontal="center"/>
    </xf>
    <xf numFmtId="1" fontId="207" fillId="0" borderId="66" xfId="0" applyNumberFormat="1" applyFont="1" applyBorder="1" applyAlignment="1">
      <alignment horizontal="center" vertical="center" wrapText="1"/>
    </xf>
    <xf numFmtId="1" fontId="207" fillId="0" borderId="67" xfId="0" applyNumberFormat="1" applyFont="1" applyBorder="1" applyAlignment="1">
      <alignment horizontal="center" vertical="center" wrapText="1"/>
    </xf>
    <xf numFmtId="169" fontId="209" fillId="0" borderId="46" xfId="111" applyNumberFormat="1" applyFont="1" applyFill="1" applyBorder="1" applyAlignment="1">
      <alignment horizontal="center" vertical="center" wrapText="1"/>
    </xf>
    <xf numFmtId="1" fontId="209" fillId="0" borderId="67" xfId="0" applyNumberFormat="1" applyFont="1" applyBorder="1" applyAlignment="1">
      <alignment horizontal="center" vertical="center" wrapText="1"/>
    </xf>
    <xf numFmtId="1" fontId="207" fillId="0" borderId="68" xfId="0" applyNumberFormat="1" applyFont="1" applyBorder="1" applyAlignment="1">
      <alignment horizontal="center" vertical="center" wrapText="1"/>
    </xf>
    <xf numFmtId="169" fontId="209" fillId="51" borderId="50" xfId="0" applyNumberFormat="1" applyFont="1" applyFill="1" applyBorder="1" applyAlignment="1">
      <alignment horizontal="center"/>
    </xf>
    <xf numFmtId="1" fontId="209" fillId="0" borderId="46" xfId="0" applyNumberFormat="1" applyFont="1" applyBorder="1" applyAlignment="1">
      <alignment horizontal="center" vertical="center" wrapText="1"/>
    </xf>
    <xf numFmtId="1" fontId="212" fillId="0" borderId="1" xfId="0" applyNumberFormat="1" applyFont="1" applyBorder="1" applyAlignment="1">
      <alignment horizontal="left" vertical="center" wrapText="1"/>
    </xf>
    <xf numFmtId="169" fontId="212" fillId="0" borderId="1" xfId="111" applyNumberFormat="1" applyFont="1" applyFill="1" applyBorder="1" applyAlignment="1">
      <alignment horizontal="center" vertical="center" wrapText="1"/>
    </xf>
    <xf numFmtId="1" fontId="212" fillId="0" borderId="1" xfId="0" applyNumberFormat="1" applyFont="1" applyBorder="1" applyAlignment="1">
      <alignment horizontal="center" vertical="center" wrapText="1"/>
    </xf>
    <xf numFmtId="0" fontId="207" fillId="53" borderId="1" xfId="0" applyFont="1" applyFill="1" applyBorder="1" applyAlignment="1">
      <alignment horizontal="center" vertical="center"/>
    </xf>
    <xf numFmtId="0" fontId="207" fillId="0" borderId="1" xfId="0" applyFont="1" applyBorder="1" applyAlignment="1">
      <alignment horizontal="center" wrapText="1"/>
    </xf>
    <xf numFmtId="0" fontId="207" fillId="0" borderId="46" xfId="0" applyFont="1" applyBorder="1" applyAlignment="1">
      <alignment horizontal="center" vertical="center" wrapText="1"/>
    </xf>
    <xf numFmtId="0" fontId="209" fillId="70" borderId="61" xfId="0" applyFont="1" applyFill="1" applyBorder="1" applyAlignment="1">
      <alignment horizontal="center"/>
    </xf>
    <xf numFmtId="168" fontId="222" fillId="0" borderId="1" xfId="109" applyNumberFormat="1" applyFont="1" applyFill="1" applyBorder="1" applyAlignment="1">
      <alignment horizontal="center" vertical="center"/>
    </xf>
    <xf numFmtId="1" fontId="222" fillId="0" borderId="1" xfId="0" applyNumberFormat="1" applyFont="1" applyBorder="1" applyAlignment="1">
      <alignment horizontal="left" vertical="center" wrapText="1"/>
    </xf>
    <xf numFmtId="0" fontId="25" fillId="0" borderId="0" xfId="0" applyFont="1" applyAlignment="1" applyProtection="1">
      <alignment vertical="center"/>
      <protection locked="0"/>
    </xf>
    <xf numFmtId="169" fontId="25" fillId="0" borderId="0" xfId="0" applyNumberFormat="1" applyFont="1" applyAlignment="1">
      <alignment vertical="center"/>
    </xf>
    <xf numFmtId="169" fontId="25" fillId="0" borderId="1" xfId="0" applyNumberFormat="1" applyFont="1" applyBorder="1" applyAlignment="1">
      <alignment vertical="center"/>
    </xf>
    <xf numFmtId="168" fontId="222" fillId="0" borderId="1" xfId="111" applyNumberFormat="1" applyFont="1" applyBorder="1" applyAlignment="1">
      <alignment horizontal="left" vertical="center" wrapText="1"/>
    </xf>
    <xf numFmtId="1" fontId="83" fillId="49" borderId="20" xfId="0" applyNumberFormat="1" applyFont="1" applyFill="1" applyBorder="1" applyAlignment="1">
      <alignment horizontal="center" vertical="center" wrapText="1"/>
    </xf>
    <xf numFmtId="1" fontId="98" fillId="49" borderId="20" xfId="0" applyNumberFormat="1" applyFont="1" applyFill="1" applyBorder="1" applyAlignment="1">
      <alignment horizontal="left" vertical="center" wrapText="1"/>
    </xf>
    <xf numFmtId="169" fontId="98" fillId="49" borderId="20" xfId="111" applyNumberFormat="1" applyFont="1" applyFill="1" applyBorder="1" applyAlignment="1">
      <alignment horizontal="center" vertical="center" wrapText="1"/>
    </xf>
    <xf numFmtId="1" fontId="98" fillId="49" borderId="20" xfId="0" applyNumberFormat="1" applyFont="1" applyFill="1" applyBorder="1" applyAlignment="1">
      <alignment horizontal="center" vertical="center" wrapText="1"/>
    </xf>
    <xf numFmtId="0" fontId="221" fillId="36" borderId="1" xfId="0" applyFont="1" applyFill="1" applyBorder="1" applyAlignment="1" applyProtection="1">
      <alignment vertical="top"/>
      <protection locked="0"/>
    </xf>
    <xf numFmtId="0" fontId="117" fillId="71" borderId="20" xfId="0" applyFont="1" applyFill="1" applyBorder="1" applyAlignment="1">
      <alignment horizontal="center" vertical="center" wrapText="1"/>
    </xf>
    <xf numFmtId="0" fontId="34" fillId="0" borderId="0" xfId="110" quotePrefix="1" applyBorder="1" applyAlignment="1">
      <alignment horizontal="center" vertical="top" wrapText="1"/>
    </xf>
    <xf numFmtId="0" fontId="224" fillId="0" borderId="0" xfId="110" quotePrefix="1" applyFont="1" applyBorder="1" applyAlignment="1">
      <alignment horizontal="center" vertical="top" wrapText="1"/>
    </xf>
    <xf numFmtId="0" fontId="224" fillId="0" borderId="0" xfId="110" applyFont="1" applyBorder="1" applyAlignment="1">
      <alignment horizontal="center" vertical="top" wrapText="1"/>
    </xf>
    <xf numFmtId="0" fontId="210" fillId="0" borderId="60" xfId="0" applyFont="1" applyBorder="1" applyAlignment="1">
      <alignment horizontal="left"/>
    </xf>
    <xf numFmtId="0" fontId="209" fillId="0" borderId="50" xfId="0" applyFont="1" applyBorder="1" applyAlignment="1">
      <alignment horizontal="center"/>
    </xf>
    <xf numFmtId="169" fontId="209" fillId="0" borderId="50" xfId="0" applyNumberFormat="1" applyFont="1" applyBorder="1" applyAlignment="1">
      <alignment horizontal="center"/>
    </xf>
    <xf numFmtId="0" fontId="209" fillId="0" borderId="61" xfId="0" applyFont="1" applyBorder="1" applyAlignment="1">
      <alignment horizontal="center"/>
    </xf>
    <xf numFmtId="16" fontId="157" fillId="0" borderId="52" xfId="0" applyNumberFormat="1" applyFont="1" applyBorder="1" applyAlignment="1" applyProtection="1">
      <alignment horizontal="left" vertical="center"/>
      <protection locked="0"/>
    </xf>
    <xf numFmtId="1" fontId="225" fillId="60" borderId="20" xfId="0" applyNumberFormat="1" applyFont="1" applyFill="1" applyBorder="1" applyAlignment="1">
      <alignment horizontal="left" vertical="center" wrapText="1"/>
    </xf>
    <xf numFmtId="0" fontId="225" fillId="53" borderId="20" xfId="0" applyFont="1" applyFill="1" applyBorder="1" applyAlignment="1" applyProtection="1">
      <alignment horizontal="center" vertical="center"/>
      <protection locked="0"/>
    </xf>
    <xf numFmtId="0" fontId="225" fillId="0" borderId="20" xfId="0" applyFont="1" applyBorder="1" applyAlignment="1">
      <alignment horizontal="left" vertical="center" wrapText="1"/>
    </xf>
    <xf numFmtId="1" fontId="225" fillId="0" borderId="20" xfId="0" applyNumberFormat="1" applyFont="1" applyBorder="1" applyAlignment="1">
      <alignment horizontal="left" vertical="center" wrapText="1"/>
    </xf>
    <xf numFmtId="0" fontId="225" fillId="0" borderId="20" xfId="0" applyFont="1" applyBorder="1" applyAlignment="1">
      <alignment vertical="center"/>
    </xf>
    <xf numFmtId="169" fontId="225" fillId="60" borderId="20" xfId="111" applyNumberFormat="1" applyFont="1" applyFill="1" applyBorder="1" applyAlignment="1">
      <alignment horizontal="center" vertical="center" wrapText="1"/>
    </xf>
    <xf numFmtId="1" fontId="225" fillId="60" borderId="20" xfId="0" applyNumberFormat="1" applyFont="1" applyFill="1" applyBorder="1" applyAlignment="1">
      <alignment horizontal="center" vertical="center" wrapText="1"/>
    </xf>
    <xf numFmtId="0" fontId="225" fillId="51" borderId="20" xfId="0" applyFont="1" applyFill="1" applyBorder="1" applyAlignment="1" applyProtection="1">
      <alignment horizontal="center" vertical="center"/>
      <protection locked="0"/>
    </xf>
    <xf numFmtId="1" fontId="95" fillId="60" borderId="20" xfId="0" applyNumberFormat="1" applyFont="1" applyFill="1" applyBorder="1" applyAlignment="1">
      <alignment horizontal="left" vertical="center" wrapText="1"/>
    </xf>
    <xf numFmtId="0" fontId="89" fillId="60" borderId="20" xfId="0" applyFont="1" applyFill="1" applyBorder="1" applyAlignment="1">
      <alignment vertical="center"/>
    </xf>
    <xf numFmtId="0" fontId="225" fillId="60" borderId="20" xfId="0" applyFont="1" applyFill="1" applyBorder="1" applyAlignment="1">
      <alignment horizontal="center" vertical="center" wrapText="1"/>
    </xf>
    <xf numFmtId="0" fontId="51" fillId="36" borderId="20" xfId="0" applyFont="1" applyFill="1" applyBorder="1" applyAlignment="1">
      <alignment horizontal="left" vertical="center"/>
    </xf>
    <xf numFmtId="0" fontId="98" fillId="72" borderId="20" xfId="0" applyFont="1" applyFill="1" applyBorder="1" applyAlignment="1">
      <alignment horizontal="center" vertical="center" wrapText="1"/>
    </xf>
    <xf numFmtId="0" fontId="120" fillId="60" borderId="20" xfId="0" applyFont="1" applyFill="1" applyBorder="1" applyAlignment="1">
      <alignment vertical="center"/>
    </xf>
    <xf numFmtId="0" fontId="120" fillId="69" borderId="20" xfId="0" applyFont="1" applyFill="1" applyBorder="1" applyAlignment="1">
      <alignment horizontal="left" vertical="center" wrapText="1"/>
    </xf>
    <xf numFmtId="1" fontId="120" fillId="69" borderId="20" xfId="0" applyNumberFormat="1" applyFont="1" applyFill="1" applyBorder="1" applyAlignment="1">
      <alignment horizontal="left" vertical="center" wrapText="1"/>
    </xf>
    <xf numFmtId="0" fontId="25" fillId="69" borderId="20" xfId="0" applyFont="1" applyFill="1" applyBorder="1" applyAlignment="1">
      <alignment vertical="center"/>
    </xf>
    <xf numFmtId="1" fontId="120" fillId="69" borderId="20" xfId="0" applyNumberFormat="1" applyFont="1" applyFill="1" applyBorder="1" applyAlignment="1">
      <alignment horizontal="center" vertical="center" wrapText="1"/>
    </xf>
    <xf numFmtId="1" fontId="104" fillId="69" borderId="20" xfId="0" applyNumberFormat="1" applyFont="1" applyFill="1" applyBorder="1" applyAlignment="1">
      <alignment horizontal="center" vertical="center" wrapText="1"/>
    </xf>
    <xf numFmtId="0" fontId="4" fillId="69" borderId="20" xfId="0" applyFont="1" applyFill="1" applyBorder="1" applyAlignment="1">
      <alignment vertical="center"/>
    </xf>
    <xf numFmtId="0" fontId="213" fillId="73" borderId="60" xfId="0" applyFont="1" applyFill="1" applyBorder="1" applyAlignment="1">
      <alignment horizontal="left"/>
    </xf>
    <xf numFmtId="0" fontId="170" fillId="73" borderId="50" xfId="0" applyFont="1" applyFill="1" applyBorder="1" applyAlignment="1">
      <alignment horizontal="center"/>
    </xf>
    <xf numFmtId="168" fontId="170" fillId="73" borderId="50" xfId="0" applyNumberFormat="1" applyFont="1" applyFill="1" applyBorder="1" applyAlignment="1">
      <alignment horizontal="center"/>
    </xf>
    <xf numFmtId="169" fontId="170" fillId="73" borderId="50" xfId="0" applyNumberFormat="1" applyFont="1" applyFill="1" applyBorder="1"/>
    <xf numFmtId="0" fontId="170" fillId="73" borderId="61" xfId="0" applyFont="1" applyFill="1" applyBorder="1" applyAlignment="1">
      <alignment horizontal="center"/>
    </xf>
    <xf numFmtId="0" fontId="170" fillId="74" borderId="1" xfId="0" applyFont="1" applyFill="1" applyBorder="1" applyAlignment="1">
      <alignment horizontal="center"/>
    </xf>
    <xf numFmtId="0" fontId="170" fillId="74" borderId="1" xfId="0" applyFont="1" applyFill="1" applyBorder="1" applyAlignment="1" applyProtection="1">
      <alignment horizontal="center"/>
      <protection locked="0"/>
    </xf>
    <xf numFmtId="1" fontId="226" fillId="0" borderId="1" xfId="0" applyNumberFormat="1" applyFont="1" applyBorder="1" applyAlignment="1">
      <alignment horizontal="center" vertical="top" wrapText="1"/>
    </xf>
    <xf numFmtId="169" fontId="226" fillId="0" borderId="1" xfId="111" applyNumberFormat="1" applyFont="1" applyFill="1" applyBorder="1" applyAlignment="1">
      <alignment horizontal="center" vertical="top" wrapText="1"/>
    </xf>
    <xf numFmtId="0" fontId="170" fillId="75" borderId="60" xfId="0" applyFont="1" applyFill="1" applyBorder="1" applyAlignment="1">
      <alignment horizontal="left"/>
    </xf>
    <xf numFmtId="0" fontId="170" fillId="75" borderId="50" xfId="0" applyFont="1" applyFill="1" applyBorder="1" applyAlignment="1">
      <alignment horizontal="center"/>
    </xf>
    <xf numFmtId="168" fontId="170" fillId="75" borderId="50" xfId="0" applyNumberFormat="1" applyFont="1" applyFill="1" applyBorder="1" applyAlignment="1">
      <alignment horizontal="center"/>
    </xf>
    <xf numFmtId="169" fontId="170" fillId="75" borderId="50" xfId="0" applyNumberFormat="1" applyFont="1" applyFill="1" applyBorder="1"/>
    <xf numFmtId="0" fontId="170" fillId="75" borderId="61" xfId="0" applyFont="1" applyFill="1" applyBorder="1" applyAlignment="1">
      <alignment horizontal="center"/>
    </xf>
    <xf numFmtId="0" fontId="170" fillId="0" borderId="1" xfId="0" applyFont="1" applyBorder="1" applyAlignment="1">
      <alignment horizontal="left"/>
    </xf>
    <xf numFmtId="0" fontId="170" fillId="0" borderId="1" xfId="0" applyFont="1" applyBorder="1" applyAlignment="1">
      <alignment horizontal="center"/>
    </xf>
    <xf numFmtId="169" fontId="170" fillId="0" borderId="1" xfId="0" applyNumberFormat="1" applyFont="1" applyBorder="1"/>
    <xf numFmtId="169" fontId="222" fillId="0" borderId="1" xfId="109" applyNumberFormat="1" applyFont="1" applyFill="1" applyBorder="1" applyAlignment="1">
      <alignment vertical="center"/>
    </xf>
    <xf numFmtId="169" fontId="101" fillId="60" borderId="20" xfId="111" applyNumberFormat="1" applyFont="1" applyFill="1" applyBorder="1" applyAlignment="1">
      <alignment horizontal="center" vertical="center" wrapText="1"/>
    </xf>
    <xf numFmtId="1" fontId="83" fillId="36" borderId="20" xfId="0" applyNumberFormat="1" applyFont="1" applyFill="1" applyBorder="1" applyAlignment="1">
      <alignment horizontal="left" vertical="center" wrapText="1"/>
    </xf>
    <xf numFmtId="0" fontId="34" fillId="0" borderId="11" xfId="110" applyBorder="1" applyAlignment="1" applyProtection="1">
      <alignment horizontal="left" vertical="center"/>
      <protection locked="0"/>
    </xf>
    <xf numFmtId="0" fontId="83" fillId="36" borderId="20" xfId="0" applyFont="1" applyFill="1" applyBorder="1" applyAlignment="1">
      <alignment horizontal="left" vertical="center" wrapText="1"/>
    </xf>
    <xf numFmtId="0" fontId="99" fillId="60" borderId="20" xfId="0" applyFont="1" applyFill="1" applyBorder="1" applyAlignment="1">
      <alignment vertical="center"/>
    </xf>
    <xf numFmtId="1" fontId="88" fillId="60" borderId="20" xfId="0" quotePrefix="1" applyNumberFormat="1" applyFont="1" applyFill="1" applyBorder="1" applyAlignment="1">
      <alignment horizontal="center" vertical="center" wrapText="1"/>
    </xf>
    <xf numFmtId="0" fontId="88" fillId="60" borderId="20" xfId="0" applyFont="1" applyFill="1" applyBorder="1" applyAlignment="1">
      <alignment vertical="center"/>
    </xf>
    <xf numFmtId="0" fontId="117" fillId="76" borderId="20" xfId="0" applyFont="1" applyFill="1" applyBorder="1" applyAlignment="1">
      <alignment horizontal="center" vertical="center" wrapText="1"/>
    </xf>
    <xf numFmtId="169" fontId="104" fillId="50" borderId="20" xfId="111" applyNumberFormat="1" applyFont="1" applyFill="1" applyBorder="1" applyAlignment="1">
      <alignment horizontal="center" vertical="center" wrapText="1"/>
    </xf>
    <xf numFmtId="1" fontId="104" fillId="50" borderId="20" xfId="0" applyNumberFormat="1" applyFont="1" applyFill="1" applyBorder="1" applyAlignment="1">
      <alignment horizontal="center" vertical="center" wrapText="1"/>
    </xf>
    <xf numFmtId="0" fontId="122" fillId="49" borderId="20" xfId="0" applyFont="1" applyFill="1" applyBorder="1" applyAlignment="1">
      <alignment vertical="center"/>
    </xf>
    <xf numFmtId="169" fontId="74" fillId="60" borderId="20" xfId="111" applyNumberFormat="1" applyFont="1" applyFill="1" applyBorder="1" applyAlignment="1">
      <alignment horizontal="center" vertical="center" wrapText="1"/>
    </xf>
    <xf numFmtId="1" fontId="74" fillId="60" borderId="20" xfId="0" applyNumberFormat="1" applyFont="1" applyFill="1" applyBorder="1" applyAlignment="1">
      <alignment horizontal="center" vertical="center" wrapText="1"/>
    </xf>
    <xf numFmtId="0" fontId="74" fillId="60" borderId="20" xfId="0" applyFont="1" applyFill="1" applyBorder="1" applyAlignment="1">
      <alignment vertical="center"/>
    </xf>
    <xf numFmtId="0" fontId="88" fillId="37" borderId="20" xfId="0" applyFont="1" applyFill="1" applyBorder="1" applyAlignment="1">
      <alignment horizontal="center" vertical="center" wrapText="1"/>
    </xf>
    <xf numFmtId="0" fontId="25" fillId="37" borderId="20" xfId="0" applyFont="1" applyFill="1" applyBorder="1" applyAlignment="1">
      <alignment vertical="center"/>
    </xf>
    <xf numFmtId="169" fontId="88" fillId="37" borderId="20" xfId="111" applyNumberFormat="1" applyFont="1" applyFill="1" applyBorder="1" applyAlignment="1">
      <alignment horizontal="center" vertical="center" wrapText="1"/>
    </xf>
    <xf numFmtId="165" fontId="207" fillId="33" borderId="24" xfId="0" applyNumberFormat="1" applyFont="1" applyFill="1" applyBorder="1" applyAlignment="1">
      <alignment horizontal="center" vertical="center" wrapText="1"/>
    </xf>
    <xf numFmtId="168" fontId="209" fillId="0" borderId="23" xfId="0" applyNumberFormat="1" applyFont="1" applyBorder="1"/>
    <xf numFmtId="168" fontId="209" fillId="0" borderId="26" xfId="0" applyNumberFormat="1" applyFont="1" applyBorder="1"/>
    <xf numFmtId="168" fontId="170" fillId="0" borderId="23" xfId="0" applyNumberFormat="1" applyFont="1" applyBorder="1"/>
    <xf numFmtId="169" fontId="207" fillId="0" borderId="23" xfId="111" applyNumberFormat="1" applyFont="1" applyFill="1" applyBorder="1" applyAlignment="1">
      <alignment horizontal="center" vertical="center" wrapText="1"/>
    </xf>
    <xf numFmtId="168" fontId="209" fillId="0" borderId="23" xfId="0" applyNumberFormat="1" applyFont="1" applyBorder="1" applyAlignment="1">
      <alignment vertical="center"/>
    </xf>
    <xf numFmtId="169" fontId="214" fillId="49" borderId="23" xfId="111" applyNumberFormat="1" applyFont="1" applyFill="1" applyBorder="1" applyAlignment="1">
      <alignment horizontal="center" vertical="center" wrapText="1"/>
    </xf>
    <xf numFmtId="169" fontId="207" fillId="60" borderId="23" xfId="111" applyNumberFormat="1" applyFont="1" applyFill="1" applyBorder="1" applyAlignment="1">
      <alignment horizontal="center" vertical="center" wrapText="1"/>
    </xf>
    <xf numFmtId="169" fontId="207" fillId="0" borderId="26" xfId="111" applyNumberFormat="1" applyFont="1" applyFill="1" applyBorder="1" applyAlignment="1">
      <alignment horizontal="center" vertical="center" wrapText="1"/>
    </xf>
    <xf numFmtId="168" fontId="209" fillId="0" borderId="25" xfId="0" applyNumberFormat="1" applyFont="1" applyBorder="1"/>
    <xf numFmtId="169" fontId="211" fillId="60" borderId="23" xfId="111" applyNumberFormat="1" applyFont="1" applyFill="1" applyBorder="1" applyAlignment="1">
      <alignment horizontal="center" vertical="center" wrapText="1"/>
    </xf>
    <xf numFmtId="168" fontId="207" fillId="60" borderId="23" xfId="111" applyNumberFormat="1" applyFont="1" applyFill="1" applyBorder="1" applyAlignment="1">
      <alignment horizontal="center" vertical="center" wrapText="1"/>
    </xf>
    <xf numFmtId="168" fontId="207" fillId="0" borderId="23" xfId="111" applyNumberFormat="1" applyFont="1" applyFill="1" applyBorder="1" applyAlignment="1">
      <alignment horizontal="center" vertical="center" wrapText="1"/>
    </xf>
    <xf numFmtId="168" fontId="207" fillId="33" borderId="23" xfId="111" applyNumberFormat="1" applyFont="1" applyFill="1" applyBorder="1" applyAlignment="1">
      <alignment horizontal="center" vertical="center" wrapText="1"/>
    </xf>
    <xf numFmtId="168" fontId="207" fillId="69" borderId="23" xfId="111" applyNumberFormat="1" applyFont="1" applyFill="1" applyBorder="1" applyAlignment="1">
      <alignment horizontal="center" vertical="center" wrapText="1"/>
    </xf>
    <xf numFmtId="168" fontId="207" fillId="33" borderId="24" xfId="111" applyNumberFormat="1" applyFont="1" applyFill="1" applyBorder="1" applyAlignment="1">
      <alignment horizontal="center" vertical="center" wrapText="1"/>
    </xf>
    <xf numFmtId="169" fontId="211" fillId="0" borderId="25" xfId="111" applyNumberFormat="1" applyFont="1" applyFill="1" applyBorder="1" applyAlignment="1">
      <alignment horizontal="center" vertical="center" wrapText="1"/>
    </xf>
    <xf numFmtId="169" fontId="209" fillId="0" borderId="26" xfId="111" applyNumberFormat="1" applyFont="1" applyFill="1" applyBorder="1" applyAlignment="1">
      <alignment horizontal="center" vertical="center" wrapText="1"/>
    </xf>
    <xf numFmtId="168" fontId="207" fillId="60" borderId="26" xfId="111" applyNumberFormat="1" applyFont="1" applyFill="1" applyBorder="1" applyAlignment="1">
      <alignment horizontal="center" vertical="center" wrapText="1"/>
    </xf>
    <xf numFmtId="168" fontId="209" fillId="0" borderId="55" xfId="0" applyNumberFormat="1" applyFont="1" applyBorder="1"/>
    <xf numFmtId="168" fontId="209" fillId="0" borderId="70" xfId="0" applyNumberFormat="1" applyFont="1" applyBorder="1"/>
    <xf numFmtId="168" fontId="170" fillId="0" borderId="55" xfId="0" applyNumberFormat="1" applyFont="1" applyBorder="1"/>
    <xf numFmtId="0" fontId="207" fillId="0" borderId="55" xfId="0" applyFont="1" applyBorder="1"/>
    <xf numFmtId="168" fontId="209" fillId="0" borderId="55" xfId="0" applyNumberFormat="1" applyFont="1" applyBorder="1" applyAlignment="1">
      <alignment vertical="center"/>
    </xf>
    <xf numFmtId="168" fontId="209" fillId="49" borderId="55" xfId="0" applyNumberFormat="1" applyFont="1" applyFill="1" applyBorder="1" applyAlignment="1">
      <alignment horizontal="right" vertical="center"/>
    </xf>
    <xf numFmtId="168" fontId="209" fillId="0" borderId="71" xfId="0" applyNumberFormat="1" applyFont="1" applyBorder="1"/>
    <xf numFmtId="169" fontId="25" fillId="0" borderId="1" xfId="0" applyNumberFormat="1" applyFont="1" applyBorder="1"/>
    <xf numFmtId="0" fontId="209" fillId="0" borderId="72" xfId="0" applyFont="1" applyBorder="1" applyAlignment="1">
      <alignment horizontal="center" vertical="center" wrapText="1"/>
    </xf>
    <xf numFmtId="168" fontId="207" fillId="70" borderId="69" xfId="0" applyNumberFormat="1" applyFont="1" applyFill="1" applyBorder="1"/>
    <xf numFmtId="168" fontId="207" fillId="0" borderId="73" xfId="0" applyNumberFormat="1" applyFont="1" applyBorder="1"/>
    <xf numFmtId="168" fontId="207" fillId="51" borderId="69" xfId="0" applyNumberFormat="1" applyFont="1" applyFill="1" applyBorder="1"/>
    <xf numFmtId="168" fontId="207" fillId="70" borderId="69" xfId="0" applyNumberFormat="1" applyFont="1" applyFill="1" applyBorder="1" applyAlignment="1">
      <alignment horizontal="center"/>
    </xf>
    <xf numFmtId="168" fontId="209" fillId="0" borderId="73" xfId="0" applyNumberFormat="1" applyFont="1" applyBorder="1"/>
    <xf numFmtId="168" fontId="209" fillId="51" borderId="69" xfId="0" applyNumberFormat="1" applyFont="1" applyFill="1" applyBorder="1" applyAlignment="1">
      <alignment horizontal="center"/>
    </xf>
    <xf numFmtId="168" fontId="209" fillId="0" borderId="74" xfId="0" applyNumberFormat="1" applyFont="1" applyBorder="1"/>
    <xf numFmtId="168" fontId="209" fillId="0" borderId="75" xfId="0" applyNumberFormat="1" applyFont="1" applyBorder="1"/>
    <xf numFmtId="168" fontId="209" fillId="70" borderId="69" xfId="0" applyNumberFormat="1" applyFont="1" applyFill="1" applyBorder="1" applyAlignment="1">
      <alignment horizontal="center"/>
    </xf>
    <xf numFmtId="168" fontId="209" fillId="51" borderId="69" xfId="0" applyNumberFormat="1" applyFont="1" applyFill="1" applyBorder="1"/>
    <xf numFmtId="168" fontId="209" fillId="0" borderId="73" xfId="0" applyNumberFormat="1" applyFont="1" applyBorder="1" applyAlignment="1">
      <alignment vertical="center"/>
    </xf>
    <xf numFmtId="168" fontId="207" fillId="70" borderId="69" xfId="0" applyNumberFormat="1" applyFont="1" applyFill="1" applyBorder="1" applyAlignment="1">
      <alignment vertical="center"/>
    </xf>
    <xf numFmtId="168" fontId="207" fillId="51" borderId="69" xfId="0" applyNumberFormat="1" applyFont="1" applyFill="1" applyBorder="1" applyAlignment="1">
      <alignment vertical="center"/>
    </xf>
    <xf numFmtId="168" fontId="209" fillId="70" borderId="69" xfId="0" applyNumberFormat="1" applyFont="1" applyFill="1" applyBorder="1"/>
    <xf numFmtId="171" fontId="209" fillId="70" borderId="69" xfId="111" applyNumberFormat="1" applyFont="1" applyFill="1" applyBorder="1" applyAlignment="1">
      <alignment horizontal="right"/>
    </xf>
    <xf numFmtId="168" fontId="170" fillId="0" borderId="73" xfId="0" applyNumberFormat="1" applyFont="1" applyBorder="1"/>
    <xf numFmtId="168" fontId="209" fillId="70" borderId="72" xfId="0" applyNumberFormat="1" applyFont="1" applyFill="1" applyBorder="1"/>
    <xf numFmtId="168" fontId="170" fillId="0" borderId="74" xfId="0" applyNumberFormat="1" applyFont="1" applyBorder="1"/>
    <xf numFmtId="168" fontId="209" fillId="51" borderId="72" xfId="0" applyNumberFormat="1" applyFont="1" applyFill="1" applyBorder="1"/>
    <xf numFmtId="1" fontId="207" fillId="0" borderId="74" xfId="0" applyNumberFormat="1" applyFont="1" applyBorder="1" applyAlignment="1">
      <alignment horizontal="left" vertical="center" wrapText="1"/>
    </xf>
    <xf numFmtId="168" fontId="209" fillId="0" borderId="74" xfId="0" applyNumberFormat="1" applyFont="1" applyBorder="1" applyAlignment="1">
      <alignment vertical="center"/>
    </xf>
    <xf numFmtId="165" fontId="214" fillId="49" borderId="74" xfId="111" applyNumberFormat="1" applyFont="1" applyFill="1" applyBorder="1" applyAlignment="1">
      <alignment horizontal="left" vertical="center" wrapText="1"/>
    </xf>
    <xf numFmtId="168" fontId="207" fillId="60" borderId="74" xfId="111" applyNumberFormat="1" applyFont="1" applyFill="1" applyBorder="1" applyAlignment="1">
      <alignment horizontal="left" vertical="center" wrapText="1"/>
    </xf>
    <xf numFmtId="168" fontId="207" fillId="0" borderId="75" xfId="0" applyNumberFormat="1" applyFont="1" applyBorder="1" applyAlignment="1">
      <alignment horizontal="left" vertical="center" wrapText="1"/>
    </xf>
    <xf numFmtId="168" fontId="209" fillId="0" borderId="76" xfId="0" applyNumberFormat="1" applyFont="1" applyBorder="1"/>
    <xf numFmtId="168" fontId="209" fillId="51" borderId="73" xfId="0" applyNumberFormat="1" applyFont="1" applyFill="1" applyBorder="1"/>
    <xf numFmtId="168" fontId="207" fillId="60" borderId="74" xfId="111" applyNumberFormat="1" applyFont="1" applyFill="1" applyBorder="1" applyAlignment="1">
      <alignment horizontal="center" vertical="center" wrapText="1"/>
    </xf>
    <xf numFmtId="168" fontId="207" fillId="0" borderId="74" xfId="111" applyNumberFormat="1" applyFont="1" applyFill="1" applyBorder="1" applyAlignment="1">
      <alignment horizontal="center" vertical="center" wrapText="1"/>
    </xf>
    <xf numFmtId="168" fontId="207" fillId="33" borderId="74" xfId="111" applyNumberFormat="1" applyFont="1" applyFill="1" applyBorder="1" applyAlignment="1">
      <alignment horizontal="center" vertical="center" wrapText="1"/>
    </xf>
    <xf numFmtId="168" fontId="207" fillId="69" borderId="74" xfId="111" applyNumberFormat="1" applyFont="1" applyFill="1" applyBorder="1" applyAlignment="1">
      <alignment horizontal="center" vertical="center" wrapText="1"/>
    </xf>
    <xf numFmtId="168" fontId="207" fillId="33" borderId="75" xfId="111" applyNumberFormat="1" applyFont="1" applyFill="1" applyBorder="1" applyAlignment="1">
      <alignment horizontal="center" vertical="center" wrapText="1"/>
    </xf>
    <xf numFmtId="169" fontId="209" fillId="51" borderId="69" xfId="0" applyNumberFormat="1" applyFont="1" applyFill="1" applyBorder="1"/>
    <xf numFmtId="169" fontId="209" fillId="0" borderId="73" xfId="0" applyNumberFormat="1" applyFont="1" applyBorder="1"/>
    <xf numFmtId="165" fontId="209" fillId="0" borderId="73" xfId="0" applyNumberFormat="1" applyFont="1" applyBorder="1"/>
    <xf numFmtId="168" fontId="209" fillId="0" borderId="73" xfId="111" applyNumberFormat="1" applyFont="1" applyBorder="1"/>
    <xf numFmtId="168" fontId="207" fillId="60" borderId="75" xfId="111" applyNumberFormat="1" applyFont="1" applyFill="1" applyBorder="1" applyAlignment="1">
      <alignment horizontal="center" vertical="center" wrapText="1"/>
    </xf>
    <xf numFmtId="169" fontId="209" fillId="70" borderId="69" xfId="0" applyNumberFormat="1" applyFont="1" applyFill="1" applyBorder="1"/>
    <xf numFmtId="0" fontId="207" fillId="0" borderId="77" xfId="0" applyFont="1" applyBorder="1" applyAlignment="1">
      <alignment horizontal="left" vertical="center" wrapText="1"/>
    </xf>
    <xf numFmtId="1" fontId="207" fillId="0" borderId="73" xfId="0" applyNumberFormat="1" applyFont="1" applyBorder="1" applyAlignment="1">
      <alignment horizontal="left" vertical="center" wrapText="1"/>
    </xf>
    <xf numFmtId="1" fontId="207" fillId="0" borderId="78" xfId="0" applyNumberFormat="1" applyFont="1" applyBorder="1" applyAlignment="1">
      <alignment horizontal="left" vertical="center" wrapText="1"/>
    </xf>
    <xf numFmtId="0" fontId="209" fillId="0" borderId="73" xfId="0" applyFont="1" applyBorder="1"/>
    <xf numFmtId="1" fontId="207" fillId="0" borderId="77" xfId="0" applyNumberFormat="1" applyFont="1" applyBorder="1" applyAlignment="1">
      <alignment horizontal="left" vertical="center" wrapText="1"/>
    </xf>
    <xf numFmtId="1" fontId="207" fillId="0" borderId="79" xfId="0" applyNumberFormat="1" applyFont="1" applyBorder="1" applyAlignment="1">
      <alignment horizontal="left" vertical="center" wrapText="1"/>
    </xf>
    <xf numFmtId="1" fontId="207" fillId="0" borderId="80" xfId="0" applyNumberFormat="1" applyFont="1" applyBorder="1" applyAlignment="1">
      <alignment horizontal="left" vertical="center" wrapText="1"/>
    </xf>
    <xf numFmtId="0" fontId="207" fillId="0" borderId="78" xfId="0" applyFont="1" applyBorder="1" applyAlignment="1">
      <alignment horizontal="left" vertical="center" wrapText="1"/>
    </xf>
    <xf numFmtId="169" fontId="207" fillId="0" borderId="73" xfId="0" applyNumberFormat="1" applyFont="1" applyBorder="1"/>
    <xf numFmtId="1" fontId="212" fillId="0" borderId="73" xfId="0" applyNumberFormat="1" applyFont="1" applyBorder="1" applyAlignment="1">
      <alignment horizontal="left" vertical="center" wrapText="1"/>
    </xf>
    <xf numFmtId="169" fontId="0" fillId="0" borderId="73" xfId="0" applyNumberFormat="1" applyBorder="1"/>
    <xf numFmtId="169" fontId="209" fillId="0" borderId="69" xfId="0" applyNumberFormat="1" applyFont="1" applyBorder="1"/>
    <xf numFmtId="168" fontId="170" fillId="73" borderId="69" xfId="0" applyNumberFormat="1" applyFont="1" applyFill="1" applyBorder="1" applyAlignment="1">
      <alignment horizontal="center"/>
    </xf>
    <xf numFmtId="168" fontId="170" fillId="75" borderId="69" xfId="0" applyNumberFormat="1" applyFont="1" applyFill="1" applyBorder="1" applyAlignment="1">
      <alignment horizontal="center"/>
    </xf>
    <xf numFmtId="169" fontId="170" fillId="0" borderId="73" xfId="0" applyNumberFormat="1" applyFont="1" applyBorder="1"/>
    <xf numFmtId="169" fontId="209" fillId="0" borderId="81" xfId="0" applyNumberFormat="1" applyFont="1" applyBorder="1"/>
    <xf numFmtId="0" fontId="0" fillId="0" borderId="0" xfId="0" applyAlignment="1">
      <alignment horizontal="center"/>
    </xf>
    <xf numFmtId="0" fontId="81" fillId="60" borderId="20" xfId="0" applyFont="1" applyFill="1" applyBorder="1" applyAlignment="1">
      <alignment horizontal="left" vertical="top" wrapText="1"/>
    </xf>
    <xf numFmtId="0" fontId="4" fillId="51" borderId="20" xfId="0" applyFont="1" applyFill="1" applyBorder="1" applyAlignment="1">
      <alignment horizontal="center"/>
    </xf>
    <xf numFmtId="1" fontId="81" fillId="36" borderId="20" xfId="0" applyNumberFormat="1" applyFont="1" applyFill="1" applyBorder="1" applyAlignment="1">
      <alignment horizontal="center" vertical="center" wrapText="1"/>
    </xf>
    <xf numFmtId="0" fontId="81" fillId="36" borderId="20" xfId="0" applyFont="1" applyFill="1" applyBorder="1" applyAlignment="1">
      <alignment vertical="center"/>
    </xf>
    <xf numFmtId="0" fontId="88" fillId="36" borderId="20" xfId="0" applyFont="1" applyFill="1" applyBorder="1" applyAlignment="1">
      <alignment horizontal="center" vertical="center" wrapText="1"/>
    </xf>
    <xf numFmtId="1" fontId="81" fillId="36" borderId="20" xfId="0" applyNumberFormat="1" applyFont="1" applyFill="1" applyBorder="1" applyAlignment="1">
      <alignment horizontal="left" vertical="center" wrapText="1"/>
    </xf>
    <xf numFmtId="169" fontId="81" fillId="36" borderId="20" xfId="111" applyNumberFormat="1" applyFont="1" applyFill="1" applyBorder="1" applyAlignment="1">
      <alignment horizontal="center" vertical="center" wrapText="1"/>
    </xf>
    <xf numFmtId="0" fontId="81" fillId="36" borderId="0" xfId="0" applyFont="1" applyFill="1" applyAlignment="1">
      <alignment vertical="center"/>
    </xf>
    <xf numFmtId="1" fontId="88" fillId="36" borderId="20" xfId="0" applyNumberFormat="1" applyFont="1" applyFill="1" applyBorder="1" applyAlignment="1">
      <alignment horizontal="left" vertical="center" wrapText="1"/>
    </xf>
    <xf numFmtId="169" fontId="88" fillId="36" borderId="20" xfId="111" applyNumberFormat="1" applyFont="1" applyFill="1" applyBorder="1" applyAlignment="1">
      <alignment horizontal="center" vertical="center" wrapText="1"/>
    </xf>
    <xf numFmtId="1" fontId="88" fillId="36" borderId="20" xfId="0" applyNumberFormat="1" applyFont="1" applyFill="1" applyBorder="1" applyAlignment="1">
      <alignment horizontal="center" vertical="center" wrapText="1"/>
    </xf>
    <xf numFmtId="0" fontId="88" fillId="36" borderId="20" xfId="0" applyFont="1" applyFill="1" applyBorder="1" applyAlignment="1">
      <alignment horizontal="left" vertical="center" wrapText="1"/>
    </xf>
    <xf numFmtId="169" fontId="83" fillId="36" borderId="20" xfId="111" applyNumberFormat="1" applyFont="1" applyFill="1" applyBorder="1" applyAlignment="1">
      <alignment horizontal="center" vertical="center" wrapText="1"/>
    </xf>
    <xf numFmtId="1" fontId="83" fillId="36" borderId="20" xfId="0" applyNumberFormat="1" applyFont="1" applyFill="1" applyBorder="1" applyAlignment="1">
      <alignment horizontal="center" vertical="center" wrapText="1"/>
    </xf>
    <xf numFmtId="0" fontId="106" fillId="36" borderId="20" xfId="0" applyFont="1" applyFill="1" applyBorder="1" applyAlignment="1" applyProtection="1">
      <alignment horizontal="center" vertical="center"/>
      <protection locked="0"/>
    </xf>
    <xf numFmtId="0" fontId="106" fillId="36" borderId="20" xfId="0" applyFont="1" applyFill="1" applyBorder="1" applyAlignment="1">
      <alignment vertical="center"/>
    </xf>
    <xf numFmtId="0" fontId="106" fillId="36" borderId="0" xfId="0" applyFont="1" applyFill="1" applyAlignment="1">
      <alignment vertical="center"/>
    </xf>
    <xf numFmtId="1" fontId="83" fillId="77" borderId="20" xfId="0" applyNumberFormat="1" applyFont="1" applyFill="1" applyBorder="1" applyAlignment="1">
      <alignment horizontal="left" vertical="center" wrapText="1"/>
    </xf>
    <xf numFmtId="169" fontId="83" fillId="77" borderId="20" xfId="111" applyNumberFormat="1" applyFont="1" applyFill="1" applyBorder="1" applyAlignment="1">
      <alignment horizontal="center" vertical="center" wrapText="1"/>
    </xf>
    <xf numFmtId="1" fontId="83" fillId="77" borderId="20" xfId="0" applyNumberFormat="1" applyFont="1" applyFill="1" applyBorder="1" applyAlignment="1">
      <alignment horizontal="center" vertical="center" wrapText="1"/>
    </xf>
    <xf numFmtId="0" fontId="4" fillId="60" borderId="0" xfId="0" applyFont="1" applyFill="1" applyAlignment="1">
      <alignment vertical="center"/>
    </xf>
    <xf numFmtId="0" fontId="4" fillId="49" borderId="20" xfId="0" applyFont="1" applyFill="1" applyBorder="1" applyAlignment="1">
      <alignment vertical="center"/>
    </xf>
    <xf numFmtId="0" fontId="25" fillId="60" borderId="0" xfId="0" applyFont="1" applyFill="1" applyAlignment="1">
      <alignment vertical="center"/>
    </xf>
    <xf numFmtId="0" fontId="81" fillId="60" borderId="0" xfId="0" applyFont="1" applyFill="1" applyAlignment="1">
      <alignment vertical="center"/>
    </xf>
    <xf numFmtId="0" fontId="81" fillId="69" borderId="0" xfId="0" applyFont="1" applyFill="1" applyAlignment="1">
      <alignment vertical="center"/>
    </xf>
    <xf numFmtId="0" fontId="182" fillId="60" borderId="0" xfId="0" applyFont="1" applyFill="1" applyAlignment="1">
      <alignment vertical="center"/>
    </xf>
    <xf numFmtId="0" fontId="106" fillId="69" borderId="20" xfId="0" applyFont="1" applyFill="1" applyBorder="1" applyAlignment="1">
      <alignment vertical="center"/>
    </xf>
    <xf numFmtId="0" fontId="81" fillId="49" borderId="0" xfId="0" applyFont="1" applyFill="1" applyAlignment="1">
      <alignment vertical="center"/>
    </xf>
    <xf numFmtId="1" fontId="83" fillId="60" borderId="20" xfId="111" applyNumberFormat="1" applyFont="1" applyFill="1" applyBorder="1" applyAlignment="1">
      <alignment horizontal="center" vertical="center" wrapText="1"/>
    </xf>
    <xf numFmtId="169" fontId="180" fillId="60" borderId="20" xfId="111" applyNumberFormat="1" applyFont="1" applyFill="1" applyBorder="1" applyAlignment="1">
      <alignment horizontal="center" vertical="center" wrapText="1"/>
    </xf>
    <xf numFmtId="0" fontId="180" fillId="60" borderId="20" xfId="0" applyFont="1" applyFill="1" applyBorder="1" applyAlignment="1">
      <alignment horizontal="center" vertical="center" wrapText="1"/>
    </xf>
    <xf numFmtId="0" fontId="180" fillId="51" borderId="20" xfId="0" applyFont="1" applyFill="1" applyBorder="1" applyAlignment="1" applyProtection="1">
      <alignment horizontal="center" vertical="center"/>
      <protection locked="0"/>
    </xf>
    <xf numFmtId="0" fontId="180" fillId="60" borderId="20" xfId="0" applyFont="1" applyFill="1" applyBorder="1" applyAlignment="1">
      <alignment vertical="center"/>
    </xf>
    <xf numFmtId="1" fontId="81" fillId="60" borderId="46" xfId="0" applyNumberFormat="1" applyFont="1" applyFill="1" applyBorder="1" applyAlignment="1">
      <alignment horizontal="left" vertical="center" wrapText="1"/>
    </xf>
    <xf numFmtId="1" fontId="88" fillId="60" borderId="46" xfId="0" applyNumberFormat="1" applyFont="1" applyFill="1" applyBorder="1" applyAlignment="1">
      <alignment horizontal="left" vertical="center" wrapText="1"/>
    </xf>
    <xf numFmtId="0" fontId="25" fillId="51" borderId="0" xfId="0" applyFont="1" applyFill="1" applyAlignment="1" applyProtection="1">
      <alignment horizontal="center" vertical="center"/>
      <protection locked="0"/>
    </xf>
    <xf numFmtId="0" fontId="4" fillId="0" borderId="31" xfId="0" applyFont="1" applyBorder="1" applyAlignment="1" applyProtection="1">
      <alignment vertical="top"/>
      <protection locked="0"/>
    </xf>
    <xf numFmtId="1" fontId="88" fillId="60" borderId="58" xfId="0" applyNumberFormat="1" applyFont="1" applyFill="1" applyBorder="1" applyAlignment="1">
      <alignment horizontal="left" vertical="center" wrapText="1"/>
    </xf>
    <xf numFmtId="0" fontId="221" fillId="36" borderId="31" xfId="0" applyFont="1" applyFill="1" applyBorder="1" applyAlignment="1" applyProtection="1">
      <alignment vertical="top"/>
      <protection locked="0"/>
    </xf>
    <xf numFmtId="1" fontId="83" fillId="60" borderId="57" xfId="0" applyNumberFormat="1" applyFont="1" applyFill="1" applyBorder="1" applyAlignment="1">
      <alignment horizontal="left" vertical="center" wrapText="1"/>
    </xf>
    <xf numFmtId="1" fontId="83" fillId="60" borderId="58" xfId="0" applyNumberFormat="1" applyFont="1" applyFill="1" applyBorder="1" applyAlignment="1">
      <alignment horizontal="left" vertical="center" wrapText="1"/>
    </xf>
    <xf numFmtId="1" fontId="83" fillId="60" borderId="58" xfId="0" applyNumberFormat="1" applyFont="1" applyFill="1" applyBorder="1" applyAlignment="1">
      <alignment horizontal="center" vertical="center" wrapText="1"/>
    </xf>
    <xf numFmtId="1" fontId="83" fillId="60" borderId="59" xfId="0" applyNumberFormat="1" applyFont="1" applyFill="1" applyBorder="1" applyAlignment="1">
      <alignment horizontal="center" vertical="center" wrapText="1"/>
    </xf>
    <xf numFmtId="0" fontId="4" fillId="0" borderId="0" xfId="0" quotePrefix="1" applyFont="1" applyAlignment="1">
      <alignment horizontal="right"/>
    </xf>
    <xf numFmtId="166" fontId="217" fillId="0" borderId="1" xfId="0" applyNumberFormat="1" applyFont="1" applyBorder="1" applyAlignment="1">
      <alignment horizontal="left"/>
    </xf>
    <xf numFmtId="0" fontId="217" fillId="0" borderId="29" xfId="0" applyFont="1" applyBorder="1" applyAlignment="1">
      <alignment horizontal="left"/>
    </xf>
    <xf numFmtId="0" fontId="141" fillId="0" borderId="1" xfId="0" applyFont="1" applyBorder="1" applyAlignment="1">
      <alignment horizontal="left"/>
    </xf>
    <xf numFmtId="0" fontId="51" fillId="0" borderId="28" xfId="0" applyFont="1" applyBorder="1" applyAlignment="1">
      <alignment horizontal="left" vertical="top" wrapText="1"/>
    </xf>
    <xf numFmtId="0" fontId="51" fillId="0" borderId="29" xfId="0" applyFont="1" applyBorder="1" applyAlignment="1">
      <alignment horizontal="left" vertical="top" wrapText="1"/>
    </xf>
    <xf numFmtId="0" fontId="51" fillId="0" borderId="30" xfId="0" applyFont="1" applyBorder="1" applyAlignment="1">
      <alignment horizontal="left" vertical="top" wrapText="1"/>
    </xf>
    <xf numFmtId="0" fontId="51" fillId="0" borderId="31" xfId="0" applyFont="1" applyBorder="1" applyAlignment="1">
      <alignment horizontal="left" vertical="top" wrapText="1"/>
    </xf>
    <xf numFmtId="0" fontId="51" fillId="0" borderId="1" xfId="0" applyFont="1" applyBorder="1" applyAlignment="1">
      <alignment horizontal="left" vertical="top" wrapText="1"/>
    </xf>
    <xf numFmtId="0" fontId="51" fillId="0" borderId="32" xfId="0" applyFont="1" applyBorder="1" applyAlignment="1">
      <alignment horizontal="left" vertical="top" wrapText="1"/>
    </xf>
    <xf numFmtId="0" fontId="51" fillId="0" borderId="33" xfId="0" applyFont="1" applyBorder="1" applyAlignment="1">
      <alignment horizontal="left" vertical="top" wrapText="1"/>
    </xf>
    <xf numFmtId="0" fontId="51" fillId="0" borderId="34" xfId="0" applyFont="1" applyBorder="1" applyAlignment="1">
      <alignment horizontal="left" vertical="top" wrapText="1"/>
    </xf>
    <xf numFmtId="0" fontId="51" fillId="0" borderId="35" xfId="0" applyFont="1" applyBorder="1" applyAlignment="1">
      <alignment horizontal="left" vertical="top" wrapText="1"/>
    </xf>
    <xf numFmtId="0" fontId="157" fillId="0" borderId="45" xfId="0" applyFont="1" applyBorder="1" applyAlignment="1" applyProtection="1">
      <alignment horizontal="left" vertical="center"/>
      <protection locked="0"/>
    </xf>
    <xf numFmtId="0" fontId="157" fillId="0" borderId="14" xfId="0" applyFont="1" applyBorder="1" applyAlignment="1" applyProtection="1">
      <alignment horizontal="left" vertical="center"/>
      <protection locked="0"/>
    </xf>
    <xf numFmtId="0" fontId="51" fillId="0" borderId="31" xfId="0" applyFont="1" applyBorder="1" applyAlignment="1">
      <alignment horizontal="left" vertical="top"/>
    </xf>
    <xf numFmtId="0" fontId="130" fillId="0" borderId="1" xfId="0" applyFont="1" applyBorder="1" applyAlignment="1">
      <alignment horizontal="center" vertical="center"/>
    </xf>
    <xf numFmtId="0" fontId="70" fillId="0" borderId="44" xfId="0" applyFont="1" applyBorder="1" applyAlignment="1">
      <alignment horizontal="left" vertical="center"/>
    </xf>
    <xf numFmtId="0" fontId="70" fillId="0" borderId="15" xfId="0" applyFont="1" applyBorder="1" applyAlignment="1">
      <alignment horizontal="left" vertical="center"/>
    </xf>
    <xf numFmtId="0" fontId="70" fillId="0" borderId="41" xfId="0" applyFont="1" applyBorder="1" applyAlignment="1">
      <alignment horizontal="left" vertical="center"/>
    </xf>
    <xf numFmtId="166" fontId="70" fillId="0" borderId="44" xfId="0" applyNumberFormat="1" applyFont="1" applyBorder="1" applyAlignment="1">
      <alignment horizontal="left" vertical="center"/>
    </xf>
    <xf numFmtId="166" fontId="70" fillId="0" borderId="15" xfId="0" applyNumberFormat="1" applyFont="1" applyBorder="1" applyAlignment="1">
      <alignment horizontal="left" vertical="center"/>
    </xf>
    <xf numFmtId="166" fontId="70" fillId="0" borderId="41" xfId="0" applyNumberFormat="1" applyFont="1" applyBorder="1" applyAlignment="1">
      <alignment horizontal="left" vertical="center"/>
    </xf>
    <xf numFmtId="0" fontId="70" fillId="0" borderId="11" xfId="0" applyFont="1" applyBorder="1" applyAlignment="1">
      <alignment horizontal="left" vertical="center"/>
    </xf>
    <xf numFmtId="0" fontId="70" fillId="0" borderId="12" xfId="0" applyFont="1" applyBorder="1" applyAlignment="1">
      <alignment horizontal="left" vertical="center"/>
    </xf>
    <xf numFmtId="0" fontId="70" fillId="0" borderId="18" xfId="0" applyFont="1" applyBorder="1" applyAlignment="1">
      <alignment horizontal="left" vertical="center"/>
    </xf>
    <xf numFmtId="166" fontId="70" fillId="0" borderId="11" xfId="0" applyNumberFormat="1" applyFont="1" applyBorder="1" applyAlignment="1">
      <alignment horizontal="left" vertical="center"/>
    </xf>
    <xf numFmtId="166" fontId="70" fillId="0" borderId="12" xfId="0" applyNumberFormat="1" applyFont="1" applyBorder="1" applyAlignment="1">
      <alignment horizontal="left" vertical="center"/>
    </xf>
    <xf numFmtId="166" fontId="70" fillId="0" borderId="18" xfId="0" applyNumberFormat="1" applyFont="1" applyBorder="1" applyAlignment="1">
      <alignment horizontal="left" vertical="center"/>
    </xf>
    <xf numFmtId="0" fontId="56" fillId="0" borderId="1" xfId="0" applyFont="1" applyBorder="1" applyAlignment="1">
      <alignment horizontal="center" vertical="center"/>
    </xf>
    <xf numFmtId="1" fontId="51" fillId="0" borderId="31" xfId="0" applyNumberFormat="1" applyFont="1" applyBorder="1" applyAlignment="1">
      <alignment horizontal="left" vertical="top" wrapText="1"/>
    </xf>
    <xf numFmtId="1" fontId="51" fillId="0" borderId="1" xfId="0" applyNumberFormat="1" applyFont="1" applyBorder="1" applyAlignment="1">
      <alignment horizontal="left" vertical="top" wrapText="1"/>
    </xf>
    <xf numFmtId="1" fontId="51" fillId="0" borderId="32" xfId="0" applyNumberFormat="1" applyFont="1" applyBorder="1" applyAlignment="1">
      <alignment horizontal="left" vertical="top" wrapText="1"/>
    </xf>
    <xf numFmtId="0" fontId="142" fillId="0" borderId="1" xfId="0" applyFont="1" applyBorder="1" applyAlignment="1">
      <alignment horizontal="left" vertical="center"/>
    </xf>
    <xf numFmtId="0" fontId="142" fillId="0" borderId="0" xfId="0" applyFont="1" applyAlignment="1">
      <alignment horizontal="left" vertical="center"/>
    </xf>
    <xf numFmtId="1" fontId="165" fillId="0" borderId="1" xfId="0" applyNumberFormat="1" applyFont="1" applyBorder="1" applyAlignment="1">
      <alignment horizontal="left" vertical="top" wrapText="1"/>
    </xf>
    <xf numFmtId="168" fontId="218" fillId="0" borderId="1" xfId="109" applyNumberFormat="1" applyFont="1" applyFill="1" applyBorder="1" applyAlignment="1">
      <alignment horizontal="center" vertical="center"/>
    </xf>
    <xf numFmtId="0" fontId="152" fillId="0" borderId="0" xfId="0" applyFont="1" applyAlignment="1">
      <alignment horizontal="justify" vertical="center" wrapText="1"/>
    </xf>
    <xf numFmtId="0" fontId="140" fillId="0" borderId="0" xfId="0" applyFont="1" applyAlignment="1">
      <alignment horizontal="justify" vertical="center" wrapText="1"/>
    </xf>
    <xf numFmtId="0" fontId="136" fillId="0" borderId="0" xfId="0" applyFont="1" applyAlignment="1">
      <alignment horizontal="justify" vertical="center" wrapText="1"/>
    </xf>
    <xf numFmtId="1" fontId="51" fillId="0" borderId="33" xfId="0" applyNumberFormat="1" applyFont="1" applyBorder="1" applyAlignment="1">
      <alignment horizontal="left" vertical="top" wrapText="1"/>
    </xf>
    <xf numFmtId="1" fontId="51" fillId="0" borderId="34" xfId="0" applyNumberFormat="1" applyFont="1" applyBorder="1" applyAlignment="1">
      <alignment horizontal="left" vertical="top" wrapText="1"/>
    </xf>
    <xf numFmtId="1" fontId="51" fillId="0" borderId="35" xfId="0" applyNumberFormat="1" applyFont="1" applyBorder="1" applyAlignment="1">
      <alignment horizontal="left" vertical="top" wrapText="1"/>
    </xf>
    <xf numFmtId="0" fontId="137" fillId="0" borderId="1" xfId="0" applyFont="1" applyBorder="1" applyAlignment="1">
      <alignment horizontal="left" vertical="center" wrapText="1"/>
    </xf>
    <xf numFmtId="0" fontId="35" fillId="0" borderId="0" xfId="0" applyFont="1" applyAlignment="1">
      <alignment horizontal="left" vertical="top"/>
    </xf>
    <xf numFmtId="0" fontId="157" fillId="53" borderId="44" xfId="0" applyFont="1" applyFill="1" applyBorder="1" applyAlignment="1" applyProtection="1">
      <alignment horizontal="left" vertical="center"/>
      <protection locked="0"/>
    </xf>
    <xf numFmtId="0" fontId="157" fillId="53" borderId="15" xfId="0" applyFont="1" applyFill="1" applyBorder="1" applyAlignment="1" applyProtection="1">
      <alignment horizontal="left" vertical="center"/>
      <protection locked="0"/>
    </xf>
    <xf numFmtId="0" fontId="157" fillId="53" borderId="41" xfId="0" applyFont="1" applyFill="1" applyBorder="1" applyAlignment="1" applyProtection="1">
      <alignment horizontal="left" vertical="center"/>
      <protection locked="0"/>
    </xf>
    <xf numFmtId="0" fontId="34" fillId="0" borderId="11" xfId="110" applyBorder="1" applyAlignment="1" applyProtection="1">
      <alignment horizontal="left" vertical="center" wrapText="1"/>
      <protection locked="0"/>
    </xf>
    <xf numFmtId="0" fontId="157" fillId="0" borderId="12" xfId="0" applyFont="1" applyBorder="1" applyAlignment="1" applyProtection="1">
      <alignment horizontal="left" vertical="center"/>
      <protection locked="0"/>
    </xf>
    <xf numFmtId="0" fontId="157" fillId="0" borderId="18" xfId="0" applyFont="1" applyBorder="1" applyAlignment="1" applyProtection="1">
      <alignment horizontal="left" vertical="center"/>
      <protection locked="0"/>
    </xf>
    <xf numFmtId="0" fontId="114" fillId="0" borderId="1" xfId="0" applyFont="1" applyBorder="1" applyAlignment="1">
      <alignment horizontal="center"/>
    </xf>
    <xf numFmtId="167" fontId="141" fillId="0" borderId="1" xfId="0" applyNumberFormat="1" applyFont="1" applyBorder="1" applyAlignment="1">
      <alignment horizontal="left"/>
    </xf>
    <xf numFmtId="0" fontId="140" fillId="0" borderId="0" xfId="0" applyFont="1" applyAlignment="1">
      <alignment horizontal="left" vertical="center"/>
    </xf>
    <xf numFmtId="1" fontId="51" fillId="0" borderId="1" xfId="0" applyNumberFormat="1" applyFont="1" applyBorder="1" applyAlignment="1">
      <alignment wrapText="1"/>
    </xf>
    <xf numFmtId="166" fontId="157" fillId="0" borderId="16" xfId="0" applyNumberFormat="1" applyFont="1" applyBorder="1" applyAlignment="1" applyProtection="1">
      <alignment horizontal="left" vertical="center"/>
      <protection locked="0"/>
    </xf>
    <xf numFmtId="166" fontId="157" fillId="0" borderId="44" xfId="0" applyNumberFormat="1" applyFont="1" applyBorder="1" applyAlignment="1" applyProtection="1">
      <alignment horizontal="left" vertical="center"/>
      <protection locked="0"/>
    </xf>
    <xf numFmtId="166" fontId="157" fillId="0" borderId="17" xfId="0" applyNumberFormat="1" applyFont="1" applyBorder="1" applyAlignment="1" applyProtection="1">
      <alignment horizontal="left" vertical="center"/>
      <protection locked="0"/>
    </xf>
    <xf numFmtId="167" fontId="157" fillId="0" borderId="11" xfId="0" applyNumberFormat="1" applyFont="1" applyBorder="1" applyAlignment="1" applyProtection="1">
      <alignment horizontal="left" vertical="center"/>
      <protection locked="0"/>
    </xf>
    <xf numFmtId="167" fontId="157" fillId="0" borderId="12" xfId="0" applyNumberFormat="1" applyFont="1" applyBorder="1" applyAlignment="1" applyProtection="1">
      <alignment horizontal="left" vertical="center"/>
      <protection locked="0"/>
    </xf>
    <xf numFmtId="167" fontId="157" fillId="0" borderId="18" xfId="0" applyNumberFormat="1" applyFont="1" applyBorder="1" applyAlignment="1" applyProtection="1">
      <alignment horizontal="left" vertical="center"/>
      <protection locked="0"/>
    </xf>
    <xf numFmtId="49" fontId="157" fillId="0" borderId="11" xfId="0" applyNumberFormat="1" applyFont="1" applyBorder="1" applyAlignment="1" applyProtection="1">
      <alignment horizontal="left" vertical="center"/>
      <protection locked="0"/>
    </xf>
    <xf numFmtId="49" fontId="157" fillId="0" borderId="12" xfId="0" applyNumberFormat="1" applyFont="1" applyBorder="1" applyAlignment="1" applyProtection="1">
      <alignment horizontal="left" vertical="center"/>
      <protection locked="0"/>
    </xf>
    <xf numFmtId="49" fontId="157" fillId="0" borderId="18" xfId="0" applyNumberFormat="1" applyFont="1" applyBorder="1" applyAlignment="1" applyProtection="1">
      <alignment horizontal="left" vertical="center"/>
      <protection locked="0"/>
    </xf>
    <xf numFmtId="168" fontId="71" fillId="34" borderId="29" xfId="109" applyNumberFormat="1" applyFont="1" applyFill="1" applyBorder="1" applyAlignment="1"/>
    <xf numFmtId="0" fontId="140" fillId="0" borderId="1" xfId="0" applyFont="1" applyBorder="1" applyAlignment="1">
      <alignment horizontal="left" vertical="center" wrapText="1"/>
    </xf>
    <xf numFmtId="0" fontId="152" fillId="0" borderId="1" xfId="0" applyFont="1" applyBorder="1" applyAlignment="1">
      <alignment horizontal="left" vertical="center" wrapText="1"/>
    </xf>
    <xf numFmtId="1" fontId="129" fillId="0" borderId="31" xfId="0" applyNumberFormat="1" applyFont="1" applyBorder="1" applyAlignment="1">
      <alignment horizontal="left" vertical="top" wrapText="1"/>
    </xf>
    <xf numFmtId="1" fontId="129" fillId="0" borderId="1" xfId="0" applyNumberFormat="1" applyFont="1" applyBorder="1" applyAlignment="1">
      <alignment horizontal="left" vertical="top" wrapText="1"/>
    </xf>
    <xf numFmtId="1" fontId="129" fillId="0" borderId="28" xfId="0" applyNumberFormat="1" applyFont="1" applyBorder="1" applyAlignment="1">
      <alignment horizontal="left" vertical="top" wrapText="1"/>
    </xf>
    <xf numFmtId="1" fontId="129" fillId="0" borderId="29" xfId="0" applyNumberFormat="1" applyFont="1" applyBorder="1" applyAlignment="1">
      <alignment horizontal="left" vertical="top" wrapText="1"/>
    </xf>
    <xf numFmtId="0" fontId="70" fillId="0" borderId="45" xfId="0" applyFont="1" applyBorder="1" applyAlignment="1">
      <alignment horizontal="left" vertical="center"/>
    </xf>
    <xf numFmtId="0" fontId="70" fillId="0" borderId="14" xfId="0" applyFont="1" applyBorder="1" applyAlignment="1">
      <alignment horizontal="left" vertical="center"/>
    </xf>
    <xf numFmtId="0" fontId="70" fillId="0" borderId="42" xfId="0" applyFont="1" applyBorder="1" applyAlignment="1">
      <alignment horizontal="left" vertical="center"/>
    </xf>
    <xf numFmtId="166" fontId="70" fillId="0" borderId="45" xfId="0" applyNumberFormat="1" applyFont="1" applyBorder="1" applyAlignment="1">
      <alignment horizontal="left" vertical="center"/>
    </xf>
    <xf numFmtId="166" fontId="70" fillId="0" borderId="14" xfId="0" applyNumberFormat="1" applyFont="1" applyBorder="1" applyAlignment="1">
      <alignment horizontal="left" vertical="center"/>
    </xf>
    <xf numFmtId="166" fontId="70" fillId="0" borderId="42" xfId="0" applyNumberFormat="1" applyFont="1" applyBorder="1" applyAlignment="1">
      <alignment horizontal="left" vertical="center"/>
    </xf>
    <xf numFmtId="0" fontId="54" fillId="0" borderId="1" xfId="0" applyFont="1" applyBorder="1" applyAlignment="1">
      <alignment horizontal="center"/>
    </xf>
    <xf numFmtId="0" fontId="50" fillId="0" borderId="1" xfId="0" applyFont="1" applyBorder="1" applyAlignment="1">
      <alignment horizontal="center" vertical="center"/>
    </xf>
    <xf numFmtId="0" fontId="164" fillId="0" borderId="1" xfId="0" applyFont="1" applyBorder="1" applyAlignment="1">
      <alignment horizontal="left" vertical="top" wrapText="1"/>
    </xf>
    <xf numFmtId="1" fontId="51" fillId="0" borderId="1" xfId="0" applyNumberFormat="1" applyFont="1" applyBorder="1" applyAlignment="1">
      <alignment horizontal="left" vertical="center" wrapText="1"/>
    </xf>
    <xf numFmtId="0" fontId="51" fillId="0" borderId="1" xfId="0" applyFont="1" applyBorder="1" applyAlignment="1">
      <alignment horizontal="left" wrapText="1"/>
    </xf>
    <xf numFmtId="0" fontId="51" fillId="0" borderId="34" xfId="0" applyFont="1" applyBorder="1" applyAlignment="1">
      <alignment horizontal="left" wrapText="1"/>
    </xf>
    <xf numFmtId="0" fontId="125" fillId="0" borderId="0" xfId="0" applyFont="1" applyAlignment="1">
      <alignment horizontal="center"/>
    </xf>
    <xf numFmtId="0" fontId="37" fillId="0" borderId="0" xfId="0" applyFont="1" applyAlignment="1">
      <alignment horizontal="center"/>
    </xf>
    <xf numFmtId="0" fontId="138" fillId="0" borderId="0" xfId="0" applyFont="1" applyAlignment="1">
      <alignment horizontal="justify" vertical="center" wrapText="1"/>
    </xf>
    <xf numFmtId="168" fontId="222" fillId="0" borderId="1" xfId="0" applyNumberFormat="1" applyFont="1" applyBorder="1" applyAlignment="1">
      <alignment horizontal="center" vertical="center" wrapText="1"/>
    </xf>
    <xf numFmtId="0" fontId="39" fillId="0" borderId="1" xfId="0" applyFont="1" applyBorder="1" applyAlignment="1">
      <alignment horizontal="center"/>
    </xf>
    <xf numFmtId="0" fontId="54" fillId="0" borderId="28" xfId="0" applyFont="1" applyBorder="1" applyAlignment="1" applyProtection="1">
      <alignment horizontal="left" vertical="top" wrapText="1"/>
      <protection locked="0"/>
    </xf>
    <xf numFmtId="0" fontId="54" fillId="0" borderId="29" xfId="0" applyFont="1" applyBorder="1" applyAlignment="1" applyProtection="1">
      <alignment horizontal="left" vertical="top" wrapText="1"/>
      <protection locked="0"/>
    </xf>
    <xf numFmtId="0" fontId="54" fillId="0" borderId="30" xfId="0" applyFont="1" applyBorder="1" applyAlignment="1" applyProtection="1">
      <alignment horizontal="left" vertical="top" wrapText="1"/>
      <protection locked="0"/>
    </xf>
    <xf numFmtId="0" fontId="54" fillId="0" borderId="31" xfId="0" applyFont="1" applyBorder="1" applyAlignment="1" applyProtection="1">
      <alignment horizontal="left" vertical="top" wrapText="1"/>
      <protection locked="0"/>
    </xf>
    <xf numFmtId="0" fontId="54" fillId="0" borderId="1" xfId="0" applyFont="1" applyBorder="1" applyAlignment="1" applyProtection="1">
      <alignment horizontal="left" vertical="top" wrapText="1"/>
      <protection locked="0"/>
    </xf>
    <xf numFmtId="0" fontId="54" fillId="0" borderId="32" xfId="0" applyFont="1" applyBorder="1" applyAlignment="1" applyProtection="1">
      <alignment horizontal="left" vertical="top" wrapText="1"/>
      <protection locked="0"/>
    </xf>
    <xf numFmtId="0" fontId="54" fillId="0" borderId="33" xfId="0" applyFont="1" applyBorder="1" applyAlignment="1" applyProtection="1">
      <alignment horizontal="left" vertical="top" wrapText="1"/>
      <protection locked="0"/>
    </xf>
    <xf numFmtId="0" fontId="54" fillId="0" borderId="34" xfId="0" applyFont="1" applyBorder="1" applyAlignment="1" applyProtection="1">
      <alignment horizontal="left" vertical="top" wrapText="1"/>
      <protection locked="0"/>
    </xf>
    <xf numFmtId="0" fontId="54" fillId="0" borderId="35" xfId="0" applyFont="1" applyBorder="1" applyAlignment="1" applyProtection="1">
      <alignment horizontal="left" vertical="top" wrapText="1"/>
      <protection locked="0"/>
    </xf>
    <xf numFmtId="0" fontId="110" fillId="0" borderId="1" xfId="0" applyFont="1" applyBorder="1" applyAlignment="1">
      <alignment horizontal="center" vertical="center"/>
    </xf>
    <xf numFmtId="167" fontId="126" fillId="0" borderId="1" xfId="0" applyNumberFormat="1" applyFont="1" applyBorder="1" applyAlignment="1">
      <alignment horizontal="left"/>
    </xf>
    <xf numFmtId="168" fontId="61" fillId="34" borderId="1" xfId="109" applyNumberFormat="1" applyFont="1" applyFill="1" applyBorder="1" applyAlignment="1">
      <alignment horizontal="center"/>
    </xf>
    <xf numFmtId="1" fontId="51" fillId="0" borderId="34" xfId="0" applyNumberFormat="1" applyFont="1" applyBorder="1" applyAlignment="1">
      <alignment wrapText="1"/>
    </xf>
    <xf numFmtId="1" fontId="51" fillId="0" borderId="1" xfId="0" applyNumberFormat="1" applyFont="1" applyBorder="1" applyAlignment="1">
      <alignment horizontal="center" wrapText="1"/>
    </xf>
    <xf numFmtId="1" fontId="51" fillId="0" borderId="1" xfId="0" applyNumberFormat="1" applyFont="1" applyBorder="1" applyAlignment="1">
      <alignment horizontal="center" vertical="top" wrapText="1"/>
    </xf>
    <xf numFmtId="167" fontId="139" fillId="0" borderId="29" xfId="0" applyNumberFormat="1" applyFont="1" applyBorder="1" applyAlignment="1">
      <alignment horizontal="left"/>
    </xf>
    <xf numFmtId="0" fontId="205" fillId="0" borderId="0" xfId="0" applyFont="1" applyAlignment="1" applyProtection="1">
      <alignment horizontal="center"/>
      <protection locked="0"/>
    </xf>
    <xf numFmtId="0" fontId="50" fillId="0" borderId="1" xfId="0" applyFont="1" applyBorder="1" applyAlignment="1">
      <alignment horizontal="center" vertical="center" wrapText="1"/>
    </xf>
    <xf numFmtId="0" fontId="136" fillId="0" borderId="0" xfId="0" applyFont="1" applyAlignment="1">
      <alignment horizontal="justify" vertical="top" wrapText="1"/>
    </xf>
    <xf numFmtId="0" fontId="142" fillId="0" borderId="1" xfId="0" applyFont="1" applyBorder="1" applyAlignment="1">
      <alignment horizontal="justify" vertical="center" wrapText="1"/>
    </xf>
    <xf numFmtId="0" fontId="69" fillId="0" borderId="0" xfId="0" applyFont="1" applyAlignment="1">
      <alignment horizontal="left" vertical="center"/>
    </xf>
    <xf numFmtId="0" fontId="142" fillId="0" borderId="0" xfId="0" applyFont="1" applyAlignment="1">
      <alignment horizontal="justify" vertical="center" wrapText="1"/>
    </xf>
    <xf numFmtId="168" fontId="204" fillId="0" borderId="0" xfId="0" applyNumberFormat="1" applyFont="1" applyAlignment="1">
      <alignment horizontal="center"/>
    </xf>
    <xf numFmtId="1" fontId="71" fillId="0" borderId="31" xfId="0" applyNumberFormat="1" applyFont="1" applyBorder="1" applyAlignment="1">
      <alignment horizontal="left" vertical="top" wrapText="1"/>
    </xf>
    <xf numFmtId="1" fontId="71" fillId="0" borderId="1" xfId="0" applyNumberFormat="1" applyFont="1" applyBorder="1" applyAlignment="1">
      <alignment horizontal="left" vertical="top" wrapText="1"/>
    </xf>
    <xf numFmtId="1" fontId="71" fillId="0" borderId="33" xfId="0" applyNumberFormat="1" applyFont="1" applyBorder="1" applyAlignment="1">
      <alignment horizontal="left" vertical="top" wrapText="1"/>
    </xf>
    <xf numFmtId="1" fontId="71" fillId="0" borderId="34" xfId="0" applyNumberFormat="1" applyFont="1" applyBorder="1" applyAlignment="1">
      <alignment horizontal="left" vertical="top" wrapText="1"/>
    </xf>
    <xf numFmtId="168" fontId="134" fillId="0" borderId="1" xfId="0" applyNumberFormat="1" applyFont="1" applyBorder="1" applyAlignment="1">
      <alignment horizontal="center" vertical="center"/>
    </xf>
    <xf numFmtId="168" fontId="134" fillId="0" borderId="32" xfId="0" applyNumberFormat="1" applyFont="1" applyBorder="1" applyAlignment="1">
      <alignment horizontal="center" vertical="center"/>
    </xf>
    <xf numFmtId="0" fontId="54" fillId="0" borderId="31" xfId="0" applyFont="1" applyBorder="1" applyAlignment="1">
      <alignment horizontal="left" vertical="top" wrapText="1"/>
    </xf>
    <xf numFmtId="0" fontId="54" fillId="0" borderId="1" xfId="0" applyFont="1" applyBorder="1" applyAlignment="1">
      <alignment horizontal="left" vertical="top" wrapText="1"/>
    </xf>
    <xf numFmtId="0" fontId="54" fillId="0" borderId="32" xfId="0" applyFont="1" applyBorder="1" applyAlignment="1">
      <alignment horizontal="left" vertical="top" wrapText="1"/>
    </xf>
    <xf numFmtId="1" fontId="54" fillId="0" borderId="31" xfId="0" applyNumberFormat="1" applyFont="1" applyBorder="1" applyAlignment="1">
      <alignment horizontal="left" vertical="top" wrapText="1"/>
    </xf>
    <xf numFmtId="0" fontId="54" fillId="0" borderId="33" xfId="0" applyFont="1" applyBorder="1" applyAlignment="1">
      <alignment horizontal="left" vertical="top" wrapText="1"/>
    </xf>
    <xf numFmtId="0" fontId="54" fillId="0" borderId="34" xfId="0" applyFont="1" applyBorder="1" applyAlignment="1">
      <alignment horizontal="left" vertical="top" wrapText="1"/>
    </xf>
    <xf numFmtId="0" fontId="54" fillId="0" borderId="35" xfId="0" applyFont="1" applyBorder="1" applyAlignment="1">
      <alignment horizontal="left" vertical="top" wrapText="1"/>
    </xf>
    <xf numFmtId="0" fontId="46" fillId="0" borderId="0" xfId="0" applyFont="1" applyAlignment="1">
      <alignment horizontal="left"/>
    </xf>
    <xf numFmtId="0" fontId="144" fillId="0" borderId="0" xfId="0" applyFont="1" applyAlignment="1">
      <alignment horizontal="left" vertical="center"/>
    </xf>
    <xf numFmtId="0" fontId="137" fillId="0" borderId="0" xfId="0" applyFont="1" applyAlignment="1">
      <alignment horizontal="justify" vertical="center" wrapText="1"/>
    </xf>
    <xf numFmtId="0" fontId="25" fillId="0" borderId="20" xfId="0" applyFont="1" applyBorder="1" applyAlignment="1">
      <alignment horizontal="left" vertical="center"/>
    </xf>
    <xf numFmtId="0" fontId="25" fillId="0" borderId="20" xfId="0" applyFont="1" applyBorder="1" applyAlignment="1">
      <alignment horizontal="left" vertical="center" wrapText="1"/>
    </xf>
    <xf numFmtId="0" fontId="25" fillId="36" borderId="20" xfId="0" applyFont="1" applyFill="1" applyBorder="1" applyAlignment="1">
      <alignment horizontal="center" vertical="center" wrapText="1"/>
    </xf>
    <xf numFmtId="0" fontId="25" fillId="0" borderId="20" xfId="0" applyFont="1" applyBorder="1" applyAlignment="1">
      <alignment horizontal="center" vertical="center" wrapText="1"/>
    </xf>
    <xf numFmtId="1" fontId="25" fillId="36" borderId="20" xfId="0" applyNumberFormat="1" applyFont="1" applyFill="1" applyBorder="1" applyAlignment="1">
      <alignment horizontal="center" vertical="center"/>
    </xf>
    <xf numFmtId="1" fontId="25" fillId="0" borderId="20" xfId="0" applyNumberFormat="1" applyFont="1" applyBorder="1" applyAlignment="1">
      <alignment horizontal="center" vertical="center"/>
    </xf>
    <xf numFmtId="168" fontId="207" fillId="0" borderId="0" xfId="0" applyNumberFormat="1" applyFont="1" applyAlignment="1">
      <alignment horizontal="left"/>
    </xf>
    <xf numFmtId="0" fontId="216" fillId="0" borderId="0" xfId="0" applyFont="1" applyAlignment="1">
      <alignment horizontal="left" vertical="top" wrapText="1"/>
    </xf>
    <xf numFmtId="0" fontId="207" fillId="0" borderId="0" xfId="0" applyFont="1" applyAlignment="1">
      <alignment horizontal="left" vertical="center"/>
    </xf>
    <xf numFmtId="0" fontId="207" fillId="0" borderId="1" xfId="0" applyFont="1" applyBorder="1" applyAlignment="1">
      <alignment horizontal="left" vertical="center"/>
    </xf>
    <xf numFmtId="0" fontId="209" fillId="0" borderId="0" xfId="0" applyFont="1" applyAlignment="1">
      <alignment horizontal="left"/>
    </xf>
    <xf numFmtId="0" fontId="207" fillId="0" borderId="1" xfId="0" applyFont="1" applyBorder="1" applyAlignment="1">
      <alignment horizontal="left" vertical="top"/>
    </xf>
    <xf numFmtId="0" fontId="207" fillId="0" borderId="0" xfId="0" applyFont="1" applyAlignment="1">
      <alignment horizontal="left" vertical="top"/>
    </xf>
    <xf numFmtId="0" fontId="207" fillId="37" borderId="1" xfId="0" applyFont="1" applyFill="1" applyBorder="1" applyAlignment="1">
      <alignment horizontal="left" vertical="center"/>
    </xf>
    <xf numFmtId="0" fontId="76" fillId="0" borderId="1" xfId="0" applyFont="1" applyBorder="1" applyAlignment="1">
      <alignment horizontal="left" wrapText="1"/>
    </xf>
    <xf numFmtId="0" fontId="76" fillId="0" borderId="0" xfId="0" applyFont="1" applyAlignment="1">
      <alignment horizontal="left" vertical="top" wrapText="1"/>
    </xf>
    <xf numFmtId="0" fontId="25" fillId="0" borderId="0" xfId="0" applyFont="1" applyAlignment="1">
      <alignment horizontal="left" vertical="top" wrapText="1"/>
    </xf>
    <xf numFmtId="168" fontId="25" fillId="0" borderId="0" xfId="0" applyNumberFormat="1" applyFont="1" applyAlignment="1">
      <alignment horizontal="left"/>
    </xf>
    <xf numFmtId="0" fontId="184" fillId="49" borderId="0" xfId="0" applyFont="1" applyFill="1" applyAlignment="1">
      <alignment horizontal="center" vertical="top" wrapText="1"/>
    </xf>
    <xf numFmtId="0" fontId="81" fillId="0" borderId="1" xfId="0" applyFont="1" applyBorder="1" applyAlignment="1">
      <alignment horizontal="center" vertical="top" wrapText="1"/>
    </xf>
    <xf numFmtId="0" fontId="187" fillId="66" borderId="1" xfId="0" applyFont="1" applyFill="1" applyBorder="1" applyAlignment="1">
      <alignment horizontal="left" wrapText="1"/>
    </xf>
    <xf numFmtId="0" fontId="190" fillId="66" borderId="1" xfId="0" applyFont="1" applyFill="1" applyBorder="1" applyAlignment="1">
      <alignment horizontal="right" vertical="top" wrapText="1"/>
    </xf>
    <xf numFmtId="0" fontId="188" fillId="66" borderId="1" xfId="0" applyFont="1" applyFill="1" applyBorder="1" applyAlignment="1">
      <alignment horizontal="left" vertical="top" wrapText="1"/>
    </xf>
    <xf numFmtId="0" fontId="187" fillId="62" borderId="0" xfId="0" applyFont="1" applyFill="1" applyAlignment="1">
      <alignment horizontal="center" vertical="center" wrapText="1"/>
    </xf>
    <xf numFmtId="0" fontId="185" fillId="0" borderId="0" xfId="0" applyFont="1" applyAlignment="1">
      <alignment horizontal="center" vertical="top" wrapText="1"/>
    </xf>
    <xf numFmtId="0" fontId="189" fillId="0" borderId="0" xfId="0" applyFont="1" applyAlignment="1">
      <alignment horizontal="center" vertical="center" wrapText="1"/>
    </xf>
    <xf numFmtId="0" fontId="25" fillId="0" borderId="0" xfId="0" applyFont="1" applyAlignment="1">
      <alignment horizontal="left"/>
    </xf>
    <xf numFmtId="0" fontId="25" fillId="0" borderId="0" xfId="0" applyFont="1" applyAlignment="1">
      <alignment horizontal="left" vertical="center"/>
    </xf>
    <xf numFmtId="0" fontId="122" fillId="49" borderId="23" xfId="0" applyFont="1" applyFill="1" applyBorder="1" applyAlignment="1">
      <alignment horizontal="center" vertical="center"/>
    </xf>
    <xf numFmtId="0" fontId="122" fillId="49" borderId="54" xfId="0" applyFont="1" applyFill="1" applyBorder="1" applyAlignment="1">
      <alignment horizontal="center" vertical="center"/>
    </xf>
    <xf numFmtId="0" fontId="122" fillId="49" borderId="55" xfId="0" applyFont="1" applyFill="1" applyBorder="1" applyAlignment="1">
      <alignment horizontal="center" vertical="center"/>
    </xf>
    <xf numFmtId="0" fontId="122" fillId="49" borderId="26" xfId="0" applyFont="1" applyFill="1" applyBorder="1" applyAlignment="1">
      <alignment horizontal="left" vertical="center"/>
    </xf>
    <xf numFmtId="0" fontId="122" fillId="49" borderId="38" xfId="0" applyFont="1" applyFill="1" applyBorder="1" applyAlignment="1">
      <alignment horizontal="left" vertical="center"/>
    </xf>
    <xf numFmtId="0" fontId="25" fillId="0" borderId="0" xfId="0" applyFont="1" applyAlignment="1">
      <alignment horizontal="left" vertical="top"/>
    </xf>
  </cellXfs>
  <cellStyles count="112">
    <cellStyle name="20% - 1. jelölőszín 2" xfId="29" xr:uid="{B44502B7-25F4-4EF8-BDAF-1F027C67080B}"/>
    <cellStyle name="20% - 1. jelölőszín 2 2" xfId="77" xr:uid="{D607CF79-9B54-4EAE-8193-C796A3CBF31C}"/>
    <cellStyle name="20% - 2. jelölőszín 2" xfId="33" xr:uid="{1762C149-ABA6-4AFE-92C7-D068C26F2E73}"/>
    <cellStyle name="20% - 2. jelölőszín 2 2" xfId="80" xr:uid="{3CEBBAAD-7032-432A-B1F2-E09ED7EDD3FC}"/>
    <cellStyle name="20% - 3. jelölőszín 2" xfId="37" xr:uid="{E248F2B2-24A9-44B4-9206-B599A516B3C4}"/>
    <cellStyle name="20% - 3. jelölőszín 2 2" xfId="83" xr:uid="{19FE38AA-0A64-4BE8-8F0D-D6A9B4474CCB}"/>
    <cellStyle name="20% - 4. jelölőszín 2" xfId="41" xr:uid="{51AD8888-5C03-44BC-B230-DA9FB9AB527B}"/>
    <cellStyle name="20% - 4. jelölőszín 2 2" xfId="86" xr:uid="{861F590D-5AB1-4E5B-A31A-651EFE99DDBB}"/>
    <cellStyle name="20% - 5. jelölőszín 2" xfId="45" xr:uid="{0D6D51DE-A2C1-49E6-8DD3-B85A24E33F5B}"/>
    <cellStyle name="20% - 5. jelölőszín 2 2" xfId="89" xr:uid="{4B36C1BD-F8B8-4D59-BE03-1B7D1CF6D335}"/>
    <cellStyle name="20% - 6. jelölőszín 2" xfId="49" xr:uid="{3B368D7E-96AE-4D8B-9416-0236B5903B92}"/>
    <cellStyle name="20% - 6. jelölőszín 2 2" xfId="92" xr:uid="{FA8C0A03-FF24-44E6-8886-5114252910B4}"/>
    <cellStyle name="40% - 1. jelölőszín 2" xfId="30" xr:uid="{24CB5955-ABAC-4865-A7E3-75FE09301092}"/>
    <cellStyle name="40% - 1. jelölőszín 2 2" xfId="78" xr:uid="{016D01B2-211E-405C-A676-6BC1C439A3AD}"/>
    <cellStyle name="40% - 2. jelölőszín 2" xfId="34" xr:uid="{EF56B23A-526E-40B1-88B2-563A8B5F7030}"/>
    <cellStyle name="40% - 2. jelölőszín 2 2" xfId="81" xr:uid="{BA7A94F6-5898-42E2-8884-5F63EBC6A35C}"/>
    <cellStyle name="40% - 3. jelölőszín 2" xfId="38" xr:uid="{98C58AAC-5D12-4A28-8BC4-CD16308FEFFC}"/>
    <cellStyle name="40% - 3. jelölőszín 2 2" xfId="84" xr:uid="{01FFE849-5458-45E1-92F3-57911778C373}"/>
    <cellStyle name="40% - 4. jelölőszín 2" xfId="42" xr:uid="{F89AEC45-7629-44AF-810A-4D22AC6F33B7}"/>
    <cellStyle name="40% - 4. jelölőszín 2 2" xfId="87" xr:uid="{3B02F825-56D7-40C8-AA9F-0D1C6607C1F1}"/>
    <cellStyle name="40% - 5. jelölőszín 2" xfId="46" xr:uid="{65337C5F-FD23-4942-80E9-573778961EE7}"/>
    <cellStyle name="40% - 5. jelölőszín 2 2" xfId="90" xr:uid="{85D9EBA1-A7B4-4405-A9F7-7DDC30C35F58}"/>
    <cellStyle name="40% - 6. jelölőszín 2" xfId="50" xr:uid="{6144098F-B7CF-44FE-9894-16A2BFAA7F4D}"/>
    <cellStyle name="40% - 6. jelölőszín 2 2" xfId="93" xr:uid="{B43F2CAF-857A-45FA-8A44-F7664029EF5B}"/>
    <cellStyle name="60% - 1. jelölőszín 2" xfId="31" xr:uid="{352E39CD-2EF6-401C-89AE-CE71B2512E4D}"/>
    <cellStyle name="60% - 1. jelölőszín 2 2" xfId="79" xr:uid="{0CD99D49-8AEE-452C-A78C-05194DFAFF3D}"/>
    <cellStyle name="60% - 2. jelölőszín 2" xfId="35" xr:uid="{77058962-8602-4EAD-8AD0-B444F6181708}"/>
    <cellStyle name="60% - 2. jelölőszín 2 2" xfId="82" xr:uid="{C0EB233E-13D3-4888-BB42-7B455B0F8B2D}"/>
    <cellStyle name="60% - 3. jelölőszín 2" xfId="39" xr:uid="{62D770E5-65ED-4E2B-8062-2A33BA28A413}"/>
    <cellStyle name="60% - 3. jelölőszín 2 2" xfId="85" xr:uid="{2BD0A241-5021-4230-A030-AF9A9BA87311}"/>
    <cellStyle name="60% - 4. jelölőszín 2" xfId="43" xr:uid="{16C6A05A-AA1A-4C38-A099-B270BE7285EC}"/>
    <cellStyle name="60% - 4. jelölőszín 2 2" xfId="88" xr:uid="{9DF22931-E699-4077-B9BA-9B22723DCCDE}"/>
    <cellStyle name="60% - 5. jelölőszín 2" xfId="47" xr:uid="{66091E7C-D6E6-49B3-9081-341F635D5F09}"/>
    <cellStyle name="60% - 5. jelölőszín 2 2" xfId="91" xr:uid="{E7BB1000-B75C-430D-9B44-24CB770F8F92}"/>
    <cellStyle name="60% - 6. jelölőszín 2" xfId="51" xr:uid="{55858C36-2147-4CDD-B892-BC3508745979}"/>
    <cellStyle name="60% - 6. jelölőszín 2 2" xfId="94" xr:uid="{D6B40373-9BD4-46F5-B5BE-87522C7EED06}"/>
    <cellStyle name="Bevitel" xfId="6" builtinId="20" customBuiltin="1"/>
    <cellStyle name="Cím 2" xfId="20" xr:uid="{73EB156F-4468-4046-BCD9-4548E78CF9D5}"/>
    <cellStyle name="Címsor 1" xfId="3" builtinId="16" customBuiltin="1"/>
    <cellStyle name="Címsor 2" xfId="4" builtinId="17" customBuiltin="1"/>
    <cellStyle name="Címsor 3" xfId="5" builtinId="18" customBuiltin="1"/>
    <cellStyle name="Címsor 4 2" xfId="21" xr:uid="{5E7794E4-63F1-4DEA-9079-40542F003E20}"/>
    <cellStyle name="Ellenőrzőcella" xfId="10" builtinId="23" customBuiltin="1"/>
    <cellStyle name="Figyelmeztetés 2" xfId="25" xr:uid="{D065E4A6-1B18-4784-ABD9-5C2334DD66B4}"/>
    <cellStyle name="Hivatkozás" xfId="110" builtinId="8"/>
    <cellStyle name="Hivatkozott cella" xfId="9" builtinId="24" customBuiltin="1"/>
    <cellStyle name="Jegyzet 2" xfId="26" xr:uid="{041053AF-5E6A-483B-A08F-D260FDB547A8}"/>
    <cellStyle name="Jegyzet 2 2" xfId="76" xr:uid="{5671D990-CDDE-43CF-B72F-0EDEE7CB9B1D}"/>
    <cellStyle name="Jelölőszín 1 2" xfId="28" xr:uid="{5B6BB172-1AC5-4822-A0EF-3980BC61CC7F}"/>
    <cellStyle name="Jelölőszín 2 2" xfId="32" xr:uid="{C4092E96-A590-4B89-AF07-4DE919E0D39F}"/>
    <cellStyle name="Jelölőszín 3 2" xfId="36" xr:uid="{FB98DF71-6F0B-440D-ABF3-574043610424}"/>
    <cellStyle name="Jelölőszín 4 2" xfId="40" xr:uid="{988A0C62-A57A-419B-B0D4-30FFA01E9B13}"/>
    <cellStyle name="Jelölőszín 5 2" xfId="44" xr:uid="{5DAEFE73-79B7-4CF5-9946-C348FC0370AB}"/>
    <cellStyle name="Jelölőszín 6 2" xfId="48" xr:uid="{870CECE3-A1F5-4646-9FEB-6B554332A47C}"/>
    <cellStyle name="Jó" xfId="109" builtinId="26"/>
    <cellStyle name="Jó 2" xfId="22" xr:uid="{AD0B4BD8-EF0E-438A-8FDC-076B03346CD5}"/>
    <cellStyle name="Kimenet" xfId="7" builtinId="21" customBuiltin="1"/>
    <cellStyle name="Magyarázó szöveg 2" xfId="27" xr:uid="{F1B6AB1C-C899-43D4-BD05-48F32816A4EF}"/>
    <cellStyle name="Normál" xfId="0" builtinId="0"/>
    <cellStyle name="Normál 10" xfId="52" xr:uid="{D6283559-0DFF-4E0F-9ABE-7229DF8DED35}"/>
    <cellStyle name="Normál 10 2" xfId="95" xr:uid="{45F46450-9217-4C87-B7BE-7E76A9E6FED5}"/>
    <cellStyle name="Normál 11" xfId="61" xr:uid="{5AF53578-42DA-43A0-AB71-5F38D75F19CD}"/>
    <cellStyle name="Normál 11 2" xfId="104" xr:uid="{D033952C-D8A5-4EF8-B4F9-612C99C2B193}"/>
    <cellStyle name="Normál 12" xfId="55" xr:uid="{B6FAC6D4-9394-455D-A304-43B53810CD9E}"/>
    <cellStyle name="Normál 12 2" xfId="98" xr:uid="{82A8EBD9-61A7-4380-8679-335F4D424912}"/>
    <cellStyle name="Normál 13" xfId="62" xr:uid="{8621CECD-3FDA-48AA-8017-C6CFB89D18EF}"/>
    <cellStyle name="Normál 13 2" xfId="105" xr:uid="{BC85E6D3-419F-4182-8EF4-EC3730AEFD36}"/>
    <cellStyle name="Normál 14" xfId="63" xr:uid="{27A8FDD8-C90E-4BA2-A59F-6E828A484025}"/>
    <cellStyle name="Normál 14 2" xfId="106" xr:uid="{8EB33F91-0A03-4F45-AF9B-4002A5B7ED09}"/>
    <cellStyle name="Normál 15" xfId="58" xr:uid="{780A8FE0-8F5B-4DFA-8246-A3FDD2BC0C60}"/>
    <cellStyle name="Normál 15 2" xfId="101" xr:uid="{F7EC8643-7DCA-4199-9C93-8704186D8211}"/>
    <cellStyle name="Normál 16" xfId="60" xr:uid="{8A3B62B3-829F-49E1-BEE7-AF00E7B32441}"/>
    <cellStyle name="Normál 16 2" xfId="103" xr:uid="{9151FD0C-B293-4CE8-8262-FE4072EF4B4A}"/>
    <cellStyle name="Normál 17" xfId="56" xr:uid="{0D607FF8-B11D-4304-BA35-561ECA54224B}"/>
    <cellStyle name="Normál 17 2" xfId="99" xr:uid="{61833A2E-1946-4772-A48C-654B64A1E709}"/>
    <cellStyle name="Normál 18" xfId="16" xr:uid="{C787FD28-D4E1-4A57-88D4-E37863905DD3}"/>
    <cellStyle name="Normál 18 2" xfId="72" xr:uid="{677F6800-0F5B-4C0B-83B2-42D1A6C91B86}"/>
    <cellStyle name="Normál 19" xfId="59" xr:uid="{42F7F252-4F64-4487-BAEC-2A46A7C66C6E}"/>
    <cellStyle name="Normál 19 2" xfId="102" xr:uid="{5D935C11-1B87-456F-B431-936ED4A58F2F}"/>
    <cellStyle name="Normál 2" xfId="1" xr:uid="{D5B704AE-0A8D-4769-AC7E-11D0CFD5D281}"/>
    <cellStyle name="Normál 20" xfId="65" xr:uid="{5259F2A8-5490-4D38-BCD2-8F0860831FDF}"/>
    <cellStyle name="Normál 20 2" xfId="108" xr:uid="{CA8528A7-4B13-4664-A23F-5038289A9333}"/>
    <cellStyle name="Normál 21" xfId="53" xr:uid="{BD9911DE-9FE3-4101-A7DC-D2AEDC95355A}"/>
    <cellStyle name="Normál 21 2" xfId="96" xr:uid="{66156C53-1485-4396-874A-271667798326}"/>
    <cellStyle name="Normál 22" xfId="54" xr:uid="{F77AAABE-39A5-4EB2-8CF7-C1ED5F83CB2A}"/>
    <cellStyle name="Normál 22 2" xfId="97" xr:uid="{BE143C50-B50A-4669-B0A5-E55B3527D715}"/>
    <cellStyle name="Normál 23" xfId="17" xr:uid="{4180A5C7-013E-476C-896E-56AC5977010D}"/>
    <cellStyle name="Normál 23 2" xfId="73" xr:uid="{E91228BF-8CA4-4A71-8CF2-796DF5F76FE2}"/>
    <cellStyle name="Normál 24" xfId="64" xr:uid="{654D9F64-B60F-4FEF-9D77-AD92A3341A13}"/>
    <cellStyle name="Normál 24 2" xfId="107" xr:uid="{5C734466-7CA0-4876-BABF-72C552D22ADB}"/>
    <cellStyle name="Normál 25" xfId="66" xr:uid="{F50F6217-95DD-4FB1-BA5D-4C6C9ACB6452}"/>
    <cellStyle name="Normál 3" xfId="2" xr:uid="{4533694D-39A0-4864-8854-CDB52823F9EF}"/>
    <cellStyle name="Normál 3 2" xfId="13" xr:uid="{E404C985-DC2B-4F82-BA98-B5761A00CD78}"/>
    <cellStyle name="Normál 3 2 2" xfId="69" xr:uid="{74CD31EB-B3F7-476F-9D84-EAD24EE87C79}"/>
    <cellStyle name="Normál 3 3" xfId="67" xr:uid="{D0A4DBB1-009C-4979-944B-511DD03B1555}"/>
    <cellStyle name="Normál 4" xfId="19" xr:uid="{4EB01F60-B258-4370-A027-53A248E11706}"/>
    <cellStyle name="Normál 4 2" xfId="75" xr:uid="{FEC9554A-36EB-4D7F-BC47-559C07E2E7E4}"/>
    <cellStyle name="Normál 5" xfId="12" xr:uid="{C46A42CD-A2E8-40A1-8988-C226BEE476ED}"/>
    <cellStyle name="Normál 5 2" xfId="68" xr:uid="{7B884601-3679-4691-8440-7AC2EBEDEF83}"/>
    <cellStyle name="Normál 6" xfId="18" xr:uid="{62215C02-E634-4736-AC7D-7DADDDECBBF2}"/>
    <cellStyle name="Normál 6 2" xfId="74" xr:uid="{F7E9B57A-D987-4411-B80C-AECDD63B143E}"/>
    <cellStyle name="Normál 7" xfId="14" xr:uid="{D0869209-9C44-488A-81E5-066E87A07D3A}"/>
    <cellStyle name="Normál 7 2" xfId="70" xr:uid="{5035AED2-7C29-445D-B78C-8FB13FD81FB9}"/>
    <cellStyle name="Normál 8" xfId="15" xr:uid="{1A968550-8B66-410E-8E8B-DAE1E6D698DC}"/>
    <cellStyle name="Normál 8 2" xfId="71" xr:uid="{FC7A0305-86FA-4E52-B4F3-BA294771757E}"/>
    <cellStyle name="Normál 9" xfId="57" xr:uid="{DD19C5D3-1841-4264-BD05-9FA5990781A8}"/>
    <cellStyle name="Normál 9 2" xfId="100" xr:uid="{B6DB4965-08F8-4BBF-9DBC-A8024F927CA5}"/>
    <cellStyle name="Összesen" xfId="11" builtinId="25" customBuiltin="1"/>
    <cellStyle name="Pénznem" xfId="111" builtinId="4"/>
    <cellStyle name="Rossz 2" xfId="23" xr:uid="{0C776BD6-51A9-4B98-B563-C63BE3E403FD}"/>
    <cellStyle name="Semleges 2" xfId="24" xr:uid="{33269FE9-A19D-4FC9-AD7E-B9FDA3391210}"/>
    <cellStyle name="Számítás" xfId="8" builtinId="22" customBuiltin="1"/>
  </cellStyles>
  <dxfs count="573">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b val="0"/>
        <i val="0"/>
        <strike val="0"/>
        <condense val="0"/>
        <extend val="0"/>
        <outline val="0"/>
        <shadow val="0"/>
        <u val="none"/>
        <vertAlign val="baseline"/>
        <sz val="11"/>
        <color theme="1"/>
        <name val="Poppins"/>
        <charset val="238"/>
        <scheme val="none"/>
      </font>
      <numFmt numFmtId="171" formatCode="#,##0\ &quot;Ft&quo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Poppins"/>
        <charset val="238"/>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Poppins"/>
        <charset val="238"/>
        <scheme val="none"/>
      </font>
      <numFmt numFmtId="171" formatCode="#,##0\ &quot;Ft&quot;"/>
      <alignment horizontal="center" vertical="center" textRotation="0" wrapText="1" indent="0" justifyLastLine="0" shrinkToFit="0" readingOrder="0"/>
    </dxf>
    <dxf>
      <font>
        <b val="0"/>
        <i val="0"/>
        <strike val="0"/>
        <condense val="0"/>
        <extend val="0"/>
        <outline val="0"/>
        <shadow val="0"/>
        <u val="none"/>
        <vertAlign val="baseline"/>
        <sz val="11"/>
        <color theme="1"/>
        <name val="Poppins"/>
        <charset val="238"/>
        <scheme val="none"/>
      </font>
      <alignment horizontal="left" vertical="center" textRotation="0" wrapText="1" indent="0" justifyLastLine="0" shrinkToFit="0" readingOrder="0"/>
    </dxf>
    <dxf>
      <alignment horizontal="center" vertical="center" textRotation="0" wrapText="1" indent="0" justifyLastLine="0" shrinkToFit="0" readingOrder="0"/>
    </dxf>
    <dxf>
      <font>
        <b/>
        <i val="0"/>
        <strike val="0"/>
        <condense val="0"/>
        <extend val="0"/>
        <outline val="0"/>
        <shadow val="0"/>
        <u val="none"/>
        <vertAlign val="baseline"/>
        <sz val="11"/>
        <color theme="1"/>
        <name val="Poppins"/>
        <charset val="238"/>
        <scheme val="none"/>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entury Gothic"/>
        <family val="1"/>
        <scheme val="none"/>
      </font>
      <numFmt numFmtId="169" formatCode="_-* #,##0\ &quot;Ft&quot;_-;\-* #,##0\ &quot;Ft&quot;_-;_-* &quot;-&quot;??\ &quot;Ft&quot;_-;_-@_-"/>
    </dxf>
    <dxf>
      <font>
        <b val="0"/>
        <i val="0"/>
        <strike val="0"/>
        <condense val="0"/>
        <extend val="0"/>
        <outline val="0"/>
        <shadow val="0"/>
        <u val="none"/>
        <vertAlign val="baseline"/>
        <sz val="11"/>
        <color theme="1"/>
        <name val="Century Gothic"/>
        <family val="1"/>
        <scheme val="none"/>
      </font>
    </dxf>
    <dxf>
      <font>
        <b val="0"/>
        <i val="0"/>
        <strike val="0"/>
        <condense val="0"/>
        <extend val="0"/>
        <outline val="0"/>
        <shadow val="0"/>
        <u val="none"/>
        <vertAlign val="baseline"/>
        <sz val="11"/>
        <color theme="1"/>
        <name val="Century Gothic"/>
        <family val="1"/>
        <scheme val="none"/>
      </font>
    </dxf>
    <dxf>
      <font>
        <b val="0"/>
        <i val="0"/>
        <strike val="0"/>
        <condense val="0"/>
        <extend val="0"/>
        <outline val="0"/>
        <shadow val="0"/>
        <u val="none"/>
        <vertAlign val="baseline"/>
        <sz val="11"/>
        <color theme="1"/>
        <name val="Century Gothic"/>
        <family val="1"/>
        <scheme val="none"/>
      </font>
    </dxf>
    <dxf>
      <font>
        <b val="0"/>
        <i val="0"/>
        <strike val="0"/>
        <condense val="0"/>
        <extend val="0"/>
        <outline val="0"/>
        <shadow val="0"/>
        <u val="none"/>
        <vertAlign val="baseline"/>
        <sz val="11"/>
        <color theme="1"/>
        <name val="Century Gothic"/>
        <family val="1"/>
        <scheme val="none"/>
      </font>
    </dxf>
    <dxf>
      <font>
        <strike val="0"/>
        <outline val="0"/>
        <shadow val="0"/>
        <u val="none"/>
        <vertAlign val="baseline"/>
        <sz val="11"/>
        <color theme="1"/>
        <name val="Century Gothic"/>
        <family val="1"/>
        <scheme val="none"/>
      </font>
    </dxf>
    <dxf>
      <font>
        <strike val="0"/>
        <outline val="0"/>
        <shadow val="0"/>
        <u val="none"/>
        <vertAlign val="baseline"/>
        <sz val="11"/>
        <color theme="1"/>
        <name val="Century Gothic"/>
        <family val="1"/>
        <scheme val="none"/>
      </font>
    </dxf>
    <dxf>
      <font>
        <strike val="0"/>
        <outline val="0"/>
        <shadow val="0"/>
        <u val="none"/>
        <vertAlign val="baseline"/>
        <sz val="11"/>
        <color theme="1"/>
        <name val="Century Gothic"/>
        <family val="1"/>
        <scheme val="none"/>
      </font>
    </dxf>
    <dxf>
      <font>
        <strike val="0"/>
        <outline val="0"/>
        <shadow val="0"/>
        <u val="none"/>
        <vertAlign val="baseline"/>
        <sz val="11"/>
        <color theme="1"/>
        <name val="Century Gothic"/>
        <family val="1"/>
        <scheme val="none"/>
      </font>
    </dxf>
    <dxf>
      <font>
        <strike val="0"/>
        <outline val="0"/>
        <shadow val="0"/>
        <u val="none"/>
        <vertAlign val="baseline"/>
        <sz val="11"/>
        <color theme="1"/>
        <name val="Century Gothic"/>
        <family val="1"/>
        <scheme val="none"/>
      </font>
    </dxf>
    <dxf>
      <font>
        <b val="0"/>
        <i val="0"/>
        <strike val="0"/>
        <condense val="0"/>
        <extend val="0"/>
        <outline val="0"/>
        <shadow val="0"/>
        <u val="none"/>
        <vertAlign val="baseline"/>
        <sz val="11"/>
        <color theme="1"/>
        <name val="Century Gothic"/>
        <family val="1"/>
        <scheme val="none"/>
      </font>
    </dxf>
    <dxf>
      <font>
        <strike val="0"/>
        <outline val="0"/>
        <shadow val="0"/>
        <u val="none"/>
        <vertAlign val="baseline"/>
        <sz val="11"/>
        <color theme="1"/>
        <name val="Century Gothic"/>
        <family val="1"/>
        <scheme val="none"/>
      </font>
    </dxf>
    <dxf>
      <font>
        <strike val="0"/>
        <outline val="0"/>
        <shadow val="0"/>
        <u val="none"/>
        <vertAlign val="baseline"/>
        <sz val="11"/>
        <color theme="1"/>
        <name val="Century Gothic"/>
        <family val="1"/>
        <scheme val="none"/>
      </font>
    </dxf>
    <dxf>
      <font>
        <b val="0"/>
        <i val="0"/>
        <strike val="0"/>
        <condense val="0"/>
        <extend val="0"/>
        <outline val="0"/>
        <shadow val="0"/>
        <u val="none"/>
        <vertAlign val="baseline"/>
        <sz val="11"/>
        <color theme="1"/>
        <name val="Century Gothic"/>
        <family val="1"/>
        <scheme val="none"/>
      </font>
    </dxf>
    <dxf>
      <font>
        <b val="0"/>
        <i val="0"/>
        <strike val="0"/>
        <condense val="0"/>
        <extend val="0"/>
        <outline val="0"/>
        <shadow val="0"/>
        <u val="none"/>
        <vertAlign val="baseline"/>
        <sz val="11"/>
        <color rgb="FF000000"/>
        <name val="Poppins"/>
        <charset val="238"/>
        <scheme val="none"/>
      </font>
      <alignment horizontal="center" vertical="center" textRotation="0" wrapText="1" indent="0" justifyLastLine="0" shrinkToFit="0" readingOrder="0"/>
    </dxf>
    <dxf>
      <font>
        <b val="0"/>
        <i val="0"/>
        <strike val="0"/>
        <condense val="0"/>
        <extend val="0"/>
        <outline val="0"/>
        <shadow val="0"/>
        <u val="none"/>
        <vertAlign val="baseline"/>
        <sz val="11"/>
        <color rgb="FF000000"/>
        <name val="Poppins"/>
        <charset val="238"/>
        <scheme val="none"/>
      </font>
      <numFmt numFmtId="1" formatCode="0"/>
      <alignment horizontal="center" vertical="center" textRotation="0" wrapText="1" indent="0" justifyLastLine="0" shrinkToFit="0" readingOrder="0"/>
    </dxf>
    <dxf>
      <font>
        <b val="0"/>
        <i val="0"/>
        <strike val="0"/>
        <condense val="0"/>
        <extend val="0"/>
        <outline val="0"/>
        <shadow val="0"/>
        <u val="none"/>
        <vertAlign val="baseline"/>
        <sz val="11"/>
        <color rgb="FF000000"/>
        <name val="Poppins"/>
        <charset val="238"/>
        <scheme val="none"/>
      </font>
      <numFmt numFmtId="171" formatCode="#,##0\ &quot;Ft&quot;"/>
      <fill>
        <patternFill patternType="none">
          <fgColor rgb="FF000000"/>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rgb="FF000000"/>
        <name val="Poppins"/>
        <charset val="238"/>
        <scheme val="none"/>
      </font>
      <numFmt numFmtId="171" formatCode="#,##0\ &quot;Ft&quot;"/>
      <fill>
        <patternFill patternType="none">
          <fgColor rgb="FF000000"/>
          <bgColor rgb="FFFFFFFF"/>
        </patternFill>
      </fill>
      <alignment horizontal="right" vertical="center" textRotation="0" wrapText="1" indent="0" justifyLastLine="0" shrinkToFit="0" readingOrder="0"/>
    </dxf>
    <dxf>
      <font>
        <b val="0"/>
        <i val="0"/>
        <strike val="0"/>
        <condense val="0"/>
        <extend val="0"/>
        <outline val="0"/>
        <shadow val="0"/>
        <u val="none"/>
        <vertAlign val="baseline"/>
        <sz val="11"/>
        <color rgb="FF000000"/>
        <name val="Poppins"/>
        <charset val="238"/>
        <scheme val="none"/>
      </font>
      <alignment horizontal="left" vertical="top" textRotation="0" wrapText="1" indent="0" justifyLastLine="0" shrinkToFit="0" readingOrder="0"/>
    </dxf>
    <dxf>
      <font>
        <b val="0"/>
        <i val="0"/>
        <strike val="0"/>
        <condense val="0"/>
        <extend val="0"/>
        <outline val="0"/>
        <shadow val="0"/>
        <u val="none"/>
        <vertAlign val="baseline"/>
        <sz val="11"/>
        <color rgb="FF000000"/>
        <name val="Poppins"/>
        <charset val="238"/>
        <scheme val="none"/>
      </font>
      <alignment horizontal="left" vertical="top" textRotation="0" wrapText="1" indent="0" justifyLastLine="0" shrinkToFit="0" readingOrder="0"/>
    </dxf>
    <dxf>
      <font>
        <b val="0"/>
        <i val="0"/>
        <strike val="0"/>
        <condense val="0"/>
        <extend val="0"/>
        <outline val="0"/>
        <shadow val="0"/>
        <u val="none"/>
        <vertAlign val="baseline"/>
        <sz val="11"/>
        <color rgb="FF000000"/>
        <name val="Poppins"/>
        <charset val="238"/>
        <scheme val="none"/>
      </font>
      <alignment horizontal="left" vertical="top" textRotation="0" wrapText="1" indent="0" justifyLastLine="0" shrinkToFit="0" readingOrder="0"/>
    </dxf>
    <dxf>
      <alignment horizontal="center" vertical="top" textRotation="0" wrapText="1" indent="0" justifyLastLine="0" shrinkToFit="0" readingOrder="0"/>
    </dxf>
    <dxf>
      <font>
        <b/>
        <i val="0"/>
        <strike val="0"/>
        <condense val="0"/>
        <extend val="0"/>
        <outline val="0"/>
        <shadow val="0"/>
        <u val="none"/>
        <vertAlign val="baseline"/>
        <sz val="11"/>
        <color rgb="FF000000"/>
        <name val="Poppins"/>
        <charset val="238"/>
        <scheme val="none"/>
      </font>
      <fill>
        <patternFill patternType="none">
          <fgColor rgb="FF000000"/>
          <bgColor rgb="FFFFFFFF"/>
        </patternFill>
      </fill>
      <alignment horizontal="center" vertical="center" textRotation="0" wrapText="1" indent="0" justifyLastLine="0" shrinkToFit="0" readingOrder="0"/>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fgColor rgb="FFDCE6F1"/>
          <bgColor rgb="FFDCE6F1"/>
        </patternFill>
      </fill>
    </dxf>
    <dxf>
      <fill>
        <patternFill patternType="solid">
          <fgColor rgb="FFDCE6F1"/>
          <bgColor rgb="FFDCE6F1"/>
        </patternFill>
      </fill>
    </dxf>
    <dxf>
      <font>
        <b/>
        <color rgb="FF000000"/>
      </font>
    </dxf>
    <dxf>
      <font>
        <b/>
        <color rgb="FF000000"/>
      </font>
    </dxf>
    <dxf>
      <font>
        <b/>
        <color rgb="FF000000"/>
      </font>
      <border>
        <top style="double">
          <color rgb="FF4F81BD"/>
        </top>
      </border>
    </dxf>
    <dxf>
      <font>
        <b/>
        <color rgb="FFFFFFFF"/>
      </font>
      <fill>
        <patternFill patternType="solid">
          <fgColor rgb="FF4F81BD"/>
          <bgColor rgb="FF4F81BD"/>
        </patternFill>
      </fill>
    </dxf>
    <dxf>
      <font>
        <color rgb="FF000000"/>
      </font>
      <border>
        <left style="thin">
          <color rgb="FF95B3D7"/>
        </left>
        <right style="thin">
          <color rgb="FF95B3D7"/>
        </right>
        <top style="thin">
          <color rgb="FF95B3D7"/>
        </top>
        <bottom style="thin">
          <color rgb="FF95B3D7"/>
        </bottom>
        <horizontal style="thin">
          <color rgb="FF95B3D7"/>
        </horizontal>
      </border>
    </dxf>
  </dxfs>
  <tableStyles count="1" defaultTableStyle="TableStyleMedium2" defaultPivotStyle="PivotStyleLight16">
    <tableStyle name="TableStyleMedium2 2" pivot="0" count="7" xr9:uid="{46AE58CE-720E-4140-B32B-E724767D9062}">
      <tableStyleElement type="wholeTable" dxfId="572"/>
      <tableStyleElement type="headerRow" dxfId="571"/>
      <tableStyleElement type="totalRow" dxfId="570"/>
      <tableStyleElement type="firstColumn" dxfId="569"/>
      <tableStyleElement type="lastColumn" dxfId="568"/>
      <tableStyleElement type="firstRowStripe" dxfId="567"/>
      <tableStyleElement type="firstColumnStripe" dxfId="566"/>
    </tableStyle>
  </tableStyles>
  <colors>
    <mruColors>
      <color rgb="FFFCBCFF"/>
      <color rgb="FFFF93E3"/>
      <color rgb="FF90E0FC"/>
      <color rgb="FFD2F2FE"/>
      <color rgb="FFFF33CC"/>
      <color rgb="FFFF7C80"/>
      <color rgb="FF954F9A"/>
      <color rgb="FF26A7A7"/>
      <color rgb="FF006000"/>
      <color rgb="FFEE80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fmlaLink="X7" lockText="1"/>
</file>

<file path=xl/ctrlProps/ctrlProp4.xml><?xml version="1.0" encoding="utf-8"?>
<formControlPr xmlns="http://schemas.microsoft.com/office/spreadsheetml/2009/9/main" objectType="CheckBox" fmlaLink="X30" lockText="1"/>
</file>

<file path=xl/ctrlProps/ctrlProp5.xml><?xml version="1.0" encoding="utf-8"?>
<formControlPr xmlns="http://schemas.microsoft.com/office/spreadsheetml/2009/9/main" objectType="CheckBox" fmlaLink="X19" lockText="1"/>
</file>

<file path=xl/ctrlProps/ctrlProp6.xml><?xml version="1.0" encoding="utf-8"?>
<formControlPr xmlns="http://schemas.microsoft.com/office/spreadsheetml/2009/9/main" objectType="CheckBox" checked="Checked" fmlaLink="Y19" lockText="1"/>
</file>

<file path=xl/ctrlProps/ctrlProp7.xml><?xml version="1.0" encoding="utf-8"?>
<formControlPr xmlns="http://schemas.microsoft.com/office/spreadsheetml/2009/9/main" objectType="CheckBox" fmlaLink="Y20" lockText="1"/>
</file>

<file path=xl/ctrlProps/ctrlProp8.xml><?xml version="1.0" encoding="utf-8"?>
<formControlPr xmlns="http://schemas.microsoft.com/office/spreadsheetml/2009/9/main" objectType="CheckBox" fmlaLink="Y21" lockText="1"/>
</file>

<file path=xl/ctrlProps/ctrlProp9.xml><?xml version="1.0" encoding="utf-8"?>
<formControlPr xmlns="http://schemas.microsoft.com/office/spreadsheetml/2009/9/main" objectType="CheckBox" fmlaLink="Y22" lockText="1"/>
</file>

<file path=xl/ctrlProps/ctrlProp10.xml><?xml version="1.0" encoding="utf-8"?>
<formControlPr xmlns="http://schemas.microsoft.com/office/spreadsheetml/2009/9/main" objectType="CheckBox" fmlaLink="Y24"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CheckBox" fmlaLink="X31"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5" Type="http://schemas.openxmlformats.org/officeDocument/2006/relationships/image" Target="../media/image8.jpeg"/><Relationship Id="rId4"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9</xdr:col>
      <xdr:colOff>763345</xdr:colOff>
      <xdr:row>3</xdr:row>
      <xdr:rowOff>197224</xdr:rowOff>
    </xdr:from>
    <xdr:to>
      <xdr:col>12</xdr:col>
      <xdr:colOff>304800</xdr:colOff>
      <xdr:row>6</xdr:row>
      <xdr:rowOff>35448</xdr:rowOff>
    </xdr:to>
    <xdr:sp macro="[0]!Paciens_betoltes" textlink="">
      <xdr:nvSpPr>
        <xdr:cNvPr id="5" name="Téglalap: lekerekített 4">
          <a:extLst>
            <a:ext uri="{FF2B5EF4-FFF2-40B4-BE49-F238E27FC236}">
              <a16:creationId xmlns:a16="http://schemas.microsoft.com/office/drawing/2014/main" id="{E4AABCE3-BB37-3917-4B7B-D40F9378F5C6}"/>
            </a:ext>
          </a:extLst>
        </xdr:cNvPr>
        <xdr:cNvSpPr/>
      </xdr:nvSpPr>
      <xdr:spPr>
        <a:xfrm>
          <a:off x="11896165" y="745864"/>
          <a:ext cx="1987475" cy="56212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hu-HU" sz="1600" b="1"/>
            <a:t>Páciens betöltés</a:t>
          </a:r>
        </a:p>
      </xdr:txBody>
    </xdr:sp>
    <xdr:clientData/>
  </xdr:twoCellAnchor>
  <xdr:twoCellAnchor editAs="oneCell">
    <xdr:from>
      <xdr:col>0</xdr:col>
      <xdr:colOff>328706</xdr:colOff>
      <xdr:row>0</xdr:row>
      <xdr:rowOff>0</xdr:rowOff>
    </xdr:from>
    <xdr:to>
      <xdr:col>0</xdr:col>
      <xdr:colOff>2504851</xdr:colOff>
      <xdr:row>4</xdr:row>
      <xdr:rowOff>153675</xdr:rowOff>
    </xdr:to>
    <xdr:pic>
      <xdr:nvPicPr>
        <xdr:cNvPr id="7" name="Kép 6">
          <a:extLst>
            <a:ext uri="{FF2B5EF4-FFF2-40B4-BE49-F238E27FC236}">
              <a16:creationId xmlns:a16="http://schemas.microsoft.com/office/drawing/2014/main" id="{FBEFE138-88B9-184A-9148-5CF91DE057C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28706" y="0"/>
          <a:ext cx="2174875" cy="999196"/>
        </a:xfrm>
        <a:prstGeom prst="rect">
          <a:avLst/>
        </a:prstGeom>
      </xdr:spPr>
    </xdr:pic>
    <xdr:clientData/>
  </xdr:twoCellAnchor>
  <xdr:twoCellAnchor editAs="oneCell">
    <xdr:from>
      <xdr:col>0</xdr:col>
      <xdr:colOff>253999</xdr:colOff>
      <xdr:row>265</xdr:row>
      <xdr:rowOff>179823</xdr:rowOff>
    </xdr:from>
    <xdr:to>
      <xdr:col>0</xdr:col>
      <xdr:colOff>2430144</xdr:colOff>
      <xdr:row>269</xdr:row>
      <xdr:rowOff>3544</xdr:rowOff>
    </xdr:to>
    <xdr:pic>
      <xdr:nvPicPr>
        <xdr:cNvPr id="8" name="Kép 7">
          <a:extLst>
            <a:ext uri="{FF2B5EF4-FFF2-40B4-BE49-F238E27FC236}">
              <a16:creationId xmlns:a16="http://schemas.microsoft.com/office/drawing/2014/main" id="{645070DE-6203-9341-A090-661E033F76E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53999" y="24242389"/>
          <a:ext cx="2174875" cy="985853"/>
        </a:xfrm>
        <a:prstGeom prst="rect">
          <a:avLst/>
        </a:prstGeom>
      </xdr:spPr>
    </xdr:pic>
    <xdr:clientData/>
  </xdr:twoCellAnchor>
  <xdr:twoCellAnchor editAs="oneCell">
    <xdr:from>
      <xdr:col>0</xdr:col>
      <xdr:colOff>262964</xdr:colOff>
      <xdr:row>366</xdr:row>
      <xdr:rowOff>64474</xdr:rowOff>
    </xdr:from>
    <xdr:to>
      <xdr:col>0</xdr:col>
      <xdr:colOff>2437839</xdr:colOff>
      <xdr:row>370</xdr:row>
      <xdr:rowOff>42701</xdr:rowOff>
    </xdr:to>
    <xdr:pic>
      <xdr:nvPicPr>
        <xdr:cNvPr id="9" name="Kép 8">
          <a:extLst>
            <a:ext uri="{FF2B5EF4-FFF2-40B4-BE49-F238E27FC236}">
              <a16:creationId xmlns:a16="http://schemas.microsoft.com/office/drawing/2014/main" id="{AC9E82D7-41A9-8441-B020-E20A2E2D071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62964" y="41378126"/>
          <a:ext cx="2174875" cy="995497"/>
        </a:xfrm>
        <a:prstGeom prst="rect">
          <a:avLst/>
        </a:prstGeom>
      </xdr:spPr>
    </xdr:pic>
    <xdr:clientData/>
  </xdr:twoCellAnchor>
  <xdr:twoCellAnchor>
    <xdr:from>
      <xdr:col>9</xdr:col>
      <xdr:colOff>770965</xdr:colOff>
      <xdr:row>6</xdr:row>
      <xdr:rowOff>209327</xdr:rowOff>
    </xdr:from>
    <xdr:to>
      <xdr:col>12</xdr:col>
      <xdr:colOff>320040</xdr:colOff>
      <xdr:row>9</xdr:row>
      <xdr:rowOff>142044</xdr:rowOff>
    </xdr:to>
    <xdr:sp macro="[0]!Paciens_mentes_cimek" textlink="">
      <xdr:nvSpPr>
        <xdr:cNvPr id="14" name="Téglalap: lekerekített 6">
          <a:extLst>
            <a:ext uri="{FF2B5EF4-FFF2-40B4-BE49-F238E27FC236}">
              <a16:creationId xmlns:a16="http://schemas.microsoft.com/office/drawing/2014/main" id="{A377D1A7-BC21-1442-BB05-A833C9A87BFF}"/>
            </a:ext>
          </a:extLst>
        </xdr:cNvPr>
        <xdr:cNvSpPr/>
      </xdr:nvSpPr>
      <xdr:spPr>
        <a:xfrm>
          <a:off x="11903785" y="1481867"/>
          <a:ext cx="1995095" cy="595657"/>
        </a:xfrm>
        <a:prstGeom prst="roundRect">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hu-HU" sz="1600" b="1"/>
            <a:t>Páciens mentése</a:t>
          </a:r>
        </a:p>
      </xdr:txBody>
    </xdr:sp>
    <xdr:clientData/>
  </xdr:twoCellAnchor>
  <xdr:twoCellAnchor editAs="oneCell">
    <xdr:from>
      <xdr:col>5</xdr:col>
      <xdr:colOff>382124</xdr:colOff>
      <xdr:row>266</xdr:row>
      <xdr:rowOff>33716</xdr:rowOff>
    </xdr:from>
    <xdr:to>
      <xdr:col>8</xdr:col>
      <xdr:colOff>25018</xdr:colOff>
      <xdr:row>268</xdr:row>
      <xdr:rowOff>145526</xdr:rowOff>
    </xdr:to>
    <xdr:pic>
      <xdr:nvPicPr>
        <xdr:cNvPr id="3" name="Kép 2">
          <a:extLst>
            <a:ext uri="{FF2B5EF4-FFF2-40B4-BE49-F238E27FC236}">
              <a16:creationId xmlns:a16="http://schemas.microsoft.com/office/drawing/2014/main" id="{D72A6B56-C39B-DC41-AF22-2FB91C05C78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8962907" y="25080325"/>
          <a:ext cx="1948441" cy="817322"/>
        </a:xfrm>
        <a:prstGeom prst="rect">
          <a:avLst/>
        </a:prstGeom>
      </xdr:spPr>
    </xdr:pic>
    <xdr:clientData/>
  </xdr:twoCellAnchor>
  <xdr:twoCellAnchor editAs="oneCell">
    <xdr:from>
      <xdr:col>5</xdr:col>
      <xdr:colOff>89911</xdr:colOff>
      <xdr:row>366</xdr:row>
      <xdr:rowOff>71367</xdr:rowOff>
    </xdr:from>
    <xdr:to>
      <xdr:col>7</xdr:col>
      <xdr:colOff>672036</xdr:colOff>
      <xdr:row>369</xdr:row>
      <xdr:rowOff>186272</xdr:rowOff>
    </xdr:to>
    <xdr:pic>
      <xdr:nvPicPr>
        <xdr:cNvPr id="2" name="Kép 1">
          <a:extLst>
            <a:ext uri="{FF2B5EF4-FFF2-40B4-BE49-F238E27FC236}">
              <a16:creationId xmlns:a16="http://schemas.microsoft.com/office/drawing/2014/main" id="{59804F86-DCE7-5F43-81E1-B6A37D766703}"/>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670694" y="40799715"/>
          <a:ext cx="2136715" cy="875635"/>
        </a:xfrm>
        <a:prstGeom prst="rect">
          <a:avLst/>
        </a:prstGeom>
      </xdr:spPr>
    </xdr:pic>
    <xdr:clientData/>
  </xdr:twoCellAnchor>
  <xdr:twoCellAnchor editAs="oneCell">
    <xdr:from>
      <xdr:col>5</xdr:col>
      <xdr:colOff>39619</xdr:colOff>
      <xdr:row>470</xdr:row>
      <xdr:rowOff>38100</xdr:rowOff>
    </xdr:from>
    <xdr:to>
      <xdr:col>7</xdr:col>
      <xdr:colOff>621744</xdr:colOff>
      <xdr:row>473</xdr:row>
      <xdr:rowOff>186135</xdr:rowOff>
    </xdr:to>
    <xdr:pic>
      <xdr:nvPicPr>
        <xdr:cNvPr id="4" name="Kép 3">
          <a:extLst>
            <a:ext uri="{FF2B5EF4-FFF2-40B4-BE49-F238E27FC236}">
              <a16:creationId xmlns:a16="http://schemas.microsoft.com/office/drawing/2014/main" id="{5F736658-42AA-774F-B5E5-2B445AECC362}"/>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593069" y="53349525"/>
          <a:ext cx="2125175" cy="862410"/>
        </a:xfrm>
        <a:prstGeom prst="rect">
          <a:avLst/>
        </a:prstGeom>
      </xdr:spPr>
    </xdr:pic>
    <xdr:clientData/>
  </xdr:twoCellAnchor>
  <xdr:twoCellAnchor editAs="oneCell">
    <xdr:from>
      <xdr:col>0</xdr:col>
      <xdr:colOff>357532</xdr:colOff>
      <xdr:row>469</xdr:row>
      <xdr:rowOff>99392</xdr:rowOff>
    </xdr:from>
    <xdr:to>
      <xdr:col>0</xdr:col>
      <xdr:colOff>2532407</xdr:colOff>
      <xdr:row>473</xdr:row>
      <xdr:rowOff>131318</xdr:rowOff>
    </xdr:to>
    <xdr:pic>
      <xdr:nvPicPr>
        <xdr:cNvPr id="6" name="Kép 5">
          <a:extLst>
            <a:ext uri="{FF2B5EF4-FFF2-40B4-BE49-F238E27FC236}">
              <a16:creationId xmlns:a16="http://schemas.microsoft.com/office/drawing/2014/main" id="{139E5DDD-9DD0-6340-9E56-9EED6738885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7532" y="53182217"/>
          <a:ext cx="2174875" cy="974901"/>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785004</xdr:colOff>
          <xdr:row>10</xdr:row>
          <xdr:rowOff>172528</xdr:rowOff>
        </xdr:from>
        <xdr:to>
          <xdr:col>12</xdr:col>
          <xdr:colOff>310551</xdr:colOff>
          <xdr:row>13</xdr:row>
          <xdr:rowOff>146649</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hu-HU" sz="1400" b="1" i="0" u="none" strike="noStrike" baseline="0">
                  <a:solidFill>
                    <a:srgbClr val="FF0000"/>
                  </a:solidFill>
                  <a:latin typeface="Calibri"/>
                  <a:ea typeface="Calibri"/>
                  <a:cs typeface="Calibri"/>
                </a:rPr>
                <a:t>Minden x kijelölés törlése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759125</xdr:colOff>
          <xdr:row>0</xdr:row>
          <xdr:rowOff>129396</xdr:rowOff>
        </xdr:from>
        <xdr:to>
          <xdr:col>12</xdr:col>
          <xdr:colOff>293298</xdr:colOff>
          <xdr:row>3</xdr:row>
          <xdr:rowOff>51758</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200" b="0" i="0" u="none" strike="noStrike" baseline="0">
                  <a:solidFill>
                    <a:srgbClr val="000000"/>
                  </a:solidFill>
                  <a:latin typeface="Aptos Narrow"/>
                </a:rPr>
                <a:t>Csomagok átvitele a kémiába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767751</xdr:colOff>
          <xdr:row>17</xdr:row>
          <xdr:rowOff>129396</xdr:rowOff>
        </xdr:from>
        <xdr:to>
          <xdr:col>12</xdr:col>
          <xdr:colOff>241540</xdr:colOff>
          <xdr:row>20</xdr:row>
          <xdr:rowOff>224287</xdr:rowOff>
        </xdr:to>
        <xdr:sp macro="" textlink="">
          <xdr:nvSpPr>
            <xdr:cNvPr id="1046" name="CommandButton1"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785004</xdr:colOff>
          <xdr:row>14</xdr:row>
          <xdr:rowOff>34506</xdr:rowOff>
        </xdr:from>
        <xdr:to>
          <xdr:col>12</xdr:col>
          <xdr:colOff>301925</xdr:colOff>
          <xdr:row>16</xdr:row>
          <xdr:rowOff>172528</xdr:rowOff>
        </xdr:to>
        <xdr:sp macro="" textlink="">
          <xdr:nvSpPr>
            <xdr:cNvPr id="1054" name="CommandButton2"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xdr:row>
          <xdr:rowOff>8626</xdr:rowOff>
        </xdr:from>
        <xdr:to>
          <xdr:col>8</xdr:col>
          <xdr:colOff>198408</xdr:colOff>
          <xdr:row>7</xdr:row>
          <xdr:rowOff>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534838</xdr:colOff>
          <xdr:row>29</xdr:row>
          <xdr:rowOff>0</xdr:rowOff>
        </xdr:from>
        <xdr:to>
          <xdr:col>3</xdr:col>
          <xdr:colOff>276045</xdr:colOff>
          <xdr:row>29</xdr:row>
          <xdr:rowOff>207034</xdr:rowOff>
        </xdr:to>
        <xdr:sp macro="" textlink="">
          <xdr:nvSpPr>
            <xdr:cNvPr id="1057" name="Check Box 33" descr="&#10;"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1319842</xdr:colOff>
          <xdr:row>18</xdr:row>
          <xdr:rowOff>0</xdr:rowOff>
        </xdr:from>
        <xdr:to>
          <xdr:col>7</xdr:col>
          <xdr:colOff>724619</xdr:colOff>
          <xdr:row>18</xdr:row>
          <xdr:rowOff>207034</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1544128</xdr:colOff>
          <xdr:row>18</xdr:row>
          <xdr:rowOff>17253</xdr:rowOff>
        </xdr:from>
        <xdr:to>
          <xdr:col>2</xdr:col>
          <xdr:colOff>172528</xdr:colOff>
          <xdr:row>18</xdr:row>
          <xdr:rowOff>207034</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1544128</xdr:colOff>
          <xdr:row>19</xdr:row>
          <xdr:rowOff>60385</xdr:rowOff>
        </xdr:from>
        <xdr:to>
          <xdr:col>2</xdr:col>
          <xdr:colOff>181155</xdr:colOff>
          <xdr:row>19</xdr:row>
          <xdr:rowOff>198408</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1544128</xdr:colOff>
          <xdr:row>20</xdr:row>
          <xdr:rowOff>17253</xdr:rowOff>
        </xdr:from>
        <xdr:to>
          <xdr:col>2</xdr:col>
          <xdr:colOff>189781</xdr:colOff>
          <xdr:row>20</xdr:row>
          <xdr:rowOff>207034</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1544128</xdr:colOff>
          <xdr:row>21</xdr:row>
          <xdr:rowOff>17253</xdr:rowOff>
        </xdr:from>
        <xdr:to>
          <xdr:col>2</xdr:col>
          <xdr:colOff>258792</xdr:colOff>
          <xdr:row>22</xdr:row>
          <xdr:rowOff>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1544128</xdr:colOff>
          <xdr:row>23</xdr:row>
          <xdr:rowOff>25879</xdr:rowOff>
        </xdr:from>
        <xdr:to>
          <xdr:col>2</xdr:col>
          <xdr:colOff>207034</xdr:colOff>
          <xdr:row>24</xdr:row>
          <xdr:rowOff>17253</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215660</xdr:colOff>
          <xdr:row>46</xdr:row>
          <xdr:rowOff>103517</xdr:rowOff>
        </xdr:from>
        <xdr:to>
          <xdr:col>11</xdr:col>
          <xdr:colOff>707366</xdr:colOff>
          <xdr:row>48</xdr:row>
          <xdr:rowOff>8626</xdr:rowOff>
        </xdr:to>
        <xdr:sp macro="" textlink="">
          <xdr:nvSpPr>
            <xdr:cNvPr id="1078" name="CommandButton3"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810883</xdr:colOff>
          <xdr:row>34</xdr:row>
          <xdr:rowOff>86264</xdr:rowOff>
        </xdr:from>
        <xdr:to>
          <xdr:col>12</xdr:col>
          <xdr:colOff>353683</xdr:colOff>
          <xdr:row>38</xdr:row>
          <xdr:rowOff>34506</xdr:rowOff>
        </xdr:to>
        <xdr:sp macro="" textlink="">
          <xdr:nvSpPr>
            <xdr:cNvPr id="1079" name="Button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hu-HU" sz="1200" b="0" i="0" u="none" strike="noStrike" baseline="0">
                  <a:solidFill>
                    <a:srgbClr val="008080"/>
                  </a:solidFill>
                  <a:latin typeface="Arial"/>
                  <a:cs typeface="Arial"/>
                </a:rPr>
                <a:t>Napi könyvtárak (mappák) létrehozása minden hónap elején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534838</xdr:colOff>
          <xdr:row>30</xdr:row>
          <xdr:rowOff>17253</xdr:rowOff>
        </xdr:from>
        <xdr:to>
          <xdr:col>3</xdr:col>
          <xdr:colOff>362309</xdr:colOff>
          <xdr:row>31</xdr:row>
          <xdr:rowOff>0</xdr:rowOff>
        </xdr:to>
        <xdr:sp macro="" textlink="">
          <xdr:nvSpPr>
            <xdr:cNvPr id="1080" name="Check Box 56" descr=" "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94891</xdr:colOff>
          <xdr:row>1</xdr:row>
          <xdr:rowOff>17253</xdr:rowOff>
        </xdr:from>
        <xdr:to>
          <xdr:col>13</xdr:col>
          <xdr:colOff>0</xdr:colOff>
          <xdr:row>2</xdr:row>
          <xdr:rowOff>172528</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100-0000011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hu-HU" sz="1200" b="1" i="0" u="none" strike="noStrike" baseline="0">
                  <a:solidFill>
                    <a:srgbClr val="FF0000"/>
                  </a:solidFill>
                  <a:latin typeface="Century Gothic"/>
                </a:rPr>
                <a:t>Töröld a jelölő oszlopok és a csomagok tartalmát!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1794294</xdr:colOff>
          <xdr:row>1</xdr:row>
          <xdr:rowOff>34506</xdr:rowOff>
        </xdr:from>
        <xdr:to>
          <xdr:col>1</xdr:col>
          <xdr:colOff>5201728</xdr:colOff>
          <xdr:row>1</xdr:row>
          <xdr:rowOff>422694</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100-0000031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hu-HU" sz="1200" b="1" i="0" u="none" strike="noStrike" baseline="0">
                  <a:solidFill>
                    <a:srgbClr val="000000"/>
                  </a:solidFill>
                  <a:latin typeface="Century Gothic"/>
                </a:rPr>
                <a:t>Csomagok áthozása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94891</xdr:colOff>
          <xdr:row>1</xdr:row>
          <xdr:rowOff>34506</xdr:rowOff>
        </xdr:from>
        <xdr:to>
          <xdr:col>0</xdr:col>
          <xdr:colOff>854015</xdr:colOff>
          <xdr:row>1</xdr:row>
          <xdr:rowOff>422694</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100-0000041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hu-HU" sz="1200" b="1" i="0" u="none" strike="noStrike" baseline="0">
                  <a:solidFill>
                    <a:srgbClr val="00B0F0"/>
                  </a:solidFill>
                  <a:latin typeface="Arial"/>
                  <a:cs typeface="Arial"/>
                </a:rPr>
                <a:t>Keresés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172528</xdr:colOff>
          <xdr:row>1</xdr:row>
          <xdr:rowOff>34506</xdr:rowOff>
        </xdr:from>
        <xdr:to>
          <xdr:col>1</xdr:col>
          <xdr:colOff>1699404</xdr:colOff>
          <xdr:row>1</xdr:row>
          <xdr:rowOff>422694</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100-000005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0" u="none" strike="noStrike" baseline="0">
                  <a:solidFill>
                    <a:srgbClr val="ED7D31"/>
                  </a:solidFill>
                  <a:latin typeface="Arial"/>
                  <a:cs typeface="Arial"/>
                </a:rPr>
                <a:t>Sárga törlés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129396</xdr:colOff>
          <xdr:row>1</xdr:row>
          <xdr:rowOff>69011</xdr:rowOff>
        </xdr:from>
        <xdr:to>
          <xdr:col>8</xdr:col>
          <xdr:colOff>793630</xdr:colOff>
          <xdr:row>1</xdr:row>
          <xdr:rowOff>431321</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100-000006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hu-HU" sz="1100" b="0" i="0" u="none" strike="noStrike" baseline="0">
                  <a:solidFill>
                    <a:srgbClr val="000000"/>
                  </a:solidFill>
                  <a:latin typeface="Arial"/>
                  <a:cs typeface="Arial"/>
                </a:rPr>
                <a:t>Keresés kódra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362309</xdr:colOff>
          <xdr:row>0</xdr:row>
          <xdr:rowOff>155275</xdr:rowOff>
        </xdr:from>
        <xdr:to>
          <xdr:col>0</xdr:col>
          <xdr:colOff>2665562</xdr:colOff>
          <xdr:row>0</xdr:row>
          <xdr:rowOff>560717</xdr:rowOff>
        </xdr:to>
        <xdr:sp macro="" textlink="">
          <xdr:nvSpPr>
            <xdr:cNvPr id="6148" name="Button 4" descr="Csomagok kiválasztása /törlése" hidden="1">
              <a:extLst>
                <a:ext uri="{63B3BB69-23CF-44E3-9099-C40C66FF867C}">
                  <a14:compatExt spid="_x0000_s6148"/>
                </a:ext>
                <a:ext uri="{FF2B5EF4-FFF2-40B4-BE49-F238E27FC236}">
                  <a16:creationId xmlns:a16="http://schemas.microsoft.com/office/drawing/2014/main" id="{00000000-0008-0000-0200-000004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100" b="0" i="0" u="none" strike="noStrike" baseline="0">
                  <a:solidFill>
                    <a:srgbClr val="000000"/>
                  </a:solidFill>
                  <a:latin typeface="Century Gothic"/>
                </a:rPr>
                <a:t>Csomagok átvitele a Kémiába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310551</xdr:colOff>
          <xdr:row>0</xdr:row>
          <xdr:rowOff>163902</xdr:rowOff>
        </xdr:from>
        <xdr:to>
          <xdr:col>1</xdr:col>
          <xdr:colOff>2976113</xdr:colOff>
          <xdr:row>0</xdr:row>
          <xdr:rowOff>577970</xdr:rowOff>
        </xdr:to>
        <xdr:sp macro="" textlink="">
          <xdr:nvSpPr>
            <xdr:cNvPr id="13825" name="Button 1537" hidden="1">
              <a:extLst>
                <a:ext uri="{63B3BB69-23CF-44E3-9099-C40C66FF867C}">
                  <a14:compatExt spid="_x0000_s13825"/>
                </a:ext>
                <a:ext uri="{FF2B5EF4-FFF2-40B4-BE49-F238E27FC236}">
                  <a16:creationId xmlns:a16="http://schemas.microsoft.com/office/drawing/2014/main" id="{00000000-0008-0000-0200-0000013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200" b="0" i="0" u="none" strike="noStrike" baseline="0">
                  <a:solidFill>
                    <a:srgbClr val="FF0000"/>
                  </a:solidFill>
                  <a:latin typeface="Aptos Narrow"/>
                </a:rPr>
                <a:t>Töröld a kijelöléseket a Csomagban!</a:t>
              </a:r>
            </a:p>
            <a:p>
              <a:pPr algn="ctr" rtl="0">
                <a:defRPr sz="1000"/>
              </a:pPr>
              <a:endParaRPr lang="hu-HU" sz="1200" b="0" i="0" u="none" strike="noStrike" baseline="0">
                <a:solidFill>
                  <a:srgbClr val="FF0000"/>
                </a:solidFill>
                <a:latin typeface="Aptos Narrow"/>
              </a:endParaRP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Papp Kristóf" id="{D65C24BD-5F92-D14F-A850-6088935FB0E7}" userId="S::Papp.Kristof.52@unibge.hu::f9be76f7-e13f-4c6b-abbd-2490b612f4f9"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46B50BA-2046-428D-AD8A-FFA891227698}" name="Táblázat2" displayName="Táblázat2" ref="C5:I420" totalsRowShown="0" headerRowDxfId="214" dataDxfId="213">
  <autoFilter ref="C5:I420" xr:uid="{C46B50BA-2046-428D-AD8A-FFA891227698}"/>
  <sortState xmlns:xlrd2="http://schemas.microsoft.com/office/spreadsheetml/2017/richdata2" ref="C6:I420">
    <sortCondition ref="D5:D420"/>
  </sortState>
  <tableColumns count="7">
    <tableColumn id="1" xr3:uid="{F3301152-0688-4E9D-83CA-3CD031A36768}" name="eMedWorkS_x000a_Kód" dataDxfId="212"/>
    <tableColumn id="2" xr3:uid="{0A2F600F-98A6-4C0C-AC54-19A14FC638AA}" name="Partner árlista név" dataDxfId="211"/>
    <tableColumn id="3" xr3:uid="{D836111F-555D-4DF1-A951-0200FBC65171}" name="Csoportok" dataDxfId="210"/>
    <tableColumn id="4" xr3:uid="{4D23354A-7C2C-416E-8166-B0383FFF5A49}" name="Partner_x000a_listaár" dataDxfId="209" dataCellStyle="Pénznem"/>
    <tableColumn id="7" xr3:uid="{957B2CD2-E824-4AB2-8BFD-1CF2D6B1F4C5}" name="Kedvezményes/Akciós áron biztosított szolgálatások**" dataDxfId="208" dataCellStyle="Pénznem"/>
    <tableColumn id="5" xr3:uid="{FD15FC83-8DBE-43CB-94AE-DA9065387813}" name="Csőtípus" dataDxfId="207"/>
    <tableColumn id="6" xr3:uid="{D07D1B51-E15B-4C29-8E79-6353D8E8CDC0}" name="Elkészülési idő_x000a_(munkanap)" dataDxfId="206"/>
  </tableColumns>
  <tableStyleInfo name="TableStyleMedium2 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755D038-C03D-584B-9E81-95E50C6E969F}" name="Táblázat12" displayName="Táblázat12" ref="A1:A13" totalsRowShown="0" headerRowDxfId="205" dataDxfId="204">
  <autoFilter ref="A1:A13" xr:uid="{4755D038-C03D-584B-9E81-95E50C6E969F}"/>
  <tableColumns count="1">
    <tableColumn id="1" xr3:uid="{36C5BC66-7F80-8D44-A6C4-BA9FF282AA92}" name="Azonosító típusa" dataDxfId="20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26D0B62-D081-784F-9E5C-125402A5A629}" name="Táblázat4" displayName="Táblázat4" ref="E1:E3" totalsRowShown="0" headerRowDxfId="202" dataDxfId="201">
  <autoFilter ref="E1:E3" xr:uid="{D26D0B62-D081-784F-9E5C-125402A5A629}"/>
  <tableColumns count="1">
    <tableColumn id="1" xr3:uid="{AEAC7F5C-E248-A240-81D3-2B3F71316E27}" name="Nem" dataDxfId="200"/>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76470B0-54DA-5846-AD52-60A7DB3FE38B}" name="Táblázat5" displayName="Táblázat5" ref="D1:D4" totalsRowShown="0" headerRowDxfId="199" dataDxfId="198">
  <autoFilter ref="D1:D4" xr:uid="{776470B0-54DA-5846-AD52-60A7DB3FE38B}"/>
  <tableColumns count="1">
    <tableColumn id="1" xr3:uid="{833C5026-807C-9C41-B68A-CFD88F27BF1E}" name="Válassz!" dataDxfId="197"/>
  </tableColumns>
  <tableStyleInfo name="TableStyleMedium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023FF79-487F-EA4D-95DE-DAA4A9BB136C}" name="Táblázat1" displayName="Táblázat1" ref="A19:C24" totalsRowShown="0" headerRowDxfId="196" dataDxfId="195">
  <autoFilter ref="A19:C24" xr:uid="{E023FF79-487F-EA4D-95DE-DAA4A9BB136C}"/>
  <tableColumns count="3">
    <tableColumn id="1" xr3:uid="{93FD4DE1-213A-C948-B2BA-3F83D9FEBA74}" name="VÉRVÉTELI DÍJAK" dataDxfId="194"/>
    <tableColumn id="2" xr3:uid="{BE796D76-09EB-3D49-AD8E-0153A76B4428}" name="VÉRVÉTELI DÍJAK2" dataDxfId="193"/>
    <tableColumn id="3" xr3:uid="{6B6F984D-A9A1-C448-93B0-C3FEC06D428C}" name="VÉRVÉTELI DÍJAK árak" dataDxfId="192" dataCellStyle="Pénznem"/>
  </tableColumns>
  <tableStyleInfo name="TableStyleDark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9FFA02E-3629-4EE6-A280-0D11A6684FDA}" name="Táblázat24" displayName="Táblázat24" ref="C5:F54" totalsRowShown="0" headerRowDxfId="191" dataDxfId="190">
  <autoFilter ref="C5:F54" xr:uid="{D9FFA02E-3629-4EE6-A280-0D11A6684FDA}"/>
  <tableColumns count="4">
    <tableColumn id="1" xr3:uid="{3301392B-ABC5-4D61-9388-E8154923321A}" name="Megnevezés" dataDxfId="189"/>
    <tableColumn id="2" xr3:uid="{FD36FDD8-2F39-479E-BA50-CB5C3D5BB551}" name="Egységárak_x000a_Ft/vizsgálat" dataDxfId="188"/>
    <tableColumn id="3" xr3:uid="{0C000A5D-9129-4F66-9BC5-FF6E59F5BE45}" name="Vállalási határidők" dataDxfId="187"/>
    <tableColumn id="4" xr3:uid="{2B8DDCA9-F15E-45B9-A595-A16A0B1EFA32}" name="Megjegyzés" dataDxfId="186" dataCellStyle="Pénznem"/>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121" dT="2024-04-05T14:07:11.30" personId="{D65C24BD-5F92-D14F-A850-6088935FB0E7}" id="{E88B5DD5-60B8-4236-81B6-556480C8482F}">
    <text>Csak akkor írd felül, ha nincs TAJ száma a páciensnek!</text>
  </threadedComment>
  <threadedComment ref="F121" dT="2024-04-05T14:08:13.95" personId="{D65C24BD-5F92-D14F-A850-6088935FB0E7}" id="{06049701-F830-44AA-9351-0FF8C601F8B0}">
    <text>Csak akkor írd felül, ha nincs TAJ száma a páciensnek!</text>
  </threadedComment>
  <threadedComment ref="B208" dT="2024-04-05T14:07:11.30" personId="{D65C24BD-5F92-D14F-A850-6088935FB0E7}" id="{2F3093D7-D79A-47BC-8104-486626850863}">
    <text>Csak akkor írd felül, ha nincs TAJ száma a páciensnek!</text>
  </threadedComment>
  <threadedComment ref="F208" dT="2024-04-05T14:08:13.95" personId="{D65C24BD-5F92-D14F-A850-6088935FB0E7}" id="{A03A91DC-CB3F-4457-B718-A10F093A73E0}">
    <text>Csak akkor írd felül, ha nincs TAJ száma a páciensnek!</text>
  </threadedComment>
</ThreadedComments>
</file>

<file path=xl/worksheets/_rels/sheet1.xml.rels><?xml version="1.0" encoding="UTF-8" standalone="yes"?>
<Relationships xmlns="http://schemas.openxmlformats.org/package/2006/relationships"><Relationship Id="rId8" Type="http://schemas.openxmlformats.org/officeDocument/2006/relationships/control" Target="../activeX/activeX1.xml"/><Relationship Id="rId13" Type="http://schemas.openxmlformats.org/officeDocument/2006/relationships/image" Target="../media/image3.emf"/><Relationship Id="rId18" Type="http://schemas.openxmlformats.org/officeDocument/2006/relationships/ctrlProp" Target="../ctrlProps/ctrlProp5.xml"/><Relationship Id="rId26" Type="http://schemas.openxmlformats.org/officeDocument/2006/relationships/comments" Target="../comments1.xml"/><Relationship Id="rId3" Type="http://schemas.openxmlformats.org/officeDocument/2006/relationships/hyperlink" Target="http://www.medicare-group.hu/adatkezeles" TargetMode="External"/><Relationship Id="rId21" Type="http://schemas.openxmlformats.org/officeDocument/2006/relationships/ctrlProp" Target="../ctrlProps/ctrlProp8.xml"/><Relationship Id="rId7" Type="http://schemas.openxmlformats.org/officeDocument/2006/relationships/vmlDrawing" Target="../drawings/vmlDrawing1.vml"/><Relationship Id="rId12" Type="http://schemas.openxmlformats.org/officeDocument/2006/relationships/control" Target="../activeX/activeX3.xml"/><Relationship Id="rId17" Type="http://schemas.openxmlformats.org/officeDocument/2006/relationships/ctrlProp" Target="../ctrlProps/ctrlProp4.xml"/><Relationship Id="rId25" Type="http://schemas.openxmlformats.org/officeDocument/2006/relationships/ctrlProp" Target="../ctrlProps/ctrlProp12.xml"/><Relationship Id="rId2" Type="http://schemas.openxmlformats.org/officeDocument/2006/relationships/hyperlink" Target="mailto:data.protection@medicare-group.hu" TargetMode="External"/><Relationship Id="rId16" Type="http://schemas.openxmlformats.org/officeDocument/2006/relationships/ctrlProp" Target="../ctrlProps/ctrlProp3.xml"/><Relationship Id="rId20" Type="http://schemas.openxmlformats.org/officeDocument/2006/relationships/ctrlProp" Target="../ctrlProps/ctrlProp7.xml"/><Relationship Id="rId1" Type="http://schemas.openxmlformats.org/officeDocument/2006/relationships/hyperlink" Target="http://www.medicare-group.hu/adatkezeles" TargetMode="External"/><Relationship Id="rId6" Type="http://schemas.openxmlformats.org/officeDocument/2006/relationships/drawing" Target="../drawings/drawing1.xml"/><Relationship Id="rId11" Type="http://schemas.openxmlformats.org/officeDocument/2006/relationships/image" Target="../media/image2.emf"/><Relationship Id="rId24" Type="http://schemas.openxmlformats.org/officeDocument/2006/relationships/ctrlProp" Target="../ctrlProps/ctrlProp11.xml"/><Relationship Id="rId5" Type="http://schemas.openxmlformats.org/officeDocument/2006/relationships/printerSettings" Target="../printerSettings/printerSettings1.bin"/><Relationship Id="rId15" Type="http://schemas.openxmlformats.org/officeDocument/2006/relationships/ctrlProp" Target="../ctrlProps/ctrlProp2.xml"/><Relationship Id="rId23" Type="http://schemas.openxmlformats.org/officeDocument/2006/relationships/ctrlProp" Target="../ctrlProps/ctrlProp10.xml"/><Relationship Id="rId10" Type="http://schemas.openxmlformats.org/officeDocument/2006/relationships/control" Target="../activeX/activeX2.xml"/><Relationship Id="rId19" Type="http://schemas.openxmlformats.org/officeDocument/2006/relationships/ctrlProp" Target="../ctrlProps/ctrlProp6.xml"/><Relationship Id="rId4" Type="http://schemas.openxmlformats.org/officeDocument/2006/relationships/hyperlink" Target="mailto:data.protection@medicare-group.hu" TargetMode="External"/><Relationship Id="rId9" Type="http://schemas.openxmlformats.org/officeDocument/2006/relationships/image" Target="../media/image1.emf"/><Relationship Id="rId14" Type="http://schemas.openxmlformats.org/officeDocument/2006/relationships/ctrlProp" Target="../ctrlProps/ctrlProp1.xml"/><Relationship Id="rId22" Type="http://schemas.openxmlformats.org/officeDocument/2006/relationships/ctrlProp" Target="../ctrlProps/ctrlProp9.xml"/><Relationship Id="rId27"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drawing" Target="../drawings/drawing2.xml"/><Relationship Id="rId7" Type="http://schemas.openxmlformats.org/officeDocument/2006/relationships/ctrlProp" Target="../ctrlProps/ctrlProp15.xml"/><Relationship Id="rId2" Type="http://schemas.openxmlformats.org/officeDocument/2006/relationships/printerSettings" Target="../printerSettings/printerSettings2.bin"/><Relationship Id="rId1" Type="http://schemas.openxmlformats.org/officeDocument/2006/relationships/hyperlink" Target="https://www.visegradi40.hu/allergiateszt" TargetMode="Externa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vmlDrawing" Target="../drawings/vmlDrawing2.vml"/><Relationship Id="rId9" Type="http://schemas.openxmlformats.org/officeDocument/2006/relationships/ctrlProp" Target="../ctrlProps/ctrlProp17.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5.xml.rels><?xml version="1.0" encoding="UTF-8" standalone="yes"?>
<Relationships xmlns="http://schemas.openxmlformats.org/package/2006/relationships"><Relationship Id="rId3" Type="http://schemas.openxmlformats.org/officeDocument/2006/relationships/hyperlink" Target="mailto:wwwapi@gmail.com" TargetMode="External"/><Relationship Id="rId2" Type="http://schemas.openxmlformats.org/officeDocument/2006/relationships/hyperlink" Target="mailto:gwwwwi@worktech.hu" TargetMode="External"/><Relationship Id="rId1" Type="http://schemas.openxmlformats.org/officeDocument/2006/relationships/hyperlink" Target="mailto:ertzuiz@gmail.com" TargetMode="External"/><Relationship Id="rId6" Type="http://schemas.openxmlformats.org/officeDocument/2006/relationships/printerSettings" Target="../printerSettings/printerSettings4.bin"/><Relationship Id="rId5" Type="http://schemas.openxmlformats.org/officeDocument/2006/relationships/hyperlink" Target="mailto:wzwzwzke@gmail.com" TargetMode="External"/><Relationship Id="rId4" Type="http://schemas.openxmlformats.org/officeDocument/2006/relationships/hyperlink" Target="mailto:wzwzwzwszterci@gmail.com"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1.xml.rels><?xml version="1.0" encoding="UTF-8" standalone="yes"?>
<Relationships xmlns="http://schemas.openxmlformats.org/package/2006/relationships"><Relationship Id="rId3" Type="http://schemas.openxmlformats.org/officeDocument/2006/relationships/hyperlink" Target="mailto:laboreszkozok@medicare-group.hu" TargetMode="External"/><Relationship Id="rId2" Type="http://schemas.openxmlformats.org/officeDocument/2006/relationships/hyperlink" Target="mailto:labortamogatas@medicare-group.hu" TargetMode="External"/><Relationship Id="rId1" Type="http://schemas.openxmlformats.org/officeDocument/2006/relationships/hyperlink" Target="mailto:mdklabor@medicare-group.hu" TargetMode="External"/><Relationship Id="rId6" Type="http://schemas.openxmlformats.org/officeDocument/2006/relationships/hyperlink" Target="mailto:mintaszallitas@medicare-group.hu" TargetMode="External"/><Relationship Id="rId5" Type="http://schemas.openxmlformats.org/officeDocument/2006/relationships/hyperlink" Target="mailto:bianka.gazdag@medicare-group.hu" TargetMode="External"/><Relationship Id="rId4" Type="http://schemas.openxmlformats.org/officeDocument/2006/relationships/hyperlink" Target="mailto:mintaszallitas@medicare-group.hu" TargetMode="External"/></Relationships>
</file>

<file path=xl/worksheets/_rels/sheet1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6.bin"/><Relationship Id="rId5" Type="http://schemas.openxmlformats.org/officeDocument/2006/relationships/table" Target="../tables/table5.xml"/><Relationship Id="rId4" Type="http://schemas.openxmlformats.org/officeDocument/2006/relationships/table" Target="../tables/table4.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EC2AEB-6C83-A442-881F-A30489B121A5}">
  <sheetPr codeName="Munka1">
    <tabColor rgb="FFFFFF00"/>
  </sheetPr>
  <dimension ref="A2:Y551"/>
  <sheetViews>
    <sheetView view="pageBreakPreview" topLeftCell="A8" zoomScaleNormal="156" zoomScaleSheetLayoutView="100" workbookViewId="0">
      <selection activeCell="C24" sqref="C24"/>
    </sheetView>
  </sheetViews>
  <sheetFormatPr defaultColWidth="10.77734375" defaultRowHeight="13.6"/>
  <cols>
    <col min="1" max="1" width="44.21875" customWidth="1"/>
    <col min="2" max="2" width="20.77734375" customWidth="1"/>
    <col min="3" max="5" width="15.77734375" customWidth="1"/>
    <col min="6" max="6" width="17.44140625" customWidth="1"/>
    <col min="7" max="7" width="2.77734375" customWidth="1"/>
    <col min="8" max="8" width="9.77734375" customWidth="1"/>
    <col min="9" max="9" width="3.44140625" customWidth="1"/>
  </cols>
  <sheetData>
    <row r="2" spans="1:24">
      <c r="B2" s="62"/>
      <c r="C2" s="62"/>
      <c r="D2" s="62"/>
      <c r="E2" s="62"/>
      <c r="F2" s="62"/>
      <c r="G2" s="62"/>
      <c r="H2" s="62"/>
    </row>
    <row r="3" spans="1:24" ht="21.1">
      <c r="A3" s="1472"/>
      <c r="B3" s="1479" t="s">
        <v>546</v>
      </c>
      <c r="C3" s="1479"/>
      <c r="D3" s="1479"/>
      <c r="E3" s="1479"/>
      <c r="F3" s="60" t="s">
        <v>2338</v>
      </c>
      <c r="G3" s="60"/>
      <c r="H3" s="60"/>
      <c r="I3" s="58"/>
      <c r="J3" s="58"/>
      <c r="K3" s="58"/>
      <c r="L3" s="61"/>
      <c r="M3" s="60"/>
      <c r="N3" s="60"/>
      <c r="O3" s="60"/>
    </row>
    <row r="4" spans="1:24" ht="16.3">
      <c r="A4" s="1472"/>
      <c r="B4" s="60"/>
      <c r="C4" s="352"/>
      <c r="D4" s="60"/>
      <c r="E4" s="60"/>
      <c r="F4" s="60" t="s">
        <v>2339</v>
      </c>
      <c r="G4" s="60"/>
      <c r="H4" s="60"/>
      <c r="I4" s="58"/>
      <c r="J4" s="58"/>
      <c r="K4" s="58"/>
      <c r="L4" s="61"/>
      <c r="M4" s="60"/>
      <c r="N4" s="61"/>
      <c r="O4" s="60"/>
    </row>
    <row r="5" spans="1:24" ht="24.45" customHeight="1">
      <c r="A5" s="1472"/>
      <c r="F5" s="60"/>
      <c r="G5" s="60"/>
      <c r="H5" s="60"/>
      <c r="I5" s="58"/>
      <c r="J5" s="58"/>
      <c r="K5" s="58"/>
      <c r="L5" s="61"/>
      <c r="M5" s="60"/>
      <c r="N5" s="61"/>
      <c r="O5" s="60"/>
    </row>
    <row r="6" spans="1:24" ht="23.8">
      <c r="A6" s="352" t="s">
        <v>545</v>
      </c>
      <c r="B6" s="353"/>
      <c r="C6" s="1538">
        <f ca="1">F34</f>
        <v>3500</v>
      </c>
      <c r="D6" s="1538"/>
      <c r="E6" s="90"/>
      <c r="F6" s="370" t="s">
        <v>2412</v>
      </c>
      <c r="G6" s="370"/>
      <c r="H6" s="1138" t="s">
        <v>2769</v>
      </c>
      <c r="I6" s="354"/>
      <c r="J6" s="58"/>
      <c r="K6" s="58"/>
      <c r="L6" s="58"/>
      <c r="M6" s="58"/>
      <c r="N6" s="58"/>
      <c r="O6" s="58"/>
    </row>
    <row r="7" spans="1:24" ht="18.350000000000001">
      <c r="A7" s="352" t="s">
        <v>941</v>
      </c>
      <c r="B7" s="353"/>
      <c r="C7" s="353"/>
      <c r="D7" s="353"/>
      <c r="E7" s="90"/>
      <c r="F7" s="370" t="s">
        <v>2413</v>
      </c>
      <c r="G7" s="370"/>
      <c r="H7" s="669"/>
      <c r="I7" s="355"/>
      <c r="J7" s="58"/>
      <c r="K7" s="58"/>
      <c r="L7" s="58"/>
      <c r="M7" s="58"/>
      <c r="N7" s="58"/>
      <c r="O7" s="58"/>
      <c r="X7" s="1122" t="b">
        <v>0</v>
      </c>
    </row>
    <row r="8" spans="1:24" ht="18.350000000000001">
      <c r="A8" s="352" t="s">
        <v>2715</v>
      </c>
      <c r="B8" s="353"/>
      <c r="C8" s="353"/>
      <c r="D8" s="353"/>
      <c r="E8" s="353"/>
      <c r="F8" s="353"/>
      <c r="G8" s="353"/>
      <c r="H8" s="353"/>
      <c r="I8" s="353"/>
      <c r="J8" s="58"/>
      <c r="K8" s="58"/>
      <c r="L8" s="58"/>
      <c r="M8" s="58"/>
      <c r="N8" s="58"/>
      <c r="O8" s="58"/>
    </row>
    <row r="9" spans="1:24" ht="18.350000000000001">
      <c r="A9" s="353"/>
      <c r="B9" s="353"/>
      <c r="C9" s="353"/>
      <c r="D9" s="353"/>
      <c r="E9" s="353"/>
      <c r="F9" s="353"/>
      <c r="G9" s="353"/>
      <c r="H9" s="353"/>
      <c r="I9" s="353"/>
      <c r="J9" s="58"/>
      <c r="K9" s="58"/>
      <c r="L9" s="58"/>
      <c r="M9" s="58"/>
      <c r="N9" s="58"/>
      <c r="O9" s="58"/>
    </row>
    <row r="10" spans="1:24" ht="16.3">
      <c r="A10" s="356" t="s">
        <v>456</v>
      </c>
      <c r="B10" s="357">
        <f ca="1">TODAY()</f>
        <v>45968</v>
      </c>
      <c r="C10" s="352"/>
      <c r="D10" s="352" t="s">
        <v>2340</v>
      </c>
      <c r="E10" s="60"/>
      <c r="F10" s="352"/>
      <c r="G10" s="352"/>
      <c r="H10" s="352"/>
      <c r="I10" s="352"/>
      <c r="J10" s="58"/>
      <c r="K10" s="60"/>
      <c r="L10" s="60"/>
      <c r="M10" s="60"/>
      <c r="N10" s="60"/>
      <c r="O10" s="60"/>
    </row>
    <row r="11" spans="1:24" ht="19.05" thickBot="1">
      <c r="A11" s="90"/>
      <c r="B11" s="353"/>
      <c r="C11" s="353"/>
      <c r="D11" s="353"/>
      <c r="E11" s="358"/>
      <c r="F11" s="353"/>
      <c r="G11" s="353"/>
      <c r="H11" s="353"/>
      <c r="I11" s="353"/>
      <c r="J11" s="58"/>
      <c r="K11" s="58"/>
      <c r="L11" s="58"/>
      <c r="M11" s="58"/>
      <c r="N11" s="58"/>
      <c r="O11" s="58"/>
      <c r="P11" s="57"/>
    </row>
    <row r="12" spans="1:24" s="59" customFormat="1" ht="18.350000000000001">
      <c r="A12" s="481" t="s">
        <v>457</v>
      </c>
      <c r="B12" s="1473"/>
      <c r="C12" s="1474"/>
      <c r="D12" s="1475"/>
      <c r="E12" s="359" t="s">
        <v>454</v>
      </c>
      <c r="F12" s="1483"/>
      <c r="G12" s="1484"/>
      <c r="H12" s="1484"/>
      <c r="I12" s="1485"/>
    </row>
    <row r="13" spans="1:24" s="59" customFormat="1" ht="18.350000000000001">
      <c r="A13" s="482" t="s">
        <v>1220</v>
      </c>
      <c r="B13" s="495"/>
      <c r="C13" s="496"/>
      <c r="D13" s="497"/>
      <c r="E13" s="360" t="s">
        <v>1196</v>
      </c>
      <c r="F13" s="1486"/>
      <c r="G13" s="1487"/>
      <c r="H13" s="1487"/>
      <c r="I13" s="1488"/>
      <c r="J13" s="86"/>
    </row>
    <row r="14" spans="1:24" s="59" customFormat="1" ht="18.350000000000001">
      <c r="A14" s="482" t="s">
        <v>458</v>
      </c>
      <c r="B14" s="1476"/>
      <c r="C14" s="1477"/>
      <c r="D14" s="1478"/>
      <c r="E14" s="360" t="s">
        <v>459</v>
      </c>
      <c r="F14" s="1489"/>
      <c r="G14" s="1490"/>
      <c r="H14" s="1490"/>
      <c r="I14" s="1491"/>
      <c r="J14" s="86"/>
    </row>
    <row r="15" spans="1:24" s="59" customFormat="1" ht="18.350000000000001">
      <c r="A15" s="483" t="s">
        <v>2774</v>
      </c>
      <c r="B15" s="1288"/>
      <c r="C15" s="577"/>
      <c r="D15" s="578"/>
      <c r="E15" s="360" t="s">
        <v>455</v>
      </c>
      <c r="F15" s="484" t="s">
        <v>2733</v>
      </c>
      <c r="G15" s="485"/>
      <c r="H15" s="486"/>
      <c r="I15" s="487"/>
      <c r="J15" s="86"/>
    </row>
    <row r="16" spans="1:24" s="59" customFormat="1" ht="19.05" thickBot="1">
      <c r="A16" s="483" t="s">
        <v>2775</v>
      </c>
      <c r="B16" s="488"/>
      <c r="C16" s="1247"/>
      <c r="D16" s="489"/>
      <c r="E16" s="360" t="s">
        <v>2776</v>
      </c>
      <c r="F16" s="583" t="str">
        <f>IFERROR(VLOOKUP(B15,Legordulo!H2:I3495,2,FALSE), "Nincs találat")</f>
        <v>Nincs találat</v>
      </c>
      <c r="G16" s="490"/>
      <c r="H16" s="490"/>
      <c r="I16" s="491"/>
      <c r="J16" s="86"/>
    </row>
    <row r="17" spans="1:25" s="59" customFormat="1" ht="19.05" thickBot="1">
      <c r="A17" s="492" t="s">
        <v>2716</v>
      </c>
      <c r="B17" s="1441" t="s">
        <v>454</v>
      </c>
      <c r="C17" s="1442"/>
      <c r="D17" s="493"/>
      <c r="E17" s="361" t="s">
        <v>543</v>
      </c>
      <c r="F17" s="1483">
        <f>F12</f>
        <v>0</v>
      </c>
      <c r="G17" s="1484"/>
      <c r="H17" s="1484"/>
      <c r="I17" s="1485"/>
      <c r="J17" s="86"/>
    </row>
    <row r="18" spans="1:25" ht="18.350000000000001">
      <c r="A18" s="379"/>
      <c r="B18" s="380"/>
      <c r="C18" s="94"/>
      <c r="D18" s="94"/>
      <c r="E18" s="94"/>
      <c r="F18" s="94"/>
      <c r="G18" s="94"/>
      <c r="H18" s="94"/>
      <c r="I18" s="366"/>
      <c r="J18" s="113"/>
      <c r="K18" s="59"/>
      <c r="L18" s="59"/>
      <c r="M18" s="59"/>
      <c r="N18" s="60"/>
      <c r="O18" s="60"/>
    </row>
    <row r="19" spans="1:25" ht="18.350000000000001">
      <c r="A19" s="373" t="s">
        <v>2721</v>
      </c>
      <c r="B19" s="378" t="s">
        <v>2722</v>
      </c>
      <c r="C19" s="91"/>
      <c r="D19" s="374"/>
      <c r="E19" s="374" t="s">
        <v>2724</v>
      </c>
      <c r="F19" s="375" t="s">
        <v>2725</v>
      </c>
      <c r="G19" s="374"/>
      <c r="H19" s="375"/>
      <c r="I19" s="365"/>
      <c r="J19" s="113"/>
      <c r="K19" s="59"/>
      <c r="L19" s="59"/>
      <c r="M19" s="59"/>
      <c r="N19" s="60"/>
      <c r="O19" s="60"/>
      <c r="X19" s="1122" t="b">
        <v>0</v>
      </c>
      <c r="Y19" s="1122" t="b">
        <v>1</v>
      </c>
    </row>
    <row r="20" spans="1:25" ht="18.350000000000001">
      <c r="A20" s="373"/>
      <c r="B20" s="378" t="s">
        <v>2454</v>
      </c>
      <c r="C20" s="91"/>
      <c r="D20" s="374"/>
      <c r="E20" s="374"/>
      <c r="F20" s="374"/>
      <c r="G20" s="374"/>
      <c r="H20" s="374"/>
      <c r="I20" s="365"/>
      <c r="J20" s="113"/>
      <c r="K20" s="59"/>
      <c r="L20" s="59"/>
      <c r="M20" s="59"/>
      <c r="N20" s="60"/>
      <c r="O20" s="60"/>
      <c r="Y20" s="1122" t="b">
        <v>0</v>
      </c>
    </row>
    <row r="21" spans="1:25" ht="18.350000000000001">
      <c r="A21" s="70"/>
      <c r="B21" s="378" t="s">
        <v>2771</v>
      </c>
      <c r="C21" s="91"/>
      <c r="D21" s="374"/>
      <c r="E21" s="374" t="s">
        <v>2726</v>
      </c>
      <c r="F21" s="374"/>
      <c r="G21" s="374"/>
      <c r="H21" s="374"/>
      <c r="I21" s="365"/>
      <c r="J21" s="113"/>
      <c r="K21" s="59"/>
      <c r="L21" s="59"/>
      <c r="M21" s="59"/>
      <c r="N21" s="60"/>
      <c r="O21" s="60"/>
      <c r="Y21" s="1122" t="b">
        <v>0</v>
      </c>
    </row>
    <row r="22" spans="1:25" ht="19.05" thickBot="1">
      <c r="A22" s="373"/>
      <c r="B22" s="378" t="s">
        <v>2723</v>
      </c>
      <c r="C22" s="91"/>
      <c r="D22" s="374"/>
      <c r="E22" s="374"/>
      <c r="F22" s="374"/>
      <c r="G22" s="374"/>
      <c r="H22" s="374"/>
      <c r="I22" s="365"/>
      <c r="J22" s="113"/>
      <c r="K22" s="59"/>
      <c r="L22" s="59"/>
      <c r="M22" s="59"/>
      <c r="N22" s="60"/>
      <c r="O22" s="60"/>
      <c r="Y22" s="1122" t="b">
        <v>0</v>
      </c>
    </row>
    <row r="23" spans="1:25" ht="18.350000000000001">
      <c r="A23" s="373"/>
      <c r="B23" s="378"/>
      <c r="C23" s="91"/>
      <c r="D23" s="374"/>
      <c r="E23" s="1516"/>
      <c r="F23" s="1517"/>
      <c r="G23" s="1517"/>
      <c r="H23" s="1518"/>
      <c r="I23" s="371"/>
      <c r="J23" s="113"/>
      <c r="K23" s="59"/>
      <c r="L23" s="59"/>
      <c r="M23" s="59"/>
      <c r="N23" s="60"/>
      <c r="O23" s="60"/>
      <c r="Y23" s="1122" t="b">
        <v>0</v>
      </c>
    </row>
    <row r="24" spans="1:25" ht="18.350000000000001">
      <c r="A24" s="373"/>
      <c r="B24" s="378" t="s">
        <v>586</v>
      </c>
      <c r="C24" s="91"/>
      <c r="D24" s="374"/>
      <c r="E24" s="1519"/>
      <c r="F24" s="1520"/>
      <c r="G24" s="1520"/>
      <c r="H24" s="1521"/>
      <c r="I24" s="371"/>
      <c r="J24" s="113"/>
      <c r="K24" s="59"/>
      <c r="L24" s="59"/>
      <c r="M24" s="59"/>
      <c r="N24" s="60"/>
      <c r="O24" s="60"/>
      <c r="Y24" s="1122" t="b">
        <v>0</v>
      </c>
    </row>
    <row r="25" spans="1:25" ht="18.350000000000001">
      <c r="A25" s="364"/>
      <c r="B25" s="91"/>
      <c r="C25" s="91"/>
      <c r="D25" s="374"/>
      <c r="E25" s="1519"/>
      <c r="F25" s="1520"/>
      <c r="G25" s="1520"/>
      <c r="H25" s="1521"/>
      <c r="I25" s="371"/>
      <c r="J25" s="113"/>
      <c r="K25" s="59"/>
      <c r="L25" s="59"/>
      <c r="M25" s="59"/>
      <c r="N25" s="60"/>
      <c r="O25" s="60"/>
    </row>
    <row r="26" spans="1:25" ht="19.05" thickBot="1">
      <c r="A26" s="364"/>
      <c r="C26" s="91"/>
      <c r="D26" s="374"/>
      <c r="E26" s="1522"/>
      <c r="F26" s="1523"/>
      <c r="G26" s="1523"/>
      <c r="H26" s="1524"/>
      <c r="I26" s="365"/>
      <c r="J26" s="113"/>
      <c r="K26" s="59"/>
      <c r="L26" s="59"/>
      <c r="M26" s="59"/>
      <c r="N26" s="60"/>
      <c r="O26" s="60"/>
    </row>
    <row r="27" spans="1:25" ht="18.350000000000001">
      <c r="A27" s="364"/>
      <c r="C27" s="91"/>
      <c r="D27" s="374"/>
      <c r="E27" s="376"/>
      <c r="F27" s="376"/>
      <c r="G27" s="376"/>
      <c r="H27" s="376"/>
      <c r="I27" s="365"/>
      <c r="J27" s="113"/>
      <c r="K27" s="59"/>
      <c r="L27" s="59"/>
      <c r="M27" s="59" t="s">
        <v>1269</v>
      </c>
      <c r="N27" s="60"/>
      <c r="O27" s="60"/>
    </row>
    <row r="28" spans="1:25" ht="18.350000000000001">
      <c r="A28" s="364"/>
      <c r="C28" s="91"/>
      <c r="D28" s="374"/>
      <c r="E28" s="376"/>
      <c r="F28" s="376"/>
      <c r="G28" s="376"/>
      <c r="H28" s="376"/>
      <c r="I28" s="365"/>
      <c r="J28" s="113"/>
      <c r="K28" s="59"/>
      <c r="L28" s="59"/>
      <c r="M28" s="59"/>
      <c r="N28" s="60"/>
      <c r="O28" s="60"/>
    </row>
    <row r="29" spans="1:25" ht="18.350000000000001">
      <c r="A29" s="373" t="s">
        <v>2787</v>
      </c>
      <c r="B29" s="1532" t="s">
        <v>2788</v>
      </c>
      <c r="C29" s="1532"/>
      <c r="D29" s="1532"/>
      <c r="E29" s="376"/>
      <c r="F29" s="376"/>
      <c r="G29" s="376"/>
      <c r="H29" s="376"/>
      <c r="I29" s="365"/>
      <c r="J29" s="113"/>
      <c r="K29" s="59"/>
      <c r="L29" s="59"/>
      <c r="M29" s="59"/>
      <c r="N29" s="60"/>
      <c r="O29" s="60"/>
    </row>
    <row r="30" spans="1:25" ht="18.350000000000001">
      <c r="A30" s="665" t="s">
        <v>5570</v>
      </c>
      <c r="B30" s="859"/>
      <c r="C30" s="91"/>
      <c r="D30" s="374"/>
      <c r="E30" s="376"/>
      <c r="F30" s="376"/>
      <c r="G30" s="376"/>
      <c r="H30" s="376"/>
      <c r="I30" s="365"/>
      <c r="J30" s="113"/>
      <c r="K30" s="59"/>
      <c r="L30" s="59"/>
      <c r="M30" s="59"/>
      <c r="N30" s="60"/>
      <c r="O30" s="60"/>
      <c r="X30" s="1122" t="b">
        <v>0</v>
      </c>
    </row>
    <row r="31" spans="1:25" ht="18.350000000000001">
      <c r="A31" s="665" t="s">
        <v>6129</v>
      </c>
      <c r="B31" s="859"/>
      <c r="C31" s="91"/>
      <c r="D31" s="374"/>
      <c r="E31" s="376"/>
      <c r="F31" s="376"/>
      <c r="G31" s="376"/>
      <c r="H31" s="376"/>
      <c r="I31" s="365"/>
      <c r="J31" s="113"/>
      <c r="K31" s="59"/>
      <c r="L31" s="59"/>
      <c r="M31" s="59"/>
      <c r="N31" s="60"/>
      <c r="O31" s="60"/>
      <c r="X31" t="b">
        <v>0</v>
      </c>
    </row>
    <row r="32" spans="1:25" ht="18.350000000000001">
      <c r="A32" s="665"/>
      <c r="B32" s="859"/>
      <c r="C32" s="91"/>
      <c r="D32" s="374"/>
      <c r="E32" s="376"/>
      <c r="F32" s="376"/>
      <c r="G32" s="376"/>
      <c r="H32" s="376"/>
      <c r="I32" s="365"/>
      <c r="J32" s="113"/>
      <c r="K32" s="59"/>
      <c r="L32" s="59"/>
      <c r="M32" s="59"/>
      <c r="N32" s="60"/>
      <c r="O32" s="60"/>
    </row>
    <row r="33" spans="1:15" ht="19.05" thickBot="1">
      <c r="A33" s="665"/>
      <c r="B33" s="859"/>
      <c r="C33" s="91"/>
      <c r="D33" s="374"/>
      <c r="E33" s="376"/>
      <c r="F33" s="376"/>
      <c r="G33" s="376"/>
      <c r="H33" s="376"/>
      <c r="I33" s="365"/>
      <c r="J33" s="113"/>
      <c r="K33" s="59"/>
      <c r="L33" s="59"/>
      <c r="M33" s="59"/>
      <c r="N33" s="60"/>
      <c r="O33" s="60"/>
    </row>
    <row r="34" spans="1:15" ht="20.399999999999999">
      <c r="A34" s="862" t="s">
        <v>2780</v>
      </c>
      <c r="B34" s="860">
        <f ca="1">Kémia!$J$504+Clinomics!$F$66+Csomagok!$D$1088</f>
        <v>0</v>
      </c>
      <c r="C34" s="94"/>
      <c r="D34" s="391" t="s">
        <v>2781</v>
      </c>
      <c r="E34" s="861">
        <f>IF($B$29=Legordulo!$A$20, Legordulo!$C$20, IF($B$29=Legordulo!$A$21, Legordulo!$C$21, IF($B$29=Legordulo!$A$22, Legordulo!$C$22, IF($B$29=Legordulo!$A$23, Legordulo!$C$23, IF($B$29=Legordulo!$A$24, Legordulo!$C$24, "")))))</f>
        <v>3500</v>
      </c>
      <c r="F34" s="868">
        <f ca="1">B34+E34+E35+E36+E37+E39</f>
        <v>3500</v>
      </c>
      <c r="G34" s="773"/>
      <c r="H34" s="773"/>
      <c r="I34" s="366"/>
      <c r="J34" s="113"/>
      <c r="K34" s="59"/>
      <c r="L34" s="59"/>
      <c r="M34" s="59"/>
      <c r="N34" s="60"/>
      <c r="O34" s="60"/>
    </row>
    <row r="35" spans="1:15" ht="18.350000000000001">
      <c r="A35" s="364"/>
      <c r="B35" s="362"/>
      <c r="C35" s="91"/>
      <c r="D35" s="378" t="s">
        <v>2829</v>
      </c>
      <c r="E35" s="666">
        <f>IF($H$6="SÜRGŐS",5750,0)</f>
        <v>0</v>
      </c>
      <c r="F35" s="376"/>
      <c r="G35" s="376"/>
      <c r="H35" s="376"/>
      <c r="I35" s="365"/>
      <c r="J35" s="113"/>
      <c r="K35" s="59"/>
      <c r="L35" s="59"/>
      <c r="M35" s="59"/>
      <c r="N35" s="60"/>
      <c r="O35" s="60"/>
    </row>
    <row r="36" spans="1:15" ht="18.350000000000001">
      <c r="A36" s="364"/>
      <c r="B36" s="362"/>
      <c r="C36" s="91"/>
      <c r="D36" s="378" t="s">
        <v>5571</v>
      </c>
      <c r="E36" s="666">
        <f>IF($X$30=TRUE,1000,0)</f>
        <v>0</v>
      </c>
      <c r="F36" s="376"/>
      <c r="G36" s="376"/>
      <c r="H36" s="376"/>
      <c r="I36" s="365"/>
      <c r="J36" s="113"/>
      <c r="K36" s="59"/>
      <c r="L36" s="59"/>
      <c r="M36" s="59"/>
      <c r="N36" s="60"/>
      <c r="O36" s="60"/>
    </row>
    <row r="37" spans="1:15" ht="18.350000000000001">
      <c r="A37" s="364"/>
      <c r="B37" s="362"/>
      <c r="C37" s="91"/>
      <c r="D37" s="1509" t="s">
        <v>2831</v>
      </c>
      <c r="E37" s="667">
        <f>IF($X$7=TRUE,5000,0)</f>
        <v>0</v>
      </c>
      <c r="F37" s="376"/>
      <c r="G37" s="376"/>
      <c r="H37" s="376"/>
      <c r="I37" s="365"/>
      <c r="J37" s="113"/>
      <c r="K37" s="59"/>
      <c r="L37" s="59"/>
      <c r="M37" s="59"/>
      <c r="N37" s="60"/>
      <c r="O37" s="60"/>
    </row>
    <row r="38" spans="1:15" ht="18.350000000000001">
      <c r="A38" s="364"/>
      <c r="B38" s="362"/>
      <c r="C38" s="91"/>
      <c r="D38" s="1509"/>
      <c r="E38" s="667"/>
      <c r="F38" s="376"/>
      <c r="G38" s="376"/>
      <c r="H38" s="376"/>
      <c r="I38" s="365"/>
      <c r="J38" s="113"/>
      <c r="K38" s="59"/>
      <c r="L38" s="59"/>
      <c r="M38" s="59"/>
      <c r="N38" s="60"/>
      <c r="O38" s="60"/>
    </row>
    <row r="39" spans="1:15" ht="32.6" thickBot="1">
      <c r="A39" s="874"/>
      <c r="B39" s="875"/>
      <c r="C39" s="876"/>
      <c r="D39" s="775" t="s">
        <v>6028</v>
      </c>
      <c r="E39" s="877">
        <f>IF($X$31=TRUE,500,0)</f>
        <v>0</v>
      </c>
      <c r="F39" s="771"/>
      <c r="G39" s="771"/>
      <c r="H39" s="771"/>
      <c r="I39" s="878"/>
      <c r="J39" s="113"/>
      <c r="K39" s="59"/>
      <c r="L39" s="59"/>
      <c r="M39" s="59"/>
      <c r="N39" s="60"/>
      <c r="O39" s="60"/>
    </row>
    <row r="40" spans="1:15" ht="22.1" customHeight="1">
      <c r="A40" s="1495" t="s">
        <v>2813</v>
      </c>
      <c r="B40" s="1496"/>
      <c r="C40" s="1496"/>
      <c r="D40" s="1496"/>
      <c r="E40" s="1496"/>
      <c r="F40" s="1496"/>
      <c r="G40" s="387"/>
      <c r="H40" s="387"/>
      <c r="I40" s="388"/>
      <c r="J40" s="1423"/>
      <c r="K40" s="1238"/>
      <c r="L40" s="1238"/>
      <c r="M40" s="1238"/>
    </row>
    <row r="41" spans="1:15" ht="13.95" customHeight="1">
      <c r="A41" s="1458" t="str">
        <f>IF(Kémia!S518="","",Kémia!S518)</f>
        <v/>
      </c>
      <c r="B41" s="1459"/>
      <c r="C41" s="1459"/>
      <c r="D41" s="1459"/>
      <c r="E41" s="1459"/>
      <c r="F41" s="1459"/>
      <c r="G41" s="1459"/>
      <c r="H41" s="1459"/>
      <c r="I41" s="1460"/>
      <c r="J41" s="1421"/>
      <c r="K41" s="1238"/>
      <c r="L41" s="1238"/>
      <c r="M41" s="1238"/>
    </row>
    <row r="42" spans="1:15" ht="13.95" customHeight="1">
      <c r="A42" s="1458"/>
      <c r="B42" s="1459"/>
      <c r="C42" s="1459"/>
      <c r="D42" s="1459"/>
      <c r="E42" s="1459"/>
      <c r="F42" s="1459"/>
      <c r="G42" s="1459"/>
      <c r="H42" s="1459"/>
      <c r="I42" s="1460"/>
      <c r="J42" s="64"/>
      <c r="K42" s="64"/>
    </row>
    <row r="43" spans="1:15" ht="13.95" customHeight="1">
      <c r="A43" s="1458"/>
      <c r="B43" s="1459"/>
      <c r="C43" s="1459"/>
      <c r="D43" s="1459"/>
      <c r="E43" s="1459"/>
      <c r="F43" s="1459"/>
      <c r="G43" s="1459"/>
      <c r="H43" s="1459"/>
      <c r="I43" s="1460"/>
      <c r="J43" s="64"/>
      <c r="K43" s="64"/>
    </row>
    <row r="44" spans="1:15" ht="13.95" customHeight="1">
      <c r="A44" s="1458"/>
      <c r="B44" s="1459"/>
      <c r="C44" s="1459"/>
      <c r="D44" s="1459"/>
      <c r="E44" s="1459"/>
      <c r="F44" s="1459"/>
      <c r="G44" s="1459"/>
      <c r="H44" s="1459"/>
      <c r="I44" s="1460"/>
      <c r="J44" s="64"/>
      <c r="K44" s="64"/>
    </row>
    <row r="45" spans="1:15" ht="13.95" customHeight="1">
      <c r="A45" s="1458"/>
      <c r="B45" s="1459"/>
      <c r="C45" s="1459"/>
      <c r="D45" s="1459"/>
      <c r="E45" s="1459"/>
      <c r="F45" s="1459"/>
      <c r="G45" s="1459"/>
      <c r="H45" s="1459"/>
      <c r="I45" s="1460"/>
      <c r="J45" s="64"/>
      <c r="K45" s="64"/>
    </row>
    <row r="46" spans="1:15" ht="13.95" customHeight="1">
      <c r="A46" s="1458"/>
      <c r="B46" s="1459"/>
      <c r="C46" s="1459"/>
      <c r="D46" s="1459"/>
      <c r="E46" s="1459"/>
      <c r="F46" s="1459"/>
      <c r="G46" s="1459"/>
      <c r="H46" s="1459"/>
      <c r="I46" s="1460"/>
      <c r="J46" s="64"/>
      <c r="K46" s="64"/>
    </row>
    <row r="47" spans="1:15" ht="14.45" customHeight="1" thickBot="1">
      <c r="A47" s="1468"/>
      <c r="B47" s="1469"/>
      <c r="C47" s="1469"/>
      <c r="D47" s="1469"/>
      <c r="E47" s="1469"/>
      <c r="F47" s="1469"/>
      <c r="G47" s="1469"/>
      <c r="H47" s="1469"/>
      <c r="I47" s="1470"/>
      <c r="J47" s="64"/>
      <c r="K47" s="64"/>
    </row>
    <row r="48" spans="1:15" ht="18.350000000000001" thickBot="1">
      <c r="A48" s="863" t="s">
        <v>461</v>
      </c>
      <c r="B48" s="864"/>
      <c r="C48" s="864"/>
      <c r="D48" s="865"/>
      <c r="E48" s="866"/>
      <c r="F48" s="864"/>
      <c r="G48" s="864"/>
      <c r="H48" s="864"/>
      <c r="I48" s="867"/>
      <c r="J48" s="363"/>
      <c r="K48" s="60"/>
      <c r="L48" s="60"/>
      <c r="M48" s="60"/>
      <c r="N48" s="60"/>
      <c r="O48" s="60"/>
    </row>
    <row r="49" spans="1:23" s="65" customFormat="1" ht="17.7">
      <c r="A49" s="381" t="s">
        <v>501</v>
      </c>
      <c r="B49" s="382"/>
      <c r="C49" s="382"/>
      <c r="D49" s="382"/>
      <c r="E49" s="382"/>
      <c r="F49" s="382"/>
      <c r="G49" s="382"/>
      <c r="H49" s="382"/>
      <c r="I49" s="383"/>
    </row>
    <row r="50" spans="1:23" ht="13.95" customHeight="1">
      <c r="A50" s="1458" t="str">
        <f>IF(Kémia!B476="nincs vizsgálat kiválasztva","",Kémia!B476)</f>
        <v/>
      </c>
      <c r="B50" s="1459"/>
      <c r="C50" s="1459"/>
      <c r="D50" s="1459"/>
      <c r="E50" s="1459"/>
      <c r="F50" s="1459"/>
      <c r="G50" s="1459"/>
      <c r="H50" s="1459"/>
      <c r="I50" s="1460"/>
      <c r="J50" s="1146"/>
      <c r="K50" s="1123"/>
      <c r="L50" s="1123"/>
      <c r="M50" s="1123"/>
      <c r="N50" s="65"/>
      <c r="O50" s="65"/>
      <c r="P50" s="65"/>
      <c r="Q50" s="65"/>
      <c r="R50" s="65"/>
      <c r="S50" s="65"/>
      <c r="T50" s="65"/>
      <c r="U50" s="65"/>
      <c r="V50" s="65"/>
      <c r="W50" s="65"/>
    </row>
    <row r="51" spans="1:23" ht="13.95" customHeight="1">
      <c r="A51" s="1458"/>
      <c r="B51" s="1459"/>
      <c r="C51" s="1459"/>
      <c r="D51" s="1459"/>
      <c r="E51" s="1459"/>
      <c r="F51" s="1459"/>
      <c r="G51" s="1459"/>
      <c r="H51" s="1459"/>
      <c r="I51" s="1460"/>
      <c r="J51" s="1123"/>
      <c r="K51" s="1123"/>
      <c r="L51" s="1123"/>
      <c r="M51" s="1123"/>
      <c r="N51" s="65"/>
      <c r="O51" s="65"/>
      <c r="P51" s="65"/>
      <c r="Q51" s="65"/>
      <c r="R51" s="65"/>
      <c r="S51" s="65"/>
      <c r="T51" s="65"/>
      <c r="U51" s="65"/>
      <c r="V51" s="65"/>
      <c r="W51" s="65"/>
    </row>
    <row r="52" spans="1:23" ht="13.95" customHeight="1">
      <c r="A52" s="1458"/>
      <c r="B52" s="1459"/>
      <c r="C52" s="1459"/>
      <c r="D52" s="1459"/>
      <c r="E52" s="1459"/>
      <c r="F52" s="1459"/>
      <c r="G52" s="1459"/>
      <c r="H52" s="1459"/>
      <c r="I52" s="1460"/>
      <c r="J52" s="1123"/>
      <c r="K52" s="1123"/>
      <c r="L52" s="1123"/>
      <c r="M52" s="1123"/>
      <c r="N52" s="65"/>
      <c r="O52" s="65"/>
      <c r="P52" s="65"/>
      <c r="Q52" s="65"/>
      <c r="R52" s="65"/>
      <c r="S52" s="65"/>
      <c r="T52" s="65"/>
      <c r="U52" s="65"/>
      <c r="V52" s="65"/>
      <c r="W52" s="65"/>
    </row>
    <row r="53" spans="1:23" ht="13.95" customHeight="1">
      <c r="A53" s="1458"/>
      <c r="B53" s="1459"/>
      <c r="C53" s="1459"/>
      <c r="D53" s="1459"/>
      <c r="E53" s="1459"/>
      <c r="F53" s="1459"/>
      <c r="G53" s="1459"/>
      <c r="H53" s="1459"/>
      <c r="I53" s="1460"/>
      <c r="J53" s="1123"/>
      <c r="K53" s="1123"/>
      <c r="L53" s="1123"/>
      <c r="M53" s="1123"/>
      <c r="N53" s="65"/>
      <c r="O53" s="65"/>
      <c r="P53" s="65"/>
      <c r="Q53" s="65"/>
      <c r="R53" s="65"/>
      <c r="S53" s="65"/>
      <c r="T53" s="65"/>
      <c r="U53" s="65"/>
      <c r="V53" s="65"/>
      <c r="W53" s="65"/>
    </row>
    <row r="54" spans="1:23" ht="13.95" customHeight="1">
      <c r="A54" s="1458"/>
      <c r="B54" s="1459"/>
      <c r="C54" s="1459"/>
      <c r="D54" s="1459"/>
      <c r="E54" s="1459"/>
      <c r="F54" s="1459"/>
      <c r="G54" s="1459"/>
      <c r="H54" s="1459"/>
      <c r="I54" s="1460"/>
      <c r="J54" s="1123"/>
      <c r="K54" s="1123"/>
      <c r="L54" s="1123"/>
      <c r="M54" s="1123"/>
      <c r="N54" s="65"/>
      <c r="O54" s="65"/>
      <c r="P54" s="65"/>
      <c r="Q54" s="65"/>
      <c r="R54" s="65"/>
      <c r="S54" s="65"/>
      <c r="T54" s="65"/>
      <c r="U54" s="65"/>
      <c r="V54" s="65"/>
      <c r="W54" s="65"/>
    </row>
    <row r="55" spans="1:23" ht="13.95" customHeight="1">
      <c r="A55" s="1458"/>
      <c r="B55" s="1459"/>
      <c r="C55" s="1459"/>
      <c r="D55" s="1459"/>
      <c r="E55" s="1459"/>
      <c r="F55" s="1459"/>
      <c r="G55" s="1459"/>
      <c r="H55" s="1459"/>
      <c r="I55" s="1460"/>
      <c r="J55" s="1146"/>
      <c r="K55" s="1123"/>
      <c r="L55" s="1123"/>
      <c r="M55" s="1123"/>
      <c r="N55" s="65"/>
      <c r="O55" s="65"/>
      <c r="P55" s="65"/>
      <c r="Q55" s="65"/>
      <c r="R55" s="65"/>
      <c r="S55" s="65"/>
      <c r="T55" s="65"/>
      <c r="U55" s="65"/>
      <c r="V55" s="65"/>
      <c r="W55" s="65"/>
    </row>
    <row r="56" spans="1:23" ht="13.95" customHeight="1">
      <c r="A56" s="1458"/>
      <c r="B56" s="1459"/>
      <c r="C56" s="1459"/>
      <c r="D56" s="1459"/>
      <c r="E56" s="1459"/>
      <c r="F56" s="1459"/>
      <c r="G56" s="1459"/>
      <c r="H56" s="1459"/>
      <c r="I56" s="1460"/>
      <c r="J56" s="1123"/>
      <c r="K56" s="1123"/>
      <c r="L56" s="1123"/>
      <c r="M56" s="1123"/>
      <c r="N56" s="65"/>
      <c r="O56" s="65"/>
      <c r="P56" s="65"/>
      <c r="Q56" s="65"/>
      <c r="R56" s="65"/>
      <c r="S56" s="65"/>
      <c r="T56" s="65"/>
      <c r="U56" s="65"/>
      <c r="V56" s="65"/>
      <c r="W56" s="65"/>
    </row>
    <row r="57" spans="1:23" ht="13.95" customHeight="1">
      <c r="A57" s="1458"/>
      <c r="B57" s="1459"/>
      <c r="C57" s="1459"/>
      <c r="D57" s="1459"/>
      <c r="E57" s="1459"/>
      <c r="F57" s="1459"/>
      <c r="G57" s="1459"/>
      <c r="H57" s="1459"/>
      <c r="I57" s="1460"/>
      <c r="J57" s="1123"/>
      <c r="K57" s="1123"/>
      <c r="L57" s="1123"/>
      <c r="M57" s="1123"/>
      <c r="N57" s="65"/>
      <c r="O57" s="65"/>
      <c r="P57" s="65"/>
      <c r="Q57" s="65"/>
      <c r="R57" s="65"/>
      <c r="S57" s="65"/>
      <c r="T57" s="65"/>
      <c r="U57" s="65"/>
      <c r="V57" s="65"/>
      <c r="W57" s="65"/>
    </row>
    <row r="58" spans="1:23" ht="13.95" customHeight="1">
      <c r="A58" s="1458"/>
      <c r="B58" s="1459"/>
      <c r="C58" s="1459"/>
      <c r="D58" s="1459"/>
      <c r="E58" s="1459"/>
      <c r="F58" s="1459"/>
      <c r="G58" s="1459"/>
      <c r="H58" s="1459"/>
      <c r="I58" s="1460"/>
      <c r="J58" s="1123"/>
      <c r="K58" s="1123"/>
      <c r="L58" s="1123"/>
      <c r="M58" s="1123"/>
      <c r="N58" s="65"/>
      <c r="O58" s="65"/>
      <c r="P58" s="65"/>
      <c r="Q58" s="65"/>
      <c r="R58" s="65"/>
      <c r="S58" s="65"/>
      <c r="T58" s="65"/>
      <c r="U58" s="65"/>
      <c r="V58" s="65"/>
      <c r="W58" s="65"/>
    </row>
    <row r="59" spans="1:23" ht="13.95" customHeight="1">
      <c r="A59" s="1458"/>
      <c r="B59" s="1459"/>
      <c r="C59" s="1459"/>
      <c r="D59" s="1459"/>
      <c r="E59" s="1459"/>
      <c r="F59" s="1459"/>
      <c r="G59" s="1459"/>
      <c r="H59" s="1459"/>
      <c r="I59" s="1460"/>
      <c r="J59" s="1123"/>
      <c r="K59" s="1123"/>
      <c r="L59" s="1123"/>
      <c r="M59" s="1123"/>
      <c r="N59" s="65"/>
      <c r="O59" s="65"/>
      <c r="P59" s="65"/>
      <c r="Q59" s="65"/>
      <c r="R59" s="65"/>
      <c r="S59" s="65"/>
      <c r="T59" s="65"/>
      <c r="U59" s="65"/>
      <c r="V59" s="65"/>
      <c r="W59" s="65"/>
    </row>
    <row r="60" spans="1:23" ht="13.95" customHeight="1">
      <c r="A60" s="1458"/>
      <c r="B60" s="1459"/>
      <c r="C60" s="1459"/>
      <c r="D60" s="1459"/>
      <c r="E60" s="1459"/>
      <c r="F60" s="1459"/>
      <c r="G60" s="1459"/>
      <c r="H60" s="1459"/>
      <c r="I60" s="1460"/>
      <c r="J60" s="1123"/>
      <c r="K60" s="1123"/>
      <c r="L60" s="1123"/>
      <c r="M60" s="1123"/>
      <c r="N60" s="65"/>
      <c r="O60" s="65"/>
      <c r="P60" s="65"/>
      <c r="Q60" s="65"/>
      <c r="R60" s="65"/>
      <c r="S60" s="65"/>
      <c r="T60" s="65"/>
      <c r="U60" s="65"/>
      <c r="V60" s="65"/>
      <c r="W60" s="65"/>
    </row>
    <row r="61" spans="1:23" ht="13.95" customHeight="1">
      <c r="A61" s="1458"/>
      <c r="B61" s="1459"/>
      <c r="C61" s="1459"/>
      <c r="D61" s="1459"/>
      <c r="E61" s="1459"/>
      <c r="F61" s="1459"/>
      <c r="G61" s="1459"/>
      <c r="H61" s="1459"/>
      <c r="I61" s="1460"/>
      <c r="J61" s="1123"/>
      <c r="K61" s="1123"/>
      <c r="L61" s="1123"/>
      <c r="M61" s="1123"/>
      <c r="N61" s="65"/>
      <c r="O61" s="65"/>
      <c r="P61" s="65"/>
      <c r="Q61" s="65"/>
      <c r="R61" s="65"/>
      <c r="S61" s="65"/>
      <c r="T61" s="65"/>
      <c r="U61" s="65"/>
      <c r="V61" s="65"/>
      <c r="W61" s="65"/>
    </row>
    <row r="62" spans="1:23" ht="13.95" customHeight="1">
      <c r="A62" s="1458"/>
      <c r="B62" s="1459"/>
      <c r="C62" s="1459"/>
      <c r="D62" s="1459"/>
      <c r="E62" s="1459"/>
      <c r="F62" s="1459"/>
      <c r="G62" s="1459"/>
      <c r="H62" s="1459"/>
      <c r="I62" s="1460"/>
      <c r="J62" s="1123"/>
      <c r="K62" s="1123"/>
      <c r="L62" s="1123"/>
      <c r="M62" s="1146"/>
      <c r="N62" s="65"/>
      <c r="O62" s="65"/>
      <c r="P62" s="65"/>
      <c r="Q62" s="65"/>
      <c r="R62" s="65"/>
      <c r="S62" s="65"/>
      <c r="T62" s="65"/>
      <c r="U62" s="65"/>
      <c r="V62" s="65"/>
      <c r="W62" s="65"/>
    </row>
    <row r="63" spans="1:23" ht="13.95" customHeight="1">
      <c r="A63" s="1458"/>
      <c r="B63" s="1459"/>
      <c r="C63" s="1459"/>
      <c r="D63" s="1459"/>
      <c r="E63" s="1459"/>
      <c r="F63" s="1459"/>
      <c r="G63" s="1459"/>
      <c r="H63" s="1459"/>
      <c r="I63" s="1460"/>
      <c r="J63" s="1123"/>
      <c r="K63" s="1123"/>
      <c r="L63" s="1123"/>
      <c r="M63" s="1123"/>
      <c r="N63" s="65"/>
      <c r="O63" s="65"/>
      <c r="P63" s="65"/>
      <c r="Q63" s="65"/>
      <c r="R63" s="65"/>
      <c r="S63" s="65"/>
      <c r="T63" s="65"/>
      <c r="U63" s="65"/>
      <c r="V63" s="65"/>
      <c r="W63" s="65"/>
    </row>
    <row r="64" spans="1:23" ht="13.95" customHeight="1">
      <c r="A64" s="1458"/>
      <c r="B64" s="1459"/>
      <c r="C64" s="1459"/>
      <c r="D64" s="1459"/>
      <c r="E64" s="1459"/>
      <c r="F64" s="1459"/>
      <c r="G64" s="1459"/>
      <c r="H64" s="1459"/>
      <c r="I64" s="1460"/>
      <c r="J64" s="1123"/>
      <c r="K64" s="1123"/>
      <c r="L64" s="1123"/>
      <c r="M64" s="1123"/>
      <c r="N64" s="65"/>
      <c r="O64" s="65"/>
      <c r="P64" s="65"/>
      <c r="Q64" s="65"/>
      <c r="R64" s="65"/>
      <c r="S64" s="65"/>
      <c r="T64" s="65"/>
      <c r="U64" s="65"/>
      <c r="V64" s="65"/>
      <c r="W64" s="65"/>
    </row>
    <row r="65" spans="1:23" ht="13.95" customHeight="1">
      <c r="A65" s="1458"/>
      <c r="B65" s="1459"/>
      <c r="C65" s="1459"/>
      <c r="D65" s="1459"/>
      <c r="E65" s="1459"/>
      <c r="F65" s="1459"/>
      <c r="G65" s="1459"/>
      <c r="H65" s="1459"/>
      <c r="I65" s="1460"/>
      <c r="J65" s="1123"/>
      <c r="K65" s="1123"/>
      <c r="L65" s="1123"/>
      <c r="M65" s="1123"/>
      <c r="N65" s="65"/>
      <c r="O65" s="65"/>
      <c r="P65" s="65"/>
      <c r="Q65" s="65"/>
      <c r="R65" s="65"/>
      <c r="S65" s="65"/>
      <c r="T65" s="65"/>
      <c r="U65" s="65"/>
      <c r="V65" s="65"/>
      <c r="W65" s="65"/>
    </row>
    <row r="66" spans="1:23" ht="13.95" customHeight="1">
      <c r="A66" s="1458"/>
      <c r="B66" s="1459"/>
      <c r="C66" s="1459"/>
      <c r="D66" s="1459"/>
      <c r="E66" s="1459"/>
      <c r="F66" s="1459"/>
      <c r="G66" s="1459"/>
      <c r="H66" s="1459"/>
      <c r="I66" s="1460"/>
      <c r="J66" s="1123"/>
      <c r="K66" s="1123"/>
      <c r="L66" s="1123"/>
      <c r="M66" s="1123"/>
      <c r="N66" s="65"/>
      <c r="O66" s="65"/>
      <c r="P66" s="65"/>
      <c r="Q66" s="65"/>
      <c r="R66" s="65"/>
      <c r="S66" s="65"/>
      <c r="T66" s="65"/>
      <c r="U66" s="65"/>
      <c r="V66" s="65"/>
      <c r="W66" s="65"/>
    </row>
    <row r="67" spans="1:23" ht="13.95" customHeight="1">
      <c r="A67" s="1458"/>
      <c r="B67" s="1459"/>
      <c r="C67" s="1459"/>
      <c r="D67" s="1459"/>
      <c r="E67" s="1459"/>
      <c r="F67" s="1459"/>
      <c r="G67" s="1459"/>
      <c r="H67" s="1459"/>
      <c r="I67" s="1460"/>
      <c r="J67" s="1123"/>
      <c r="K67" s="1123"/>
      <c r="L67" s="1123"/>
      <c r="M67" s="1123"/>
      <c r="N67" s="65"/>
      <c r="O67" s="65"/>
      <c r="P67" s="65"/>
      <c r="Q67" s="65"/>
      <c r="R67" s="65"/>
      <c r="S67" s="65"/>
      <c r="T67" s="65"/>
      <c r="U67" s="65"/>
      <c r="V67" s="65"/>
      <c r="W67" s="65"/>
    </row>
    <row r="68" spans="1:23" ht="13.95" customHeight="1">
      <c r="A68" s="1458"/>
      <c r="B68" s="1459"/>
      <c r="C68" s="1459"/>
      <c r="D68" s="1459"/>
      <c r="E68" s="1459"/>
      <c r="F68" s="1459"/>
      <c r="G68" s="1459"/>
      <c r="H68" s="1459"/>
      <c r="I68" s="1460"/>
      <c r="J68" s="1123"/>
      <c r="K68" s="1123"/>
      <c r="L68" s="1123"/>
      <c r="M68" s="1123"/>
      <c r="N68" s="65"/>
      <c r="O68" s="65"/>
      <c r="P68" s="65"/>
      <c r="Q68" s="65"/>
      <c r="R68" s="65"/>
      <c r="S68" s="65"/>
      <c r="T68" s="65"/>
      <c r="U68" s="65"/>
      <c r="V68" s="65"/>
      <c r="W68" s="65"/>
    </row>
    <row r="69" spans="1:23" ht="13.95" customHeight="1">
      <c r="A69" s="1458"/>
      <c r="B69" s="1459"/>
      <c r="C69" s="1459"/>
      <c r="D69" s="1459"/>
      <c r="E69" s="1459"/>
      <c r="F69" s="1459"/>
      <c r="G69" s="1459"/>
      <c r="H69" s="1459"/>
      <c r="I69" s="1460"/>
      <c r="J69" s="1123"/>
      <c r="K69" s="1123"/>
      <c r="L69" s="1123"/>
      <c r="M69" s="1123"/>
      <c r="N69" s="65"/>
      <c r="O69" s="65"/>
      <c r="P69" s="65"/>
      <c r="Q69" s="65"/>
      <c r="R69" s="65"/>
      <c r="S69" s="65"/>
      <c r="T69" s="65"/>
      <c r="U69" s="65"/>
      <c r="V69" s="65"/>
      <c r="W69" s="65"/>
    </row>
    <row r="70" spans="1:23" ht="13.95" customHeight="1">
      <c r="A70" s="1458"/>
      <c r="B70" s="1459"/>
      <c r="C70" s="1459"/>
      <c r="D70" s="1459"/>
      <c r="E70" s="1459"/>
      <c r="F70" s="1459"/>
      <c r="G70" s="1459"/>
      <c r="H70" s="1459"/>
      <c r="I70" s="1460"/>
      <c r="J70" s="1123"/>
      <c r="K70" s="1123"/>
      <c r="L70" s="1123"/>
      <c r="M70" s="1123"/>
      <c r="N70" s="65"/>
      <c r="O70" s="65"/>
      <c r="P70" s="65"/>
      <c r="Q70" s="65"/>
      <c r="R70" s="65"/>
      <c r="S70" s="65"/>
      <c r="T70" s="65"/>
      <c r="U70" s="65"/>
      <c r="V70" s="65"/>
      <c r="W70" s="65"/>
    </row>
    <row r="71" spans="1:23" ht="13.95" customHeight="1">
      <c r="A71" s="1458"/>
      <c r="B71" s="1459"/>
      <c r="C71" s="1459"/>
      <c r="D71" s="1459"/>
      <c r="E71" s="1459"/>
      <c r="F71" s="1459"/>
      <c r="G71" s="1459"/>
      <c r="H71" s="1459"/>
      <c r="I71" s="1460"/>
      <c r="J71" s="1124"/>
      <c r="K71" s="1124"/>
      <c r="L71" s="1122"/>
      <c r="M71" s="1122"/>
    </row>
    <row r="72" spans="1:23" ht="13.95" customHeight="1">
      <c r="A72" s="1458"/>
      <c r="B72" s="1459"/>
      <c r="C72" s="1459"/>
      <c r="D72" s="1459"/>
      <c r="E72" s="1459"/>
      <c r="F72" s="1459"/>
      <c r="G72" s="1459"/>
      <c r="H72" s="1459"/>
      <c r="I72" s="1460"/>
      <c r="J72" s="1124"/>
      <c r="K72" s="1124"/>
      <c r="L72" s="1122"/>
      <c r="M72" s="1122"/>
    </row>
    <row r="73" spans="1:23" ht="13.95" customHeight="1">
      <c r="A73" s="1458"/>
      <c r="B73" s="1459"/>
      <c r="C73" s="1459"/>
      <c r="D73" s="1459"/>
      <c r="E73" s="1459"/>
      <c r="F73" s="1459"/>
      <c r="G73" s="1459"/>
      <c r="H73" s="1459"/>
      <c r="I73" s="1460"/>
      <c r="J73" s="1124"/>
      <c r="K73" s="1124"/>
      <c r="L73" s="1122"/>
      <c r="M73" s="1122"/>
    </row>
    <row r="74" spans="1:23" ht="13.95" customHeight="1" thickBot="1">
      <c r="A74" s="1458"/>
      <c r="B74" s="1459"/>
      <c r="C74" s="1459"/>
      <c r="D74" s="1459"/>
      <c r="E74" s="1459"/>
      <c r="F74" s="1459"/>
      <c r="G74" s="1459"/>
      <c r="H74" s="1459"/>
      <c r="I74" s="1460"/>
      <c r="J74" s="1124"/>
      <c r="K74" s="1124"/>
      <c r="L74" s="1122"/>
      <c r="M74" s="1122"/>
    </row>
    <row r="75" spans="1:23" ht="17.7">
      <c r="A75" s="381" t="s">
        <v>489</v>
      </c>
      <c r="B75" s="382"/>
      <c r="C75" s="382"/>
      <c r="D75" s="382"/>
      <c r="E75" s="382"/>
      <c r="F75" s="382"/>
      <c r="G75" s="382"/>
      <c r="H75" s="382"/>
      <c r="I75" s="383"/>
      <c r="J75" s="1124"/>
      <c r="K75" s="1124"/>
      <c r="L75" s="1122"/>
      <c r="M75" s="1122"/>
    </row>
    <row r="76" spans="1:23" ht="13.95" customHeight="1">
      <c r="A76" s="1458" t="str">
        <f>IF(Csomagok!A1077="nincs vizsgálat kiválasztva","",Csomagok!A1077)</f>
        <v/>
      </c>
      <c r="B76" s="1459"/>
      <c r="C76" s="1459"/>
      <c r="D76" s="1459"/>
      <c r="E76" s="1459"/>
      <c r="F76" s="1459"/>
      <c r="G76" s="1459"/>
      <c r="H76" s="1459"/>
      <c r="I76" s="1460"/>
      <c r="J76" s="1124"/>
      <c r="K76" s="1124"/>
      <c r="L76" s="1122"/>
      <c r="M76" s="1122"/>
    </row>
    <row r="77" spans="1:23" ht="13.95" customHeight="1">
      <c r="A77" s="1458"/>
      <c r="B77" s="1459"/>
      <c r="C77" s="1459"/>
      <c r="D77" s="1459"/>
      <c r="E77" s="1459"/>
      <c r="F77" s="1459"/>
      <c r="G77" s="1459"/>
      <c r="H77" s="1459"/>
      <c r="I77" s="1460"/>
      <c r="J77" s="1124"/>
      <c r="K77" s="1124"/>
      <c r="L77" s="1122"/>
      <c r="M77" s="1122"/>
    </row>
    <row r="78" spans="1:23" ht="13.95" customHeight="1">
      <c r="A78" s="1458"/>
      <c r="B78" s="1459"/>
      <c r="C78" s="1459"/>
      <c r="D78" s="1459"/>
      <c r="E78" s="1459"/>
      <c r="F78" s="1459"/>
      <c r="G78" s="1459"/>
      <c r="H78" s="1459"/>
      <c r="I78" s="1460"/>
      <c r="J78" s="1124"/>
      <c r="K78" s="1124"/>
      <c r="L78" s="1122"/>
      <c r="M78" s="1122"/>
    </row>
    <row r="79" spans="1:23" ht="13.95" customHeight="1">
      <c r="A79" s="1458"/>
      <c r="B79" s="1459"/>
      <c r="C79" s="1459"/>
      <c r="D79" s="1459"/>
      <c r="E79" s="1459"/>
      <c r="F79" s="1459"/>
      <c r="G79" s="1459"/>
      <c r="H79" s="1459"/>
      <c r="I79" s="1460"/>
      <c r="J79" s="1124"/>
      <c r="K79" s="1124"/>
      <c r="L79" s="1122"/>
      <c r="M79" s="1122"/>
    </row>
    <row r="80" spans="1:23" ht="13.95" customHeight="1">
      <c r="A80" s="1458"/>
      <c r="B80" s="1459"/>
      <c r="C80" s="1459"/>
      <c r="D80" s="1459"/>
      <c r="E80" s="1459"/>
      <c r="F80" s="1459"/>
      <c r="G80" s="1459"/>
      <c r="H80" s="1459"/>
      <c r="I80" s="1460"/>
      <c r="J80" s="1124"/>
      <c r="K80" s="1124"/>
      <c r="L80" s="1122"/>
      <c r="M80" s="1122"/>
    </row>
    <row r="81" spans="1:13" ht="13.95" customHeight="1">
      <c r="A81" s="1458"/>
      <c r="B81" s="1459"/>
      <c r="C81" s="1459"/>
      <c r="D81" s="1459"/>
      <c r="E81" s="1459"/>
      <c r="F81" s="1459"/>
      <c r="G81" s="1459"/>
      <c r="H81" s="1459"/>
      <c r="I81" s="1460"/>
      <c r="J81" s="1124"/>
      <c r="K81" s="1124"/>
      <c r="L81" s="1122"/>
      <c r="M81" s="1122"/>
    </row>
    <row r="82" spans="1:13" ht="16.149999999999999" customHeight="1" thickBot="1">
      <c r="A82" s="386"/>
      <c r="B82" s="138"/>
      <c r="C82" s="138"/>
      <c r="D82" s="138"/>
      <c r="E82" s="138"/>
      <c r="F82" s="138"/>
      <c r="G82" s="138"/>
      <c r="H82" s="138"/>
      <c r="I82" s="385"/>
      <c r="J82" s="1124"/>
      <c r="K82" s="1124"/>
      <c r="L82" s="1122"/>
      <c r="M82" s="1122"/>
    </row>
    <row r="83" spans="1:13" ht="16.149999999999999" customHeight="1">
      <c r="A83" s="381" t="s">
        <v>1137</v>
      </c>
      <c r="B83" s="389"/>
      <c r="C83" s="389"/>
      <c r="D83" s="389"/>
      <c r="E83" s="389"/>
      <c r="F83" s="389"/>
      <c r="G83" s="389"/>
      <c r="H83" s="389"/>
      <c r="I83" s="390"/>
      <c r="J83" s="1124"/>
      <c r="K83" s="1124"/>
      <c r="L83" s="1122"/>
      <c r="M83" s="1122"/>
    </row>
    <row r="84" spans="1:13" ht="13.95" customHeight="1">
      <c r="A84" s="1458" t="str">
        <f>IF(Clinomics!A55="nincs vizsgálat kiválasztva","",Clinomics!A55)</f>
        <v>-</v>
      </c>
      <c r="B84" s="1459"/>
      <c r="C84" s="1459"/>
      <c r="D84" s="1459"/>
      <c r="E84" s="1459"/>
      <c r="F84" s="1459"/>
      <c r="G84" s="1459"/>
      <c r="H84" s="1459"/>
      <c r="I84" s="1460"/>
      <c r="J84" s="1124"/>
      <c r="K84" s="1124"/>
      <c r="L84" s="1122"/>
      <c r="M84" s="1122"/>
    </row>
    <row r="85" spans="1:13" ht="13.95" customHeight="1">
      <c r="A85" s="1458"/>
      <c r="B85" s="1459"/>
      <c r="C85" s="1459"/>
      <c r="D85" s="1459"/>
      <c r="E85" s="1459"/>
      <c r="F85" s="1459"/>
      <c r="G85" s="1459"/>
      <c r="H85" s="1459"/>
      <c r="I85" s="1460"/>
      <c r="J85" s="1124"/>
      <c r="K85" s="1124"/>
      <c r="L85" s="1122"/>
      <c r="M85" s="1122"/>
    </row>
    <row r="86" spans="1:13" ht="13.95" customHeight="1">
      <c r="A86" s="1458"/>
      <c r="B86" s="1459"/>
      <c r="C86" s="1459"/>
      <c r="D86" s="1459"/>
      <c r="E86" s="1459"/>
      <c r="F86" s="1459"/>
      <c r="G86" s="1459"/>
      <c r="H86" s="1459"/>
      <c r="I86" s="1460"/>
      <c r="J86" s="1124"/>
      <c r="K86" s="1124"/>
      <c r="L86" s="1122"/>
      <c r="M86" s="1122"/>
    </row>
    <row r="87" spans="1:13" ht="13.95" customHeight="1">
      <c r="A87" s="1458"/>
      <c r="B87" s="1459"/>
      <c r="C87" s="1459"/>
      <c r="D87" s="1459"/>
      <c r="E87" s="1459"/>
      <c r="F87" s="1459"/>
      <c r="G87" s="1459"/>
      <c r="H87" s="1459"/>
      <c r="I87" s="1460"/>
      <c r="J87" s="1124"/>
      <c r="K87" s="1124"/>
      <c r="L87" s="1122"/>
      <c r="M87" s="1122"/>
    </row>
    <row r="88" spans="1:13" ht="13.95" customHeight="1">
      <c r="A88" s="1458"/>
      <c r="B88" s="1459"/>
      <c r="C88" s="1459"/>
      <c r="D88" s="1459"/>
      <c r="E88" s="1459"/>
      <c r="F88" s="1459"/>
      <c r="G88" s="1459"/>
      <c r="H88" s="1459"/>
      <c r="I88" s="1460"/>
      <c r="J88" s="1124"/>
      <c r="K88" s="1124"/>
      <c r="L88" s="1122"/>
      <c r="M88" s="1122"/>
    </row>
    <row r="89" spans="1:13" ht="14.95" customHeight="1">
      <c r="A89" s="1458"/>
      <c r="B89" s="1459"/>
      <c r="C89" s="1459"/>
      <c r="D89" s="1459"/>
      <c r="E89" s="1459"/>
      <c r="F89" s="1459"/>
      <c r="G89" s="1459"/>
      <c r="H89" s="1459"/>
      <c r="I89" s="1460"/>
      <c r="J89" s="1125"/>
      <c r="K89" s="1124"/>
      <c r="L89" s="1122"/>
      <c r="M89" s="1122"/>
    </row>
    <row r="90" spans="1:13" ht="14.95" customHeight="1" thickBot="1">
      <c r="A90" s="1468"/>
      <c r="B90" s="1469"/>
      <c r="C90" s="1469"/>
      <c r="D90" s="1469"/>
      <c r="E90" s="1469"/>
      <c r="F90" s="1469"/>
      <c r="G90" s="1469"/>
      <c r="H90" s="1469"/>
      <c r="I90" s="1470"/>
      <c r="J90" s="1125"/>
      <c r="K90" s="1124"/>
      <c r="L90" s="1122"/>
      <c r="M90" s="1122"/>
    </row>
    <row r="91" spans="1:13" ht="28.9" customHeight="1">
      <c r="A91" s="1497" t="s">
        <v>2814</v>
      </c>
      <c r="B91" s="1498"/>
      <c r="C91" s="1498"/>
      <c r="D91" s="1498"/>
      <c r="E91" s="1498"/>
      <c r="F91" s="1498"/>
      <c r="G91" s="871"/>
      <c r="H91" s="871"/>
      <c r="I91" s="872"/>
      <c r="J91" s="1124"/>
      <c r="K91" s="1124"/>
      <c r="L91" s="1122"/>
      <c r="M91" s="1122"/>
    </row>
    <row r="92" spans="1:13" s="65" customFormat="1" ht="15.65">
      <c r="A92" s="1539" t="str">
        <f>IF(Clinomics!J83="","",Clinomics!J83)</f>
        <v/>
      </c>
      <c r="B92" s="1540"/>
      <c r="C92" s="1540"/>
      <c r="D92" s="1540"/>
      <c r="E92" s="1540"/>
      <c r="F92" s="1540"/>
      <c r="G92" s="1540"/>
      <c r="H92" s="1540"/>
      <c r="I92" s="873"/>
      <c r="J92" s="1123"/>
      <c r="K92" s="1123"/>
      <c r="L92" s="1123"/>
      <c r="M92" s="1123"/>
    </row>
    <row r="93" spans="1:13" ht="16.3" thickBot="1">
      <c r="A93" s="1541"/>
      <c r="B93" s="1542"/>
      <c r="C93" s="1542"/>
      <c r="D93" s="1542"/>
      <c r="E93" s="1542"/>
      <c r="F93" s="1542"/>
      <c r="G93" s="1542"/>
      <c r="H93" s="1542"/>
      <c r="I93" s="774"/>
      <c r="J93" s="1124"/>
      <c r="K93" s="1124"/>
      <c r="L93" s="1122"/>
      <c r="M93" s="1122"/>
    </row>
    <row r="94" spans="1:13" ht="15.65" hidden="1">
      <c r="A94" s="433" t="s">
        <v>2780</v>
      </c>
      <c r="B94" s="1492">
        <f ca="1">Kémia!$J$504+Clinomics!$F$66+Csomagok!$D$1088</f>
        <v>0</v>
      </c>
      <c r="C94" s="1492"/>
      <c r="D94" s="391" t="s">
        <v>2781</v>
      </c>
      <c r="E94" s="770">
        <f>IF($B$29=Legordulo!$A$20, Legordulo!$C$20, IF($B$29=Legordulo!$A$21, Legordulo!$C$21, IF($B$29=Legordulo!$A$22, Legordulo!$C$22, IF($B$29=Legordulo!$A$23, Legordulo!$C$23, ""))))</f>
        <v>3500</v>
      </c>
      <c r="F94" s="668">
        <f ca="1">B94+E94+E263+E265+E264</f>
        <v>3500</v>
      </c>
      <c r="G94" s="391"/>
      <c r="H94" s="391"/>
      <c r="I94" s="392"/>
      <c r="J94" s="1125"/>
      <c r="K94" s="1124"/>
      <c r="L94" s="1122"/>
      <c r="M94" s="1122"/>
    </row>
    <row r="95" spans="1:13" ht="14.95" hidden="1" customHeight="1">
      <c r="A95" s="362"/>
      <c r="B95" s="432"/>
      <c r="C95" s="432"/>
      <c r="D95" s="378"/>
      <c r="E95" s="539"/>
      <c r="F95" s="378"/>
      <c r="G95" s="378"/>
      <c r="H95" s="378"/>
      <c r="I95" s="395"/>
      <c r="J95" s="1125"/>
      <c r="K95" s="1124"/>
      <c r="L95" s="1122"/>
      <c r="M95" s="1122"/>
    </row>
    <row r="96" spans="1:13" s="65" customFormat="1" ht="23.95" hidden="1" customHeight="1">
      <c r="A96" s="434" t="s">
        <v>451</v>
      </c>
      <c r="B96" s="394"/>
      <c r="C96" s="378"/>
      <c r="D96" s="378"/>
      <c r="E96" s="378"/>
      <c r="F96" s="1543">
        <f ca="1">B94+E94</f>
        <v>3500</v>
      </c>
      <c r="G96" s="1543"/>
      <c r="H96" s="1543"/>
      <c r="I96" s="1544"/>
      <c r="J96" s="1126"/>
      <c r="K96" s="1123"/>
      <c r="L96" s="1123"/>
      <c r="M96" s="1123"/>
    </row>
    <row r="97" spans="1:13" ht="14.95" hidden="1" customHeight="1">
      <c r="A97" s="393"/>
      <c r="B97" s="394"/>
      <c r="C97" s="378"/>
      <c r="D97" s="378"/>
      <c r="E97" s="1482" t="s">
        <v>504</v>
      </c>
      <c r="F97" s="1482"/>
      <c r="G97" s="396"/>
      <c r="H97" s="396"/>
      <c r="I97" s="397"/>
      <c r="J97" s="1125"/>
      <c r="K97" s="1124"/>
      <c r="L97" s="1122"/>
      <c r="M97" s="1122"/>
    </row>
    <row r="98" spans="1:13" ht="14.95" hidden="1" customHeight="1">
      <c r="A98" s="393"/>
      <c r="B98" s="394"/>
      <c r="C98" s="378"/>
      <c r="D98" s="378"/>
      <c r="E98" s="1482"/>
      <c r="F98" s="1482"/>
      <c r="G98" s="396"/>
      <c r="H98" s="396"/>
      <c r="I98" s="397"/>
      <c r="J98" s="1125"/>
      <c r="K98" s="1124"/>
      <c r="L98" s="1122"/>
      <c r="M98" s="1122"/>
    </row>
    <row r="99" spans="1:13" ht="14.95" hidden="1" customHeight="1">
      <c r="A99" s="393" t="s">
        <v>530</v>
      </c>
      <c r="B99" s="398">
        <f ca="1">TODAY()</f>
        <v>45968</v>
      </c>
      <c r="C99" s="378"/>
      <c r="D99" s="378"/>
      <c r="E99" s="1482"/>
      <c r="F99" s="1482"/>
      <c r="G99" s="396"/>
      <c r="H99" s="396"/>
      <c r="I99" s="397"/>
      <c r="J99" s="1125"/>
      <c r="K99" s="1124"/>
      <c r="L99" s="1122"/>
      <c r="M99" s="1122"/>
    </row>
    <row r="100" spans="1:13" s="83" customFormat="1" ht="14.95" hidden="1" customHeight="1">
      <c r="A100" s="393"/>
      <c r="B100" s="394"/>
      <c r="C100" s="394"/>
      <c r="D100" s="378"/>
      <c r="E100" s="1482"/>
      <c r="F100" s="1482"/>
      <c r="G100" s="396"/>
      <c r="H100" s="396"/>
      <c r="I100" s="397"/>
      <c r="J100" s="1127"/>
      <c r="K100" s="1128"/>
      <c r="L100" s="1128"/>
      <c r="M100" s="1128"/>
    </row>
    <row r="101" spans="1:13" s="65" customFormat="1" ht="14.95" hidden="1" customHeight="1">
      <c r="A101" s="399"/>
      <c r="B101" s="378"/>
      <c r="C101" s="394"/>
      <c r="D101" s="378"/>
      <c r="E101" s="1482" t="s">
        <v>503</v>
      </c>
      <c r="F101" s="1482"/>
      <c r="G101" s="400"/>
      <c r="H101" s="400"/>
      <c r="I101" s="401"/>
      <c r="J101" s="1126"/>
      <c r="K101" s="1123"/>
      <c r="L101" s="1123"/>
      <c r="M101" s="1123"/>
    </row>
    <row r="102" spans="1:13" s="65" customFormat="1" ht="14.95" hidden="1" customHeight="1">
      <c r="A102" s="399"/>
      <c r="B102" s="378"/>
      <c r="C102" s="394"/>
      <c r="D102" s="378"/>
      <c r="E102" s="541"/>
      <c r="F102" s="400"/>
      <c r="G102" s="400"/>
      <c r="H102" s="400"/>
      <c r="I102" s="401"/>
      <c r="J102" s="1126"/>
      <c r="K102" s="1123"/>
      <c r="L102" s="1123"/>
      <c r="M102" s="1123"/>
    </row>
    <row r="103" spans="1:13" s="65" customFormat="1" ht="14.95" hidden="1" customHeight="1">
      <c r="A103" s="399"/>
      <c r="B103" s="378"/>
      <c r="C103" s="394"/>
      <c r="D103" s="378"/>
      <c r="E103" s="541"/>
      <c r="F103" s="400"/>
      <c r="G103" s="400"/>
      <c r="H103" s="400"/>
      <c r="I103" s="401"/>
      <c r="J103" s="1126"/>
      <c r="K103" s="1123"/>
      <c r="L103" s="1123"/>
      <c r="M103" s="1123"/>
    </row>
    <row r="104" spans="1:13" s="65" customFormat="1" ht="14.95" hidden="1" customHeight="1">
      <c r="A104" s="399"/>
      <c r="B104" s="378"/>
      <c r="C104" s="394"/>
      <c r="D104" s="378"/>
      <c r="E104" s="541"/>
      <c r="F104" s="400"/>
      <c r="G104" s="400"/>
      <c r="H104" s="400"/>
      <c r="I104" s="401"/>
      <c r="J104" s="1126"/>
      <c r="K104" s="1123"/>
      <c r="L104" s="1123"/>
      <c r="M104" s="1123"/>
    </row>
    <row r="105" spans="1:13" s="65" customFormat="1" ht="13.95" hidden="1" customHeight="1">
      <c r="A105" s="402"/>
      <c r="B105" s="377"/>
      <c r="C105" s="377"/>
      <c r="D105" s="377"/>
      <c r="E105" s="377"/>
      <c r="F105" s="377"/>
      <c r="G105" s="377"/>
      <c r="H105" s="377"/>
      <c r="I105" s="403"/>
      <c r="J105" s="1126"/>
      <c r="K105" s="1123"/>
      <c r="L105" s="1123"/>
      <c r="M105" s="1123"/>
    </row>
    <row r="106" spans="1:13" s="65" customFormat="1" ht="14.95" hidden="1" customHeight="1">
      <c r="A106" s="1443"/>
      <c r="B106" s="378"/>
      <c r="C106" s="405"/>
      <c r="D106" s="378"/>
      <c r="E106" s="378"/>
      <c r="F106" s="378" t="s">
        <v>1152</v>
      </c>
      <c r="G106" s="378"/>
      <c r="H106" s="378"/>
      <c r="I106" s="406"/>
      <c r="J106" s="1126"/>
      <c r="K106" s="1123"/>
      <c r="L106" s="1123"/>
      <c r="M106" s="1123"/>
    </row>
    <row r="107" spans="1:13" s="65" customFormat="1" ht="14.95" hidden="1" customHeight="1">
      <c r="A107" s="1443"/>
      <c r="B107" s="378"/>
      <c r="C107" s="405"/>
      <c r="D107" s="378"/>
      <c r="E107" s="378"/>
      <c r="F107" s="378" t="s">
        <v>943</v>
      </c>
      <c r="G107" s="378"/>
      <c r="H107" s="378"/>
      <c r="I107" s="406"/>
      <c r="J107" s="1126"/>
      <c r="K107" s="1123"/>
      <c r="L107" s="1123"/>
      <c r="M107" s="1123"/>
    </row>
    <row r="108" spans="1:13" s="65" customFormat="1" ht="20.399999999999999" hidden="1" customHeight="1">
      <c r="A108" s="1443"/>
      <c r="B108" s="1444" t="s">
        <v>546</v>
      </c>
      <c r="C108" s="1444"/>
      <c r="D108" s="1444"/>
      <c r="E108" s="1444"/>
      <c r="F108" s="378"/>
      <c r="G108" s="378"/>
      <c r="H108" s="378"/>
      <c r="I108" s="406"/>
      <c r="J108" s="1126"/>
      <c r="K108" s="1123"/>
      <c r="L108" s="1123"/>
      <c r="M108" s="1123"/>
    </row>
    <row r="109" spans="1:13" s="65" customFormat="1" ht="20.399999999999999" hidden="1" customHeight="1">
      <c r="A109" s="404"/>
      <c r="B109" s="407"/>
      <c r="C109" s="407"/>
      <c r="D109" s="542"/>
      <c r="E109" s="542"/>
      <c r="F109" s="378"/>
      <c r="G109" s="378"/>
      <c r="H109" s="378"/>
      <c r="I109" s="406"/>
      <c r="J109" s="1126"/>
      <c r="K109" s="1123"/>
      <c r="L109" s="1123"/>
      <c r="M109" s="1123"/>
    </row>
    <row r="110" spans="1:13" s="65" customFormat="1" ht="17.5" hidden="1" customHeight="1">
      <c r="A110" s="408" t="s">
        <v>545</v>
      </c>
      <c r="B110" s="1457"/>
      <c r="C110" s="1457"/>
      <c r="D110" s="1457"/>
      <c r="E110" s="1457"/>
      <c r="F110" s="405" t="s">
        <v>544</v>
      </c>
      <c r="G110" s="405"/>
      <c r="H110" s="405"/>
      <c r="I110" s="409" t="s">
        <v>1138</v>
      </c>
      <c r="J110" s="1126"/>
      <c r="K110" s="1123"/>
      <c r="L110" s="1123"/>
      <c r="M110" s="1123"/>
    </row>
    <row r="111" spans="1:13" s="65" customFormat="1" ht="17.5" hidden="1" customHeight="1">
      <c r="A111" s="408" t="s">
        <v>941</v>
      </c>
      <c r="B111" s="1457" t="s">
        <v>1163</v>
      </c>
      <c r="C111" s="1457"/>
      <c r="D111" s="1457"/>
      <c r="E111" s="1457"/>
      <c r="F111" s="410"/>
      <c r="G111" s="410"/>
      <c r="H111" s="410"/>
      <c r="I111" s="411"/>
      <c r="J111" s="1126"/>
      <c r="K111" s="1123"/>
      <c r="L111" s="1123"/>
      <c r="M111" s="1123"/>
    </row>
    <row r="112" spans="1:13" ht="17.5" hidden="1" customHeight="1">
      <c r="A112" s="408" t="s">
        <v>942</v>
      </c>
      <c r="B112" s="410"/>
      <c r="C112" s="410"/>
      <c r="D112" s="410"/>
      <c r="E112" s="410"/>
      <c r="F112" s="410"/>
      <c r="G112" s="410"/>
      <c r="H112" s="410"/>
      <c r="I112" s="412"/>
      <c r="J112" s="1125"/>
      <c r="K112" s="1124"/>
      <c r="L112" s="1122"/>
      <c r="M112" s="1122"/>
    </row>
    <row r="113" spans="1:13" ht="17.5" hidden="1" customHeight="1">
      <c r="A113" s="413"/>
      <c r="B113" s="410"/>
      <c r="C113" s="410"/>
      <c r="D113" s="410"/>
      <c r="E113" s="410"/>
      <c r="F113" s="410"/>
      <c r="G113" s="410"/>
      <c r="H113" s="410"/>
      <c r="I113" s="412"/>
      <c r="J113" s="1125"/>
      <c r="K113" s="1124"/>
      <c r="L113" s="1122"/>
      <c r="M113" s="1122"/>
    </row>
    <row r="114" spans="1:13" ht="14.95" hidden="1" customHeight="1">
      <c r="A114" s="414" t="s">
        <v>456</v>
      </c>
      <c r="B114" s="415">
        <f ca="1">TODAY()</f>
        <v>45968</v>
      </c>
      <c r="C114" s="405"/>
      <c r="D114" s="405" t="s">
        <v>944</v>
      </c>
      <c r="E114" s="378"/>
      <c r="F114" s="405"/>
      <c r="G114" s="405"/>
      <c r="H114" s="405"/>
      <c r="I114" s="406"/>
      <c r="J114" s="1125"/>
      <c r="K114" s="1124"/>
      <c r="L114" s="1122"/>
      <c r="M114" s="1122"/>
    </row>
    <row r="115" spans="1:13" ht="14.95" hidden="1" customHeight="1">
      <c r="A115" s="414"/>
      <c r="B115" s="415"/>
      <c r="C115" s="405"/>
      <c r="D115" s="405"/>
      <c r="E115" s="378"/>
      <c r="F115" s="405"/>
      <c r="G115" s="405"/>
      <c r="H115" s="405"/>
      <c r="I115" s="406"/>
      <c r="J115" s="1125"/>
      <c r="K115" s="1124"/>
      <c r="L115" s="1122"/>
      <c r="M115" s="1122"/>
    </row>
    <row r="116" spans="1:13" ht="18" hidden="1" customHeight="1" thickBot="1">
      <c r="A116" s="373"/>
      <c r="B116" s="410"/>
      <c r="C116" s="410"/>
      <c r="D116" s="410"/>
      <c r="E116" s="540"/>
      <c r="F116" s="410"/>
      <c r="G116" s="410"/>
      <c r="H116" s="410"/>
      <c r="I116" s="412"/>
      <c r="J116" s="1125"/>
      <c r="K116" s="1124"/>
      <c r="L116" s="1122"/>
      <c r="M116" s="1122"/>
    </row>
    <row r="117" spans="1:13" ht="14.95" hidden="1" customHeight="1">
      <c r="A117" s="416" t="s">
        <v>457</v>
      </c>
      <c r="B117" s="1445" t="str">
        <f>IF($B$12="","",$B$12)</f>
        <v/>
      </c>
      <c r="C117" s="1446"/>
      <c r="D117" s="1447"/>
      <c r="E117" s="543" t="s">
        <v>454</v>
      </c>
      <c r="F117" s="1448"/>
      <c r="G117" s="1449"/>
      <c r="H117" s="1449"/>
      <c r="I117" s="1450"/>
      <c r="J117" s="1125"/>
      <c r="K117" s="1124"/>
      <c r="L117" s="1122"/>
      <c r="M117" s="1122"/>
    </row>
    <row r="118" spans="1:13" s="65" customFormat="1" ht="14.95" hidden="1" customHeight="1">
      <c r="A118" s="417"/>
      <c r="B118" s="1451"/>
      <c r="C118" s="1452"/>
      <c r="D118" s="1453"/>
      <c r="E118" s="544" t="s">
        <v>1196</v>
      </c>
      <c r="F118" s="1454" t="str">
        <f>IF($F$13="","",$F$13)</f>
        <v/>
      </c>
      <c r="G118" s="1455"/>
      <c r="H118" s="1455"/>
      <c r="I118" s="1456"/>
      <c r="J118" s="1126"/>
      <c r="K118" s="1123"/>
      <c r="L118" s="1123"/>
      <c r="M118" s="1123"/>
    </row>
    <row r="119" spans="1:13" ht="14.95" hidden="1" customHeight="1">
      <c r="A119" s="417" t="s">
        <v>458</v>
      </c>
      <c r="B119" s="1451" t="e">
        <f>IF(#REF!="","",#REF!)</f>
        <v>#REF!</v>
      </c>
      <c r="C119" s="1452"/>
      <c r="D119" s="1453"/>
      <c r="E119" s="544" t="s">
        <v>459</v>
      </c>
      <c r="F119" s="1454" t="str">
        <f>IF($F$14="","",$F$14)</f>
        <v/>
      </c>
      <c r="G119" s="1455"/>
      <c r="H119" s="1455"/>
      <c r="I119" s="1456"/>
      <c r="J119" s="1125"/>
      <c r="K119" s="1124"/>
      <c r="L119" s="1122"/>
      <c r="M119" s="1122"/>
    </row>
    <row r="120" spans="1:13" ht="14.95" hidden="1" customHeight="1">
      <c r="A120" s="418" t="s">
        <v>460</v>
      </c>
      <c r="B120" s="1451" t="str">
        <f>IF($B$14="","",$B$14)</f>
        <v/>
      </c>
      <c r="C120" s="1452"/>
      <c r="D120" s="1453"/>
      <c r="E120" s="544" t="s">
        <v>455</v>
      </c>
      <c r="F120" s="1454" t="str">
        <f>IF($F$15="","",$F$15)</f>
        <v>Férfi</v>
      </c>
      <c r="G120" s="1455"/>
      <c r="H120" s="1455"/>
      <c r="I120" s="1456"/>
      <c r="J120" s="1125"/>
      <c r="K120" s="1124"/>
      <c r="L120" s="1122"/>
      <c r="M120" s="1122"/>
    </row>
    <row r="121" spans="1:13" ht="15.65" hidden="1" customHeight="1" thickBot="1">
      <c r="A121" s="419" t="s">
        <v>542</v>
      </c>
      <c r="B121" s="1499" t="str">
        <f>IF($B$17="","",$B$17)</f>
        <v>TAJ</v>
      </c>
      <c r="C121" s="1500"/>
      <c r="D121" s="1501"/>
      <c r="E121" s="545" t="s">
        <v>543</v>
      </c>
      <c r="F121" s="1502">
        <f>IF($F$17="","",$F$17)</f>
        <v>0</v>
      </c>
      <c r="G121" s="1503"/>
      <c r="H121" s="1503"/>
      <c r="I121" s="1504"/>
      <c r="J121" s="1125"/>
      <c r="K121" s="1124"/>
      <c r="L121" s="1122"/>
      <c r="M121" s="1122"/>
    </row>
    <row r="122" spans="1:13" ht="14.95" hidden="1" customHeight="1">
      <c r="A122" s="420"/>
      <c r="B122" s="132"/>
      <c r="C122" s="132"/>
      <c r="D122" s="546"/>
      <c r="E122" s="547"/>
      <c r="F122" s="421"/>
      <c r="G122" s="421"/>
      <c r="H122" s="421"/>
      <c r="I122" s="422"/>
      <c r="J122" s="1125"/>
      <c r="K122" s="1124"/>
      <c r="L122" s="1122"/>
      <c r="M122" s="1122"/>
    </row>
    <row r="123" spans="1:13" ht="17" hidden="1" customHeight="1">
      <c r="A123" s="373"/>
      <c r="B123" s="374"/>
      <c r="C123" s="374"/>
      <c r="D123" s="374"/>
      <c r="E123" s="374"/>
      <c r="F123" s="374"/>
      <c r="G123" s="374"/>
      <c r="H123" s="374"/>
      <c r="I123" s="423"/>
      <c r="J123" s="1125"/>
      <c r="K123" s="1124"/>
      <c r="L123" s="1122"/>
      <c r="M123" s="1122"/>
    </row>
    <row r="124" spans="1:13" ht="17.7" hidden="1" customHeight="1">
      <c r="A124" s="420" t="s">
        <v>461</v>
      </c>
      <c r="B124" s="374"/>
      <c r="C124" s="374"/>
      <c r="D124" s="374"/>
      <c r="E124" s="374"/>
      <c r="F124" s="374"/>
      <c r="G124" s="374"/>
      <c r="H124" s="374"/>
      <c r="I124" s="423"/>
      <c r="J124" s="1129"/>
      <c r="K124" s="1122"/>
      <c r="L124" s="1122"/>
      <c r="M124" s="1122"/>
    </row>
    <row r="125" spans="1:13" ht="15.65" hidden="1" customHeight="1" thickBot="1">
      <c r="A125" s="399"/>
      <c r="B125" s="378"/>
      <c r="C125" s="424"/>
      <c r="D125" s="378"/>
      <c r="E125" s="548"/>
      <c r="F125" s="400"/>
      <c r="G125" s="400"/>
      <c r="H125" s="400"/>
      <c r="I125" s="401"/>
      <c r="J125" s="1129"/>
      <c r="K125" s="1122"/>
      <c r="L125" s="1122"/>
      <c r="M125" s="1122"/>
    </row>
    <row r="126" spans="1:13" ht="17" hidden="1" customHeight="1">
      <c r="A126" s="381" t="s">
        <v>501</v>
      </c>
      <c r="B126" s="382"/>
      <c r="C126" s="382"/>
      <c r="D126" s="382"/>
      <c r="E126" s="382"/>
      <c r="F126" s="382"/>
      <c r="G126" s="382"/>
      <c r="H126" s="382"/>
      <c r="I126" s="383"/>
      <c r="J126" s="1129"/>
      <c r="K126" s="1122"/>
      <c r="L126" s="1122"/>
      <c r="M126" s="1122"/>
    </row>
    <row r="127" spans="1:13" ht="13.95" hidden="1" customHeight="1">
      <c r="A127" s="1458" t="e">
        <f>IF(#REF!="nincs vizsgálat kiválasztva","",#REF!)</f>
        <v>#REF!</v>
      </c>
      <c r="B127" s="1459"/>
      <c r="C127" s="1459"/>
      <c r="D127" s="1459"/>
      <c r="E127" s="1459"/>
      <c r="F127" s="1459"/>
      <c r="G127" s="1459"/>
      <c r="H127" s="1459"/>
      <c r="I127" s="1460"/>
      <c r="J127" s="1129"/>
      <c r="K127" s="1122"/>
      <c r="L127" s="1122"/>
      <c r="M127" s="1122"/>
    </row>
    <row r="128" spans="1:13" ht="13.95" hidden="1" customHeight="1">
      <c r="A128" s="1458"/>
      <c r="B128" s="1459"/>
      <c r="C128" s="1459"/>
      <c r="D128" s="1459"/>
      <c r="E128" s="1459"/>
      <c r="F128" s="1459"/>
      <c r="G128" s="1459"/>
      <c r="H128" s="1459"/>
      <c r="I128" s="1460"/>
      <c r="J128" s="1125"/>
      <c r="K128" s="1124"/>
      <c r="L128" s="1122"/>
      <c r="M128" s="1122"/>
    </row>
    <row r="129" spans="1:15" ht="13.95" hidden="1" customHeight="1">
      <c r="A129" s="1458"/>
      <c r="B129" s="1459"/>
      <c r="C129" s="1459"/>
      <c r="D129" s="1459"/>
      <c r="E129" s="1459"/>
      <c r="F129" s="1459"/>
      <c r="G129" s="1459"/>
      <c r="H129" s="1459"/>
      <c r="I129" s="1460"/>
      <c r="J129" s="1125"/>
      <c r="K129" s="1124"/>
      <c r="L129" s="1122"/>
      <c r="M129" s="1122"/>
    </row>
    <row r="130" spans="1:15" ht="13.95" hidden="1" customHeight="1">
      <c r="A130" s="1458"/>
      <c r="B130" s="1459"/>
      <c r="C130" s="1459"/>
      <c r="D130" s="1459"/>
      <c r="E130" s="1459"/>
      <c r="F130" s="1459"/>
      <c r="G130" s="1459"/>
      <c r="H130" s="1459"/>
      <c r="I130" s="1460"/>
      <c r="J130" s="1125"/>
      <c r="K130" s="1124"/>
      <c r="L130" s="1122"/>
      <c r="M130" s="1122"/>
    </row>
    <row r="131" spans="1:15" ht="13.95" hidden="1" customHeight="1">
      <c r="A131" s="1458"/>
      <c r="B131" s="1459"/>
      <c r="C131" s="1459"/>
      <c r="D131" s="1459"/>
      <c r="E131" s="1459"/>
      <c r="F131" s="1459"/>
      <c r="G131" s="1459"/>
      <c r="H131" s="1459"/>
      <c r="I131" s="1460"/>
      <c r="J131" s="1125"/>
      <c r="K131" s="1124"/>
      <c r="L131" s="1122"/>
      <c r="M131" s="1122"/>
    </row>
    <row r="132" spans="1:15" ht="13.95" hidden="1" customHeight="1">
      <c r="A132" s="1458"/>
      <c r="B132" s="1459"/>
      <c r="C132" s="1459"/>
      <c r="D132" s="1459"/>
      <c r="E132" s="1459"/>
      <c r="F132" s="1459"/>
      <c r="G132" s="1459"/>
      <c r="H132" s="1459"/>
      <c r="I132" s="1460"/>
      <c r="J132" s="1125"/>
      <c r="K132" s="1124"/>
      <c r="L132" s="1122"/>
      <c r="M132" s="1122"/>
    </row>
    <row r="133" spans="1:15" ht="13.95" hidden="1" customHeight="1">
      <c r="A133" s="1458"/>
      <c r="B133" s="1459"/>
      <c r="C133" s="1459"/>
      <c r="D133" s="1459"/>
      <c r="E133" s="1459"/>
      <c r="F133" s="1459"/>
      <c r="G133" s="1459"/>
      <c r="H133" s="1459"/>
      <c r="I133" s="1460"/>
      <c r="J133" s="1125"/>
      <c r="K133" s="1124"/>
      <c r="L133" s="1122"/>
      <c r="M133" s="1122"/>
    </row>
    <row r="134" spans="1:15" ht="13.95" hidden="1" customHeight="1">
      <c r="A134" s="1458"/>
      <c r="B134" s="1459"/>
      <c r="C134" s="1459"/>
      <c r="D134" s="1459"/>
      <c r="E134" s="1459"/>
      <c r="F134" s="1459"/>
      <c r="G134" s="1459"/>
      <c r="H134" s="1459"/>
      <c r="I134" s="1460"/>
      <c r="J134" s="1129"/>
      <c r="K134" s="1122"/>
      <c r="L134" s="1122"/>
      <c r="M134" s="1122"/>
    </row>
    <row r="135" spans="1:15" ht="15.65" hidden="1" customHeight="1">
      <c r="A135" s="1458"/>
      <c r="B135" s="1459"/>
      <c r="C135" s="1459"/>
      <c r="D135" s="1459"/>
      <c r="E135" s="1459"/>
      <c r="F135" s="1459"/>
      <c r="G135" s="1459"/>
      <c r="H135" s="1459"/>
      <c r="I135" s="1460"/>
      <c r="J135" s="1130"/>
      <c r="K135" s="1131"/>
      <c r="L135" s="1132"/>
      <c r="M135" s="1133"/>
      <c r="N135" s="60"/>
      <c r="O135" s="60"/>
    </row>
    <row r="136" spans="1:15" ht="15.65" hidden="1" customHeight="1">
      <c r="A136" s="1458"/>
      <c r="B136" s="1459"/>
      <c r="C136" s="1459"/>
      <c r="D136" s="1459"/>
      <c r="E136" s="1459"/>
      <c r="F136" s="1459"/>
      <c r="G136" s="1459"/>
      <c r="H136" s="1459"/>
      <c r="I136" s="1460"/>
      <c r="J136" s="1130"/>
      <c r="K136" s="1131"/>
      <c r="L136" s="1132"/>
      <c r="M136" s="1133"/>
      <c r="N136" s="61"/>
      <c r="O136" s="60"/>
    </row>
    <row r="137" spans="1:15" ht="24.45" hidden="1" customHeight="1">
      <c r="A137" s="1458"/>
      <c r="B137" s="1459"/>
      <c r="C137" s="1459"/>
      <c r="D137" s="1459"/>
      <c r="E137" s="1459"/>
      <c r="F137" s="1459"/>
      <c r="G137" s="1459"/>
      <c r="H137" s="1459"/>
      <c r="I137" s="1460"/>
      <c r="J137" s="1130"/>
      <c r="K137" s="1131"/>
      <c r="L137" s="1132"/>
      <c r="M137" s="1133"/>
      <c r="N137" s="61"/>
      <c r="O137" s="60"/>
    </row>
    <row r="138" spans="1:15" ht="24.45" hidden="1" customHeight="1">
      <c r="A138" s="1458"/>
      <c r="B138" s="1459"/>
      <c r="C138" s="1459"/>
      <c r="D138" s="1459"/>
      <c r="E138" s="1459"/>
      <c r="F138" s="1459"/>
      <c r="G138" s="1459"/>
      <c r="H138" s="1459"/>
      <c r="I138" s="1460"/>
      <c r="J138" s="1130"/>
      <c r="K138" s="1131"/>
      <c r="L138" s="1132"/>
      <c r="M138" s="1133"/>
      <c r="N138" s="61"/>
      <c r="O138" s="60"/>
    </row>
    <row r="139" spans="1:15" ht="15.65" hidden="1" customHeight="1">
      <c r="A139" s="1458"/>
      <c r="B139" s="1459"/>
      <c r="C139" s="1459"/>
      <c r="D139" s="1459"/>
      <c r="E139" s="1459"/>
      <c r="F139" s="1459"/>
      <c r="G139" s="1459"/>
      <c r="H139" s="1459"/>
      <c r="I139" s="1460"/>
      <c r="J139" s="1130"/>
      <c r="K139" s="1131"/>
      <c r="L139" s="1131"/>
      <c r="M139" s="1131"/>
      <c r="N139" s="58"/>
      <c r="O139" s="58"/>
    </row>
    <row r="140" spans="1:15" ht="16.149999999999999" hidden="1" customHeight="1" thickBot="1">
      <c r="A140" s="1468"/>
      <c r="B140" s="1469"/>
      <c r="C140" s="1469"/>
      <c r="D140" s="1469"/>
      <c r="E140" s="1469"/>
      <c r="F140" s="1469"/>
      <c r="G140" s="1469"/>
      <c r="H140" s="1469"/>
      <c r="I140" s="1470"/>
      <c r="J140" s="1130"/>
      <c r="K140" s="1131"/>
      <c r="L140" s="1131"/>
      <c r="M140" s="1131"/>
      <c r="N140" s="58"/>
      <c r="O140" s="58"/>
    </row>
    <row r="141" spans="1:15" ht="17.5" hidden="1" customHeight="1">
      <c r="A141" s="381" t="s">
        <v>489</v>
      </c>
      <c r="B141" s="382"/>
      <c r="C141" s="382"/>
      <c r="D141" s="382"/>
      <c r="E141" s="382"/>
      <c r="F141" s="382"/>
      <c r="G141" s="382"/>
      <c r="H141" s="382"/>
      <c r="I141" s="383"/>
      <c r="J141" s="1130"/>
      <c r="K141" s="1131"/>
      <c r="L141" s="1131"/>
      <c r="M141" s="1131"/>
      <c r="N141" s="58"/>
      <c r="O141" s="58"/>
    </row>
    <row r="142" spans="1:15" ht="15.65" hidden="1" customHeight="1">
      <c r="A142" s="1458" t="str">
        <f>IF(Csomagok!$A$1077="nincs vizsgálat kiválasztva","",Csomagok!$A$1077)</f>
        <v/>
      </c>
      <c r="B142" s="1459"/>
      <c r="C142" s="1459"/>
      <c r="D142" s="1459"/>
      <c r="E142" s="1459"/>
      <c r="F142" s="1459"/>
      <c r="G142" s="1459"/>
      <c r="H142" s="1459"/>
      <c r="I142" s="1460"/>
      <c r="J142" s="1130"/>
      <c r="K142" s="1131"/>
      <c r="L142" s="1131"/>
      <c r="M142" s="1131"/>
      <c r="N142" s="58"/>
      <c r="O142" s="58"/>
    </row>
    <row r="143" spans="1:15" ht="15.65" hidden="1" customHeight="1">
      <c r="A143" s="1458"/>
      <c r="B143" s="1459"/>
      <c r="C143" s="1459"/>
      <c r="D143" s="1459"/>
      <c r="E143" s="1459"/>
      <c r="F143" s="1459"/>
      <c r="G143" s="1459"/>
      <c r="H143" s="1459"/>
      <c r="I143" s="1460"/>
      <c r="J143" s="1130"/>
      <c r="K143" s="1133"/>
      <c r="L143" s="1133"/>
      <c r="M143" s="1133"/>
      <c r="N143" s="60"/>
      <c r="O143" s="60"/>
    </row>
    <row r="144" spans="1:15" ht="15.65" hidden="1" customHeight="1">
      <c r="A144" s="1458"/>
      <c r="B144" s="1459"/>
      <c r="C144" s="1459"/>
      <c r="D144" s="1459"/>
      <c r="E144" s="1459"/>
      <c r="F144" s="1459"/>
      <c r="G144" s="1459"/>
      <c r="H144" s="1459"/>
      <c r="I144" s="1460"/>
      <c r="J144" s="1130"/>
      <c r="K144" s="1133"/>
      <c r="L144" s="1133"/>
      <c r="M144" s="1133"/>
      <c r="N144" s="60"/>
      <c r="O144" s="60"/>
    </row>
    <row r="145" spans="1:16" ht="15.65" hidden="1" customHeight="1">
      <c r="A145" s="1458"/>
      <c r="B145" s="1459"/>
      <c r="C145" s="1459"/>
      <c r="D145" s="1459"/>
      <c r="E145" s="1459"/>
      <c r="F145" s="1459"/>
      <c r="G145" s="1459"/>
      <c r="H145" s="1459"/>
      <c r="I145" s="1460"/>
      <c r="J145" s="1130"/>
      <c r="K145" s="1131"/>
      <c r="L145" s="1131"/>
      <c r="M145" s="1131"/>
      <c r="N145" s="58"/>
      <c r="O145" s="58"/>
      <c r="P145" s="57"/>
    </row>
    <row r="146" spans="1:16" s="59" customFormat="1" ht="13.95" hidden="1" customHeight="1">
      <c r="A146" s="1458"/>
      <c r="B146" s="1459"/>
      <c r="C146" s="1459"/>
      <c r="D146" s="1459"/>
      <c r="E146" s="1459"/>
      <c r="F146" s="1459"/>
      <c r="G146" s="1459"/>
      <c r="H146" s="1459"/>
      <c r="I146" s="1460"/>
      <c r="J146" s="1134"/>
      <c r="K146" s="1135"/>
      <c r="L146" s="1135"/>
      <c r="M146" s="1135"/>
    </row>
    <row r="147" spans="1:16" s="59" customFormat="1" ht="13.95" hidden="1" customHeight="1">
      <c r="A147" s="1458"/>
      <c r="B147" s="1459"/>
      <c r="C147" s="1459"/>
      <c r="D147" s="1459"/>
      <c r="E147" s="1459"/>
      <c r="F147" s="1459"/>
      <c r="G147" s="1459"/>
      <c r="H147" s="1459"/>
      <c r="I147" s="1460"/>
      <c r="J147" s="1134"/>
      <c r="K147" s="1135"/>
      <c r="L147" s="1135"/>
      <c r="M147" s="1135"/>
    </row>
    <row r="148" spans="1:16" s="59" customFormat="1" ht="13.95" hidden="1" customHeight="1">
      <c r="A148" s="1458"/>
      <c r="B148" s="1459"/>
      <c r="C148" s="1459"/>
      <c r="D148" s="1459"/>
      <c r="E148" s="1459"/>
      <c r="F148" s="1459"/>
      <c r="G148" s="1459"/>
      <c r="H148" s="1459"/>
      <c r="I148" s="1460"/>
      <c r="J148" s="1134"/>
      <c r="K148" s="1135"/>
      <c r="L148" s="1135"/>
      <c r="M148" s="1135"/>
    </row>
    <row r="149" spans="1:16" s="59" customFormat="1" ht="13.95" hidden="1" customHeight="1">
      <c r="A149" s="1458"/>
      <c r="B149" s="1459"/>
      <c r="C149" s="1459"/>
      <c r="D149" s="1459"/>
      <c r="E149" s="1459"/>
      <c r="F149" s="1459"/>
      <c r="G149" s="1459"/>
      <c r="H149" s="1459"/>
      <c r="I149" s="1460"/>
      <c r="J149" s="1134"/>
      <c r="K149" s="1135"/>
      <c r="L149" s="1135"/>
      <c r="M149" s="1135"/>
    </row>
    <row r="150" spans="1:16" ht="14.95" hidden="1" customHeight="1">
      <c r="A150" s="1458"/>
      <c r="B150" s="1459"/>
      <c r="C150" s="1459"/>
      <c r="D150" s="1459"/>
      <c r="E150" s="1459"/>
      <c r="F150" s="1459"/>
      <c r="G150" s="1459"/>
      <c r="H150" s="1459"/>
      <c r="I150" s="1460"/>
      <c r="J150" s="1136"/>
      <c r="K150" s="1133"/>
      <c r="L150" s="1133"/>
      <c r="M150" s="1133"/>
      <c r="N150" s="60"/>
      <c r="O150" s="60"/>
    </row>
    <row r="151" spans="1:16" ht="14.95" hidden="1" customHeight="1">
      <c r="A151" s="1458"/>
      <c r="B151" s="1459"/>
      <c r="C151" s="1459"/>
      <c r="D151" s="1459"/>
      <c r="E151" s="1459"/>
      <c r="F151" s="1459"/>
      <c r="G151" s="1459"/>
      <c r="H151" s="1459"/>
      <c r="I151" s="1460"/>
      <c r="J151" s="1136"/>
      <c r="K151" s="1133"/>
      <c r="L151" s="1133"/>
      <c r="M151" s="1133"/>
      <c r="N151" s="60"/>
      <c r="O151" s="60"/>
    </row>
    <row r="152" spans="1:16" ht="13.95" hidden="1" customHeight="1">
      <c r="A152" s="1458"/>
      <c r="B152" s="1459"/>
      <c r="C152" s="1459"/>
      <c r="D152" s="1459"/>
      <c r="E152" s="1459"/>
      <c r="F152" s="1459"/>
      <c r="G152" s="1459"/>
      <c r="H152" s="1459"/>
      <c r="I152" s="1460"/>
      <c r="J152" s="1125"/>
      <c r="K152" s="1124"/>
      <c r="L152" s="1122"/>
      <c r="M152" s="1122"/>
    </row>
    <row r="153" spans="1:16" s="65" customFormat="1" ht="13.95" hidden="1" customHeight="1">
      <c r="A153" s="1458"/>
      <c r="B153" s="1459"/>
      <c r="C153" s="1459"/>
      <c r="D153" s="1459"/>
      <c r="E153" s="1459"/>
      <c r="F153" s="1459"/>
      <c r="G153" s="1459"/>
      <c r="H153" s="1459"/>
      <c r="I153" s="1460"/>
      <c r="J153" s="1126"/>
      <c r="K153" s="1123"/>
      <c r="L153" s="1123"/>
      <c r="M153" s="1123"/>
    </row>
    <row r="154" spans="1:16" ht="13.95" hidden="1" customHeight="1">
      <c r="A154" s="1458"/>
      <c r="B154" s="1459"/>
      <c r="C154" s="1459"/>
      <c r="D154" s="1459"/>
      <c r="E154" s="1459"/>
      <c r="F154" s="1459"/>
      <c r="G154" s="1459"/>
      <c r="H154" s="1459"/>
      <c r="I154" s="1460"/>
      <c r="J154" s="1125"/>
      <c r="K154" s="1124"/>
      <c r="L154" s="1122"/>
      <c r="M154" s="1122"/>
    </row>
    <row r="155" spans="1:16" ht="13.95" hidden="1" customHeight="1">
      <c r="A155" s="1458"/>
      <c r="B155" s="1459"/>
      <c r="C155" s="1459"/>
      <c r="D155" s="1459"/>
      <c r="E155" s="1459"/>
      <c r="F155" s="1459"/>
      <c r="G155" s="1459"/>
      <c r="H155" s="1459"/>
      <c r="I155" s="1460"/>
      <c r="J155" s="1125"/>
      <c r="K155" s="1124"/>
      <c r="L155" s="1122"/>
      <c r="M155" s="1122"/>
    </row>
    <row r="156" spans="1:16" ht="14.95" hidden="1" customHeight="1">
      <c r="A156" s="1458"/>
      <c r="B156" s="1459"/>
      <c r="C156" s="1459"/>
      <c r="D156" s="1459"/>
      <c r="E156" s="1459"/>
      <c r="F156" s="1459"/>
      <c r="G156" s="1459"/>
      <c r="H156" s="1459"/>
      <c r="I156" s="1460"/>
      <c r="J156" s="1125"/>
      <c r="K156" s="1124"/>
      <c r="L156" s="1122"/>
      <c r="M156" s="1122"/>
    </row>
    <row r="157" spans="1:16" ht="14.95" hidden="1" customHeight="1">
      <c r="A157" s="384"/>
      <c r="B157" s="138"/>
      <c r="C157" s="138"/>
      <c r="D157" s="541"/>
      <c r="E157" s="541"/>
      <c r="F157" s="138"/>
      <c r="G157" s="138"/>
      <c r="H157" s="138"/>
      <c r="I157" s="385"/>
      <c r="J157" s="1125"/>
      <c r="K157" s="1124"/>
      <c r="L157" s="1122"/>
      <c r="M157" s="1122"/>
    </row>
    <row r="158" spans="1:16" ht="15.65" hidden="1" customHeight="1" thickBot="1">
      <c r="A158" s="384"/>
      <c r="B158" s="138"/>
      <c r="C158" s="138"/>
      <c r="D158" s="541"/>
      <c r="E158" s="541"/>
      <c r="F158" s="138"/>
      <c r="G158" s="138"/>
      <c r="H158" s="138"/>
      <c r="I158" s="385"/>
      <c r="J158" s="1125"/>
      <c r="K158" s="1124"/>
      <c r="L158" s="1122"/>
      <c r="M158" s="1122"/>
    </row>
    <row r="159" spans="1:16" ht="14.95" hidden="1" customHeight="1">
      <c r="A159" s="381" t="s">
        <v>1137</v>
      </c>
      <c r="B159" s="389"/>
      <c r="C159" s="389"/>
      <c r="D159" s="389"/>
      <c r="E159" s="389"/>
      <c r="F159" s="389"/>
      <c r="G159" s="389"/>
      <c r="H159" s="389"/>
      <c r="I159" s="390"/>
      <c r="J159" s="1125"/>
      <c r="K159" s="1124"/>
      <c r="L159" s="1122"/>
      <c r="M159" s="1122"/>
    </row>
    <row r="160" spans="1:16" ht="13.95" hidden="1" customHeight="1">
      <c r="A160" s="1458" t="s">
        <v>1200</v>
      </c>
      <c r="B160" s="1459"/>
      <c r="C160" s="1459"/>
      <c r="D160" s="1459"/>
      <c r="E160" s="1459"/>
      <c r="F160" s="1459"/>
      <c r="G160" s="1459"/>
      <c r="H160" s="1459"/>
      <c r="I160" s="1460"/>
      <c r="J160" s="1125"/>
      <c r="K160" s="1124"/>
      <c r="L160" s="1122"/>
      <c r="M160" s="1122"/>
    </row>
    <row r="161" spans="1:13" ht="13.95" hidden="1" customHeight="1">
      <c r="A161" s="1458"/>
      <c r="B161" s="1459"/>
      <c r="C161" s="1459"/>
      <c r="D161" s="1459"/>
      <c r="E161" s="1459"/>
      <c r="F161" s="1459"/>
      <c r="G161" s="1459"/>
      <c r="H161" s="1459"/>
      <c r="I161" s="1460"/>
      <c r="J161" s="1125"/>
      <c r="K161" s="1124"/>
      <c r="L161" s="1122"/>
      <c r="M161" s="1122"/>
    </row>
    <row r="162" spans="1:13" ht="13.95" hidden="1" customHeight="1">
      <c r="A162" s="1458"/>
      <c r="B162" s="1459"/>
      <c r="C162" s="1459"/>
      <c r="D162" s="1459"/>
      <c r="E162" s="1459"/>
      <c r="F162" s="1459"/>
      <c r="G162" s="1459"/>
      <c r="H162" s="1459"/>
      <c r="I162" s="1460"/>
      <c r="J162" s="1125"/>
      <c r="K162" s="1124"/>
      <c r="L162" s="1122"/>
      <c r="M162" s="1122"/>
    </row>
    <row r="163" spans="1:13" ht="13.95" hidden="1" customHeight="1">
      <c r="A163" s="1458"/>
      <c r="B163" s="1459"/>
      <c r="C163" s="1459"/>
      <c r="D163" s="1459"/>
      <c r="E163" s="1459"/>
      <c r="F163" s="1459"/>
      <c r="G163" s="1459"/>
      <c r="H163" s="1459"/>
      <c r="I163" s="1460"/>
      <c r="J163" s="1125"/>
      <c r="K163" s="1124"/>
      <c r="L163" s="1122"/>
      <c r="M163" s="1122"/>
    </row>
    <row r="164" spans="1:13" ht="13.95" hidden="1" customHeight="1">
      <c r="A164" s="1458"/>
      <c r="B164" s="1459"/>
      <c r="C164" s="1459"/>
      <c r="D164" s="1459"/>
      <c r="E164" s="1459"/>
      <c r="F164" s="1459"/>
      <c r="G164" s="1459"/>
      <c r="H164" s="1459"/>
      <c r="I164" s="1460"/>
      <c r="J164" s="1125"/>
      <c r="K164" s="1124"/>
      <c r="L164" s="1122"/>
      <c r="M164" s="1122"/>
    </row>
    <row r="165" spans="1:13" ht="13.95" hidden="1" customHeight="1">
      <c r="A165" s="1458"/>
      <c r="B165" s="1459"/>
      <c r="C165" s="1459"/>
      <c r="D165" s="1459"/>
      <c r="E165" s="1459"/>
      <c r="F165" s="1459"/>
      <c r="G165" s="1459"/>
      <c r="H165" s="1459"/>
      <c r="I165" s="1460"/>
      <c r="J165" s="1125"/>
      <c r="K165" s="1124"/>
      <c r="L165" s="1122"/>
      <c r="M165" s="1122"/>
    </row>
    <row r="166" spans="1:13" ht="13.95" hidden="1" customHeight="1">
      <c r="A166" s="1458"/>
      <c r="B166" s="1459"/>
      <c r="C166" s="1459"/>
      <c r="D166" s="1459"/>
      <c r="E166" s="1459"/>
      <c r="F166" s="1459"/>
      <c r="G166" s="1459"/>
      <c r="H166" s="1459"/>
      <c r="I166" s="1460"/>
      <c r="J166" s="1125"/>
      <c r="K166" s="1124"/>
      <c r="L166" s="1122"/>
      <c r="M166" s="1122"/>
    </row>
    <row r="167" spans="1:13" ht="13.95" hidden="1" customHeight="1">
      <c r="A167" s="1458"/>
      <c r="B167" s="1459"/>
      <c r="C167" s="1459"/>
      <c r="D167" s="1459"/>
      <c r="E167" s="1459"/>
      <c r="F167" s="1459"/>
      <c r="G167" s="1459"/>
      <c r="H167" s="1459"/>
      <c r="I167" s="1460"/>
      <c r="J167" s="1125"/>
      <c r="K167" s="1124"/>
      <c r="L167" s="1122"/>
      <c r="M167" s="1122"/>
    </row>
    <row r="168" spans="1:13" ht="13.95" hidden="1" customHeight="1">
      <c r="A168" s="1458"/>
      <c r="B168" s="1459"/>
      <c r="C168" s="1459"/>
      <c r="D168" s="1459"/>
      <c r="E168" s="1459"/>
      <c r="F168" s="1459"/>
      <c r="G168" s="1459"/>
      <c r="H168" s="1459"/>
      <c r="I168" s="1460"/>
      <c r="J168" s="1125"/>
      <c r="K168" s="1124"/>
      <c r="L168" s="1122"/>
      <c r="M168" s="1122"/>
    </row>
    <row r="169" spans="1:13" ht="13.95" hidden="1" customHeight="1">
      <c r="A169" s="1458"/>
      <c r="B169" s="1459"/>
      <c r="C169" s="1459"/>
      <c r="D169" s="1459"/>
      <c r="E169" s="1459"/>
      <c r="F169" s="1459"/>
      <c r="G169" s="1459"/>
      <c r="H169" s="1459"/>
      <c r="I169" s="1460"/>
      <c r="J169" s="1125"/>
      <c r="K169" s="1124"/>
      <c r="L169" s="1122"/>
      <c r="M169" s="1122"/>
    </row>
    <row r="170" spans="1:13" s="65" customFormat="1" ht="15.65" hidden="1" customHeight="1" thickBot="1">
      <c r="A170" s="1468"/>
      <c r="B170" s="1469"/>
      <c r="C170" s="1469"/>
      <c r="D170" s="1469"/>
      <c r="E170" s="1469"/>
      <c r="F170" s="1469"/>
      <c r="G170" s="1469"/>
      <c r="H170" s="1469"/>
      <c r="I170" s="1470"/>
      <c r="J170" s="1126"/>
      <c r="K170" s="1123"/>
      <c r="L170" s="1123"/>
      <c r="M170" s="1123"/>
    </row>
    <row r="171" spans="1:13" s="65" customFormat="1" ht="14.95" hidden="1" customHeight="1">
      <c r="A171" s="384"/>
      <c r="B171" s="138"/>
      <c r="C171" s="138"/>
      <c r="D171" s="541"/>
      <c r="E171" s="541"/>
      <c r="F171" s="138"/>
      <c r="G171" s="138"/>
      <c r="H171" s="138"/>
      <c r="I171" s="385"/>
      <c r="J171" s="1126"/>
      <c r="K171" s="1123"/>
      <c r="L171" s="1123"/>
      <c r="M171" s="1123"/>
    </row>
    <row r="172" spans="1:13" s="65" customFormat="1" ht="14.95" hidden="1" customHeight="1">
      <c r="A172" s="384"/>
      <c r="B172" s="138"/>
      <c r="C172" s="138"/>
      <c r="D172" s="541"/>
      <c r="E172" s="541"/>
      <c r="F172" s="138"/>
      <c r="G172" s="138"/>
      <c r="H172" s="138"/>
      <c r="I172" s="385"/>
      <c r="J172" s="1126"/>
      <c r="K172" s="1123"/>
      <c r="L172" s="1123"/>
      <c r="M172" s="1123"/>
    </row>
    <row r="173" spans="1:13" s="65" customFormat="1" ht="14.95" hidden="1" customHeight="1">
      <c r="A173" s="384"/>
      <c r="B173" s="138"/>
      <c r="C173" s="138"/>
      <c r="D173" s="541"/>
      <c r="E173" s="541"/>
      <c r="F173" s="138"/>
      <c r="G173" s="138"/>
      <c r="H173" s="138"/>
      <c r="I173" s="385"/>
      <c r="J173" s="1126"/>
      <c r="K173" s="1123"/>
      <c r="L173" s="1123"/>
      <c r="M173" s="1123"/>
    </row>
    <row r="174" spans="1:13" ht="14.95" hidden="1" customHeight="1">
      <c r="A174" s="384"/>
      <c r="B174" s="138"/>
      <c r="C174" s="138"/>
      <c r="D174" s="541"/>
      <c r="E174" s="541"/>
      <c r="F174" s="138"/>
      <c r="G174" s="138"/>
      <c r="H174" s="138"/>
      <c r="I174" s="385"/>
      <c r="J174" s="1125"/>
      <c r="K174" s="1124"/>
      <c r="L174" s="1122"/>
      <c r="M174" s="1122"/>
    </row>
    <row r="175" spans="1:13" ht="14.95" hidden="1" customHeight="1">
      <c r="A175" s="384"/>
      <c r="B175" s="138"/>
      <c r="C175" s="138"/>
      <c r="D175" s="541"/>
      <c r="E175" s="541"/>
      <c r="F175" s="138"/>
      <c r="G175" s="138"/>
      <c r="H175" s="138"/>
      <c r="I175" s="385"/>
      <c r="J175" s="1125"/>
      <c r="K175" s="1124"/>
      <c r="L175" s="1122"/>
      <c r="M175" s="1122"/>
    </row>
    <row r="176" spans="1:13" ht="14.95" hidden="1" customHeight="1">
      <c r="A176" s="384"/>
      <c r="B176" s="138"/>
      <c r="C176" s="138"/>
      <c r="D176" s="541"/>
      <c r="E176" s="541"/>
      <c r="F176" s="138"/>
      <c r="G176" s="138"/>
      <c r="H176" s="138"/>
      <c r="I176" s="385"/>
      <c r="J176" s="1125"/>
      <c r="K176" s="1124"/>
      <c r="L176" s="1122"/>
      <c r="M176" s="1122"/>
    </row>
    <row r="177" spans="1:13" ht="14.95" hidden="1" customHeight="1">
      <c r="A177" s="384"/>
      <c r="B177" s="138"/>
      <c r="C177" s="138"/>
      <c r="D177" s="541"/>
      <c r="E177" s="541"/>
      <c r="F177" s="138"/>
      <c r="G177" s="138"/>
      <c r="H177" s="138"/>
      <c r="I177" s="385"/>
      <c r="J177" s="1125"/>
      <c r="K177" s="1124"/>
      <c r="L177" s="1122"/>
      <c r="M177" s="1122"/>
    </row>
    <row r="178" spans="1:13" ht="14.95" hidden="1" customHeight="1">
      <c r="A178" s="384"/>
      <c r="B178" s="138"/>
      <c r="C178" s="138"/>
      <c r="D178" s="541"/>
      <c r="E178" s="541"/>
      <c r="F178" s="138"/>
      <c r="G178" s="138"/>
      <c r="H178" s="138"/>
      <c r="I178" s="385"/>
      <c r="J178" s="1125"/>
      <c r="K178" s="1124"/>
      <c r="L178" s="1122"/>
      <c r="M178" s="1122"/>
    </row>
    <row r="179" spans="1:13" ht="14.95" hidden="1" customHeight="1">
      <c r="A179" s="384"/>
      <c r="B179" s="138"/>
      <c r="C179" s="138"/>
      <c r="D179" s="541"/>
      <c r="E179" s="541"/>
      <c r="F179" s="138"/>
      <c r="G179" s="138"/>
      <c r="H179" s="138"/>
      <c r="I179" s="385"/>
      <c r="J179" s="1125"/>
      <c r="K179" s="1124"/>
      <c r="L179" s="1122"/>
      <c r="M179" s="1122"/>
    </row>
    <row r="180" spans="1:13" ht="14.95" hidden="1" customHeight="1">
      <c r="A180" s="393"/>
      <c r="B180" s="394"/>
      <c r="C180" s="378"/>
      <c r="D180" s="378"/>
      <c r="E180" s="378"/>
      <c r="F180" s="378"/>
      <c r="G180" s="378"/>
      <c r="H180" s="378"/>
      <c r="I180" s="395"/>
      <c r="J180" s="1125"/>
      <c r="K180" s="1124"/>
      <c r="L180" s="1122"/>
      <c r="M180" s="1122"/>
    </row>
    <row r="181" spans="1:13" ht="14.95" hidden="1" customHeight="1">
      <c r="A181" s="393"/>
      <c r="B181" s="377"/>
      <c r="C181" s="378"/>
      <c r="D181" s="378"/>
      <c r="E181" s="1482" t="s">
        <v>504</v>
      </c>
      <c r="F181" s="1482"/>
      <c r="G181" s="396"/>
      <c r="H181" s="396"/>
      <c r="I181" s="397"/>
      <c r="J181" s="1125"/>
      <c r="K181" s="1124"/>
      <c r="L181" s="1122"/>
      <c r="M181" s="1122"/>
    </row>
    <row r="182" spans="1:13" ht="14.95" hidden="1" customHeight="1">
      <c r="A182" s="393"/>
      <c r="B182" s="394"/>
      <c r="C182" s="378"/>
      <c r="D182" s="378"/>
      <c r="E182" s="1482"/>
      <c r="F182" s="1482"/>
      <c r="G182" s="396"/>
      <c r="H182" s="396"/>
      <c r="I182" s="397"/>
      <c r="J182" s="1125"/>
      <c r="K182" s="1124"/>
      <c r="L182" s="1122"/>
      <c r="M182" s="1122"/>
    </row>
    <row r="183" spans="1:13" ht="14.95" hidden="1" customHeight="1">
      <c r="A183" s="393" t="s">
        <v>530</v>
      </c>
      <c r="B183" s="398">
        <f ca="1">TODAY()</f>
        <v>45968</v>
      </c>
      <c r="C183" s="378"/>
      <c r="D183" s="378"/>
      <c r="E183" s="1482"/>
      <c r="F183" s="1482"/>
      <c r="G183" s="396"/>
      <c r="H183" s="396"/>
      <c r="I183" s="397"/>
      <c r="J183" s="1125"/>
      <c r="K183" s="1124"/>
      <c r="L183" s="1122"/>
      <c r="M183" s="1122"/>
    </row>
    <row r="184" spans="1:13" ht="14.95" hidden="1" customHeight="1">
      <c r="A184" s="393"/>
      <c r="B184" s="394"/>
      <c r="C184" s="394"/>
      <c r="D184" s="378"/>
      <c r="E184" s="1482"/>
      <c r="F184" s="1482"/>
      <c r="G184" s="396"/>
      <c r="H184" s="396"/>
      <c r="I184" s="397"/>
      <c r="J184" s="1125"/>
      <c r="K184" s="1124"/>
      <c r="L184" s="1122"/>
      <c r="M184" s="1122"/>
    </row>
    <row r="185" spans="1:13" ht="14.95" hidden="1" customHeight="1">
      <c r="A185" s="399"/>
      <c r="B185" s="378"/>
      <c r="C185" s="394"/>
      <c r="D185" s="378"/>
      <c r="E185" s="1482" t="s">
        <v>503</v>
      </c>
      <c r="F185" s="1482"/>
      <c r="G185" s="400"/>
      <c r="H185" s="400"/>
      <c r="I185" s="401"/>
      <c r="J185" s="1125"/>
      <c r="K185" s="1124"/>
      <c r="L185" s="1122"/>
      <c r="M185" s="1122"/>
    </row>
    <row r="186" spans="1:13" ht="14.95" hidden="1" customHeight="1">
      <c r="A186" s="399"/>
      <c r="B186" s="378"/>
      <c r="C186" s="394"/>
      <c r="D186" s="378"/>
      <c r="E186" s="541"/>
      <c r="F186" s="400"/>
      <c r="G186" s="400"/>
      <c r="H186" s="400"/>
      <c r="I186" s="401"/>
      <c r="J186" s="1125"/>
      <c r="K186" s="1124"/>
      <c r="L186" s="1122"/>
      <c r="M186" s="1122"/>
    </row>
    <row r="187" spans="1:13" ht="14.95" hidden="1" customHeight="1">
      <c r="A187" s="399"/>
      <c r="B187" s="378"/>
      <c r="C187" s="394"/>
      <c r="D187" s="378"/>
      <c r="E187" s="541"/>
      <c r="F187" s="400"/>
      <c r="G187" s="400"/>
      <c r="H187" s="400"/>
      <c r="I187" s="401"/>
      <c r="J187" s="1125"/>
      <c r="K187" s="1124"/>
      <c r="L187" s="1122"/>
      <c r="M187" s="1122"/>
    </row>
    <row r="188" spans="1:13" ht="14.95" hidden="1" customHeight="1">
      <c r="A188" s="399"/>
      <c r="B188" s="378"/>
      <c r="C188" s="394"/>
      <c r="D188" s="378"/>
      <c r="E188" s="541"/>
      <c r="F188" s="400"/>
      <c r="G188" s="400"/>
      <c r="H188" s="400"/>
      <c r="I188" s="401"/>
      <c r="J188" s="1125"/>
      <c r="K188" s="1124"/>
      <c r="L188" s="1122"/>
      <c r="M188" s="1122"/>
    </row>
    <row r="189" spans="1:13" ht="14.95" hidden="1" customHeight="1">
      <c r="A189" s="399"/>
      <c r="B189" s="378"/>
      <c r="C189" s="394"/>
      <c r="D189" s="378"/>
      <c r="E189" s="541"/>
      <c r="F189" s="400"/>
      <c r="G189" s="400"/>
      <c r="H189" s="400"/>
      <c r="I189" s="401"/>
      <c r="J189" s="1125"/>
      <c r="K189" s="1124"/>
      <c r="L189" s="1122"/>
      <c r="M189" s="1122"/>
    </row>
    <row r="190" spans="1:13" ht="14.95" hidden="1" customHeight="1">
      <c r="A190" s="399"/>
      <c r="B190" s="378"/>
      <c r="C190" s="394"/>
      <c r="D190" s="378"/>
      <c r="E190" s="541"/>
      <c r="F190" s="400"/>
      <c r="G190" s="400"/>
      <c r="H190" s="400"/>
      <c r="I190" s="401"/>
      <c r="J190" s="1125"/>
      <c r="K190" s="1124"/>
      <c r="L190" s="1122"/>
      <c r="M190" s="1122"/>
    </row>
    <row r="191" spans="1:13" s="65" customFormat="1" ht="13.95" hidden="1" customHeight="1">
      <c r="A191" s="402"/>
      <c r="B191" s="377"/>
      <c r="C191" s="377"/>
      <c r="D191" s="377"/>
      <c r="E191" s="377"/>
      <c r="F191" s="377"/>
      <c r="G191" s="377"/>
      <c r="H191" s="377"/>
      <c r="I191" s="403"/>
      <c r="J191" s="1126"/>
      <c r="K191" s="1123"/>
      <c r="L191" s="1123"/>
      <c r="M191" s="1123"/>
    </row>
    <row r="192" spans="1:13" ht="13.95" hidden="1" customHeight="1">
      <c r="A192" s="402"/>
      <c r="B192" s="377"/>
      <c r="C192" s="377"/>
      <c r="D192" s="377"/>
      <c r="E192" s="377"/>
      <c r="F192" s="377"/>
      <c r="G192" s="377"/>
      <c r="H192" s="377"/>
      <c r="I192" s="403"/>
      <c r="J192" s="1125"/>
      <c r="K192" s="1124"/>
      <c r="L192" s="1122"/>
      <c r="M192" s="1122"/>
    </row>
    <row r="193" spans="1:13" ht="14.95" hidden="1" customHeight="1">
      <c r="A193" s="1443"/>
      <c r="B193" s="378"/>
      <c r="C193" s="405"/>
      <c r="D193" s="378"/>
      <c r="E193" s="378"/>
      <c r="F193" s="378" t="s">
        <v>1153</v>
      </c>
      <c r="G193" s="378"/>
      <c r="H193" s="378"/>
      <c r="I193" s="406"/>
      <c r="J193" s="1125"/>
      <c r="K193" s="1124"/>
      <c r="L193" s="1122"/>
      <c r="M193" s="1122"/>
    </row>
    <row r="194" spans="1:13" ht="14.95" hidden="1" customHeight="1">
      <c r="A194" s="1443"/>
      <c r="B194" s="378"/>
      <c r="C194" s="405"/>
      <c r="D194" s="378"/>
      <c r="E194" s="378"/>
      <c r="F194" s="378" t="s">
        <v>943</v>
      </c>
      <c r="G194" s="378"/>
      <c r="H194" s="378"/>
      <c r="I194" s="406"/>
      <c r="J194" s="1125"/>
      <c r="K194" s="1124"/>
      <c r="L194" s="1122"/>
      <c r="M194" s="1122"/>
    </row>
    <row r="195" spans="1:13" ht="20.399999999999999" hidden="1" customHeight="1">
      <c r="A195" s="1443"/>
      <c r="B195" s="1444" t="s">
        <v>546</v>
      </c>
      <c r="C195" s="1444"/>
      <c r="D195" s="1444"/>
      <c r="E195" s="1444"/>
      <c r="F195" s="378"/>
      <c r="G195" s="378"/>
      <c r="H195" s="378"/>
      <c r="I195" s="406"/>
      <c r="J195" s="1125"/>
      <c r="K195" s="1124"/>
      <c r="L195" s="1122"/>
      <c r="M195" s="1122"/>
    </row>
    <row r="196" spans="1:13" ht="17.5" hidden="1" customHeight="1">
      <c r="A196" s="408" t="s">
        <v>545</v>
      </c>
      <c r="B196" s="1457"/>
      <c r="C196" s="1457"/>
      <c r="D196" s="1457"/>
      <c r="E196" s="1457"/>
      <c r="F196" s="405" t="s">
        <v>544</v>
      </c>
      <c r="G196" s="405"/>
      <c r="H196" s="405"/>
      <c r="I196" s="409" t="s">
        <v>1138</v>
      </c>
      <c r="J196" s="1125"/>
      <c r="K196" s="1124"/>
      <c r="L196" s="1122"/>
      <c r="M196" s="1122"/>
    </row>
    <row r="197" spans="1:13" ht="17.5" hidden="1" customHeight="1">
      <c r="A197" s="408" t="s">
        <v>941</v>
      </c>
      <c r="B197" s="1457" t="s">
        <v>547</v>
      </c>
      <c r="C197" s="1457"/>
      <c r="D197" s="1457"/>
      <c r="E197" s="1457"/>
      <c r="F197" s="410"/>
      <c r="G197" s="410"/>
      <c r="H197" s="410"/>
      <c r="I197" s="411"/>
      <c r="J197" s="1125"/>
      <c r="K197" s="1124"/>
      <c r="L197" s="1122"/>
      <c r="M197" s="1122"/>
    </row>
    <row r="198" spans="1:13" ht="17.5" hidden="1" customHeight="1">
      <c r="A198" s="408" t="s">
        <v>942</v>
      </c>
      <c r="B198" s="410"/>
      <c r="C198" s="410"/>
      <c r="D198" s="410"/>
      <c r="E198" s="410"/>
      <c r="F198" s="410"/>
      <c r="G198" s="410"/>
      <c r="H198" s="410"/>
      <c r="I198" s="412"/>
      <c r="J198" s="1125"/>
      <c r="K198" s="1124"/>
      <c r="L198" s="1122"/>
      <c r="M198" s="1122"/>
    </row>
    <row r="199" spans="1:13" ht="17.5" hidden="1" customHeight="1">
      <c r="A199" s="408"/>
      <c r="B199" s="410"/>
      <c r="C199" s="410"/>
      <c r="D199" s="410"/>
      <c r="E199" s="410"/>
      <c r="F199" s="410"/>
      <c r="G199" s="410"/>
      <c r="H199" s="410"/>
      <c r="I199" s="412"/>
      <c r="J199" s="1125"/>
      <c r="K199" s="1124"/>
      <c r="L199" s="1122"/>
      <c r="M199" s="1122"/>
    </row>
    <row r="200" spans="1:13" ht="17.5" hidden="1" customHeight="1">
      <c r="A200" s="413"/>
      <c r="B200" s="410"/>
      <c r="C200" s="410"/>
      <c r="D200" s="410"/>
      <c r="E200" s="410"/>
      <c r="F200" s="410"/>
      <c r="G200" s="410"/>
      <c r="H200" s="410"/>
      <c r="I200" s="412"/>
      <c r="J200" s="1125"/>
      <c r="K200" s="1124"/>
      <c r="L200" s="1122"/>
      <c r="M200" s="1122"/>
    </row>
    <row r="201" spans="1:13" ht="14.95" hidden="1" customHeight="1">
      <c r="A201" s="414" t="s">
        <v>456</v>
      </c>
      <c r="B201" s="415">
        <f ca="1">TODAY()</f>
        <v>45968</v>
      </c>
      <c r="C201" s="405"/>
      <c r="D201" s="405" t="s">
        <v>944</v>
      </c>
      <c r="E201" s="378"/>
      <c r="F201" s="405"/>
      <c r="G201" s="405"/>
      <c r="H201" s="405"/>
      <c r="I201" s="406"/>
      <c r="J201" s="1125"/>
      <c r="K201" s="1124"/>
      <c r="L201" s="1122"/>
      <c r="M201" s="1122"/>
    </row>
    <row r="202" spans="1:13" ht="14.95" hidden="1" customHeight="1">
      <c r="A202" s="414"/>
      <c r="B202" s="415"/>
      <c r="C202" s="405"/>
      <c r="D202" s="405"/>
      <c r="E202" s="378"/>
      <c r="F202" s="405"/>
      <c r="G202" s="405"/>
      <c r="H202" s="405"/>
      <c r="I202" s="406"/>
      <c r="J202" s="1125"/>
      <c r="K202" s="1124"/>
      <c r="L202" s="1122"/>
      <c r="M202" s="1122"/>
    </row>
    <row r="203" spans="1:13" ht="18" hidden="1" customHeight="1" thickBot="1">
      <c r="A203" s="373"/>
      <c r="B203" s="410"/>
      <c r="C203" s="410"/>
      <c r="D203" s="410"/>
      <c r="E203" s="540"/>
      <c r="F203" s="410"/>
      <c r="G203" s="410"/>
      <c r="H203" s="410"/>
      <c r="I203" s="412"/>
      <c r="J203" s="1125"/>
      <c r="K203" s="1124"/>
      <c r="L203" s="1122"/>
      <c r="M203" s="1122"/>
    </row>
    <row r="204" spans="1:13" ht="14.95" hidden="1" customHeight="1">
      <c r="A204" s="416" t="s">
        <v>457</v>
      </c>
      <c r="B204" s="1445" t="str">
        <f>IF($B$12="","",$B$12)</f>
        <v/>
      </c>
      <c r="C204" s="1446"/>
      <c r="D204" s="1447"/>
      <c r="E204" s="543" t="s">
        <v>454</v>
      </c>
      <c r="F204" s="1448"/>
      <c r="G204" s="1449"/>
      <c r="H204" s="1449"/>
      <c r="I204" s="1450"/>
      <c r="J204" s="1125"/>
      <c r="K204" s="1124"/>
      <c r="L204" s="1122"/>
      <c r="M204" s="1122"/>
    </row>
    <row r="205" spans="1:13" ht="14.95" hidden="1" customHeight="1">
      <c r="A205" s="417"/>
      <c r="B205" s="1451"/>
      <c r="C205" s="1452"/>
      <c r="D205" s="1453"/>
      <c r="E205" s="544" t="s">
        <v>1196</v>
      </c>
      <c r="F205" s="1454" t="str">
        <f>IF($F$13="","",$F$13)</f>
        <v/>
      </c>
      <c r="G205" s="1455"/>
      <c r="H205" s="1455"/>
      <c r="I205" s="1456"/>
      <c r="J205" s="1125"/>
      <c r="K205" s="1124"/>
      <c r="L205" s="1122"/>
      <c r="M205" s="1122"/>
    </row>
    <row r="206" spans="1:13" ht="14.95" hidden="1" customHeight="1">
      <c r="A206" s="417" t="s">
        <v>458</v>
      </c>
      <c r="B206" s="1451" t="e">
        <f>IF(#REF!="","",#REF!)</f>
        <v>#REF!</v>
      </c>
      <c r="C206" s="1452"/>
      <c r="D206" s="1453"/>
      <c r="E206" s="544" t="s">
        <v>459</v>
      </c>
      <c r="F206" s="1454" t="str">
        <f>IF($F$14="","",$F$14)</f>
        <v/>
      </c>
      <c r="G206" s="1455"/>
      <c r="H206" s="1455"/>
      <c r="I206" s="1456"/>
      <c r="J206" s="1125"/>
      <c r="K206" s="1124"/>
      <c r="L206" s="1122"/>
      <c r="M206" s="1122"/>
    </row>
    <row r="207" spans="1:13" ht="14.95" hidden="1" customHeight="1">
      <c r="A207" s="418" t="s">
        <v>460</v>
      </c>
      <c r="B207" s="1451" t="str">
        <f>IF($B$14="","",$B$14)</f>
        <v/>
      </c>
      <c r="C207" s="1452"/>
      <c r="D207" s="1453"/>
      <c r="E207" s="544" t="s">
        <v>455</v>
      </c>
      <c r="F207" s="1454" t="str">
        <f>IF($F$15="","",$F$15)</f>
        <v>Férfi</v>
      </c>
      <c r="G207" s="1455"/>
      <c r="H207" s="1455"/>
      <c r="I207" s="1456"/>
      <c r="J207" s="1125"/>
      <c r="K207" s="1124"/>
      <c r="L207" s="1122"/>
      <c r="M207" s="1122"/>
    </row>
    <row r="208" spans="1:13" ht="15.65" hidden="1" customHeight="1" thickBot="1">
      <c r="A208" s="419" t="s">
        <v>542</v>
      </c>
      <c r="B208" s="1499" t="str">
        <f>IF($B$17="","",$B$17)</f>
        <v>TAJ</v>
      </c>
      <c r="C208" s="1500"/>
      <c r="D208" s="1501"/>
      <c r="E208" s="545" t="s">
        <v>543</v>
      </c>
      <c r="F208" s="1502">
        <f>IF($F$17="","",$F$17)</f>
        <v>0</v>
      </c>
      <c r="G208" s="1503"/>
      <c r="H208" s="1503"/>
      <c r="I208" s="1504"/>
      <c r="J208" s="1125"/>
      <c r="K208" s="1124"/>
      <c r="L208" s="1122"/>
      <c r="M208" s="1122"/>
    </row>
    <row r="209" spans="1:15" ht="17" hidden="1" customHeight="1">
      <c r="A209" s="373"/>
      <c r="B209" s="374"/>
      <c r="C209" s="374"/>
      <c r="D209" s="374"/>
      <c r="E209" s="380"/>
      <c r="F209" s="380"/>
      <c r="G209" s="380"/>
      <c r="H209" s="380"/>
      <c r="I209" s="426"/>
      <c r="J209" s="1129"/>
      <c r="K209" s="1122"/>
      <c r="L209" s="1122"/>
      <c r="M209" s="1122"/>
    </row>
    <row r="210" spans="1:15" ht="17" hidden="1" customHeight="1">
      <c r="A210" s="373"/>
      <c r="B210" s="374"/>
      <c r="C210" s="374"/>
      <c r="D210" s="374"/>
      <c r="E210" s="374"/>
      <c r="F210" s="374"/>
      <c r="G210" s="374"/>
      <c r="H210" s="374"/>
      <c r="I210" s="423"/>
      <c r="J210" s="1129"/>
      <c r="K210" s="1122"/>
      <c r="L210" s="1122"/>
      <c r="M210" s="1122"/>
    </row>
    <row r="211" spans="1:15" ht="17.7" hidden="1">
      <c r="A211" s="420" t="s">
        <v>461</v>
      </c>
      <c r="B211" s="374"/>
      <c r="C211" s="374"/>
      <c r="D211" s="374"/>
      <c r="E211" s="374"/>
      <c r="F211" s="374"/>
      <c r="G211" s="374"/>
      <c r="H211" s="374"/>
      <c r="I211" s="423"/>
      <c r="J211" s="1129"/>
      <c r="K211" s="1122"/>
      <c r="L211" s="1122"/>
      <c r="M211" s="1122"/>
    </row>
    <row r="212" spans="1:15" ht="16.3" hidden="1" thickBot="1">
      <c r="A212" s="399"/>
      <c r="B212" s="378"/>
      <c r="C212" s="424"/>
      <c r="D212" s="378"/>
      <c r="E212" s="548"/>
      <c r="F212" s="400"/>
      <c r="G212" s="400"/>
      <c r="H212" s="400"/>
      <c r="I212" s="401"/>
      <c r="J212" s="1125"/>
      <c r="K212" s="1124"/>
      <c r="L212" s="1122"/>
      <c r="M212" s="1122"/>
    </row>
    <row r="213" spans="1:15" ht="17.7" hidden="1">
      <c r="A213" s="381" t="s">
        <v>501</v>
      </c>
      <c r="B213" s="382"/>
      <c r="C213" s="382"/>
      <c r="D213" s="382"/>
      <c r="E213" s="382"/>
      <c r="F213" s="382"/>
      <c r="G213" s="382"/>
      <c r="H213" s="382"/>
      <c r="I213" s="383"/>
      <c r="J213" s="1125"/>
      <c r="K213" s="1124"/>
      <c r="L213" s="1122"/>
      <c r="M213" s="1122"/>
    </row>
    <row r="214" spans="1:15" hidden="1">
      <c r="A214" s="1458" t="e">
        <f>IF(#REF!="nincs vizsgálat kiválasztva","",#REF!)</f>
        <v>#REF!</v>
      </c>
      <c r="B214" s="1459"/>
      <c r="C214" s="1459"/>
      <c r="D214" s="1482"/>
      <c r="E214" s="1482"/>
      <c r="F214" s="1459"/>
      <c r="G214" s="1459"/>
      <c r="H214" s="1459"/>
      <c r="I214" s="1460"/>
      <c r="J214" s="1125"/>
      <c r="K214" s="1124"/>
      <c r="L214" s="1122"/>
      <c r="M214" s="1122"/>
    </row>
    <row r="215" spans="1:15" hidden="1">
      <c r="A215" s="1458"/>
      <c r="B215" s="1459"/>
      <c r="C215" s="1459"/>
      <c r="D215" s="1482"/>
      <c r="E215" s="1482"/>
      <c r="F215" s="1459"/>
      <c r="G215" s="1459"/>
      <c r="H215" s="1459"/>
      <c r="I215" s="1460"/>
      <c r="J215" s="1125"/>
      <c r="K215" s="1124"/>
      <c r="L215" s="1122"/>
      <c r="M215" s="1122"/>
    </row>
    <row r="216" spans="1:15" hidden="1">
      <c r="A216" s="1458"/>
      <c r="B216" s="1459"/>
      <c r="C216" s="1459"/>
      <c r="D216" s="1482"/>
      <c r="E216" s="1482"/>
      <c r="F216" s="1459"/>
      <c r="G216" s="1459"/>
      <c r="H216" s="1459"/>
      <c r="I216" s="1460"/>
      <c r="J216" s="1125"/>
      <c r="K216" s="1124"/>
      <c r="L216" s="1122"/>
      <c r="M216" s="1122"/>
    </row>
    <row r="217" spans="1:15" hidden="1">
      <c r="A217" s="1458"/>
      <c r="B217" s="1459"/>
      <c r="C217" s="1459"/>
      <c r="D217" s="1482"/>
      <c r="E217" s="1482"/>
      <c r="F217" s="1459"/>
      <c r="G217" s="1459"/>
      <c r="H217" s="1459"/>
      <c r="I217" s="1460"/>
      <c r="J217" s="1125"/>
      <c r="K217" s="1124"/>
      <c r="L217" s="1122"/>
      <c r="M217" s="1122"/>
    </row>
    <row r="218" spans="1:15" hidden="1">
      <c r="A218" s="1458"/>
      <c r="B218" s="1459"/>
      <c r="C218" s="1459"/>
      <c r="D218" s="1482"/>
      <c r="E218" s="1482"/>
      <c r="F218" s="1459"/>
      <c r="G218" s="1459"/>
      <c r="H218" s="1459"/>
      <c r="I218" s="1460"/>
      <c r="J218" s="1125"/>
      <c r="K218" s="1124"/>
      <c r="L218" s="1122"/>
      <c r="M218" s="1122"/>
    </row>
    <row r="219" spans="1:15" hidden="1">
      <c r="A219" s="1458"/>
      <c r="B219" s="1459"/>
      <c r="C219" s="1459"/>
      <c r="D219" s="1482"/>
      <c r="E219" s="1482"/>
      <c r="F219" s="1459"/>
      <c r="G219" s="1459"/>
      <c r="H219" s="1459"/>
      <c r="I219" s="1460"/>
      <c r="J219" s="1125"/>
      <c r="K219" s="1124"/>
      <c r="L219" s="1122"/>
      <c r="M219" s="1122"/>
    </row>
    <row r="220" spans="1:15" hidden="1">
      <c r="A220" s="1458"/>
      <c r="B220" s="1459"/>
      <c r="C220" s="1459"/>
      <c r="D220" s="1482"/>
      <c r="E220" s="1482"/>
      <c r="F220" s="1459"/>
      <c r="G220" s="1459"/>
      <c r="H220" s="1459"/>
      <c r="I220" s="1460"/>
      <c r="J220" s="1129"/>
      <c r="K220" s="1122"/>
      <c r="L220" s="1122"/>
      <c r="M220" s="1122"/>
    </row>
    <row r="221" spans="1:15" hidden="1">
      <c r="A221" s="1458"/>
      <c r="B221" s="1459"/>
      <c r="C221" s="1459"/>
      <c r="D221" s="1482"/>
      <c r="E221" s="1482"/>
      <c r="F221" s="1459"/>
      <c r="G221" s="1459"/>
      <c r="H221" s="1459"/>
      <c r="I221" s="1460"/>
      <c r="J221" s="1129"/>
      <c r="K221" s="1122"/>
      <c r="L221" s="1122"/>
      <c r="M221" s="1122"/>
    </row>
    <row r="222" spans="1:15" ht="16.3" hidden="1">
      <c r="A222" s="1458"/>
      <c r="B222" s="1459"/>
      <c r="C222" s="1459"/>
      <c r="D222" s="1482"/>
      <c r="E222" s="1482"/>
      <c r="F222" s="1459"/>
      <c r="G222" s="1459"/>
      <c r="H222" s="1459"/>
      <c r="I222" s="1460"/>
      <c r="J222" s="1130"/>
      <c r="K222" s="1131"/>
      <c r="L222" s="1132"/>
      <c r="M222" s="1133"/>
      <c r="N222" s="60"/>
      <c r="O222" s="60"/>
    </row>
    <row r="223" spans="1:15" ht="16.3" hidden="1">
      <c r="A223" s="1458"/>
      <c r="B223" s="1459"/>
      <c r="C223" s="1459"/>
      <c r="D223" s="1482"/>
      <c r="E223" s="1482"/>
      <c r="F223" s="1459"/>
      <c r="G223" s="1459"/>
      <c r="H223" s="1459"/>
      <c r="I223" s="1460"/>
      <c r="J223" s="1130"/>
      <c r="K223" s="1131"/>
      <c r="L223" s="1132"/>
      <c r="M223" s="1133"/>
      <c r="N223" s="61"/>
      <c r="O223" s="60"/>
    </row>
    <row r="224" spans="1:15" ht="24.45" hidden="1" customHeight="1">
      <c r="A224" s="1458"/>
      <c r="B224" s="1459"/>
      <c r="C224" s="1459"/>
      <c r="D224" s="1482"/>
      <c r="E224" s="1482"/>
      <c r="F224" s="1459"/>
      <c r="G224" s="1459"/>
      <c r="H224" s="1459"/>
      <c r="I224" s="1460"/>
      <c r="J224" s="1130"/>
      <c r="K224" s="1131"/>
      <c r="L224" s="1132"/>
      <c r="M224" s="1133"/>
      <c r="N224" s="61"/>
      <c r="O224" s="60"/>
    </row>
    <row r="225" spans="1:16" ht="16.3" hidden="1">
      <c r="A225" s="1458"/>
      <c r="B225" s="1459"/>
      <c r="C225" s="1459"/>
      <c r="D225" s="1482"/>
      <c r="E225" s="1482"/>
      <c r="F225" s="1459"/>
      <c r="G225" s="1459"/>
      <c r="H225" s="1459"/>
      <c r="I225" s="1460"/>
      <c r="J225" s="1130"/>
      <c r="K225" s="1131"/>
      <c r="L225" s="1131"/>
      <c r="M225" s="1131"/>
      <c r="N225" s="58"/>
      <c r="O225" s="58"/>
    </row>
    <row r="226" spans="1:16" ht="16.3" hidden="1">
      <c r="A226" s="1458"/>
      <c r="B226" s="1459"/>
      <c r="C226" s="1459"/>
      <c r="D226" s="1482"/>
      <c r="E226" s="1482"/>
      <c r="F226" s="1459"/>
      <c r="G226" s="1459"/>
      <c r="H226" s="1459"/>
      <c r="I226" s="1460"/>
      <c r="J226" s="1130"/>
      <c r="K226" s="1131"/>
      <c r="L226" s="1131"/>
      <c r="M226" s="1131"/>
      <c r="N226" s="58"/>
      <c r="O226" s="58"/>
    </row>
    <row r="227" spans="1:16" ht="16.3" hidden="1">
      <c r="A227" s="384"/>
      <c r="B227" s="138"/>
      <c r="C227" s="138"/>
      <c r="D227" s="541"/>
      <c r="E227" s="541"/>
      <c r="F227" s="138"/>
      <c r="G227" s="138"/>
      <c r="H227" s="138"/>
      <c r="I227" s="385"/>
      <c r="J227" s="1130"/>
      <c r="K227" s="1131"/>
      <c r="L227" s="1131"/>
      <c r="M227" s="1131"/>
      <c r="N227" s="58"/>
      <c r="O227" s="58"/>
    </row>
    <row r="228" spans="1:16" ht="18.350000000000001" hidden="1">
      <c r="A228" s="381" t="s">
        <v>489</v>
      </c>
      <c r="B228" s="382"/>
      <c r="C228" s="382"/>
      <c r="D228" s="382"/>
      <c r="E228" s="382"/>
      <c r="F228" s="382"/>
      <c r="G228" s="382"/>
      <c r="H228" s="382"/>
      <c r="I228" s="383"/>
      <c r="J228" s="1130"/>
      <c r="K228" s="1131"/>
      <c r="L228" s="1131"/>
      <c r="M228" s="1131"/>
      <c r="N228" s="58"/>
      <c r="O228" s="58"/>
    </row>
    <row r="229" spans="1:16" ht="16.3" hidden="1">
      <c r="A229" s="1458" t="str">
        <f>IF(Csomagok!$A$1077="nincs vizsgálat kiválasztva","",Csomagok!$A$1077)</f>
        <v/>
      </c>
      <c r="B229" s="1459"/>
      <c r="C229" s="1459"/>
      <c r="D229" s="1482"/>
      <c r="E229" s="1482"/>
      <c r="F229" s="1459"/>
      <c r="G229" s="1459"/>
      <c r="H229" s="1459"/>
      <c r="I229" s="1460"/>
      <c r="J229" s="1130"/>
      <c r="K229" s="1131"/>
      <c r="L229" s="1131"/>
      <c r="M229" s="1131"/>
      <c r="N229" s="58"/>
      <c r="O229" s="58"/>
    </row>
    <row r="230" spans="1:16" ht="16.3" hidden="1">
      <c r="A230" s="1458"/>
      <c r="B230" s="1459"/>
      <c r="C230" s="1459"/>
      <c r="D230" s="1482"/>
      <c r="E230" s="1482"/>
      <c r="F230" s="1459"/>
      <c r="G230" s="1459"/>
      <c r="H230" s="1459"/>
      <c r="I230" s="1460"/>
      <c r="J230" s="1130"/>
      <c r="K230" s="1133"/>
      <c r="L230" s="1133"/>
      <c r="M230" s="1133"/>
      <c r="N230" s="60"/>
      <c r="O230" s="60"/>
    </row>
    <row r="231" spans="1:16" ht="16.3" hidden="1">
      <c r="A231" s="1458"/>
      <c r="B231" s="1459"/>
      <c r="C231" s="1459"/>
      <c r="D231" s="1482"/>
      <c r="E231" s="1482"/>
      <c r="F231" s="1459"/>
      <c r="G231" s="1459"/>
      <c r="H231" s="1459"/>
      <c r="I231" s="1460"/>
      <c r="J231" s="1130"/>
      <c r="K231" s="1133"/>
      <c r="L231" s="1133"/>
      <c r="M231" s="1133"/>
      <c r="N231" s="60"/>
      <c r="O231" s="60"/>
    </row>
    <row r="232" spans="1:16" ht="16.3" hidden="1">
      <c r="A232" s="1458"/>
      <c r="B232" s="1459"/>
      <c r="C232" s="1459"/>
      <c r="D232" s="1482"/>
      <c r="E232" s="1482"/>
      <c r="F232" s="1459"/>
      <c r="G232" s="1459"/>
      <c r="H232" s="1459"/>
      <c r="I232" s="1460"/>
      <c r="J232" s="1130"/>
      <c r="K232" s="1131"/>
      <c r="L232" s="1131"/>
      <c r="M232" s="1131"/>
      <c r="N232" s="58"/>
      <c r="O232" s="58"/>
      <c r="P232" s="57"/>
    </row>
    <row r="233" spans="1:16" s="59" customFormat="1" hidden="1">
      <c r="A233" s="1458"/>
      <c r="B233" s="1459"/>
      <c r="C233" s="1459"/>
      <c r="D233" s="1482"/>
      <c r="E233" s="1482"/>
      <c r="F233" s="1459"/>
      <c r="G233" s="1459"/>
      <c r="H233" s="1459"/>
      <c r="I233" s="1460"/>
      <c r="J233" s="1134"/>
      <c r="K233" s="1135"/>
      <c r="L233" s="1135"/>
      <c r="M233" s="1135"/>
    </row>
    <row r="234" spans="1:16" s="59" customFormat="1" hidden="1">
      <c r="A234" s="1458"/>
      <c r="B234" s="1459"/>
      <c r="C234" s="1459"/>
      <c r="D234" s="1482"/>
      <c r="E234" s="1482"/>
      <c r="F234" s="1459"/>
      <c r="G234" s="1459"/>
      <c r="H234" s="1459"/>
      <c r="I234" s="1460"/>
      <c r="J234" s="1134"/>
      <c r="K234" s="1135"/>
      <c r="L234" s="1135"/>
      <c r="M234" s="1135"/>
    </row>
    <row r="235" spans="1:16" s="59" customFormat="1" hidden="1">
      <c r="A235" s="1458"/>
      <c r="B235" s="1459"/>
      <c r="C235" s="1459"/>
      <c r="D235" s="1482"/>
      <c r="E235" s="1482"/>
      <c r="F235" s="1459"/>
      <c r="G235" s="1459"/>
      <c r="H235" s="1459"/>
      <c r="I235" s="1460"/>
      <c r="J235" s="1134"/>
      <c r="K235" s="1135"/>
      <c r="L235" s="1135"/>
      <c r="M235" s="1135"/>
    </row>
    <row r="236" spans="1:16" s="59" customFormat="1" hidden="1">
      <c r="A236" s="1458"/>
      <c r="B236" s="1459"/>
      <c r="C236" s="1459"/>
      <c r="D236" s="1482"/>
      <c r="E236" s="1482"/>
      <c r="F236" s="1459"/>
      <c r="G236" s="1459"/>
      <c r="H236" s="1459"/>
      <c r="I236" s="1460"/>
      <c r="J236" s="1134"/>
      <c r="K236" s="1135"/>
      <c r="L236" s="1135"/>
      <c r="M236" s="1135"/>
    </row>
    <row r="237" spans="1:16" s="59" customFormat="1" hidden="1">
      <c r="A237" s="1458"/>
      <c r="B237" s="1459"/>
      <c r="C237" s="1459"/>
      <c r="D237" s="1482"/>
      <c r="E237" s="1482"/>
      <c r="F237" s="1459"/>
      <c r="G237" s="1459"/>
      <c r="H237" s="1459"/>
      <c r="I237" s="1460"/>
      <c r="J237" s="1134"/>
      <c r="K237" s="1135"/>
      <c r="L237" s="1135"/>
      <c r="M237" s="1135"/>
    </row>
    <row r="238" spans="1:16" ht="15.65" hidden="1">
      <c r="A238" s="1458"/>
      <c r="B238" s="1459"/>
      <c r="C238" s="1459"/>
      <c r="D238" s="1482"/>
      <c r="E238" s="1482"/>
      <c r="F238" s="1459"/>
      <c r="G238" s="1459"/>
      <c r="H238" s="1459"/>
      <c r="I238" s="1460"/>
      <c r="J238" s="1136"/>
      <c r="K238" s="1133"/>
      <c r="L238" s="1133"/>
      <c r="M238" s="1133"/>
      <c r="N238" s="60"/>
      <c r="O238" s="60"/>
    </row>
    <row r="239" spans="1:16" ht="15.65" hidden="1">
      <c r="A239" s="1458"/>
      <c r="B239" s="1459"/>
      <c r="C239" s="1459"/>
      <c r="D239" s="1482"/>
      <c r="E239" s="1482"/>
      <c r="F239" s="1459"/>
      <c r="G239" s="1459"/>
      <c r="H239" s="1459"/>
      <c r="I239" s="1460"/>
      <c r="J239" s="1136"/>
      <c r="K239" s="1133"/>
      <c r="L239" s="1133"/>
      <c r="M239" s="1133"/>
      <c r="N239" s="60"/>
      <c r="O239" s="60"/>
    </row>
    <row r="240" spans="1:16" ht="15.65" hidden="1">
      <c r="A240" s="1458"/>
      <c r="B240" s="1459"/>
      <c r="C240" s="1459"/>
      <c r="D240" s="1482"/>
      <c r="E240" s="1482"/>
      <c r="F240" s="1459"/>
      <c r="G240" s="1459"/>
      <c r="H240" s="1459"/>
      <c r="I240" s="1460"/>
      <c r="J240" s="1136"/>
      <c r="K240" s="1133"/>
      <c r="L240" s="1133"/>
      <c r="M240" s="1133"/>
      <c r="N240" s="60"/>
      <c r="O240" s="60"/>
    </row>
    <row r="241" spans="1:13" hidden="1">
      <c r="A241" s="1458"/>
      <c r="B241" s="1459"/>
      <c r="C241" s="1459"/>
      <c r="D241" s="1482"/>
      <c r="E241" s="1482"/>
      <c r="F241" s="1459"/>
      <c r="G241" s="1459"/>
      <c r="H241" s="1459"/>
      <c r="I241" s="1460"/>
      <c r="J241" s="1125"/>
      <c r="K241" s="1124"/>
      <c r="L241" s="1122"/>
      <c r="M241" s="1122"/>
    </row>
    <row r="242" spans="1:13" s="65" customFormat="1" ht="15.65" hidden="1">
      <c r="A242" s="381" t="s">
        <v>1137</v>
      </c>
      <c r="B242" s="389"/>
      <c r="C242" s="389"/>
      <c r="D242" s="389"/>
      <c r="E242" s="389"/>
      <c r="F242" s="389"/>
      <c r="G242" s="389"/>
      <c r="H242" s="389"/>
      <c r="I242" s="390"/>
      <c r="J242" s="1126"/>
      <c r="K242" s="1123"/>
      <c r="L242" s="1123"/>
      <c r="M242" s="1123"/>
    </row>
    <row r="243" spans="1:13" hidden="1">
      <c r="A243" s="1458" t="str">
        <f>IF(Clinomics!$A$55="nincs vizsgálat kiválasztva","",Clinomics!$A$55)</f>
        <v>-</v>
      </c>
      <c r="B243" s="1459"/>
      <c r="C243" s="1459"/>
      <c r="D243" s="1482"/>
      <c r="E243" s="1482"/>
      <c r="F243" s="1459"/>
      <c r="G243" s="1459"/>
      <c r="H243" s="1459"/>
      <c r="I243" s="1460"/>
      <c r="J243" s="1125"/>
      <c r="K243" s="1124"/>
      <c r="L243" s="1122"/>
      <c r="M243" s="1122"/>
    </row>
    <row r="244" spans="1:13" hidden="1">
      <c r="A244" s="1458"/>
      <c r="B244" s="1459"/>
      <c r="C244" s="1459"/>
      <c r="D244" s="1482"/>
      <c r="E244" s="1482"/>
      <c r="F244" s="1459"/>
      <c r="G244" s="1459"/>
      <c r="H244" s="1459"/>
      <c r="I244" s="1460"/>
      <c r="J244" s="1125"/>
      <c r="K244" s="1124"/>
      <c r="L244" s="1122"/>
      <c r="M244" s="1122"/>
    </row>
    <row r="245" spans="1:13" hidden="1">
      <c r="A245" s="1458"/>
      <c r="B245" s="1459"/>
      <c r="C245" s="1459"/>
      <c r="D245" s="1482"/>
      <c r="E245" s="1482"/>
      <c r="F245" s="1459"/>
      <c r="G245" s="1459"/>
      <c r="H245" s="1459"/>
      <c r="I245" s="1460"/>
      <c r="J245" s="1125"/>
      <c r="K245" s="1124"/>
      <c r="L245" s="1122"/>
      <c r="M245" s="1122"/>
    </row>
    <row r="246" spans="1:13" hidden="1">
      <c r="A246" s="1458"/>
      <c r="B246" s="1459"/>
      <c r="C246" s="1459"/>
      <c r="D246" s="1482"/>
      <c r="E246" s="1482"/>
      <c r="F246" s="1459"/>
      <c r="G246" s="1459"/>
      <c r="H246" s="1459"/>
      <c r="I246" s="1460"/>
      <c r="J246" s="1125"/>
      <c r="K246" s="1124"/>
      <c r="L246" s="1122"/>
      <c r="M246" s="1122"/>
    </row>
    <row r="247" spans="1:13" hidden="1">
      <c r="A247" s="1458"/>
      <c r="B247" s="1459"/>
      <c r="C247" s="1459"/>
      <c r="D247" s="1482"/>
      <c r="E247" s="1482"/>
      <c r="F247" s="1459"/>
      <c r="G247" s="1459"/>
      <c r="H247" s="1459"/>
      <c r="I247" s="1460"/>
      <c r="J247" s="1125"/>
      <c r="K247" s="1124"/>
      <c r="L247" s="1122"/>
      <c r="M247" s="1122"/>
    </row>
    <row r="248" spans="1:13" hidden="1">
      <c r="A248" s="1458"/>
      <c r="B248" s="1459"/>
      <c r="C248" s="1459"/>
      <c r="D248" s="1482"/>
      <c r="E248" s="1482"/>
      <c r="F248" s="1459"/>
      <c r="G248" s="1459"/>
      <c r="H248" s="1459"/>
      <c r="I248" s="1460"/>
      <c r="J248" s="1125"/>
      <c r="K248" s="1124"/>
      <c r="L248" s="1122"/>
      <c r="M248" s="1122"/>
    </row>
    <row r="249" spans="1:13" hidden="1">
      <c r="A249" s="1458"/>
      <c r="B249" s="1459"/>
      <c r="C249" s="1459"/>
      <c r="D249" s="1482"/>
      <c r="E249" s="1482"/>
      <c r="F249" s="1459"/>
      <c r="G249" s="1459"/>
      <c r="H249" s="1459"/>
      <c r="I249" s="1460"/>
      <c r="J249" s="1125"/>
      <c r="K249" s="1124"/>
      <c r="L249" s="1122"/>
      <c r="M249" s="1122"/>
    </row>
    <row r="250" spans="1:13" hidden="1">
      <c r="A250" s="1458"/>
      <c r="B250" s="1459"/>
      <c r="C250" s="1459"/>
      <c r="D250" s="1482"/>
      <c r="E250" s="1482"/>
      <c r="F250" s="1459"/>
      <c r="G250" s="1459"/>
      <c r="H250" s="1459"/>
      <c r="I250" s="1460"/>
      <c r="J250" s="1125"/>
      <c r="K250" s="1124"/>
      <c r="L250" s="1122"/>
      <c r="M250" s="1122"/>
    </row>
    <row r="251" spans="1:13" hidden="1">
      <c r="A251" s="1458"/>
      <c r="B251" s="1459"/>
      <c r="C251" s="1459"/>
      <c r="D251" s="1482"/>
      <c r="E251" s="1482"/>
      <c r="F251" s="1459"/>
      <c r="G251" s="1459"/>
      <c r="H251" s="1459"/>
      <c r="I251" s="1460"/>
      <c r="J251" s="1125"/>
      <c r="K251" s="1124"/>
      <c r="L251" s="1122"/>
      <c r="M251" s="1122"/>
    </row>
    <row r="252" spans="1:13" hidden="1">
      <c r="A252" s="1458"/>
      <c r="B252" s="1459"/>
      <c r="C252" s="1459"/>
      <c r="D252" s="1482"/>
      <c r="E252" s="1482"/>
      <c r="F252" s="1459"/>
      <c r="G252" s="1459"/>
      <c r="H252" s="1459"/>
      <c r="I252" s="1460"/>
      <c r="J252" s="1125"/>
      <c r="K252" s="1124"/>
      <c r="L252" s="1122"/>
      <c r="M252" s="1122"/>
    </row>
    <row r="253" spans="1:13" ht="14.3" hidden="1" thickBot="1">
      <c r="A253" s="1468"/>
      <c r="B253" s="1469"/>
      <c r="C253" s="1469"/>
      <c r="D253" s="1528"/>
      <c r="E253" s="1528"/>
      <c r="F253" s="1469"/>
      <c r="G253" s="1469"/>
      <c r="H253" s="1469"/>
      <c r="I253" s="1470"/>
      <c r="J253" s="1125"/>
      <c r="K253" s="1124"/>
      <c r="L253" s="1122"/>
      <c r="M253" s="1122"/>
    </row>
    <row r="254" spans="1:13" ht="15.65" hidden="1">
      <c r="A254" s="427" t="s">
        <v>451</v>
      </c>
      <c r="B254" s="1527" t="e">
        <f ca="1">#REF!+Clinomics!$F$66+Csomagok!$D$1088</f>
        <v>#REF!</v>
      </c>
      <c r="C254" s="1527"/>
      <c r="D254" s="378"/>
      <c r="E254" s="378"/>
      <c r="F254" s="378"/>
      <c r="G254" s="378"/>
      <c r="H254" s="378"/>
      <c r="I254" s="395"/>
      <c r="J254" s="1125"/>
      <c r="K254" s="1124"/>
      <c r="L254" s="1122"/>
      <c r="M254" s="1122"/>
    </row>
    <row r="255" spans="1:13" ht="15.65" hidden="1">
      <c r="A255" s="393"/>
      <c r="B255" s="394"/>
      <c r="C255" s="378"/>
      <c r="D255" s="378"/>
      <c r="E255" s="1482" t="s">
        <v>504</v>
      </c>
      <c r="F255" s="1529"/>
      <c r="G255" s="396"/>
      <c r="H255" s="396"/>
      <c r="I255" s="397"/>
      <c r="J255" s="1125"/>
      <c r="K255" s="1124"/>
      <c r="L255" s="1122"/>
      <c r="M255" s="1122"/>
    </row>
    <row r="256" spans="1:13" ht="15.65" hidden="1">
      <c r="A256" s="393"/>
      <c r="B256" s="394"/>
      <c r="C256" s="378"/>
      <c r="D256" s="378"/>
      <c r="E256" s="1482"/>
      <c r="F256" s="1529"/>
      <c r="G256" s="396"/>
      <c r="H256" s="396"/>
      <c r="I256" s="397"/>
      <c r="J256" s="1125"/>
      <c r="K256" s="1124"/>
      <c r="L256" s="1122"/>
      <c r="M256" s="1122"/>
    </row>
    <row r="257" spans="1:13" s="65" customFormat="1" ht="15.65" hidden="1">
      <c r="A257" s="393" t="s">
        <v>530</v>
      </c>
      <c r="B257" s="398">
        <f ca="1">TODAY()</f>
        <v>45968</v>
      </c>
      <c r="C257" s="378"/>
      <c r="D257" s="378"/>
      <c r="E257" s="1482"/>
      <c r="F257" s="1529"/>
      <c r="G257" s="396"/>
      <c r="H257" s="396"/>
      <c r="I257" s="397"/>
      <c r="J257" s="1126"/>
      <c r="K257" s="1123"/>
      <c r="L257" s="1123"/>
      <c r="M257" s="1123"/>
    </row>
    <row r="258" spans="1:13" ht="15.65" hidden="1">
      <c r="A258" s="393"/>
      <c r="B258" s="394"/>
      <c r="C258" s="394"/>
      <c r="D258" s="378"/>
      <c r="E258" s="1482"/>
      <c r="F258" s="1529"/>
      <c r="G258" s="396"/>
      <c r="H258" s="396"/>
      <c r="I258" s="397"/>
      <c r="J258" s="1125"/>
      <c r="K258" s="1124"/>
      <c r="L258" s="1122"/>
      <c r="M258" s="1122"/>
    </row>
    <row r="259" spans="1:13" ht="15.65" hidden="1">
      <c r="A259" s="399"/>
      <c r="B259" s="378"/>
      <c r="C259" s="394"/>
      <c r="D259" s="378"/>
      <c r="E259" s="1482" t="s">
        <v>503</v>
      </c>
      <c r="F259" s="1530"/>
      <c r="G259" s="400"/>
      <c r="H259" s="400"/>
      <c r="I259" s="401"/>
      <c r="J259" s="1125"/>
      <c r="K259" s="1124"/>
      <c r="L259" s="1122"/>
      <c r="M259" s="1122"/>
    </row>
    <row r="260" spans="1:13" ht="15.65" hidden="1">
      <c r="A260" s="399"/>
      <c r="B260" s="378"/>
      <c r="C260" s="394"/>
      <c r="D260" s="378"/>
      <c r="E260" s="541"/>
      <c r="F260" s="400"/>
      <c r="G260" s="400"/>
      <c r="H260" s="400"/>
      <c r="I260" s="401"/>
      <c r="J260" s="1125"/>
      <c r="K260" s="1124"/>
      <c r="L260" s="1122"/>
      <c r="M260" s="1122"/>
    </row>
    <row r="261" spans="1:13" ht="15.65" hidden="1">
      <c r="A261" s="399"/>
      <c r="B261" s="378"/>
      <c r="C261" s="394"/>
      <c r="D261" s="378"/>
      <c r="E261" s="541"/>
      <c r="F261" s="400"/>
      <c r="G261" s="400"/>
      <c r="H261" s="400"/>
      <c r="I261" s="401"/>
      <c r="J261" s="1125"/>
      <c r="K261" s="1124"/>
      <c r="L261" s="1122"/>
      <c r="M261" s="1122"/>
    </row>
    <row r="262" spans="1:13" ht="15.65" hidden="1">
      <c r="A262" s="399"/>
      <c r="B262" s="378"/>
      <c r="C262" s="394"/>
      <c r="D262" s="378"/>
      <c r="E262" s="541"/>
      <c r="F262" s="400"/>
      <c r="G262" s="400"/>
      <c r="H262" s="400"/>
      <c r="I262" s="401"/>
      <c r="J262" s="1125"/>
      <c r="K262" s="1124"/>
      <c r="L262" s="1122"/>
      <c r="M262" s="1122"/>
    </row>
    <row r="263" spans="1:13" ht="15.65" hidden="1">
      <c r="A263" s="399"/>
      <c r="B263" s="378"/>
      <c r="C263" s="394"/>
      <c r="D263" s="378" t="s">
        <v>2829</v>
      </c>
      <c r="E263" s="666">
        <f>IF($H$6="SÜRGŐS",5750,0)</f>
        <v>0</v>
      </c>
      <c r="F263" s="400"/>
      <c r="G263" s="400"/>
      <c r="H263" s="400"/>
      <c r="I263" s="401"/>
      <c r="J263" s="1125"/>
      <c r="K263" s="1124"/>
      <c r="L263" s="1122"/>
      <c r="M263" s="1122"/>
    </row>
    <row r="264" spans="1:13" ht="15.65" hidden="1">
      <c r="A264" s="399"/>
      <c r="B264" s="378"/>
      <c r="C264" s="394"/>
      <c r="D264" s="378" t="s">
        <v>5571</v>
      </c>
      <c r="E264" s="666">
        <f>IF($X$30=TRUE,1000,0)</f>
        <v>0</v>
      </c>
      <c r="F264" s="400"/>
      <c r="G264" s="400"/>
      <c r="H264" s="400"/>
      <c r="I264" s="401"/>
      <c r="J264" s="1125"/>
      <c r="K264" s="1124"/>
      <c r="L264" s="1122"/>
      <c r="M264" s="1122"/>
    </row>
    <row r="265" spans="1:13" ht="15.65" hidden="1">
      <c r="A265" s="399"/>
      <c r="B265" s="378"/>
      <c r="C265" s="394"/>
      <c r="D265" s="1509" t="s">
        <v>2831</v>
      </c>
      <c r="E265" s="667">
        <f>IF($X$7=TRUE,5000,0)</f>
        <v>0</v>
      </c>
      <c r="F265" s="400"/>
      <c r="G265" s="400"/>
      <c r="H265" s="400"/>
      <c r="I265" s="401"/>
      <c r="J265" s="1125"/>
      <c r="K265" s="1124"/>
      <c r="L265" s="1122"/>
      <c r="M265" s="1122"/>
    </row>
    <row r="266" spans="1:13" ht="16.3" hidden="1" thickBot="1">
      <c r="A266" s="428"/>
      <c r="B266" s="429"/>
      <c r="C266" s="424"/>
      <c r="D266" s="1510"/>
      <c r="E266" s="425"/>
      <c r="F266" s="425"/>
      <c r="G266" s="425"/>
      <c r="H266" s="425"/>
      <c r="I266" s="430"/>
      <c r="J266" s="1124"/>
      <c r="K266" s="1124"/>
      <c r="L266" s="1122"/>
      <c r="M266" s="1122"/>
    </row>
    <row r="267" spans="1:13" ht="28.2" customHeight="1">
      <c r="A267" s="378"/>
      <c r="B267" s="378"/>
      <c r="C267" s="394"/>
      <c r="D267" s="378"/>
      <c r="E267" s="400"/>
      <c r="F267" s="400"/>
      <c r="G267" s="400"/>
      <c r="H267" s="400"/>
      <c r="I267" s="394"/>
      <c r="J267" s="1124"/>
      <c r="K267" s="1124"/>
      <c r="L267" s="1122"/>
      <c r="M267" s="1122"/>
    </row>
    <row r="268" spans="1:13" ht="28.2" customHeight="1">
      <c r="A268" s="1506" t="s">
        <v>1139</v>
      </c>
      <c r="B268" s="1506"/>
      <c r="C268" s="1506"/>
      <c r="D268" s="1506"/>
      <c r="E268" s="1506"/>
      <c r="F268" s="1506"/>
      <c r="G268" s="1506"/>
      <c r="H268" s="1506"/>
      <c r="I268" s="1506"/>
      <c r="J268" s="1124"/>
      <c r="K268" s="1124"/>
      <c r="L268" s="1122"/>
      <c r="M268" s="1122"/>
    </row>
    <row r="269" spans="1:13" ht="21.75">
      <c r="A269" s="1511" t="s">
        <v>2732</v>
      </c>
      <c r="B269" s="1512"/>
      <c r="C269" s="1512"/>
      <c r="D269" s="1512"/>
      <c r="E269" s="1512"/>
      <c r="F269" s="1512"/>
      <c r="G269" s="1512"/>
      <c r="H269" s="1512"/>
      <c r="I269" s="1512"/>
      <c r="J269" s="1124"/>
      <c r="K269" s="1124"/>
      <c r="L269" s="1122"/>
      <c r="M269" s="1122"/>
    </row>
    <row r="270" spans="1:13" ht="13.95" customHeight="1">
      <c r="A270" s="372"/>
      <c r="B270" s="85"/>
      <c r="C270" s="85"/>
      <c r="D270" s="85"/>
      <c r="E270" s="85"/>
      <c r="F270" s="85"/>
      <c r="G270" s="85"/>
      <c r="H270" s="85"/>
      <c r="I270" s="85"/>
      <c r="J270" s="1124"/>
      <c r="K270" s="1124"/>
      <c r="L270" s="1122"/>
      <c r="M270" s="1122"/>
    </row>
    <row r="271" spans="1:13" ht="19.899999999999999" customHeight="1">
      <c r="A271" s="85"/>
      <c r="B271" s="85"/>
      <c r="C271" s="85"/>
      <c r="D271" s="85"/>
      <c r="E271" s="85"/>
      <c r="F271" s="85"/>
      <c r="G271" s="85"/>
      <c r="H271" s="85"/>
      <c r="I271" s="85"/>
      <c r="J271" s="1124"/>
      <c r="K271" s="1124"/>
      <c r="L271" s="1122"/>
      <c r="M271" s="1122"/>
    </row>
    <row r="272" spans="1:13">
      <c r="A272" s="1535" t="s">
        <v>2727</v>
      </c>
      <c r="B272" s="1535"/>
      <c r="C272" s="1535"/>
      <c r="D272" s="1535"/>
      <c r="E272" s="1535"/>
      <c r="F272" s="1535"/>
      <c r="G272" s="1535"/>
      <c r="H272" s="1535"/>
      <c r="I272" s="1535"/>
      <c r="J272" s="1124"/>
      <c r="K272" s="1124"/>
      <c r="L272" s="1122"/>
      <c r="M272" s="1122"/>
    </row>
    <row r="273" spans="1:13">
      <c r="A273" s="1535"/>
      <c r="B273" s="1535"/>
      <c r="C273" s="1535"/>
      <c r="D273" s="1535"/>
      <c r="E273" s="1535"/>
      <c r="F273" s="1535"/>
      <c r="G273" s="1535"/>
      <c r="H273" s="1535"/>
      <c r="I273" s="1535"/>
      <c r="J273" s="1124"/>
      <c r="K273" s="1124"/>
      <c r="L273" s="1122"/>
      <c r="M273" s="1122"/>
    </row>
    <row r="274" spans="1:13">
      <c r="A274" s="1535"/>
      <c r="B274" s="1535"/>
      <c r="C274" s="1535"/>
      <c r="D274" s="1535"/>
      <c r="E274" s="1535"/>
      <c r="F274" s="1535"/>
      <c r="G274" s="1535"/>
      <c r="H274" s="1535"/>
      <c r="I274" s="1535"/>
      <c r="J274" s="1124"/>
      <c r="K274" s="1124"/>
      <c r="L274" s="1122"/>
      <c r="M274" s="1122"/>
    </row>
    <row r="275" spans="1:13">
      <c r="A275" s="1535"/>
      <c r="B275" s="1535"/>
      <c r="C275" s="1535"/>
      <c r="D275" s="1535"/>
      <c r="E275" s="1535"/>
      <c r="F275" s="1535"/>
      <c r="G275" s="1535"/>
      <c r="H275" s="1535"/>
      <c r="I275" s="1535"/>
      <c r="J275" s="1124"/>
      <c r="K275" s="1124"/>
      <c r="L275" s="1122"/>
      <c r="M275" s="1122"/>
    </row>
    <row r="276" spans="1:13">
      <c r="A276" s="1535"/>
      <c r="B276" s="1535"/>
      <c r="C276" s="1535"/>
      <c r="D276" s="1535"/>
      <c r="E276" s="1535"/>
      <c r="F276" s="1535"/>
      <c r="G276" s="1535"/>
      <c r="H276" s="1535"/>
      <c r="I276" s="1535"/>
      <c r="J276" s="1124"/>
      <c r="K276" s="1124"/>
      <c r="L276" s="1122"/>
      <c r="M276" s="1122"/>
    </row>
    <row r="277" spans="1:13">
      <c r="A277" s="1535"/>
      <c r="B277" s="1535"/>
      <c r="C277" s="1535"/>
      <c r="D277" s="1535"/>
      <c r="E277" s="1535"/>
      <c r="F277" s="1535"/>
      <c r="G277" s="1535"/>
      <c r="H277" s="1535"/>
      <c r="I277" s="1535"/>
      <c r="J277" s="1124"/>
      <c r="K277" s="1124"/>
      <c r="L277" s="1122"/>
      <c r="M277" s="1122"/>
    </row>
    <row r="278" spans="1:13" ht="4.95" customHeight="1">
      <c r="A278" s="480"/>
      <c r="B278" s="480"/>
      <c r="C278" s="480"/>
      <c r="D278" s="480"/>
      <c r="E278" s="480"/>
      <c r="F278" s="480"/>
      <c r="G278" s="480"/>
      <c r="H278" s="480"/>
      <c r="I278" s="480"/>
      <c r="J278" s="1124"/>
      <c r="K278" s="1124"/>
      <c r="L278" s="1122"/>
      <c r="M278" s="1122"/>
    </row>
    <row r="279" spans="1:13" s="65" customFormat="1" ht="14.95">
      <c r="A279" s="1537" t="s">
        <v>2801</v>
      </c>
      <c r="B279" s="1537"/>
      <c r="C279" s="1537"/>
      <c r="D279" s="1537"/>
      <c r="E279" s="1537"/>
      <c r="F279" s="1537"/>
      <c r="G279" s="1537"/>
      <c r="H279" s="1537"/>
      <c r="I279" s="1537"/>
      <c r="J279" s="1123"/>
      <c r="K279" s="1123"/>
      <c r="L279" s="1123"/>
      <c r="M279" s="1123"/>
    </row>
    <row r="280" spans="1:13" ht="4.95" customHeight="1">
      <c r="A280" s="479"/>
      <c r="B280" s="479"/>
      <c r="C280" s="479"/>
      <c r="D280" s="479"/>
      <c r="E280" s="479"/>
      <c r="F280" s="479"/>
      <c r="G280" s="479"/>
      <c r="H280" s="479"/>
      <c r="I280" s="479"/>
      <c r="J280" s="1124"/>
      <c r="K280" s="1124"/>
      <c r="L280" s="1122"/>
      <c r="M280" s="1122"/>
    </row>
    <row r="281" spans="1:13">
      <c r="A281" s="1466" t="s">
        <v>2343</v>
      </c>
      <c r="B281" s="1466"/>
      <c r="C281" s="1466"/>
      <c r="D281" s="1466"/>
      <c r="E281" s="1466"/>
      <c r="F281" s="1466"/>
      <c r="G281" s="1466"/>
      <c r="H281" s="1466"/>
      <c r="I281" s="1466"/>
      <c r="J281" s="1124"/>
      <c r="K281" s="1124"/>
      <c r="L281" s="1122"/>
      <c r="M281" s="1122"/>
    </row>
    <row r="282" spans="1:13">
      <c r="A282" s="1466"/>
      <c r="B282" s="1466"/>
      <c r="C282" s="1466"/>
      <c r="D282" s="1466"/>
      <c r="E282" s="1466"/>
      <c r="F282" s="1466"/>
      <c r="G282" s="1466"/>
      <c r="H282" s="1466"/>
      <c r="I282" s="1466"/>
      <c r="J282" s="1124"/>
      <c r="K282" s="1124"/>
      <c r="L282" s="1122"/>
      <c r="M282" s="1122"/>
    </row>
    <row r="283" spans="1:13">
      <c r="A283" s="1466"/>
      <c r="B283" s="1466"/>
      <c r="C283" s="1466"/>
      <c r="D283" s="1466"/>
      <c r="E283" s="1466"/>
      <c r="F283" s="1466"/>
      <c r="G283" s="1466"/>
      <c r="H283" s="1466"/>
      <c r="I283" s="1466"/>
      <c r="J283" s="1124"/>
      <c r="K283" s="1124"/>
      <c r="L283" s="1122"/>
      <c r="M283" s="1122"/>
    </row>
    <row r="284" spans="1:13">
      <c r="A284" s="1466"/>
      <c r="B284" s="1466"/>
      <c r="C284" s="1466"/>
      <c r="D284" s="1466"/>
      <c r="E284" s="1466"/>
      <c r="F284" s="1466"/>
      <c r="G284" s="1466"/>
      <c r="H284" s="1466"/>
      <c r="I284" s="1466"/>
      <c r="J284" s="1124"/>
      <c r="K284" s="1124"/>
      <c r="L284" s="1122"/>
      <c r="M284" s="1122"/>
    </row>
    <row r="285" spans="1:13" ht="4.95" customHeight="1">
      <c r="A285" s="464"/>
      <c r="B285" s="464"/>
      <c r="C285" s="464"/>
      <c r="D285" s="464"/>
      <c r="E285" s="464"/>
      <c r="F285" s="464"/>
      <c r="G285" s="464"/>
      <c r="H285" s="464"/>
      <c r="I285" s="464"/>
      <c r="J285" s="1124"/>
      <c r="K285" s="1124"/>
      <c r="L285" s="1122"/>
      <c r="M285" s="1122"/>
    </row>
    <row r="286" spans="1:13">
      <c r="A286" s="1466" t="s">
        <v>2802</v>
      </c>
      <c r="B286" s="1466"/>
      <c r="C286" s="1466"/>
      <c r="D286" s="1466"/>
      <c r="E286" s="1466"/>
      <c r="F286" s="1466"/>
      <c r="G286" s="1466"/>
      <c r="H286" s="1466"/>
      <c r="I286" s="1466"/>
      <c r="J286" s="1124"/>
      <c r="K286" s="1124"/>
      <c r="L286" s="1122"/>
      <c r="M286" s="1122"/>
    </row>
    <row r="287" spans="1:13">
      <c r="A287" s="1466"/>
      <c r="B287" s="1466"/>
      <c r="C287" s="1466"/>
      <c r="D287" s="1466"/>
      <c r="E287" s="1466"/>
      <c r="F287" s="1466"/>
      <c r="G287" s="1466"/>
      <c r="H287" s="1466"/>
      <c r="I287" s="1466"/>
      <c r="J287" s="1124"/>
      <c r="K287" s="1124"/>
      <c r="L287" s="1122"/>
      <c r="M287" s="1122"/>
    </row>
    <row r="288" spans="1:13">
      <c r="A288" s="1466"/>
      <c r="B288" s="1466"/>
      <c r="C288" s="1466"/>
      <c r="D288" s="1466"/>
      <c r="E288" s="1466"/>
      <c r="F288" s="1466"/>
      <c r="G288" s="1466"/>
      <c r="H288" s="1466"/>
      <c r="I288" s="1466"/>
      <c r="J288" s="1124"/>
      <c r="K288" s="1124"/>
      <c r="L288" s="1122"/>
      <c r="M288" s="1122"/>
    </row>
    <row r="289" spans="1:13">
      <c r="A289" s="1466"/>
      <c r="B289" s="1466"/>
      <c r="C289" s="1466"/>
      <c r="D289" s="1466"/>
      <c r="E289" s="1466"/>
      <c r="F289" s="1466"/>
      <c r="G289" s="1466"/>
      <c r="H289" s="1466"/>
      <c r="I289" s="1466"/>
      <c r="J289" s="1124"/>
      <c r="K289" s="1124"/>
      <c r="L289" s="1122"/>
      <c r="M289" s="1122"/>
    </row>
    <row r="290" spans="1:13">
      <c r="A290" s="1466"/>
      <c r="B290" s="1466"/>
      <c r="C290" s="1466"/>
      <c r="D290" s="1466"/>
      <c r="E290" s="1466"/>
      <c r="F290" s="1466"/>
      <c r="G290" s="1466"/>
      <c r="H290" s="1466"/>
      <c r="I290" s="1466"/>
      <c r="J290" s="1137"/>
      <c r="K290" s="1124"/>
      <c r="L290" s="1122"/>
      <c r="M290" s="1122"/>
    </row>
    <row r="291" spans="1:13" ht="4.95" customHeight="1">
      <c r="A291" s="1466"/>
      <c r="B291" s="1466"/>
      <c r="C291" s="1466"/>
      <c r="D291" s="1466"/>
      <c r="E291" s="1466"/>
      <c r="F291" s="1466"/>
      <c r="G291" s="1466"/>
      <c r="H291" s="1466"/>
      <c r="I291" s="1466"/>
      <c r="J291" s="1137"/>
      <c r="K291" s="1124"/>
      <c r="L291" s="1122"/>
      <c r="M291" s="1122"/>
    </row>
    <row r="292" spans="1:13" ht="14.95">
      <c r="A292" s="468" t="s">
        <v>457</v>
      </c>
      <c r="B292" s="469" t="s">
        <v>2792</v>
      </c>
      <c r="C292" s="470"/>
      <c r="D292" s="470"/>
      <c r="E292" s="470"/>
      <c r="F292" s="470"/>
      <c r="G292" s="470"/>
      <c r="H292" s="470"/>
      <c r="I292" s="470"/>
      <c r="J292" s="1137"/>
      <c r="K292" s="1124"/>
      <c r="L292" s="1122"/>
      <c r="M292" s="1122"/>
    </row>
    <row r="293" spans="1:13" ht="14.95">
      <c r="A293" s="468" t="s">
        <v>2793</v>
      </c>
      <c r="B293" s="468" t="s">
        <v>2794</v>
      </c>
      <c r="C293" s="470"/>
      <c r="D293" s="470"/>
      <c r="E293" s="470"/>
      <c r="F293" s="470"/>
      <c r="G293" s="470"/>
      <c r="H293" s="470"/>
      <c r="I293" s="470"/>
      <c r="J293" s="1137"/>
      <c r="K293" s="1124"/>
      <c r="L293" s="1122"/>
      <c r="M293" s="1122"/>
    </row>
    <row r="294" spans="1:13" ht="14.95">
      <c r="A294" s="468" t="s">
        <v>458</v>
      </c>
      <c r="B294" s="471" t="s">
        <v>6027</v>
      </c>
      <c r="C294" s="470"/>
      <c r="D294" s="470"/>
      <c r="E294" s="470"/>
      <c r="F294" s="470"/>
      <c r="G294" s="470"/>
      <c r="H294" s="470"/>
      <c r="I294" s="470"/>
      <c r="J294" s="1137"/>
      <c r="K294" s="1124"/>
      <c r="L294" s="1122"/>
      <c r="M294" s="1122"/>
    </row>
    <row r="295" spans="1:13" ht="14.95">
      <c r="A295" s="472" t="s">
        <v>2795</v>
      </c>
      <c r="B295" s="473" t="s">
        <v>6026</v>
      </c>
      <c r="C295" s="470"/>
      <c r="D295" s="470"/>
      <c r="E295" s="470"/>
      <c r="F295" s="470"/>
      <c r="G295" s="470"/>
      <c r="H295" s="470"/>
      <c r="I295" s="470"/>
      <c r="J295" s="1124"/>
      <c r="K295" s="1124"/>
      <c r="L295" s="1122"/>
      <c r="M295" s="1122"/>
    </row>
    <row r="296" spans="1:13" ht="4.95" customHeight="1">
      <c r="A296" s="472"/>
      <c r="B296" s="470"/>
      <c r="C296" s="470"/>
      <c r="D296" s="470"/>
      <c r="E296" s="470"/>
      <c r="F296" s="470"/>
      <c r="G296" s="470"/>
      <c r="H296" s="470"/>
      <c r="I296" s="470"/>
      <c r="J296" s="1122"/>
      <c r="K296" s="1122"/>
      <c r="L296" s="1122"/>
      <c r="M296" s="1122"/>
    </row>
    <row r="297" spans="1:13" ht="14.95">
      <c r="A297" s="1481" t="s">
        <v>1159</v>
      </c>
      <c r="B297" s="1481"/>
      <c r="C297" s="1481"/>
      <c r="D297" s="1481"/>
      <c r="E297" s="1481"/>
      <c r="F297" s="1481"/>
      <c r="G297" s="1481"/>
      <c r="H297" s="1481"/>
      <c r="I297" s="1481"/>
      <c r="J297" s="1122"/>
      <c r="K297" s="1122"/>
      <c r="L297" s="1122"/>
      <c r="M297" s="1122"/>
    </row>
    <row r="298" spans="1:13" ht="4.95" customHeight="1">
      <c r="A298" s="465"/>
      <c r="B298" s="465"/>
      <c r="C298" s="465"/>
      <c r="D298" s="465"/>
      <c r="E298" s="465"/>
      <c r="F298" s="465"/>
      <c r="G298" s="465"/>
      <c r="H298" s="465"/>
      <c r="I298" s="465"/>
      <c r="J298" s="1122"/>
      <c r="K298" s="1122"/>
      <c r="L298" s="1122"/>
      <c r="M298" s="1122"/>
    </row>
    <row r="299" spans="1:13">
      <c r="A299" s="1534" t="s">
        <v>2803</v>
      </c>
      <c r="B299" s="1534"/>
      <c r="C299" s="1534"/>
      <c r="D299" s="1534"/>
      <c r="E299" s="1534"/>
      <c r="F299" s="1534"/>
      <c r="G299" s="1534"/>
      <c r="H299" s="1534"/>
      <c r="I299" s="1534"/>
      <c r="J299" s="1124"/>
      <c r="K299" s="1124"/>
      <c r="L299" s="1122"/>
      <c r="M299" s="1122"/>
    </row>
    <row r="300" spans="1:13">
      <c r="A300" s="1534"/>
      <c r="B300" s="1534"/>
      <c r="C300" s="1534"/>
      <c r="D300" s="1534"/>
      <c r="E300" s="1534"/>
      <c r="F300" s="1534"/>
      <c r="G300" s="1534"/>
      <c r="H300" s="1534"/>
      <c r="I300" s="1534"/>
      <c r="J300" s="1124"/>
      <c r="K300" s="1124"/>
      <c r="L300" s="1122"/>
      <c r="M300" s="1122"/>
    </row>
    <row r="301" spans="1:13" ht="5.95" customHeight="1">
      <c r="A301" s="466"/>
      <c r="B301" s="466"/>
      <c r="C301" s="466"/>
      <c r="D301" s="466"/>
      <c r="E301" s="466"/>
      <c r="F301" s="466"/>
      <c r="G301" s="466"/>
      <c r="H301" s="466"/>
      <c r="I301" s="466"/>
      <c r="J301" s="1124"/>
      <c r="K301" s="1124"/>
      <c r="L301" s="1122"/>
      <c r="M301" s="1122"/>
    </row>
    <row r="302" spans="1:13" ht="14.95">
      <c r="A302" s="1466" t="s">
        <v>2804</v>
      </c>
      <c r="B302" s="1466"/>
      <c r="C302" s="1466"/>
      <c r="D302" s="1466"/>
      <c r="E302" s="1466"/>
      <c r="F302" s="1466"/>
      <c r="G302" s="1466"/>
      <c r="H302" s="1466"/>
      <c r="I302" s="1466"/>
      <c r="J302" s="1124"/>
      <c r="K302" s="1124"/>
      <c r="L302" s="1122"/>
      <c r="M302" s="1122"/>
    </row>
    <row r="303" spans="1:13" ht="4.95" customHeight="1">
      <c r="A303" s="467"/>
      <c r="B303" s="463"/>
      <c r="C303" s="463"/>
      <c r="D303" s="463"/>
      <c r="E303" s="463"/>
      <c r="F303" s="463"/>
      <c r="G303" s="463"/>
      <c r="H303" s="463"/>
      <c r="I303" s="460"/>
      <c r="J303" s="1124"/>
      <c r="K303" s="1124"/>
      <c r="L303" s="1122"/>
      <c r="M303" s="1122"/>
    </row>
    <row r="304" spans="1:13">
      <c r="A304" s="1494" t="s">
        <v>2805</v>
      </c>
      <c r="B304" s="1494"/>
      <c r="C304" s="1494"/>
      <c r="D304" s="1494"/>
      <c r="E304" s="1494"/>
      <c r="F304" s="1494"/>
      <c r="G304" s="1494"/>
      <c r="H304" s="1494"/>
      <c r="I304" s="1494"/>
      <c r="J304" s="1124"/>
      <c r="K304" s="1124"/>
      <c r="L304" s="1122"/>
      <c r="M304" s="1122"/>
    </row>
    <row r="305" spans="1:13" ht="13.95" customHeight="1">
      <c r="A305" s="1494"/>
      <c r="B305" s="1494"/>
      <c r="C305" s="1494"/>
      <c r="D305" s="1494"/>
      <c r="E305" s="1494"/>
      <c r="F305" s="1494"/>
      <c r="G305" s="1494"/>
      <c r="H305" s="1494"/>
      <c r="I305" s="1494"/>
      <c r="J305" s="1124"/>
      <c r="K305" s="1124"/>
      <c r="L305" s="1122"/>
      <c r="M305" s="1122"/>
    </row>
    <row r="306" spans="1:13" ht="5.95" customHeight="1" thickBot="1">
      <c r="A306" s="95"/>
      <c r="B306" s="1552"/>
      <c r="C306" s="1552"/>
      <c r="D306" s="1552"/>
      <c r="E306" s="92"/>
      <c r="F306" s="92"/>
      <c r="G306" s="92"/>
      <c r="H306" s="92"/>
      <c r="I306" s="92"/>
      <c r="J306" s="1124"/>
      <c r="K306" s="1124"/>
      <c r="L306" s="1122"/>
      <c r="M306" s="1122"/>
    </row>
    <row r="307" spans="1:13" ht="16.149999999999999" customHeight="1">
      <c r="A307" s="551" t="s">
        <v>2800</v>
      </c>
      <c r="B307" s="1531"/>
      <c r="C307" s="1531"/>
      <c r="D307" s="1531"/>
      <c r="E307" s="552"/>
      <c r="F307" s="552"/>
      <c r="G307" s="552"/>
      <c r="H307" s="553"/>
      <c r="I307" s="459"/>
      <c r="J307" s="1124"/>
      <c r="K307" s="1124"/>
      <c r="L307" s="1122"/>
      <c r="M307" s="1122"/>
    </row>
    <row r="308" spans="1:13" ht="13.95" customHeight="1">
      <c r="A308" s="554" t="s">
        <v>1160</v>
      </c>
      <c r="B308" s="1431">
        <f>$B$12</f>
        <v>0</v>
      </c>
      <c r="C308" s="1431"/>
      <c r="D308" s="1431"/>
      <c r="E308" s="556" t="str">
        <f>F6</f>
        <v>Sürgősség:</v>
      </c>
      <c r="F308" s="557" t="str">
        <f>H6</f>
        <v>NORMÁL</v>
      </c>
      <c r="G308" s="556"/>
      <c r="H308" s="558"/>
      <c r="I308" s="459"/>
      <c r="J308" s="1122"/>
      <c r="K308" s="1122"/>
      <c r="L308" s="1122"/>
      <c r="M308" s="1122"/>
    </row>
    <row r="309" spans="1:13" ht="13.95" customHeight="1">
      <c r="A309" s="554" t="s">
        <v>1156</v>
      </c>
      <c r="B309" s="1480">
        <f>$F$13</f>
        <v>0</v>
      </c>
      <c r="C309" s="1480"/>
      <c r="D309" s="1480"/>
      <c r="E309" s="1431" t="str">
        <f>IF(X7=TRUE,"ANGOL NYELVŰ LABORLELET","")</f>
        <v/>
      </c>
      <c r="F309" s="1431"/>
      <c r="G309" s="556"/>
      <c r="H309" s="558"/>
      <c r="I309" s="459"/>
      <c r="J309" s="1122"/>
      <c r="K309" s="1122"/>
      <c r="L309" s="1122"/>
      <c r="M309" s="1122"/>
    </row>
    <row r="310" spans="1:13" ht="14.95">
      <c r="A310" s="554" t="s">
        <v>1158</v>
      </c>
      <c r="B310" s="559" t="str">
        <f>$B$17</f>
        <v>TAJ</v>
      </c>
      <c r="D310" s="560">
        <f>IF($F$17&lt;&gt;TAJ,$F$17,TAJ)</f>
        <v>0</v>
      </c>
      <c r="E310" s="772"/>
      <c r="G310" s="561"/>
      <c r="H310" s="562"/>
      <c r="I310" s="459"/>
      <c r="J310" s="1122"/>
      <c r="K310" s="1122"/>
      <c r="L310" s="1122"/>
      <c r="M310" s="1122"/>
    </row>
    <row r="311" spans="1:13" ht="14.95">
      <c r="A311" s="554" t="s">
        <v>1157</v>
      </c>
      <c r="B311" s="555">
        <f>$B$15</f>
        <v>0</v>
      </c>
      <c r="C311" s="560" t="str">
        <f>F16</f>
        <v>Nincs találat</v>
      </c>
      <c r="D311" s="563"/>
      <c r="E311" s="559">
        <f>B16</f>
        <v>0</v>
      </c>
      <c r="F311" s="559"/>
      <c r="G311" s="556"/>
      <c r="H311" s="558"/>
      <c r="I311" s="459"/>
      <c r="J311" s="1122"/>
      <c r="K311" s="1122"/>
      <c r="L311" s="1122"/>
      <c r="M311" s="1122"/>
    </row>
    <row r="312" spans="1:13" ht="13.95" customHeight="1">
      <c r="A312" s="554" t="s">
        <v>1154</v>
      </c>
      <c r="B312" s="570">
        <f>F14</f>
        <v>0</v>
      </c>
      <c r="D312" s="555"/>
      <c r="E312" s="559" t="str">
        <f>Nem</f>
        <v>Férfi</v>
      </c>
      <c r="F312" s="559"/>
      <c r="G312" s="556"/>
      <c r="H312" s="558"/>
      <c r="I312" s="459"/>
      <c r="J312" s="1122"/>
      <c r="K312" s="1122"/>
      <c r="L312" s="1122"/>
      <c r="M312" s="1122"/>
    </row>
    <row r="313" spans="1:13" ht="13.95" customHeight="1">
      <c r="A313" s="554" t="s">
        <v>1155</v>
      </c>
      <c r="B313" s="555">
        <f>B14</f>
        <v>0</v>
      </c>
      <c r="C313" s="555"/>
      <c r="D313" s="555"/>
      <c r="E313" s="559"/>
      <c r="F313" s="556"/>
      <c r="G313" s="556"/>
      <c r="H313" s="558"/>
      <c r="I313" s="459"/>
      <c r="J313" s="1122"/>
      <c r="K313" s="1122"/>
      <c r="L313" s="1122"/>
      <c r="M313" s="1122"/>
    </row>
    <row r="314" spans="1:13" ht="13.95" customHeight="1">
      <c r="A314" s="554" t="s">
        <v>1219</v>
      </c>
      <c r="B314" s="564" t="str">
        <f>CONCATENATE(A7, "  ","      1132 Budapest, Visegrádi u. 40.")</f>
        <v>Visegrádi40 Magánrendelő        1132 Budapest, Visegrádi u. 40.</v>
      </c>
      <c r="C314" s="564"/>
      <c r="D314" s="564"/>
      <c r="E314" s="556"/>
      <c r="F314" s="565">
        <f ca="1">NOW()</f>
        <v>45968.338701967594</v>
      </c>
      <c r="G314" s="565"/>
      <c r="H314" s="566"/>
      <c r="I314" s="459"/>
      <c r="J314" s="1122"/>
      <c r="K314" s="1122"/>
      <c r="L314" s="1122"/>
      <c r="M314" s="1122"/>
    </row>
    <row r="315" spans="1:13" ht="4.95" customHeight="1" thickBot="1">
      <c r="A315" s="567"/>
      <c r="B315" s="568"/>
      <c r="C315" s="568"/>
      <c r="D315" s="568"/>
      <c r="E315" s="436"/>
      <c r="F315" s="436"/>
      <c r="G315" s="436"/>
      <c r="H315" s="454"/>
      <c r="I315" s="92"/>
      <c r="J315" s="1122"/>
      <c r="K315" s="1122"/>
      <c r="L315" s="1122"/>
      <c r="M315" s="1122"/>
    </row>
    <row r="316" spans="1:13" ht="14.95">
      <c r="A316" s="1553" t="s">
        <v>2808</v>
      </c>
      <c r="B316" s="1553"/>
      <c r="C316" s="1553"/>
      <c r="D316" s="1553"/>
      <c r="E316" s="1553"/>
      <c r="F316" s="1553"/>
      <c r="G316" s="1553"/>
      <c r="H316" s="1553"/>
      <c r="I316" s="1553"/>
      <c r="J316" s="1122"/>
      <c r="K316" s="1122"/>
      <c r="L316" s="1122"/>
      <c r="M316" s="1122"/>
    </row>
    <row r="317" spans="1:13">
      <c r="A317" s="1513" t="s">
        <v>2341</v>
      </c>
      <c r="B317" s="1513"/>
      <c r="C317" s="1513"/>
      <c r="D317" s="1513"/>
      <c r="E317" s="1513"/>
      <c r="F317" s="1513"/>
      <c r="G317" s="1513"/>
      <c r="H317" s="1513"/>
      <c r="I317" s="1513"/>
      <c r="J317" s="1122"/>
      <c r="K317" s="1122"/>
      <c r="L317" s="1122"/>
      <c r="M317" s="1122"/>
    </row>
    <row r="318" spans="1:13">
      <c r="A318" s="1513"/>
      <c r="B318" s="1513"/>
      <c r="C318" s="1513"/>
      <c r="D318" s="1513"/>
      <c r="E318" s="1513"/>
      <c r="F318" s="1513"/>
      <c r="G318" s="1513"/>
      <c r="H318" s="1513"/>
      <c r="I318" s="1513"/>
      <c r="J318" s="1122"/>
      <c r="K318" s="1122"/>
      <c r="L318" s="1122"/>
      <c r="M318" s="1122"/>
    </row>
    <row r="319" spans="1:13">
      <c r="A319" s="1513"/>
      <c r="B319" s="1513"/>
      <c r="C319" s="1513"/>
      <c r="D319" s="1513"/>
      <c r="E319" s="1513"/>
      <c r="F319" s="1513"/>
      <c r="G319" s="1513"/>
      <c r="H319" s="1513"/>
      <c r="I319" s="1513"/>
      <c r="J319" s="1122"/>
      <c r="K319" s="1122"/>
      <c r="L319" s="1122"/>
      <c r="M319" s="1122"/>
    </row>
    <row r="320" spans="1:13">
      <c r="A320" s="1513"/>
      <c r="B320" s="1513"/>
      <c r="C320" s="1513"/>
      <c r="D320" s="1513"/>
      <c r="E320" s="1513"/>
      <c r="F320" s="1513"/>
      <c r="G320" s="1513"/>
      <c r="H320" s="1513"/>
      <c r="I320" s="1513"/>
      <c r="J320" s="1122"/>
      <c r="K320" s="1122"/>
      <c r="L320" s="1122"/>
      <c r="M320" s="1122"/>
    </row>
    <row r="321" spans="1:13">
      <c r="A321" s="1513"/>
      <c r="B321" s="1513"/>
      <c r="C321" s="1513"/>
      <c r="D321" s="1513"/>
      <c r="E321" s="1513"/>
      <c r="F321" s="1513"/>
      <c r="G321" s="1513"/>
      <c r="H321" s="1513"/>
      <c r="I321" s="1513"/>
      <c r="J321" s="1122"/>
      <c r="K321" s="1122"/>
      <c r="L321" s="1122"/>
      <c r="M321" s="1122"/>
    </row>
    <row r="322" spans="1:13" ht="4.95" customHeight="1">
      <c r="A322" s="96"/>
      <c r="B322" s="87"/>
      <c r="C322" s="87"/>
      <c r="D322" s="87"/>
      <c r="E322" s="87"/>
      <c r="F322" s="87"/>
      <c r="G322" s="87"/>
      <c r="H322" s="87"/>
      <c r="I322" s="87"/>
      <c r="J322" s="1122"/>
      <c r="K322" s="1122"/>
      <c r="L322" s="1122"/>
      <c r="M322" s="1122"/>
    </row>
    <row r="323" spans="1:13" ht="13.95" customHeight="1">
      <c r="A323" s="1554" t="s">
        <v>2796</v>
      </c>
      <c r="B323" s="1554"/>
      <c r="C323" s="1554"/>
      <c r="D323" s="1554"/>
      <c r="E323" s="1554"/>
      <c r="F323" s="1554"/>
      <c r="G323" s="1554"/>
      <c r="H323" s="1554"/>
      <c r="I323" s="1554"/>
      <c r="J323" s="1122"/>
      <c r="K323" s="1122"/>
      <c r="L323" s="1122"/>
      <c r="M323" s="1122"/>
    </row>
    <row r="324" spans="1:13" ht="4.95" customHeight="1">
      <c r="A324" s="96"/>
      <c r="B324" s="87"/>
      <c r="C324" s="87"/>
      <c r="D324" s="87"/>
      <c r="E324" s="87"/>
      <c r="F324" s="87"/>
      <c r="G324" s="87"/>
      <c r="H324" s="87"/>
      <c r="I324" s="87"/>
      <c r="J324" s="1122"/>
      <c r="K324" s="1122"/>
      <c r="L324" s="1122"/>
      <c r="M324" s="1122"/>
    </row>
    <row r="325" spans="1:13">
      <c r="A325" s="1513" t="s">
        <v>2797</v>
      </c>
      <c r="B325" s="1513"/>
      <c r="C325" s="1513"/>
      <c r="D325" s="1513"/>
      <c r="E325" s="1513"/>
      <c r="F325" s="1513"/>
      <c r="G325" s="1513"/>
      <c r="H325" s="1513"/>
      <c r="I325" s="1513"/>
      <c r="J325" s="1122"/>
      <c r="K325" s="1122"/>
      <c r="L325" s="1122"/>
      <c r="M325" s="1122"/>
    </row>
    <row r="326" spans="1:13">
      <c r="A326" s="1513"/>
      <c r="B326" s="1513"/>
      <c r="C326" s="1513"/>
      <c r="D326" s="1513"/>
      <c r="E326" s="1513"/>
      <c r="F326" s="1513"/>
      <c r="G326" s="1513"/>
      <c r="H326" s="1513"/>
      <c r="I326" s="1513"/>
      <c r="J326" s="1122"/>
      <c r="K326" s="1122"/>
      <c r="L326" s="1122"/>
      <c r="M326" s="1122"/>
    </row>
    <row r="327" spans="1:13" ht="4.95" customHeight="1">
      <c r="A327" s="474"/>
      <c r="B327" s="475"/>
      <c r="C327" s="475"/>
      <c r="D327" s="475"/>
      <c r="E327" s="475"/>
      <c r="F327" s="475"/>
      <c r="G327" s="475"/>
      <c r="H327" s="475"/>
      <c r="I327" s="475"/>
      <c r="J327" s="1122"/>
      <c r="K327" s="1122"/>
      <c r="L327" s="1122"/>
      <c r="M327" s="1122"/>
    </row>
    <row r="328" spans="1:13">
      <c r="A328" s="1493" t="s">
        <v>2342</v>
      </c>
      <c r="B328" s="1493"/>
      <c r="C328" s="1493"/>
      <c r="D328" s="1493"/>
      <c r="E328" s="1493"/>
      <c r="F328" s="1493"/>
      <c r="G328" s="1493"/>
      <c r="H328" s="1493"/>
      <c r="I328" s="1493"/>
      <c r="J328" s="1122"/>
      <c r="K328" s="1122"/>
      <c r="L328" s="1122"/>
      <c r="M328" s="1122"/>
    </row>
    <row r="329" spans="1:13" ht="13.95" customHeight="1">
      <c r="A329" s="1493"/>
      <c r="B329" s="1493"/>
      <c r="C329" s="1493"/>
      <c r="D329" s="1493"/>
      <c r="E329" s="1493"/>
      <c r="F329" s="1493"/>
      <c r="G329" s="1493"/>
      <c r="H329" s="1493"/>
      <c r="I329" s="1493"/>
      <c r="J329" s="1122"/>
      <c r="K329" s="1122"/>
      <c r="L329" s="1122"/>
      <c r="M329" s="1122"/>
    </row>
    <row r="330" spans="1:13">
      <c r="A330" s="1493"/>
      <c r="B330" s="1493"/>
      <c r="C330" s="1493"/>
      <c r="D330" s="1493"/>
      <c r="E330" s="1493"/>
      <c r="F330" s="1493"/>
      <c r="G330" s="1493"/>
      <c r="H330" s="1493"/>
      <c r="I330" s="1493"/>
      <c r="J330" s="1122"/>
      <c r="K330" s="1122"/>
      <c r="L330" s="1122"/>
      <c r="M330" s="1122"/>
    </row>
    <row r="331" spans="1:13" ht="4.95" customHeight="1">
      <c r="A331" s="474"/>
      <c r="B331" s="475"/>
      <c r="C331" s="475"/>
      <c r="D331" s="475"/>
      <c r="E331" s="475"/>
      <c r="F331" s="475"/>
      <c r="G331" s="475"/>
      <c r="H331" s="475"/>
      <c r="I331" s="475"/>
      <c r="J331" s="1122"/>
      <c r="K331" s="1122"/>
      <c r="L331" s="1122"/>
      <c r="M331" s="1122"/>
    </row>
    <row r="332" spans="1:13">
      <c r="A332" s="1466" t="s">
        <v>2798</v>
      </c>
      <c r="B332" s="1466"/>
      <c r="C332" s="1466"/>
      <c r="D332" s="1466"/>
      <c r="E332" s="1466"/>
      <c r="F332" s="1466"/>
      <c r="G332" s="1466"/>
      <c r="H332" s="1466"/>
      <c r="I332" s="1466"/>
      <c r="J332" s="1122"/>
      <c r="K332" s="1122"/>
      <c r="L332" s="1122"/>
      <c r="M332" s="1122"/>
    </row>
    <row r="333" spans="1:13">
      <c r="A333" s="1466"/>
      <c r="B333" s="1466"/>
      <c r="C333" s="1466"/>
      <c r="D333" s="1466"/>
      <c r="E333" s="1466"/>
      <c r="F333" s="1466"/>
      <c r="G333" s="1466"/>
      <c r="H333" s="1466"/>
      <c r="I333" s="1466"/>
      <c r="J333" s="1122"/>
      <c r="K333" s="1122"/>
      <c r="L333" s="1122"/>
      <c r="M333" s="1122"/>
    </row>
    <row r="334" spans="1:13">
      <c r="A334" s="1466"/>
      <c r="B334" s="1466"/>
      <c r="C334" s="1466"/>
      <c r="D334" s="1466"/>
      <c r="E334" s="1466"/>
      <c r="F334" s="1466"/>
      <c r="G334" s="1466"/>
      <c r="H334" s="1466"/>
      <c r="I334" s="1466"/>
      <c r="J334" s="1122"/>
      <c r="K334" s="1122"/>
      <c r="L334" s="1122"/>
      <c r="M334" s="1122"/>
    </row>
    <row r="335" spans="1:13">
      <c r="A335" s="1466"/>
      <c r="B335" s="1466"/>
      <c r="C335" s="1466"/>
      <c r="D335" s="1466"/>
      <c r="E335" s="1466"/>
      <c r="F335" s="1466"/>
      <c r="G335" s="1466"/>
      <c r="H335" s="1466"/>
      <c r="I335" s="1466"/>
      <c r="J335" s="1122"/>
      <c r="K335" s="1122"/>
      <c r="L335" s="1122"/>
      <c r="M335" s="1122"/>
    </row>
    <row r="336" spans="1:13" ht="4.95" customHeight="1">
      <c r="A336" s="464"/>
      <c r="B336" s="464"/>
      <c r="C336" s="464"/>
      <c r="D336" s="464"/>
      <c r="E336" s="464"/>
      <c r="F336" s="464"/>
      <c r="G336" s="464"/>
      <c r="H336" s="464"/>
      <c r="I336" s="464"/>
      <c r="J336" s="1122"/>
      <c r="K336" s="1122"/>
      <c r="L336" s="1122"/>
      <c r="M336" s="1122"/>
    </row>
    <row r="337" spans="1:13" ht="13.95" customHeight="1">
      <c r="A337" s="1461" t="s">
        <v>2806</v>
      </c>
      <c r="B337" s="1461"/>
      <c r="C337" s="1461"/>
      <c r="D337" s="1461"/>
      <c r="E337" s="1461"/>
      <c r="F337" s="1461"/>
      <c r="G337" s="1461"/>
      <c r="H337" s="1461"/>
      <c r="I337" s="1461"/>
      <c r="J337" s="1122"/>
      <c r="K337" s="1122"/>
      <c r="L337" s="1122"/>
      <c r="M337" s="1122"/>
    </row>
    <row r="338" spans="1:13" ht="4.95" customHeight="1">
      <c r="A338" s="476"/>
      <c r="B338" s="476"/>
      <c r="C338" s="476"/>
      <c r="D338" s="476"/>
      <c r="E338" s="476"/>
      <c r="F338" s="476"/>
      <c r="G338" s="476"/>
      <c r="H338" s="476"/>
      <c r="I338" s="476"/>
      <c r="J338" s="1122"/>
      <c r="K338" s="1122"/>
      <c r="L338" s="1122"/>
      <c r="M338" s="1122"/>
    </row>
    <row r="339" spans="1:13" ht="13.95" customHeight="1">
      <c r="A339" s="1462" t="s">
        <v>2799</v>
      </c>
      <c r="B339" s="1462"/>
      <c r="C339" s="1462"/>
      <c r="D339" s="1462"/>
      <c r="E339" s="1462"/>
      <c r="F339" s="1462"/>
      <c r="G339" s="1462"/>
      <c r="H339" s="1462"/>
      <c r="I339" s="1462"/>
      <c r="J339" s="1122"/>
      <c r="K339" s="1122"/>
      <c r="L339" s="1122"/>
      <c r="M339" s="1122"/>
    </row>
    <row r="340" spans="1:13" ht="4.95" customHeight="1">
      <c r="A340" s="477"/>
      <c r="B340" s="459"/>
      <c r="C340" s="459"/>
      <c r="D340" s="459"/>
      <c r="E340" s="478"/>
      <c r="F340" s="478"/>
      <c r="G340" s="478"/>
      <c r="H340" s="478"/>
      <c r="I340" s="459"/>
      <c r="J340" s="1122"/>
      <c r="K340" s="1122"/>
      <c r="L340" s="1122"/>
      <c r="M340" s="1122"/>
    </row>
    <row r="341" spans="1:13" ht="17" customHeight="1">
      <c r="A341" s="1467" t="s">
        <v>2807</v>
      </c>
      <c r="B341" s="1467"/>
      <c r="C341" s="1467"/>
      <c r="D341" s="1467"/>
      <c r="E341" s="1467"/>
      <c r="F341" s="1467"/>
      <c r="G341" s="1467"/>
      <c r="H341" s="1467"/>
      <c r="I341" s="1467"/>
      <c r="J341" s="1122"/>
      <c r="K341" s="1122"/>
      <c r="L341" s="1122"/>
      <c r="M341" s="1122"/>
    </row>
    <row r="342" spans="1:13" ht="9" customHeight="1">
      <c r="A342" s="1467"/>
      <c r="B342" s="1467"/>
      <c r="C342" s="1467"/>
      <c r="D342" s="1467"/>
      <c r="E342" s="1467"/>
      <c r="F342" s="1467"/>
      <c r="G342" s="1467"/>
      <c r="H342" s="1467"/>
      <c r="I342" s="1467"/>
      <c r="J342" s="1122"/>
      <c r="K342" s="1122"/>
      <c r="L342" s="1122"/>
      <c r="M342" s="1122"/>
    </row>
    <row r="343" spans="1:13" ht="13.95" customHeight="1">
      <c r="A343" s="1467"/>
      <c r="B343" s="1467"/>
      <c r="C343" s="1467"/>
      <c r="D343" s="1467"/>
      <c r="E343" s="1467"/>
      <c r="F343" s="1467"/>
      <c r="G343" s="1467"/>
      <c r="H343" s="1467"/>
      <c r="I343" s="1467"/>
      <c r="J343" s="1122"/>
      <c r="K343" s="1122"/>
      <c r="L343" s="1122"/>
      <c r="M343" s="1122"/>
    </row>
    <row r="344" spans="1:13" ht="5.95" customHeight="1">
      <c r="A344" s="133"/>
      <c r="B344" s="109"/>
      <c r="C344" s="109"/>
      <c r="D344" s="109"/>
      <c r="E344" s="109"/>
      <c r="F344" s="117"/>
      <c r="G344" s="117"/>
      <c r="H344" s="117"/>
      <c r="I344" s="117"/>
      <c r="J344" s="1122"/>
      <c r="K344" s="1122"/>
      <c r="L344" s="1122"/>
      <c r="M344" s="1122"/>
    </row>
    <row r="345" spans="1:13" ht="13.95" customHeight="1">
      <c r="A345" s="130"/>
      <c r="B345" s="109"/>
      <c r="C345" s="109"/>
      <c r="D345" s="109"/>
      <c r="E345" s="109"/>
      <c r="F345" s="117"/>
      <c r="G345" s="117"/>
      <c r="H345" s="117"/>
      <c r="I345" s="117"/>
      <c r="J345" s="1122"/>
      <c r="K345" s="1122"/>
      <c r="L345" s="1122"/>
      <c r="M345" s="1122"/>
    </row>
    <row r="346" spans="1:13" ht="13.95" customHeight="1">
      <c r="A346" s="1507" t="str">
        <f>IF(Kémia!$B$476&amp;Csomagok!$A$1077&amp;Clinomics!$A$55="nincs vizsgálat kiválasztva","",Kémia!$B$476&amp;" [ "&amp;Csomagok!$A$1077&amp;"]"&amp;Clinomics!$A$55)</f>
        <v xml:space="preserve"> [ ]-</v>
      </c>
      <c r="B346" s="1507"/>
      <c r="C346" s="1507"/>
      <c r="D346" s="1507"/>
      <c r="E346" s="1507"/>
      <c r="F346" s="1507"/>
      <c r="G346" s="1507"/>
      <c r="H346" s="1507"/>
      <c r="I346" s="1507"/>
      <c r="J346" s="1122"/>
      <c r="K346" s="1122"/>
      <c r="L346" s="1122"/>
      <c r="M346" s="1122"/>
    </row>
    <row r="347" spans="1:13" ht="13.95" customHeight="1">
      <c r="A347" s="1507"/>
      <c r="B347" s="1507"/>
      <c r="C347" s="1507"/>
      <c r="D347" s="1507"/>
      <c r="E347" s="1507"/>
      <c r="F347" s="1507"/>
      <c r="G347" s="1507"/>
      <c r="H347" s="1507"/>
      <c r="I347" s="1507"/>
      <c r="J347" s="1122"/>
      <c r="K347" s="1122"/>
      <c r="L347" s="1122"/>
      <c r="M347" s="1122"/>
    </row>
    <row r="348" spans="1:13" ht="13.95" customHeight="1">
      <c r="A348" s="1507"/>
      <c r="B348" s="1507"/>
      <c r="C348" s="1507"/>
      <c r="D348" s="1507"/>
      <c r="E348" s="1507"/>
      <c r="F348" s="1507"/>
      <c r="G348" s="1507"/>
      <c r="H348" s="1507"/>
      <c r="I348" s="1507"/>
      <c r="J348" s="1122"/>
      <c r="K348" s="1122"/>
      <c r="L348" s="1122"/>
      <c r="M348" s="1122"/>
    </row>
    <row r="349" spans="1:13" ht="13.95" customHeight="1">
      <c r="A349" s="1507"/>
      <c r="B349" s="1507"/>
      <c r="C349" s="1507"/>
      <c r="D349" s="1507"/>
      <c r="E349" s="1507"/>
      <c r="F349" s="1507"/>
      <c r="G349" s="1507"/>
      <c r="H349" s="1507"/>
      <c r="I349" s="1507"/>
      <c r="J349" s="1122"/>
      <c r="K349" s="1122"/>
      <c r="L349" s="1122"/>
      <c r="M349" s="1122"/>
    </row>
    <row r="350" spans="1:13" ht="13.95" customHeight="1">
      <c r="A350" s="1507"/>
      <c r="B350" s="1507"/>
      <c r="C350" s="1507"/>
      <c r="D350" s="1507"/>
      <c r="E350" s="1507"/>
      <c r="F350" s="1507"/>
      <c r="G350" s="1507"/>
      <c r="H350" s="1507"/>
      <c r="I350" s="1507"/>
      <c r="J350" s="1122"/>
      <c r="K350" s="1122"/>
      <c r="L350" s="1122"/>
      <c r="M350" s="1122"/>
    </row>
    <row r="351" spans="1:13" ht="13.95" customHeight="1">
      <c r="A351" s="1507"/>
      <c r="B351" s="1507"/>
      <c r="C351" s="1507"/>
      <c r="D351" s="1507"/>
      <c r="E351" s="1507"/>
      <c r="F351" s="1507"/>
      <c r="G351" s="1507"/>
      <c r="H351" s="1507"/>
      <c r="I351" s="1507"/>
      <c r="J351" s="1122"/>
      <c r="K351" s="1122"/>
      <c r="L351" s="1122"/>
      <c r="M351" s="1122"/>
    </row>
    <row r="352" spans="1:13" ht="13.95" customHeight="1">
      <c r="A352" s="1507"/>
      <c r="B352" s="1507"/>
      <c r="C352" s="1507"/>
      <c r="D352" s="1507"/>
      <c r="E352" s="1507"/>
      <c r="F352" s="1507"/>
      <c r="G352" s="1507"/>
      <c r="H352" s="1507"/>
      <c r="I352" s="1507"/>
      <c r="J352" s="1122"/>
      <c r="K352" s="1122"/>
      <c r="L352" s="1122"/>
      <c r="M352" s="1122"/>
    </row>
    <row r="353" spans="1:13" ht="13.95" customHeight="1">
      <c r="A353" s="1507"/>
      <c r="B353" s="1507"/>
      <c r="C353" s="1507"/>
      <c r="D353" s="1507"/>
      <c r="E353" s="1507"/>
      <c r="F353" s="1507"/>
      <c r="G353" s="1507"/>
      <c r="H353" s="1507"/>
      <c r="I353" s="1507"/>
      <c r="J353" s="1122"/>
      <c r="K353" s="1122"/>
      <c r="L353" s="1122"/>
      <c r="M353" s="1122"/>
    </row>
    <row r="354" spans="1:13" ht="13.95" customHeight="1">
      <c r="A354" s="1507"/>
      <c r="B354" s="1507"/>
      <c r="C354" s="1507"/>
      <c r="D354" s="1507"/>
      <c r="E354" s="1507"/>
      <c r="F354" s="1507"/>
      <c r="G354" s="1507"/>
      <c r="H354" s="1507"/>
      <c r="I354" s="1507"/>
      <c r="J354" s="1122"/>
      <c r="K354" s="1122"/>
      <c r="L354" s="1122"/>
      <c r="M354" s="1122"/>
    </row>
    <row r="355" spans="1:13">
      <c r="A355" s="1507"/>
      <c r="B355" s="1507"/>
      <c r="C355" s="1507"/>
      <c r="D355" s="1507"/>
      <c r="E355" s="1507"/>
      <c r="F355" s="1507"/>
      <c r="G355" s="1507"/>
      <c r="H355" s="1507"/>
      <c r="I355" s="1507"/>
      <c r="J355" s="1122"/>
      <c r="K355" s="1122"/>
      <c r="L355" s="1122"/>
      <c r="M355" s="1122"/>
    </row>
    <row r="356" spans="1:13">
      <c r="A356" s="1507"/>
      <c r="B356" s="1507"/>
      <c r="C356" s="1507"/>
      <c r="D356" s="1507"/>
      <c r="E356" s="1507"/>
      <c r="F356" s="1507"/>
      <c r="G356" s="1507"/>
      <c r="H356" s="1507"/>
      <c r="I356" s="1507"/>
      <c r="J356" s="1122"/>
      <c r="K356" s="1122"/>
      <c r="L356" s="1122"/>
      <c r="M356" s="1122"/>
    </row>
    <row r="357" spans="1:13" s="1063" customFormat="1" ht="23.1">
      <c r="A357" s="1168" t="s">
        <v>451</v>
      </c>
      <c r="B357" s="1464">
        <f ca="1">F34</f>
        <v>3500</v>
      </c>
      <c r="C357" s="1464"/>
      <c r="D357" s="1165"/>
      <c r="E357" s="1166"/>
      <c r="F357" s="1508"/>
      <c r="G357" s="1508"/>
      <c r="H357" s="1508"/>
      <c r="I357" s="1165"/>
      <c r="J357" s="1167"/>
      <c r="K357" s="1167"/>
      <c r="L357" s="1167"/>
      <c r="M357" s="1167"/>
    </row>
    <row r="358" spans="1:13" s="7" customFormat="1" ht="15.65">
      <c r="A358" s="1285">
        <f>E39</f>
        <v>0</v>
      </c>
      <c r="B358" s="1228">
        <f ca="1">B34</f>
        <v>0</v>
      </c>
      <c r="C358" s="1231">
        <f>E34</f>
        <v>3500</v>
      </c>
      <c r="D358" s="1232">
        <f>E35</f>
        <v>0</v>
      </c>
      <c r="E358" s="1233">
        <f>E36</f>
        <v>0</v>
      </c>
      <c r="F358" s="1233">
        <f>E37</f>
        <v>0</v>
      </c>
      <c r="G358" s="1229"/>
      <c r="H358" s="1514">
        <f ca="1">B357</f>
        <v>3500</v>
      </c>
      <c r="I358" s="1514"/>
      <c r="J358" s="1230"/>
      <c r="K358" s="1230"/>
      <c r="L358" s="1230"/>
      <c r="M358" s="1230"/>
    </row>
    <row r="359" spans="1:13" ht="19.899999999999999" customHeight="1">
      <c r="A359" s="137" t="s">
        <v>1221</v>
      </c>
      <c r="B359" s="494"/>
      <c r="C359" s="494"/>
      <c r="D359" s="368"/>
      <c r="E359" s="138"/>
      <c r="F359" s="138"/>
      <c r="G359" s="138"/>
      <c r="H359" s="138"/>
      <c r="I359" s="118"/>
      <c r="J359" s="1122"/>
      <c r="K359" s="1122"/>
      <c r="L359" s="1122"/>
      <c r="M359" s="1122"/>
    </row>
    <row r="360" spans="1:13" ht="19.2" customHeight="1">
      <c r="A360" s="133" t="s">
        <v>1220</v>
      </c>
      <c r="B360" s="498">
        <f>Törvényes_képviselő_neve</f>
        <v>0</v>
      </c>
      <c r="C360" s="126"/>
      <c r="D360" s="1505" t="s">
        <v>540</v>
      </c>
      <c r="E360" s="1505"/>
      <c r="F360" s="1505"/>
      <c r="G360" s="118"/>
      <c r="H360" s="118"/>
      <c r="I360" s="118"/>
      <c r="J360" s="1122"/>
      <c r="K360" s="1122"/>
      <c r="L360" s="1122"/>
      <c r="M360" s="1122"/>
    </row>
    <row r="361" spans="1:13" ht="19.899999999999999" customHeight="1">
      <c r="A361" s="133"/>
      <c r="B361" s="136"/>
      <c r="C361" s="126"/>
      <c r="D361" s="1505"/>
      <c r="E361" s="1505"/>
      <c r="F361" s="1505"/>
      <c r="G361" s="118"/>
      <c r="H361" s="118"/>
      <c r="I361" s="118"/>
      <c r="J361" s="1122"/>
      <c r="K361" s="1122"/>
      <c r="L361" s="1122"/>
      <c r="M361" s="1122"/>
    </row>
    <row r="362" spans="1:13" ht="18" customHeight="1">
      <c r="A362" s="133"/>
      <c r="B362" s="136"/>
      <c r="C362" s="126"/>
      <c r="D362" s="1505"/>
      <c r="E362" s="1505"/>
      <c r="F362" s="1505"/>
      <c r="G362" s="118"/>
      <c r="H362" s="118"/>
      <c r="I362" s="118"/>
      <c r="J362" s="1122"/>
      <c r="K362" s="1122"/>
      <c r="L362" s="1122"/>
      <c r="M362" s="1122"/>
    </row>
    <row r="363" spans="1:13" ht="19.899999999999999" customHeight="1">
      <c r="A363" s="123" t="s">
        <v>530</v>
      </c>
      <c r="B363" s="124">
        <f ca="1">TODAY()</f>
        <v>45968</v>
      </c>
      <c r="C363" s="110"/>
      <c r="D363" s="1505"/>
      <c r="E363" s="1505"/>
      <c r="F363" s="1505"/>
      <c r="G363" s="349"/>
      <c r="H363" s="349"/>
      <c r="I363" s="70"/>
      <c r="J363" s="1122"/>
      <c r="K363" s="1122"/>
      <c r="L363" s="1122"/>
      <c r="M363" s="1122"/>
    </row>
    <row r="364" spans="1:13" ht="19.899999999999999" customHeight="1">
      <c r="A364" s="123"/>
      <c r="B364" s="110"/>
      <c r="C364" s="110"/>
      <c r="D364" s="1505"/>
      <c r="E364" s="1505"/>
      <c r="F364" s="1505"/>
      <c r="G364" s="349"/>
      <c r="H364" s="349"/>
      <c r="I364" s="70"/>
      <c r="J364" s="1122"/>
      <c r="K364" s="1122"/>
      <c r="L364" s="1122"/>
      <c r="M364" s="1122"/>
    </row>
    <row r="365" spans="1:13" ht="17.7">
      <c r="A365" s="123"/>
      <c r="B365" s="110"/>
      <c r="C365" s="110"/>
      <c r="D365" s="1505" t="s">
        <v>541</v>
      </c>
      <c r="E365" s="1505"/>
      <c r="F365" s="1505"/>
      <c r="G365" s="349"/>
      <c r="H365" s="349"/>
      <c r="I365" s="70"/>
      <c r="J365" s="1122"/>
      <c r="K365" s="1122"/>
      <c r="L365" s="1122"/>
      <c r="M365" s="1122"/>
    </row>
    <row r="366" spans="1:13" ht="17.7">
      <c r="A366" s="123"/>
      <c r="B366" s="110"/>
      <c r="C366" s="110"/>
      <c r="D366" s="349"/>
      <c r="E366" s="349"/>
      <c r="F366" s="349"/>
      <c r="G366" s="349"/>
      <c r="H366" s="349"/>
      <c r="I366" s="70"/>
      <c r="J366" s="1122"/>
      <c r="K366" s="1122"/>
      <c r="L366" s="1122"/>
      <c r="M366" s="1122"/>
    </row>
    <row r="367" spans="1:13" ht="19.899999999999999" customHeight="1">
      <c r="A367" s="97"/>
      <c r="B367" s="70"/>
      <c r="C367" s="70"/>
      <c r="D367" s="70"/>
      <c r="E367" s="70"/>
      <c r="F367" s="70"/>
      <c r="G367" s="70"/>
      <c r="H367" s="70"/>
      <c r="I367" s="70"/>
      <c r="J367" s="1122"/>
      <c r="K367" s="1122"/>
      <c r="L367" s="1122"/>
      <c r="M367" s="1122"/>
    </row>
    <row r="368" spans="1:13" ht="19.899999999999999" customHeight="1">
      <c r="A368" s="97"/>
      <c r="B368" s="70"/>
      <c r="C368" s="70"/>
      <c r="D368" s="70"/>
      <c r="E368" s="70"/>
      <c r="F368" s="70"/>
      <c r="G368" s="70"/>
      <c r="H368" s="70"/>
      <c r="I368" s="70"/>
      <c r="J368" s="1122"/>
      <c r="K368" s="1122"/>
      <c r="L368" s="1122"/>
      <c r="M368" s="1122"/>
    </row>
    <row r="369" spans="1:13" ht="19.899999999999999" customHeight="1">
      <c r="B369" s="1533" t="s">
        <v>2728</v>
      </c>
      <c r="C369" s="1533"/>
      <c r="D369" s="1533"/>
      <c r="E369" s="1533"/>
      <c r="J369" s="1122"/>
      <c r="K369" s="1122"/>
      <c r="L369" s="1122"/>
      <c r="M369" s="1122"/>
    </row>
    <row r="370" spans="1:13" ht="19.899999999999999" customHeight="1">
      <c r="B370" s="1533"/>
      <c r="C370" s="1533"/>
      <c r="D370" s="1533"/>
      <c r="E370" s="1533"/>
      <c r="J370" s="1122"/>
      <c r="K370" s="1122"/>
      <c r="L370" s="1122"/>
      <c r="M370" s="1122"/>
    </row>
    <row r="371" spans="1:13" s="134" customFormat="1">
      <c r="A371"/>
      <c r="B371" s="1533"/>
      <c r="C371" s="1533"/>
      <c r="D371" s="1533"/>
      <c r="E371" s="1533"/>
      <c r="F371"/>
      <c r="G371"/>
      <c r="H371"/>
      <c r="I371"/>
      <c r="J371" s="1139"/>
      <c r="K371" s="1139"/>
      <c r="L371" s="1139"/>
      <c r="M371" s="1139"/>
    </row>
    <row r="372" spans="1:13" s="134" customFormat="1" ht="25.85">
      <c r="A372"/>
      <c r="B372" s="129"/>
      <c r="C372" s="129"/>
      <c r="D372" s="129"/>
      <c r="E372" s="129"/>
      <c r="F372"/>
      <c r="G372"/>
      <c r="H372"/>
      <c r="I372"/>
      <c r="J372" s="1139"/>
      <c r="K372" s="1139"/>
      <c r="L372" s="1139"/>
      <c r="M372" s="1139"/>
    </row>
    <row r="373" spans="1:13" s="134" customFormat="1">
      <c r="A373" s="1535" t="s">
        <v>2727</v>
      </c>
      <c r="B373" s="1535"/>
      <c r="C373" s="1535"/>
      <c r="D373" s="1535"/>
      <c r="E373" s="1535"/>
      <c r="F373" s="1535"/>
      <c r="G373" s="1535"/>
      <c r="H373" s="1535"/>
      <c r="I373" s="1535"/>
      <c r="J373" s="1139"/>
      <c r="K373" s="1139"/>
      <c r="L373" s="1139"/>
      <c r="M373" s="1139"/>
    </row>
    <row r="374" spans="1:13" s="134" customFormat="1">
      <c r="A374" s="1535"/>
      <c r="B374" s="1535"/>
      <c r="C374" s="1535"/>
      <c r="D374" s="1535"/>
      <c r="E374" s="1535"/>
      <c r="F374" s="1535"/>
      <c r="G374" s="1535"/>
      <c r="H374" s="1535"/>
      <c r="I374" s="1535"/>
      <c r="J374" s="1139"/>
      <c r="K374" s="1139"/>
      <c r="L374" s="1139"/>
      <c r="M374" s="1139"/>
    </row>
    <row r="375" spans="1:13" s="134" customFormat="1">
      <c r="A375" s="1535"/>
      <c r="B375" s="1535"/>
      <c r="C375" s="1535"/>
      <c r="D375" s="1535"/>
      <c r="E375" s="1535"/>
      <c r="F375" s="1535"/>
      <c r="G375" s="1535"/>
      <c r="H375" s="1535"/>
      <c r="I375" s="1535"/>
      <c r="J375" s="1139"/>
      <c r="K375" s="1139"/>
      <c r="L375" s="1139"/>
      <c r="M375" s="1139"/>
    </row>
    <row r="376" spans="1:13" s="135" customFormat="1">
      <c r="A376" s="1535"/>
      <c r="B376" s="1535"/>
      <c r="C376" s="1535"/>
      <c r="D376" s="1535"/>
      <c r="E376" s="1535"/>
      <c r="F376" s="1535"/>
      <c r="G376" s="1535"/>
      <c r="H376" s="1535"/>
      <c r="I376" s="1535"/>
      <c r="J376" s="1140"/>
      <c r="K376" s="1140"/>
      <c r="L376" s="1140"/>
      <c r="M376" s="1140"/>
    </row>
    <row r="377" spans="1:13" s="135" customFormat="1">
      <c r="A377" s="1535"/>
      <c r="B377" s="1535"/>
      <c r="C377" s="1535"/>
      <c r="D377" s="1535"/>
      <c r="E377" s="1535"/>
      <c r="F377" s="1535"/>
      <c r="G377" s="1535"/>
      <c r="H377" s="1535"/>
      <c r="I377" s="1535"/>
      <c r="J377" s="1140"/>
      <c r="K377" s="1140"/>
      <c r="L377" s="1140"/>
      <c r="M377" s="1140"/>
    </row>
    <row r="378" spans="1:13" s="109" customFormat="1" ht="15.65">
      <c r="A378" s="1535"/>
      <c r="B378" s="1535"/>
      <c r="C378" s="1535"/>
      <c r="D378" s="1535"/>
      <c r="E378" s="1535"/>
      <c r="F378" s="1535"/>
      <c r="G378" s="1535"/>
      <c r="H378" s="1535"/>
      <c r="I378" s="1535"/>
      <c r="J378" s="1141"/>
      <c r="K378" s="1141"/>
      <c r="L378" s="1141"/>
      <c r="M378" s="1141"/>
    </row>
    <row r="379" spans="1:13" s="109" customFormat="1" ht="4.95" customHeight="1">
      <c r="A379" s="461"/>
      <c r="B379" s="461"/>
      <c r="C379" s="461"/>
      <c r="D379" s="461"/>
      <c r="E379" s="461"/>
      <c r="F379" s="461"/>
      <c r="G379" s="461"/>
      <c r="H379" s="461"/>
      <c r="I379" s="461"/>
      <c r="J379" s="1141"/>
      <c r="K379" s="1141"/>
      <c r="L379" s="1141"/>
      <c r="M379" s="1141"/>
    </row>
    <row r="380" spans="1:13" s="109" customFormat="1" ht="15.65">
      <c r="A380" s="1537" t="s">
        <v>2801</v>
      </c>
      <c r="B380" s="1537"/>
      <c r="C380" s="1537"/>
      <c r="D380" s="1537"/>
      <c r="E380" s="1537"/>
      <c r="F380" s="1537"/>
      <c r="G380" s="1537"/>
      <c r="H380" s="1537"/>
      <c r="I380" s="1537"/>
      <c r="J380" s="1141"/>
      <c r="K380" s="1141"/>
      <c r="L380" s="1141"/>
      <c r="M380" s="1141"/>
    </row>
    <row r="381" spans="1:13" s="109" customFormat="1" ht="4.95" customHeight="1">
      <c r="A381" s="462"/>
      <c r="B381" s="463"/>
      <c r="C381" s="463"/>
      <c r="D381" s="463"/>
      <c r="E381" s="463"/>
      <c r="F381" s="463"/>
      <c r="G381" s="463"/>
      <c r="H381" s="463"/>
      <c r="I381" s="463"/>
      <c r="J381" s="1141"/>
      <c r="K381" s="1141"/>
      <c r="L381" s="1141"/>
      <c r="M381" s="1141"/>
    </row>
    <row r="382" spans="1:13" s="109" customFormat="1" ht="15.65">
      <c r="A382" s="1466" t="s">
        <v>2343</v>
      </c>
      <c r="B382" s="1466"/>
      <c r="C382" s="1466"/>
      <c r="D382" s="1466"/>
      <c r="E382" s="1466"/>
      <c r="F382" s="1466"/>
      <c r="G382" s="1466"/>
      <c r="H382" s="1466"/>
      <c r="I382" s="1466"/>
      <c r="J382" s="1141"/>
      <c r="K382" s="1141"/>
      <c r="L382" s="1141"/>
      <c r="M382" s="1141"/>
    </row>
    <row r="383" spans="1:13">
      <c r="A383" s="1466"/>
      <c r="B383" s="1466"/>
      <c r="C383" s="1466"/>
      <c r="D383" s="1466"/>
      <c r="E383" s="1466"/>
      <c r="F383" s="1466"/>
      <c r="G383" s="1466"/>
      <c r="H383" s="1466"/>
      <c r="I383" s="1466"/>
      <c r="J383" s="1122"/>
      <c r="K383" s="1122"/>
      <c r="L383" s="1122"/>
      <c r="M383" s="1122"/>
    </row>
    <row r="384" spans="1:13">
      <c r="A384" s="1466"/>
      <c r="B384" s="1466"/>
      <c r="C384" s="1466"/>
      <c r="D384" s="1466"/>
      <c r="E384" s="1466"/>
      <c r="F384" s="1466"/>
      <c r="G384" s="1466"/>
      <c r="H384" s="1466"/>
      <c r="I384" s="1466"/>
      <c r="J384" s="1122"/>
      <c r="K384" s="1122"/>
      <c r="L384" s="1122"/>
      <c r="M384" s="1122"/>
    </row>
    <row r="385" spans="1:13">
      <c r="A385" s="1466"/>
      <c r="B385" s="1466"/>
      <c r="C385" s="1466"/>
      <c r="D385" s="1466"/>
      <c r="E385" s="1466"/>
      <c r="F385" s="1466"/>
      <c r="G385" s="1466"/>
      <c r="H385" s="1466"/>
      <c r="I385" s="1466"/>
      <c r="J385" s="1122"/>
      <c r="K385" s="1122"/>
      <c r="L385" s="1122"/>
      <c r="M385" s="1122"/>
    </row>
    <row r="386" spans="1:13" ht="4.95" customHeight="1">
      <c r="A386" s="464"/>
      <c r="B386" s="464"/>
      <c r="C386" s="464"/>
      <c r="D386" s="464"/>
      <c r="E386" s="464"/>
      <c r="F386" s="464"/>
      <c r="G386" s="464"/>
      <c r="H386" s="464"/>
      <c r="I386" s="464"/>
      <c r="J386" s="1122"/>
      <c r="K386" s="1122"/>
      <c r="L386" s="1122"/>
      <c r="M386" s="1122"/>
    </row>
    <row r="387" spans="1:13" ht="13.95" customHeight="1">
      <c r="A387" s="1493" t="s">
        <v>2802</v>
      </c>
      <c r="B387" s="1493"/>
      <c r="C387" s="1493"/>
      <c r="D387" s="1493"/>
      <c r="E387" s="1493"/>
      <c r="F387" s="1493"/>
      <c r="G387" s="1493"/>
      <c r="H387" s="1493"/>
      <c r="I387" s="1493"/>
      <c r="J387" s="1122"/>
      <c r="K387" s="1122"/>
      <c r="L387" s="1122"/>
      <c r="M387" s="1122"/>
    </row>
    <row r="388" spans="1:13" ht="13.95" customHeight="1">
      <c r="A388" s="1493"/>
      <c r="B388" s="1493"/>
      <c r="C388" s="1493"/>
      <c r="D388" s="1493"/>
      <c r="E388" s="1493"/>
      <c r="F388" s="1493"/>
      <c r="G388" s="1493"/>
      <c r="H388" s="1493"/>
      <c r="I388" s="1493"/>
      <c r="J388" s="1122"/>
      <c r="K388" s="1122"/>
      <c r="L388" s="1122"/>
      <c r="M388" s="1122"/>
    </row>
    <row r="389" spans="1:13" ht="13.95" customHeight="1">
      <c r="A389" s="1493"/>
      <c r="B389" s="1493"/>
      <c r="C389" s="1493"/>
      <c r="D389" s="1493"/>
      <c r="E389" s="1493"/>
      <c r="F389" s="1493"/>
      <c r="G389" s="1493"/>
      <c r="H389" s="1493"/>
      <c r="I389" s="1493"/>
      <c r="J389" s="1122"/>
      <c r="K389" s="1122"/>
      <c r="L389" s="1122"/>
      <c r="M389" s="1122"/>
    </row>
    <row r="390" spans="1:13">
      <c r="A390" s="1493"/>
      <c r="B390" s="1493"/>
      <c r="C390" s="1493"/>
      <c r="D390" s="1493"/>
      <c r="E390" s="1493"/>
      <c r="F390" s="1493"/>
      <c r="G390" s="1493"/>
      <c r="H390" s="1493"/>
      <c r="I390" s="1493"/>
      <c r="J390" s="1122"/>
      <c r="K390" s="1122"/>
      <c r="L390" s="1122"/>
      <c r="M390" s="1122"/>
    </row>
    <row r="391" spans="1:13" s="463" customFormat="1" ht="13.1" customHeight="1">
      <c r="A391" s="1493"/>
      <c r="B391" s="1493"/>
      <c r="C391" s="1493"/>
      <c r="D391" s="1493"/>
      <c r="E391" s="1493"/>
      <c r="F391" s="1493"/>
      <c r="G391" s="1493"/>
      <c r="H391" s="1493"/>
      <c r="I391" s="1493"/>
      <c r="J391" s="1142"/>
      <c r="K391" s="1142"/>
      <c r="L391" s="1142"/>
      <c r="M391" s="1142"/>
    </row>
    <row r="392" spans="1:13" s="463" customFormat="1" ht="5.95" customHeight="1">
      <c r="A392" s="106"/>
      <c r="B392" s="106"/>
      <c r="C392" s="106"/>
      <c r="D392" s="106"/>
      <c r="E392" s="106"/>
      <c r="F392" s="106"/>
      <c r="G392" s="106"/>
      <c r="H392" s="106"/>
      <c r="I392" s="106"/>
      <c r="J392" s="1142"/>
      <c r="K392" s="1142"/>
      <c r="L392" s="1142"/>
      <c r="M392" s="1142"/>
    </row>
    <row r="393" spans="1:13" s="463" customFormat="1" ht="14.95">
      <c r="A393" s="468" t="s">
        <v>457</v>
      </c>
      <c r="B393" s="469" t="s">
        <v>2792</v>
      </c>
      <c r="C393" s="470"/>
      <c r="D393" s="470"/>
      <c r="E393" s="470"/>
      <c r="F393" s="470"/>
      <c r="G393" s="470"/>
      <c r="H393" s="470"/>
      <c r="I393" s="470"/>
      <c r="J393" s="1142"/>
      <c r="K393" s="1142"/>
      <c r="L393" s="1142"/>
      <c r="M393" s="1142"/>
    </row>
    <row r="394" spans="1:13" s="463" customFormat="1" ht="14.95">
      <c r="A394" s="468" t="s">
        <v>2793</v>
      </c>
      <c r="B394" s="468" t="s">
        <v>2794</v>
      </c>
      <c r="C394" s="470"/>
      <c r="D394" s="470"/>
      <c r="E394" s="470"/>
      <c r="F394" s="470"/>
      <c r="G394" s="470"/>
      <c r="H394" s="470"/>
      <c r="I394" s="470"/>
      <c r="J394" s="1142"/>
      <c r="K394" s="1142"/>
      <c r="L394" s="1142"/>
      <c r="M394" s="1142"/>
    </row>
    <row r="395" spans="1:13" s="460" customFormat="1" ht="14.95">
      <c r="A395" s="468" t="s">
        <v>458</v>
      </c>
      <c r="B395" s="471" t="s">
        <v>6027</v>
      </c>
      <c r="C395" s="470"/>
      <c r="D395" s="470"/>
      <c r="E395" s="470"/>
      <c r="F395" s="470"/>
      <c r="G395" s="470"/>
      <c r="H395" s="470"/>
      <c r="I395" s="470"/>
      <c r="J395" s="1143"/>
      <c r="K395" s="1143"/>
      <c r="L395" s="1143"/>
      <c r="M395" s="1143"/>
    </row>
    <row r="396" spans="1:13" ht="14.95">
      <c r="A396" s="472" t="s">
        <v>2795</v>
      </c>
      <c r="B396" s="473" t="s">
        <v>6026</v>
      </c>
      <c r="C396" s="470"/>
      <c r="D396" s="470"/>
      <c r="E396" s="470"/>
      <c r="F396" s="470"/>
      <c r="G396" s="470"/>
      <c r="H396" s="470"/>
      <c r="I396" s="470"/>
      <c r="J396" s="1122"/>
      <c r="K396" s="1122"/>
      <c r="L396" s="1122"/>
      <c r="M396" s="1122"/>
    </row>
    <row r="397" spans="1:13" ht="14.95">
      <c r="A397" s="472"/>
      <c r="B397" s="470"/>
      <c r="C397" s="470"/>
      <c r="D397" s="470"/>
      <c r="E397" s="470"/>
      <c r="F397" s="470"/>
      <c r="G397" s="470"/>
      <c r="H397" s="470"/>
      <c r="I397" s="470"/>
      <c r="J397" s="1122"/>
      <c r="K397" s="1122"/>
      <c r="L397" s="1122"/>
      <c r="M397" s="1122"/>
    </row>
    <row r="398" spans="1:13" ht="14.95">
      <c r="A398" s="1481" t="s">
        <v>1159</v>
      </c>
      <c r="B398" s="1481"/>
      <c r="C398" s="1481"/>
      <c r="D398" s="1481"/>
      <c r="E398" s="1481"/>
      <c r="F398" s="1481"/>
      <c r="G398" s="1481"/>
      <c r="H398" s="1481"/>
      <c r="I398" s="1481"/>
      <c r="J398" s="1144"/>
      <c r="K398" s="1122"/>
      <c r="L398" s="1122"/>
      <c r="M398" s="1122"/>
    </row>
    <row r="399" spans="1:13" ht="4.95" customHeight="1">
      <c r="A399" s="465"/>
      <c r="B399" s="465"/>
      <c r="C399" s="465"/>
      <c r="D399" s="465"/>
      <c r="E399" s="465"/>
      <c r="F399" s="465"/>
      <c r="G399" s="465"/>
      <c r="H399" s="465"/>
      <c r="I399" s="465"/>
      <c r="J399" s="1144"/>
      <c r="K399" s="1122"/>
      <c r="L399" s="1122"/>
      <c r="M399" s="1122"/>
    </row>
    <row r="400" spans="1:13">
      <c r="A400" s="1534" t="s">
        <v>2803</v>
      </c>
      <c r="B400" s="1534"/>
      <c r="C400" s="1534"/>
      <c r="D400" s="1534"/>
      <c r="E400" s="1534"/>
      <c r="F400" s="1534"/>
      <c r="G400" s="1534"/>
      <c r="H400" s="1534"/>
      <c r="I400" s="1534"/>
      <c r="J400" s="1122"/>
      <c r="K400" s="1122"/>
      <c r="L400" s="1122"/>
      <c r="M400" s="1122"/>
    </row>
    <row r="401" spans="1:13">
      <c r="A401" s="1534"/>
      <c r="B401" s="1534"/>
      <c r="C401" s="1534"/>
      <c r="D401" s="1534"/>
      <c r="E401" s="1534"/>
      <c r="F401" s="1534"/>
      <c r="G401" s="1534"/>
      <c r="H401" s="1534"/>
      <c r="I401" s="1534"/>
      <c r="J401" s="1122"/>
      <c r="K401" s="1122"/>
      <c r="L401" s="1122"/>
      <c r="M401" s="1122"/>
    </row>
    <row r="402" spans="1:13" ht="4.95" customHeight="1">
      <c r="A402" s="466"/>
      <c r="B402" s="466"/>
      <c r="C402" s="466"/>
      <c r="D402" s="466"/>
      <c r="E402" s="466"/>
      <c r="F402" s="466"/>
      <c r="G402" s="466"/>
      <c r="H402" s="466"/>
      <c r="I402" s="466"/>
      <c r="J402" s="1122"/>
      <c r="K402" s="1122"/>
      <c r="L402" s="1122"/>
      <c r="M402" s="1122"/>
    </row>
    <row r="403" spans="1:13" ht="14.95">
      <c r="A403" s="1466" t="s">
        <v>2804</v>
      </c>
      <c r="B403" s="1466"/>
      <c r="C403" s="1466"/>
      <c r="D403" s="1466"/>
      <c r="E403" s="1466"/>
      <c r="F403" s="1466"/>
      <c r="G403" s="1466"/>
      <c r="H403" s="1466"/>
      <c r="I403" s="1466"/>
      <c r="J403" s="1122"/>
      <c r="K403" s="1122"/>
      <c r="L403" s="1122"/>
      <c r="M403" s="1122"/>
    </row>
    <row r="404" spans="1:13" ht="4.95" customHeight="1">
      <c r="A404" s="467"/>
      <c r="B404" s="463"/>
      <c r="C404" s="463"/>
      <c r="D404" s="463"/>
      <c r="E404" s="463"/>
      <c r="F404" s="463"/>
      <c r="G404" s="463"/>
      <c r="H404" s="463"/>
      <c r="I404" s="460"/>
      <c r="J404" s="1122"/>
      <c r="K404" s="1122"/>
      <c r="L404" s="1122"/>
      <c r="M404" s="1122"/>
    </row>
    <row r="405" spans="1:13">
      <c r="A405" s="1494" t="s">
        <v>2805</v>
      </c>
      <c r="B405" s="1494"/>
      <c r="C405" s="1494"/>
      <c r="D405" s="1494"/>
      <c r="E405" s="1494"/>
      <c r="F405" s="1494"/>
      <c r="G405" s="1494"/>
      <c r="H405" s="1494"/>
      <c r="I405" s="1494"/>
      <c r="J405" s="1122"/>
      <c r="K405" s="1122"/>
      <c r="L405" s="1122"/>
      <c r="M405" s="1122"/>
    </row>
    <row r="406" spans="1:13" s="362" customFormat="1">
      <c r="A406" s="1494"/>
      <c r="B406" s="1494"/>
      <c r="C406" s="1494"/>
      <c r="D406" s="1494"/>
      <c r="E406" s="1494"/>
      <c r="F406" s="1494"/>
      <c r="G406" s="1494"/>
      <c r="H406" s="1494"/>
      <c r="I406" s="1494"/>
      <c r="J406" s="1129"/>
      <c r="K406" s="1129"/>
      <c r="L406" s="1129"/>
      <c r="M406" s="1129"/>
    </row>
    <row r="407" spans="1:13" ht="4.95" customHeight="1" thickBot="1">
      <c r="A407" s="550"/>
      <c r="B407" s="550"/>
      <c r="C407" s="550"/>
      <c r="D407" s="550"/>
      <c r="E407" s="550"/>
      <c r="F407" s="550"/>
      <c r="G407" s="550"/>
      <c r="H407" s="550"/>
      <c r="I407" s="550"/>
      <c r="J407" s="1122"/>
      <c r="K407" s="1122"/>
      <c r="L407" s="1122"/>
      <c r="M407" s="1122"/>
    </row>
    <row r="408" spans="1:13" ht="14.95">
      <c r="A408" s="551" t="s">
        <v>2800</v>
      </c>
      <c r="B408" s="1531"/>
      <c r="C408" s="1531"/>
      <c r="D408" s="1531"/>
      <c r="E408" s="552"/>
      <c r="F408" s="552"/>
      <c r="G408" s="552"/>
      <c r="H408" s="552"/>
      <c r="I408" s="553"/>
      <c r="J408" s="1122"/>
      <c r="K408" s="1122"/>
      <c r="L408" s="1122"/>
      <c r="M408" s="1122"/>
    </row>
    <row r="409" spans="1:13" ht="14.95">
      <c r="A409" s="554" t="s">
        <v>1160</v>
      </c>
      <c r="B409" s="1431">
        <f>$B$12</f>
        <v>0</v>
      </c>
      <c r="C409" s="1431"/>
      <c r="D409" s="1431"/>
      <c r="E409" s="556" t="str">
        <f>F6</f>
        <v>Sürgősség:</v>
      </c>
      <c r="F409" s="556" t="str">
        <f>H6</f>
        <v>NORMÁL</v>
      </c>
      <c r="G409" s="556"/>
      <c r="H409" s="556"/>
      <c r="I409" s="569"/>
      <c r="J409" s="1122"/>
      <c r="K409" s="1122"/>
      <c r="L409" s="1122"/>
      <c r="M409" s="1122"/>
    </row>
    <row r="410" spans="1:13" ht="14.95">
      <c r="A410" s="554" t="s">
        <v>1156</v>
      </c>
      <c r="B410" s="1480">
        <f>$F$13</f>
        <v>0</v>
      </c>
      <c r="C410" s="1480"/>
      <c r="D410" s="1480"/>
      <c r="E410" s="559" t="str">
        <f>IF(X7=TRUE,"ANGOL NYELVŰ LABORLELET","")</f>
        <v/>
      </c>
      <c r="F410" s="556"/>
      <c r="G410" s="556"/>
      <c r="H410" s="556"/>
      <c r="I410" s="569"/>
      <c r="J410" s="1124"/>
      <c r="K410" s="1124"/>
      <c r="L410" s="1122"/>
      <c r="M410" s="1122"/>
    </row>
    <row r="411" spans="1:13" ht="14.95">
      <c r="A411" s="554" t="s">
        <v>1158</v>
      </c>
      <c r="B411" s="559" t="str">
        <f>$B$17</f>
        <v>TAJ</v>
      </c>
      <c r="C411" s="560"/>
      <c r="D411" s="560">
        <f>IF($F$17&lt;&gt;TAJ,$F$17,TAJ)</f>
        <v>0</v>
      </c>
      <c r="E411" s="556"/>
      <c r="G411" s="561"/>
      <c r="H411" s="561"/>
      <c r="I411" s="569"/>
      <c r="J411" s="1122"/>
      <c r="K411" s="1122"/>
      <c r="L411" s="1122"/>
      <c r="M411" s="1122"/>
    </row>
    <row r="412" spans="1:13" s="62" customFormat="1" ht="14.95">
      <c r="A412" s="554" t="s">
        <v>1157</v>
      </c>
      <c r="B412" s="555">
        <f>$B$15</f>
        <v>0</v>
      </c>
      <c r="C412" s="560" t="str">
        <f>F16</f>
        <v>Nincs találat</v>
      </c>
      <c r="D412" s="563"/>
      <c r="E412" s="559">
        <f>B16</f>
        <v>0</v>
      </c>
      <c r="F412" s="559"/>
      <c r="G412" s="556"/>
      <c r="H412" s="556"/>
      <c r="I412" s="569"/>
      <c r="J412" s="1144"/>
      <c r="K412" s="1144"/>
      <c r="L412" s="1144"/>
      <c r="M412" s="1144"/>
    </row>
    <row r="413" spans="1:13" ht="14.95">
      <c r="A413" s="554" t="s">
        <v>1154</v>
      </c>
      <c r="B413" s="570">
        <f>F14</f>
        <v>0</v>
      </c>
      <c r="C413" s="555"/>
      <c r="D413" s="555"/>
      <c r="E413" s="559"/>
      <c r="F413" s="559"/>
      <c r="G413" s="556"/>
      <c r="H413" s="556"/>
      <c r="I413" s="569"/>
      <c r="J413" s="1122"/>
      <c r="K413" s="1122"/>
      <c r="L413" s="1122"/>
      <c r="M413" s="1122"/>
    </row>
    <row r="414" spans="1:13" s="109" customFormat="1" ht="15.65">
      <c r="A414" s="554" t="s">
        <v>1155</v>
      </c>
      <c r="B414" s="555">
        <f>B14</f>
        <v>0</v>
      </c>
      <c r="C414" s="555"/>
      <c r="D414" s="555"/>
      <c r="E414" s="559"/>
      <c r="F414" s="556"/>
      <c r="G414" s="556"/>
      <c r="H414" s="556"/>
      <c r="I414" s="569"/>
      <c r="J414" s="1141"/>
      <c r="K414" s="1141"/>
      <c r="L414" s="1141"/>
      <c r="M414" s="1141"/>
    </row>
    <row r="415" spans="1:13" s="109" customFormat="1" ht="16.3" thickBot="1">
      <c r="A415" s="571" t="s">
        <v>1219</v>
      </c>
      <c r="B415" s="572" t="str">
        <f>CONCATENATE(A7, "  ","      1132 Budapest, Visegrádi u. 40.")</f>
        <v>Visegrádi40 Magánrendelő        1132 Budapest, Visegrádi u. 40.</v>
      </c>
      <c r="C415" s="572"/>
      <c r="D415" s="572"/>
      <c r="E415" s="573"/>
      <c r="F415" s="574">
        <f ca="1">NOW()</f>
        <v>45968.338701967594</v>
      </c>
      <c r="G415" s="574"/>
      <c r="H415" s="574"/>
      <c r="I415" s="575"/>
      <c r="J415" s="1141"/>
      <c r="K415" s="1141"/>
      <c r="L415" s="1141"/>
      <c r="M415" s="1141"/>
    </row>
    <row r="416" spans="1:13" s="109" customFormat="1" ht="5.95" customHeight="1">
      <c r="A416" s="107"/>
      <c r="B416" s="108"/>
      <c r="C416" s="108"/>
      <c r="D416" s="108"/>
      <c r="I416" s="92"/>
      <c r="J416" s="1141"/>
      <c r="K416" s="1141"/>
      <c r="L416" s="1141"/>
      <c r="M416" s="1141"/>
    </row>
    <row r="417" spans="1:13" s="109" customFormat="1" ht="15.65">
      <c r="A417" s="1536" t="s">
        <v>1218</v>
      </c>
      <c r="B417" s="1536"/>
      <c r="C417" s="1536"/>
      <c r="D417" s="1536"/>
      <c r="E417" s="1536"/>
      <c r="F417" s="1536"/>
      <c r="G417" s="1536"/>
      <c r="H417" s="1536"/>
      <c r="I417" s="1536"/>
      <c r="J417" s="1141"/>
      <c r="K417" s="1141"/>
      <c r="L417" s="1141"/>
      <c r="M417" s="1141"/>
    </row>
    <row r="418" spans="1:13" s="109" customFormat="1" ht="4.95" customHeight="1">
      <c r="A418" s="131"/>
      <c r="B418" s="131"/>
      <c r="C418" s="131"/>
      <c r="D418" s="131"/>
      <c r="E418" s="131"/>
      <c r="F418" s="131"/>
      <c r="G418" s="131"/>
      <c r="H418" s="131"/>
      <c r="I418" s="131"/>
      <c r="J418" s="1141"/>
      <c r="K418" s="1141"/>
      <c r="L418" s="1141"/>
      <c r="M418" s="1141"/>
    </row>
    <row r="419" spans="1:13" s="109" customFormat="1" ht="15.65">
      <c r="A419" s="1513" t="s">
        <v>2341</v>
      </c>
      <c r="B419" s="1513"/>
      <c r="C419" s="1513"/>
      <c r="D419" s="1513"/>
      <c r="E419" s="1513"/>
      <c r="F419" s="1513"/>
      <c r="G419" s="1513"/>
      <c r="H419" s="1513"/>
      <c r="I419" s="1513"/>
      <c r="J419" s="1141"/>
      <c r="K419" s="1141"/>
      <c r="L419" s="1141"/>
      <c r="M419" s="1141"/>
    </row>
    <row r="420" spans="1:13" s="109" customFormat="1" ht="15.65">
      <c r="A420" s="1513"/>
      <c r="B420" s="1513"/>
      <c r="C420" s="1513"/>
      <c r="D420" s="1513"/>
      <c r="E420" s="1513"/>
      <c r="F420" s="1513"/>
      <c r="G420" s="1513"/>
      <c r="H420" s="1513"/>
      <c r="I420" s="1513"/>
      <c r="J420" s="1141"/>
      <c r="K420" s="1141"/>
      <c r="L420" s="1141"/>
      <c r="M420" s="1141"/>
    </row>
    <row r="421" spans="1:13" s="109" customFormat="1" ht="15.65">
      <c r="A421" s="1513"/>
      <c r="B421" s="1513"/>
      <c r="C421" s="1513"/>
      <c r="D421" s="1513"/>
      <c r="E421" s="1513"/>
      <c r="F421" s="1513"/>
      <c r="G421" s="1513"/>
      <c r="H421" s="1513"/>
      <c r="I421" s="1513"/>
      <c r="J421" s="1141"/>
      <c r="K421" s="1141"/>
      <c r="L421" s="1141"/>
      <c r="M421" s="1141"/>
    </row>
    <row r="422" spans="1:13" s="109" customFormat="1" ht="15.65">
      <c r="A422" s="1513"/>
      <c r="B422" s="1513"/>
      <c r="C422" s="1513"/>
      <c r="D422" s="1513"/>
      <c r="E422" s="1513"/>
      <c r="F422" s="1513"/>
      <c r="G422" s="1513"/>
      <c r="H422" s="1513"/>
      <c r="I422" s="1513"/>
      <c r="J422" s="1141"/>
      <c r="K422" s="1141"/>
      <c r="L422" s="1141"/>
      <c r="M422" s="1141"/>
    </row>
    <row r="423" spans="1:13" s="109" customFormat="1" ht="15.65">
      <c r="A423" s="1513"/>
      <c r="B423" s="1513"/>
      <c r="C423" s="1513"/>
      <c r="D423" s="1513"/>
      <c r="E423" s="1513"/>
      <c r="F423" s="1513"/>
      <c r="G423" s="1513"/>
      <c r="H423" s="1513"/>
      <c r="I423" s="1513"/>
      <c r="J423" s="1141"/>
      <c r="K423" s="1141"/>
      <c r="L423" s="1141"/>
      <c r="M423" s="1141"/>
    </row>
    <row r="424" spans="1:13" ht="4.95" customHeight="1">
      <c r="A424" s="96"/>
      <c r="B424" s="87"/>
      <c r="C424" s="87"/>
      <c r="D424" s="87"/>
      <c r="E424" s="87"/>
      <c r="F424" s="87"/>
      <c r="G424" s="87"/>
      <c r="H424" s="87"/>
      <c r="I424" s="87"/>
      <c r="J424" s="1122"/>
      <c r="K424" s="1122"/>
      <c r="L424" s="1122"/>
      <c r="M424" s="1122"/>
    </row>
    <row r="425" spans="1:13" s="109" customFormat="1" ht="5.95" customHeight="1">
      <c r="A425" s="1471" t="s">
        <v>2796</v>
      </c>
      <c r="B425" s="1471"/>
      <c r="C425" s="1471"/>
      <c r="D425" s="1471"/>
      <c r="E425" s="1471"/>
      <c r="F425" s="1471"/>
      <c r="G425" s="1471"/>
      <c r="H425" s="1471"/>
      <c r="I425" s="1471"/>
      <c r="J425" s="1141"/>
      <c r="K425" s="1141"/>
      <c r="L425" s="1141"/>
      <c r="M425" s="1141"/>
    </row>
    <row r="426" spans="1:13" s="109" customFormat="1" ht="15.65">
      <c r="A426" s="1471"/>
      <c r="B426" s="1471"/>
      <c r="C426" s="1471"/>
      <c r="D426" s="1471"/>
      <c r="E426" s="1471"/>
      <c r="F426" s="1471"/>
      <c r="G426" s="1471"/>
      <c r="H426" s="1471"/>
      <c r="I426" s="1471"/>
      <c r="J426" s="1141"/>
      <c r="K426" s="1141"/>
      <c r="L426" s="1141"/>
      <c r="M426" s="1141"/>
    </row>
    <row r="427" spans="1:13" s="109" customFormat="1" ht="4.95" customHeight="1">
      <c r="A427" s="96"/>
      <c r="B427" s="87"/>
      <c r="C427" s="87"/>
      <c r="D427" s="87"/>
      <c r="E427" s="87"/>
      <c r="F427" s="87"/>
      <c r="G427" s="87"/>
      <c r="H427" s="87"/>
      <c r="I427" s="87"/>
      <c r="J427" s="1141"/>
      <c r="K427" s="1141"/>
      <c r="L427" s="1141"/>
      <c r="M427" s="1141"/>
    </row>
    <row r="428" spans="1:13" s="109" customFormat="1" ht="15.65">
      <c r="A428" s="1465" t="s">
        <v>2797</v>
      </c>
      <c r="B428" s="1465"/>
      <c r="C428" s="1465"/>
      <c r="D428" s="1465"/>
      <c r="E428" s="1465"/>
      <c r="F428" s="1465"/>
      <c r="G428" s="1465"/>
      <c r="H428" s="1465"/>
      <c r="I428" s="1465"/>
      <c r="J428" s="1141"/>
      <c r="K428" s="1141"/>
      <c r="L428" s="1141"/>
      <c r="M428" s="1141"/>
    </row>
    <row r="429" spans="1:13">
      <c r="A429" s="1465"/>
      <c r="B429" s="1465"/>
      <c r="C429" s="1465"/>
      <c r="D429" s="1465"/>
      <c r="E429" s="1465"/>
      <c r="F429" s="1465"/>
      <c r="G429" s="1465"/>
      <c r="H429" s="1465"/>
      <c r="I429" s="1465"/>
      <c r="J429" s="1122"/>
      <c r="K429" s="1122"/>
      <c r="L429" s="1122"/>
      <c r="M429" s="1122"/>
    </row>
    <row r="430" spans="1:13" s="109" customFormat="1" ht="4.95" customHeight="1">
      <c r="A430" s="474"/>
      <c r="B430" s="475"/>
      <c r="C430" s="475"/>
      <c r="D430" s="475"/>
      <c r="E430" s="475"/>
      <c r="F430" s="475"/>
      <c r="G430" s="475"/>
      <c r="H430" s="475"/>
      <c r="I430" s="475"/>
      <c r="J430" s="1141"/>
      <c r="K430" s="1141"/>
      <c r="L430" s="1141"/>
      <c r="M430" s="1141"/>
    </row>
    <row r="431" spans="1:13" s="109" customFormat="1" ht="15.65">
      <c r="A431" s="1493" t="s">
        <v>2342</v>
      </c>
      <c r="B431" s="1493"/>
      <c r="C431" s="1493"/>
      <c r="D431" s="1493"/>
      <c r="E431" s="1493"/>
      <c r="F431" s="1493"/>
      <c r="G431" s="1493"/>
      <c r="H431" s="1493"/>
      <c r="I431" s="1493"/>
      <c r="J431" s="1141"/>
      <c r="K431" s="1141"/>
      <c r="L431" s="1141"/>
      <c r="M431" s="1141"/>
    </row>
    <row r="432" spans="1:13" s="109" customFormat="1" ht="13.95" customHeight="1">
      <c r="A432" s="1493"/>
      <c r="B432" s="1493"/>
      <c r="C432" s="1493"/>
      <c r="D432" s="1493"/>
      <c r="E432" s="1493"/>
      <c r="F432" s="1493"/>
      <c r="G432" s="1493"/>
      <c r="H432" s="1493"/>
      <c r="I432" s="1493"/>
      <c r="J432" s="1141"/>
      <c r="K432" s="1141"/>
      <c r="L432" s="1141"/>
      <c r="M432" s="1141"/>
    </row>
    <row r="433" spans="1:13">
      <c r="A433" s="1493"/>
      <c r="B433" s="1493"/>
      <c r="C433" s="1493"/>
      <c r="D433" s="1493"/>
      <c r="E433" s="1493"/>
      <c r="F433" s="1493"/>
      <c r="G433" s="1493"/>
      <c r="H433" s="1493"/>
      <c r="I433" s="1493"/>
      <c r="J433" s="1122"/>
      <c r="K433" s="1122"/>
      <c r="L433" s="1122"/>
      <c r="M433" s="1122"/>
    </row>
    <row r="434" spans="1:13" s="109" customFormat="1" ht="4.95" customHeight="1">
      <c r="A434" s="474"/>
      <c r="B434" s="475"/>
      <c r="C434" s="475"/>
      <c r="D434" s="475"/>
      <c r="E434" s="475"/>
      <c r="F434" s="475"/>
      <c r="G434" s="475"/>
      <c r="H434" s="475"/>
      <c r="I434" s="475"/>
      <c r="J434" s="1141"/>
      <c r="K434" s="1141"/>
      <c r="L434" s="1141"/>
      <c r="M434" s="1141"/>
    </row>
    <row r="435" spans="1:13">
      <c r="A435" s="1466" t="s">
        <v>2798</v>
      </c>
      <c r="B435" s="1466"/>
      <c r="C435" s="1466"/>
      <c r="D435" s="1466"/>
      <c r="E435" s="1466"/>
      <c r="F435" s="1466"/>
      <c r="G435" s="1466"/>
      <c r="H435" s="1466"/>
      <c r="I435" s="1466"/>
      <c r="J435" s="1122"/>
      <c r="K435" s="1122"/>
      <c r="L435" s="1122"/>
      <c r="M435" s="1122"/>
    </row>
    <row r="436" spans="1:13">
      <c r="A436" s="1466"/>
      <c r="B436" s="1466"/>
      <c r="C436" s="1466"/>
      <c r="D436" s="1466"/>
      <c r="E436" s="1466"/>
      <c r="F436" s="1466"/>
      <c r="G436" s="1466"/>
      <c r="H436" s="1466"/>
      <c r="I436" s="1466"/>
      <c r="J436" s="1122"/>
      <c r="K436" s="1122"/>
      <c r="L436" s="1122"/>
      <c r="M436" s="1122"/>
    </row>
    <row r="437" spans="1:13">
      <c r="A437" s="1466"/>
      <c r="B437" s="1466"/>
      <c r="C437" s="1466"/>
      <c r="D437" s="1466"/>
      <c r="E437" s="1466"/>
      <c r="F437" s="1466"/>
      <c r="G437" s="1466"/>
      <c r="H437" s="1466"/>
      <c r="I437" s="1466"/>
      <c r="J437" s="1122"/>
      <c r="K437" s="1122"/>
      <c r="L437" s="1122"/>
      <c r="M437" s="1122"/>
    </row>
    <row r="438" spans="1:13" s="62" customFormat="1">
      <c r="A438" s="1466"/>
      <c r="B438" s="1466"/>
      <c r="C438" s="1466"/>
      <c r="D438" s="1466"/>
      <c r="E438" s="1466"/>
      <c r="F438" s="1466"/>
      <c r="G438" s="1466"/>
      <c r="H438" s="1466"/>
      <c r="I438" s="1466"/>
      <c r="J438" s="1144"/>
      <c r="K438" s="1144"/>
      <c r="L438" s="1144"/>
      <c r="M438" s="1144"/>
    </row>
    <row r="439" spans="1:13" ht="5.95" customHeight="1">
      <c r="A439" s="464"/>
      <c r="B439" s="464"/>
      <c r="C439" s="464"/>
      <c r="D439" s="464"/>
      <c r="E439" s="464"/>
      <c r="F439" s="464"/>
      <c r="G439" s="464"/>
      <c r="H439" s="464"/>
      <c r="I439" s="464"/>
      <c r="J439" s="1122"/>
      <c r="K439" s="1122"/>
      <c r="L439" s="1122"/>
      <c r="M439" s="1122"/>
    </row>
    <row r="440" spans="1:13" ht="14.95">
      <c r="A440" s="1461" t="s">
        <v>2806</v>
      </c>
      <c r="B440" s="1461"/>
      <c r="C440" s="1461"/>
      <c r="D440" s="1461"/>
      <c r="E440" s="1461"/>
      <c r="F440" s="1461"/>
      <c r="G440" s="1461"/>
      <c r="H440" s="1461"/>
      <c r="I440" s="1461"/>
      <c r="J440" s="1122"/>
      <c r="K440" s="1122"/>
      <c r="L440" s="1122"/>
      <c r="M440" s="1122"/>
    </row>
    <row r="441" spans="1:13" ht="5.95" customHeight="1">
      <c r="A441" s="476"/>
      <c r="B441" s="476"/>
      <c r="C441" s="476"/>
      <c r="D441" s="476"/>
      <c r="E441" s="476"/>
      <c r="F441" s="476"/>
      <c r="G441" s="476"/>
      <c r="H441" s="476"/>
      <c r="I441" s="476"/>
      <c r="J441" s="1122"/>
      <c r="K441" s="1122"/>
      <c r="L441" s="1122"/>
      <c r="M441" s="1122"/>
    </row>
    <row r="442" spans="1:13" ht="14.95">
      <c r="A442" s="1462" t="s">
        <v>2799</v>
      </c>
      <c r="B442" s="1462"/>
      <c r="C442" s="1462"/>
      <c r="D442" s="1462"/>
      <c r="E442" s="1462"/>
      <c r="F442" s="1462"/>
      <c r="G442" s="1462"/>
      <c r="H442" s="1462"/>
      <c r="I442" s="1462"/>
      <c r="J442" s="1122"/>
      <c r="K442" s="1122"/>
      <c r="L442" s="1122"/>
      <c r="M442" s="1122"/>
    </row>
    <row r="443" spans="1:13" ht="4.95" customHeight="1">
      <c r="A443" s="477"/>
      <c r="B443" s="459"/>
      <c r="C443" s="459"/>
      <c r="D443" s="459"/>
      <c r="E443" s="478"/>
      <c r="F443" s="478"/>
      <c r="G443" s="478"/>
      <c r="H443" s="478"/>
      <c r="I443" s="459"/>
      <c r="J443" s="1122"/>
      <c r="K443" s="1122"/>
      <c r="L443" s="1122"/>
      <c r="M443" s="1122"/>
    </row>
    <row r="444" spans="1:13">
      <c r="A444" s="1467" t="s">
        <v>2807</v>
      </c>
      <c r="B444" s="1467"/>
      <c r="C444" s="1467"/>
      <c r="D444" s="1467"/>
      <c r="E444" s="1467"/>
      <c r="F444" s="1467"/>
      <c r="G444" s="1467"/>
      <c r="H444" s="1467"/>
      <c r="I444" s="1467"/>
      <c r="J444" s="1122"/>
      <c r="K444" s="1122"/>
      <c r="L444" s="1122"/>
      <c r="M444" s="1122"/>
    </row>
    <row r="445" spans="1:13">
      <c r="A445" s="1467"/>
      <c r="B445" s="1467"/>
      <c r="C445" s="1467"/>
      <c r="D445" s="1467"/>
      <c r="E445" s="1467"/>
      <c r="F445" s="1467"/>
      <c r="G445" s="1467"/>
      <c r="H445" s="1467"/>
      <c r="I445" s="1467"/>
      <c r="J445" s="1122"/>
      <c r="K445" s="1122"/>
      <c r="L445" s="1122"/>
      <c r="M445" s="1122"/>
    </row>
    <row r="446" spans="1:13">
      <c r="A446" s="1467"/>
      <c r="B446" s="1467"/>
      <c r="C446" s="1467"/>
      <c r="D446" s="1467"/>
      <c r="E446" s="1467"/>
      <c r="F446" s="1467"/>
      <c r="G446" s="1467"/>
      <c r="H446" s="1467"/>
      <c r="I446" s="1467"/>
      <c r="J446" s="1122"/>
      <c r="K446" s="1122"/>
      <c r="L446" s="1122"/>
      <c r="M446" s="1122"/>
    </row>
    <row r="447" spans="1:13" ht="5.95" customHeight="1">
      <c r="A447" s="127"/>
      <c r="B447" s="127"/>
      <c r="C447" s="127"/>
      <c r="D447" s="127"/>
      <c r="E447" s="127"/>
      <c r="F447" s="127"/>
      <c r="G447" s="127"/>
      <c r="H447" s="127"/>
      <c r="I447" s="127"/>
      <c r="J447" s="1122"/>
      <c r="K447" s="1122"/>
      <c r="L447" s="1122"/>
      <c r="M447" s="1122"/>
    </row>
    <row r="448" spans="1:13" ht="15.65">
      <c r="A448" s="132" t="s">
        <v>461</v>
      </c>
      <c r="B448" s="112"/>
      <c r="C448" s="112"/>
      <c r="D448" s="112"/>
      <c r="E448" s="112"/>
      <c r="F448" s="112"/>
      <c r="G448" s="112"/>
      <c r="H448" s="112"/>
      <c r="I448" s="112"/>
      <c r="J448" s="1122"/>
      <c r="K448" s="1122"/>
      <c r="L448" s="1122"/>
      <c r="M448" s="1122"/>
    </row>
    <row r="449" spans="1:13">
      <c r="A449" s="1463" t="str">
        <f>IF(Kémia!$B$476&amp;Csomagok!$A$1077&amp;Clinomics!$A$55="nincs vizsgálat kiválasztva","",Kémia!$B$476&amp;" [ "&amp;Csomagok!$A$1077&amp;"]"&amp;Clinomics!$A$55)</f>
        <v xml:space="preserve"> [ ]-</v>
      </c>
      <c r="B449" s="1463"/>
      <c r="C449" s="1463"/>
      <c r="D449" s="1463"/>
      <c r="E449" s="1463"/>
      <c r="F449" s="1463"/>
      <c r="G449" s="1463"/>
      <c r="H449" s="1463"/>
      <c r="I449" s="1463"/>
      <c r="J449" s="1122"/>
      <c r="K449" s="1122"/>
      <c r="L449" s="1122"/>
      <c r="M449" s="1122"/>
    </row>
    <row r="450" spans="1:13">
      <c r="A450" s="1463"/>
      <c r="B450" s="1463"/>
      <c r="C450" s="1463"/>
      <c r="D450" s="1463"/>
      <c r="E450" s="1463"/>
      <c r="F450" s="1463"/>
      <c r="G450" s="1463"/>
      <c r="H450" s="1463"/>
      <c r="I450" s="1463"/>
      <c r="J450" s="1122"/>
      <c r="K450" s="1122"/>
      <c r="L450" s="1122"/>
      <c r="M450" s="1122"/>
    </row>
    <row r="451" spans="1:13">
      <c r="A451" s="1463"/>
      <c r="B451" s="1463"/>
      <c r="C451" s="1463"/>
      <c r="D451" s="1463"/>
      <c r="E451" s="1463"/>
      <c r="F451" s="1463"/>
      <c r="G451" s="1463"/>
      <c r="H451" s="1463"/>
      <c r="I451" s="1463"/>
      <c r="J451" s="1122"/>
      <c r="K451" s="1122"/>
      <c r="L451" s="1122"/>
      <c r="M451" s="1122"/>
    </row>
    <row r="452" spans="1:13">
      <c r="A452" s="1463"/>
      <c r="B452" s="1463"/>
      <c r="C452" s="1463"/>
      <c r="D452" s="1463"/>
      <c r="E452" s="1463"/>
      <c r="F452" s="1463"/>
      <c r="G452" s="1463"/>
      <c r="H452" s="1463"/>
      <c r="I452" s="1463"/>
      <c r="J452" s="1122"/>
      <c r="K452" s="1122"/>
      <c r="L452" s="1122"/>
      <c r="M452" s="1122"/>
    </row>
    <row r="453" spans="1:13">
      <c r="A453" s="1463"/>
      <c r="B453" s="1463"/>
      <c r="C453" s="1463"/>
      <c r="D453" s="1463"/>
      <c r="E453" s="1463"/>
      <c r="F453" s="1463"/>
      <c r="G453" s="1463"/>
      <c r="H453" s="1463"/>
      <c r="I453" s="1463"/>
      <c r="J453" s="1122"/>
      <c r="K453" s="1122"/>
      <c r="L453" s="1122"/>
      <c r="M453" s="1122"/>
    </row>
    <row r="454" spans="1:13">
      <c r="A454" s="1463"/>
      <c r="B454" s="1463"/>
      <c r="C454" s="1463"/>
      <c r="D454" s="1463"/>
      <c r="E454" s="1463"/>
      <c r="F454" s="1463"/>
      <c r="G454" s="1463"/>
      <c r="H454" s="1463"/>
      <c r="I454" s="1463"/>
      <c r="J454" s="1122"/>
      <c r="K454" s="1122"/>
      <c r="L454" s="1122"/>
      <c r="M454" s="1122"/>
    </row>
    <row r="455" spans="1:13">
      <c r="A455" s="1463"/>
      <c r="B455" s="1463"/>
      <c r="C455" s="1463"/>
      <c r="D455" s="1463"/>
      <c r="E455" s="1463"/>
      <c r="F455" s="1463"/>
      <c r="G455" s="1463"/>
      <c r="H455" s="1463"/>
      <c r="I455" s="1463"/>
      <c r="J455" s="1122"/>
      <c r="K455" s="1122"/>
      <c r="L455" s="1122"/>
      <c r="M455" s="1122"/>
    </row>
    <row r="456" spans="1:13">
      <c r="A456" s="1463"/>
      <c r="B456" s="1463"/>
      <c r="C456" s="1463"/>
      <c r="D456" s="1463"/>
      <c r="E456" s="1463"/>
      <c r="F456" s="1463"/>
      <c r="G456" s="1463"/>
      <c r="H456" s="1463"/>
      <c r="I456" s="1463"/>
      <c r="J456" s="1122"/>
      <c r="K456" s="1122"/>
      <c r="L456" s="1122"/>
      <c r="M456" s="1122"/>
    </row>
    <row r="457" spans="1:13">
      <c r="A457" s="1463"/>
      <c r="B457" s="1463"/>
      <c r="C457" s="1463"/>
      <c r="D457" s="1463"/>
      <c r="E457" s="1463"/>
      <c r="F457" s="1463"/>
      <c r="G457" s="1463"/>
      <c r="H457" s="1463"/>
      <c r="I457" s="1463"/>
      <c r="J457" s="1122"/>
      <c r="K457" s="1122"/>
      <c r="L457" s="1122"/>
      <c r="M457" s="1122"/>
    </row>
    <row r="458" spans="1:13">
      <c r="A458" s="1463"/>
      <c r="B458" s="1463"/>
      <c r="C458" s="1463"/>
      <c r="D458" s="1463"/>
      <c r="E458" s="1463"/>
      <c r="F458" s="1463"/>
      <c r="G458" s="1463"/>
      <c r="H458" s="1463"/>
      <c r="I458" s="1463"/>
      <c r="J458" s="1122"/>
      <c r="K458" s="1122"/>
      <c r="L458" s="1122"/>
      <c r="M458" s="1122"/>
    </row>
    <row r="459" spans="1:13">
      <c r="A459" s="1463"/>
      <c r="B459" s="1463"/>
      <c r="C459" s="1463"/>
      <c r="D459" s="1463"/>
      <c r="E459" s="1463"/>
      <c r="F459" s="1463"/>
      <c r="G459" s="1463"/>
      <c r="H459" s="1463"/>
      <c r="I459" s="1463"/>
      <c r="J459" s="1122"/>
      <c r="K459" s="1122"/>
      <c r="L459" s="1122"/>
      <c r="M459" s="1122"/>
    </row>
    <row r="460" spans="1:13">
      <c r="A460" s="1463"/>
      <c r="B460" s="1463"/>
      <c r="C460" s="1463"/>
      <c r="D460" s="1463"/>
      <c r="E460" s="1463"/>
      <c r="F460" s="1463"/>
      <c r="G460" s="1463"/>
      <c r="H460" s="1463"/>
      <c r="I460" s="1463"/>
      <c r="J460" s="1122"/>
      <c r="K460" s="1122"/>
      <c r="L460" s="1122"/>
      <c r="M460" s="1122"/>
    </row>
    <row r="461" spans="1:13">
      <c r="A461" s="1463"/>
      <c r="B461" s="1463"/>
      <c r="C461" s="1463"/>
      <c r="D461" s="1463"/>
      <c r="E461" s="1463"/>
      <c r="F461" s="1463"/>
      <c r="G461" s="1463"/>
      <c r="H461" s="1463"/>
      <c r="I461" s="1463"/>
      <c r="J461" s="1122"/>
      <c r="K461" s="1122"/>
      <c r="L461" s="1122"/>
      <c r="M461" s="1122"/>
    </row>
    <row r="462" spans="1:13">
      <c r="A462" s="1463"/>
      <c r="B462" s="1463"/>
      <c r="C462" s="1463"/>
      <c r="D462" s="1463"/>
      <c r="E462" s="1463"/>
      <c r="F462" s="1463"/>
      <c r="G462" s="1463"/>
      <c r="H462" s="1463"/>
      <c r="I462" s="1463"/>
      <c r="J462" s="1122"/>
      <c r="K462" s="1122"/>
      <c r="L462" s="1122"/>
      <c r="M462" s="1122"/>
    </row>
    <row r="463" spans="1:13" s="1063" customFormat="1" ht="19.2" customHeight="1">
      <c r="A463" s="1164" t="s">
        <v>451</v>
      </c>
      <c r="B463" s="1464">
        <f ca="1">F34</f>
        <v>3500</v>
      </c>
      <c r="C463" s="1464"/>
      <c r="D463" s="1165"/>
      <c r="E463" s="1166"/>
      <c r="F463" s="1508"/>
      <c r="G463" s="1508"/>
      <c r="H463" s="1508"/>
      <c r="I463" s="1165"/>
      <c r="J463" s="1167"/>
      <c r="K463" s="1167"/>
      <c r="L463" s="1167"/>
      <c r="M463" s="1167"/>
    </row>
    <row r="464" spans="1:13" ht="19.2" customHeight="1">
      <c r="A464" s="367"/>
      <c r="B464" s="576"/>
      <c r="C464" s="576"/>
      <c r="D464" s="368"/>
      <c r="E464" s="138"/>
      <c r="F464" s="138"/>
      <c r="G464" s="138"/>
      <c r="H464" s="138"/>
      <c r="I464" s="118"/>
      <c r="J464" s="1122"/>
      <c r="K464" s="1122"/>
      <c r="L464" s="1122"/>
      <c r="M464" s="1122"/>
    </row>
    <row r="465" spans="1:13" ht="16.3">
      <c r="A465" s="133" t="s">
        <v>1220</v>
      </c>
      <c r="B465" s="111">
        <f>Törvényes_képviselő_neve</f>
        <v>0</v>
      </c>
      <c r="C465" s="136"/>
      <c r="D465" s="118"/>
      <c r="E465" s="118"/>
      <c r="F465" s="118"/>
      <c r="G465" s="118"/>
      <c r="H465" s="118"/>
      <c r="I465" s="118"/>
      <c r="J465" s="1122"/>
      <c r="K465" s="1122"/>
      <c r="L465" s="1122"/>
      <c r="M465" s="1122"/>
    </row>
    <row r="466" spans="1:13" ht="27.7" customHeight="1">
      <c r="A466" s="133"/>
      <c r="B466" s="136"/>
      <c r="C466" s="126"/>
      <c r="D466" s="118"/>
      <c r="E466" s="118"/>
      <c r="F466" s="118"/>
      <c r="G466" s="118"/>
      <c r="H466" s="118"/>
      <c r="I466" s="118"/>
      <c r="J466" s="1122"/>
      <c r="K466" s="1122"/>
      <c r="L466" s="1122"/>
      <c r="M466" s="1122"/>
    </row>
    <row r="467" spans="1:13" ht="15.65">
      <c r="A467" s="137" t="s">
        <v>1221</v>
      </c>
      <c r="B467" s="126"/>
      <c r="C467" s="126"/>
      <c r="D467" s="118"/>
      <c r="E467" s="118"/>
      <c r="F467" s="118"/>
      <c r="G467" s="118"/>
      <c r="H467" s="118"/>
      <c r="I467" s="118"/>
      <c r="J467" s="1122"/>
      <c r="K467" s="1122"/>
      <c r="L467" s="1122"/>
      <c r="M467" s="1122"/>
    </row>
    <row r="468" spans="1:13" ht="18.350000000000001">
      <c r="A468" s="123" t="s">
        <v>530</v>
      </c>
      <c r="B468" s="124">
        <f ca="1">TODAY()</f>
        <v>45968</v>
      </c>
      <c r="C468" s="70"/>
      <c r="D468" s="1515" t="s">
        <v>540</v>
      </c>
      <c r="E468" s="1515"/>
      <c r="F468" s="1515"/>
      <c r="G468" s="350"/>
      <c r="H468" s="350"/>
      <c r="I468" s="70"/>
      <c r="J468" s="1122"/>
      <c r="K468" s="1122"/>
      <c r="L468" s="1122"/>
      <c r="M468" s="1122"/>
    </row>
    <row r="469" spans="1:13" ht="18.350000000000001">
      <c r="A469" s="123"/>
      <c r="B469" s="70"/>
      <c r="C469" s="70"/>
      <c r="D469" s="1515"/>
      <c r="E469" s="1515"/>
      <c r="F469" s="1515"/>
      <c r="G469" s="350"/>
      <c r="H469" s="350"/>
      <c r="I469" s="70"/>
      <c r="J469" s="1122"/>
      <c r="K469" s="1122"/>
      <c r="L469" s="1122"/>
      <c r="M469" s="1122"/>
    </row>
    <row r="470" spans="1:13" ht="17.7">
      <c r="A470" s="97"/>
      <c r="B470" s="70"/>
      <c r="C470" s="70"/>
      <c r="D470" s="1505" t="s">
        <v>541</v>
      </c>
      <c r="E470" s="1505"/>
      <c r="F470" s="1505"/>
      <c r="G470" s="349"/>
      <c r="H470" s="349"/>
      <c r="I470" s="70"/>
      <c r="J470" s="1122"/>
      <c r="K470" s="1122"/>
      <c r="L470" s="1122"/>
      <c r="M470" s="1122"/>
    </row>
    <row r="471" spans="1:13" ht="19.2" customHeight="1">
      <c r="A471" s="97"/>
      <c r="B471" s="70"/>
      <c r="C471" s="70"/>
      <c r="D471" s="349"/>
      <c r="E471" s="349"/>
      <c r="F471" s="349"/>
      <c r="G471" s="349"/>
      <c r="H471" s="349"/>
      <c r="I471" s="70"/>
      <c r="J471" s="1122"/>
      <c r="K471" s="1122"/>
      <c r="L471" s="1122"/>
      <c r="M471" s="1122"/>
    </row>
    <row r="472" spans="1:13" ht="19.2" customHeight="1">
      <c r="A472" s="93"/>
      <c r="B472" s="70"/>
      <c r="C472" s="70"/>
      <c r="D472" s="70"/>
      <c r="E472" s="70"/>
      <c r="F472" s="70"/>
      <c r="G472" s="70"/>
      <c r="H472" s="70"/>
      <c r="I472" s="70"/>
      <c r="J472" s="1122"/>
      <c r="K472" s="1122"/>
      <c r="L472" s="1122"/>
      <c r="M472" s="1122"/>
    </row>
    <row r="473" spans="1:13" ht="19.2" customHeight="1">
      <c r="J473" s="1122"/>
      <c r="K473" s="1122"/>
      <c r="L473" s="1122"/>
      <c r="M473" s="1122"/>
    </row>
    <row r="474" spans="1:13" ht="19.2" customHeight="1">
      <c r="J474" s="1122"/>
      <c r="K474" s="1122"/>
      <c r="L474" s="1122"/>
      <c r="M474" s="1122"/>
    </row>
    <row r="475" spans="1:13" ht="19.2" customHeight="1">
      <c r="A475" s="1525" t="s">
        <v>2410</v>
      </c>
      <c r="B475" s="1525"/>
      <c r="C475" s="1525"/>
      <c r="D475" s="1525"/>
      <c r="E475" s="1525"/>
      <c r="F475" s="1525"/>
      <c r="G475" s="1525"/>
      <c r="H475" s="1525"/>
      <c r="I475" s="1525"/>
      <c r="J475" s="1122"/>
      <c r="K475" s="1122"/>
      <c r="L475" s="1122"/>
      <c r="M475" s="1122"/>
    </row>
    <row r="476" spans="1:13" ht="19.2" customHeight="1">
      <c r="A476" s="1525"/>
      <c r="B476" s="1525"/>
      <c r="C476" s="1525"/>
      <c r="D476" s="1525"/>
      <c r="E476" s="1525"/>
      <c r="F476" s="1525"/>
      <c r="G476" s="1525"/>
      <c r="H476" s="1525"/>
      <c r="I476" s="1525"/>
      <c r="J476" s="1122"/>
      <c r="K476" s="1122"/>
      <c r="L476" s="1122"/>
      <c r="M476" s="1122"/>
    </row>
    <row r="477" spans="1:13" ht="19.2" customHeight="1">
      <c r="A477" s="351"/>
      <c r="B477" s="351"/>
      <c r="C477" s="351"/>
      <c r="D477" s="351"/>
      <c r="E477" s="499" t="s">
        <v>2812</v>
      </c>
      <c r="F477" s="500" t="str">
        <f>H6</f>
        <v>NORMÁL</v>
      </c>
      <c r="G477" s="499"/>
      <c r="H477" s="499"/>
      <c r="I477" s="351"/>
      <c r="J477" s="1122"/>
      <c r="K477" s="1122"/>
      <c r="L477" s="1145"/>
      <c r="M477" s="1122"/>
    </row>
    <row r="478" spans="1:13" ht="19.2" customHeight="1" thickBot="1">
      <c r="A478" s="351"/>
      <c r="B478" s="351"/>
      <c r="C478" s="351"/>
      <c r="D478" s="351"/>
      <c r="E478" s="1169" t="str">
        <f>IF(X7=TRUE,"ANGOL NYELVŰ LABORLELET","")</f>
        <v/>
      </c>
      <c r="F478" s="500"/>
      <c r="G478" s="499"/>
      <c r="H478" s="499"/>
      <c r="I478" s="351"/>
      <c r="J478" s="1122"/>
      <c r="K478" s="1122"/>
      <c r="L478" s="1145"/>
      <c r="M478" s="1122"/>
    </row>
    <row r="479" spans="1:13" ht="23.1">
      <c r="A479" s="441" t="s">
        <v>1160</v>
      </c>
      <c r="B479" s="1430">
        <f>$B$12</f>
        <v>0</v>
      </c>
      <c r="C479" s="1430"/>
      <c r="D479" s="1430"/>
      <c r="E479" s="1430"/>
      <c r="F479" s="1162" t="str">
        <f>IF(H7,"ANGOL NYELVŰ LELET  "," ")</f>
        <v xml:space="preserve"> </v>
      </c>
      <c r="G479" s="1161"/>
      <c r="H479" s="1161"/>
      <c r="I479" s="442"/>
      <c r="J479" s="1122"/>
      <c r="K479" s="1122"/>
      <c r="L479" s="1122"/>
      <c r="M479" s="1122"/>
    </row>
    <row r="480" spans="1:13" ht="19.2" customHeight="1">
      <c r="A480" s="443" t="s">
        <v>1156</v>
      </c>
      <c r="B480" s="1526">
        <f>$F$13</f>
        <v>0</v>
      </c>
      <c r="C480" s="1526"/>
      <c r="D480" s="1526"/>
      <c r="E480" s="362"/>
      <c r="F480" s="362"/>
      <c r="G480" s="362"/>
      <c r="H480" s="362"/>
      <c r="I480" s="444"/>
      <c r="J480" s="1122"/>
      <c r="K480" s="1122"/>
      <c r="L480" s="1122"/>
      <c r="M480" s="1122"/>
    </row>
    <row r="481" spans="1:13" ht="19.2" customHeight="1">
      <c r="A481" s="443" t="s">
        <v>1158</v>
      </c>
      <c r="B481" s="445" t="str">
        <f>$B$17</f>
        <v>TAJ</v>
      </c>
      <c r="C481" s="446"/>
      <c r="D481" s="1429">
        <f>IF($F$17&lt;&gt;TAJ,$F$17,TAJ)</f>
        <v>0</v>
      </c>
      <c r="E481" s="1429"/>
      <c r="F481" s="446"/>
      <c r="G481" s="362"/>
      <c r="H481" s="362"/>
      <c r="I481" s="444"/>
      <c r="J481" s="1122"/>
      <c r="K481" s="1122"/>
      <c r="L481" s="1122"/>
      <c r="M481" s="1122"/>
    </row>
    <row r="482" spans="1:13" ht="19.2" customHeight="1">
      <c r="A482" s="443" t="s">
        <v>2774</v>
      </c>
      <c r="B482" s="447">
        <f>$B$15</f>
        <v>0</v>
      </c>
      <c r="C482" s="445"/>
      <c r="D482" s="91" t="s">
        <v>455</v>
      </c>
      <c r="E482" s="448" t="str">
        <f>Nem</f>
        <v>Férfi</v>
      </c>
      <c r="F482" s="362"/>
      <c r="G482" s="362"/>
      <c r="H482" s="362"/>
      <c r="I482" s="444"/>
      <c r="J482" s="1122"/>
      <c r="K482" s="1122"/>
      <c r="L482" s="1122"/>
      <c r="M482" s="1122"/>
    </row>
    <row r="483" spans="1:13" ht="19.2" customHeight="1">
      <c r="A483" s="443" t="s">
        <v>1157</v>
      </c>
      <c r="B483" s="447" t="str">
        <f>F16</f>
        <v>Nincs találat</v>
      </c>
      <c r="C483" s="447"/>
      <c r="D483" s="447">
        <f>B16</f>
        <v>0</v>
      </c>
      <c r="E483" s="91"/>
      <c r="F483" s="448"/>
      <c r="G483" s="362"/>
      <c r="H483" s="362"/>
      <c r="I483" s="444"/>
      <c r="J483" s="1122"/>
      <c r="K483" s="1122"/>
      <c r="L483" s="1122"/>
      <c r="M483" s="1122"/>
    </row>
    <row r="484" spans="1:13" ht="19.2" customHeight="1">
      <c r="A484" s="443" t="s">
        <v>1154</v>
      </c>
      <c r="B484" s="449">
        <f>F14</f>
        <v>0</v>
      </c>
      <c r="C484" s="362"/>
      <c r="D484" s="447"/>
      <c r="E484" s="450"/>
      <c r="F484" s="450"/>
      <c r="G484" s="362"/>
      <c r="H484" s="362"/>
      <c r="I484" s="444"/>
      <c r="J484" s="1122"/>
      <c r="K484" s="1122"/>
      <c r="L484" s="1122"/>
      <c r="M484" s="1122"/>
    </row>
    <row r="485" spans="1:13" ht="14.95" customHeight="1">
      <c r="A485" s="443"/>
      <c r="B485" s="449"/>
      <c r="C485" s="362"/>
      <c r="D485" s="447"/>
      <c r="E485" s="450"/>
      <c r="F485" s="450"/>
      <c r="G485" s="362"/>
      <c r="H485" s="362"/>
      <c r="I485" s="444"/>
      <c r="J485" s="1122"/>
      <c r="K485" s="1122"/>
      <c r="L485" s="1122"/>
      <c r="M485" s="1122"/>
    </row>
    <row r="486" spans="1:13" ht="23.1">
      <c r="A486" s="443" t="s">
        <v>1155</v>
      </c>
      <c r="B486" s="1163">
        <f>Email</f>
        <v>0</v>
      </c>
      <c r="C486" s="1163"/>
      <c r="D486" s="1163"/>
      <c r="E486" s="450"/>
      <c r="F486" s="450"/>
      <c r="G486" s="362"/>
      <c r="H486" s="362"/>
      <c r="I486" s="444"/>
      <c r="J486" s="1122"/>
      <c r="K486" s="1122"/>
      <c r="L486" s="1122"/>
      <c r="M486" s="1122"/>
    </row>
    <row r="487" spans="1:13" ht="14.3" customHeight="1">
      <c r="A487" s="443"/>
      <c r="B487" s="1163"/>
      <c r="C487" s="1163"/>
      <c r="D487" s="1163"/>
      <c r="E487" s="450"/>
      <c r="F487" s="450"/>
      <c r="G487" s="362"/>
      <c r="H487" s="362"/>
      <c r="I487" s="444"/>
      <c r="J487" s="1122"/>
      <c r="K487" s="1122"/>
      <c r="L487" s="1122"/>
      <c r="M487" s="1122"/>
    </row>
    <row r="488" spans="1:13" ht="19.2" customHeight="1">
      <c r="A488" s="443" t="s">
        <v>1219</v>
      </c>
      <c r="B488" s="451" t="str">
        <f>CONCATENATE(A7, "  ","      1132 Budapest, Visegrádi u. 40.")</f>
        <v>Visegrádi40 Magánrendelő        1132 Budapest, Visegrádi u. 40.</v>
      </c>
      <c r="C488" s="451"/>
      <c r="D488" s="451"/>
      <c r="E488" s="377"/>
      <c r="F488" s="452">
        <f ca="1">NOW()</f>
        <v>45968.338701967594</v>
      </c>
      <c r="G488" s="362"/>
      <c r="H488" s="362"/>
      <c r="I488" s="444"/>
      <c r="J488" s="1122"/>
      <c r="K488" s="1122"/>
      <c r="L488" s="1122"/>
      <c r="M488" s="1122"/>
    </row>
    <row r="489" spans="1:13" ht="19.2" customHeight="1">
      <c r="A489" s="453"/>
      <c r="B489" s="451"/>
      <c r="C489" s="451"/>
      <c r="D489" s="451"/>
      <c r="E489" s="377"/>
      <c r="F489" s="452"/>
      <c r="G489" s="362"/>
      <c r="H489" s="362"/>
      <c r="I489" s="444"/>
      <c r="J489" s="1122"/>
      <c r="K489" s="1122"/>
      <c r="L489" s="1122"/>
      <c r="M489" s="1122"/>
    </row>
    <row r="490" spans="1:13" ht="19.2" customHeight="1">
      <c r="A490" s="373" t="s">
        <v>2721</v>
      </c>
      <c r="B490" s="378" t="s">
        <v>2722</v>
      </c>
      <c r="C490" s="507" t="str">
        <f t="shared" ref="C490:C495" si="0">IF(Y19=TRUE(), "✔", "")</f>
        <v>✔</v>
      </c>
      <c r="D490" s="374"/>
      <c r="E490" s="374" t="s">
        <v>2724</v>
      </c>
      <c r="F490" s="375" t="str">
        <f>IF(X19=TRUE(), "IGEN", "NEM")</f>
        <v>NEM</v>
      </c>
      <c r="G490" s="507" t="str">
        <f>IF(G19=TRUE(), "✔", "")</f>
        <v/>
      </c>
      <c r="H490" s="375"/>
      <c r="I490" s="508" t="str">
        <f>IF(I19=TRUE(), "✔", "")</f>
        <v/>
      </c>
      <c r="J490" s="1122"/>
      <c r="K490" s="1122"/>
      <c r="L490" s="1122"/>
      <c r="M490" s="1122"/>
    </row>
    <row r="491" spans="1:13" ht="19.2" customHeight="1">
      <c r="A491" s="373"/>
      <c r="B491" s="378" t="s">
        <v>2454</v>
      </c>
      <c r="C491" s="507" t="str">
        <f t="shared" si="0"/>
        <v/>
      </c>
      <c r="D491" s="374"/>
      <c r="E491" s="374"/>
      <c r="F491" s="374"/>
      <c r="G491" s="374"/>
      <c r="H491" s="374"/>
      <c r="I491" s="365"/>
      <c r="J491" s="1122"/>
      <c r="K491" s="1122"/>
      <c r="L491" s="1122"/>
      <c r="M491" s="1122"/>
    </row>
    <row r="492" spans="1:13" ht="19.2" customHeight="1">
      <c r="A492" s="373"/>
      <c r="B492" s="378" t="s">
        <v>2771</v>
      </c>
      <c r="C492" s="507" t="str">
        <f t="shared" si="0"/>
        <v/>
      </c>
      <c r="D492" s="374"/>
      <c r="E492" s="374" t="s">
        <v>2726</v>
      </c>
      <c r="F492" s="374"/>
      <c r="G492" s="374"/>
      <c r="H492" s="374"/>
      <c r="I492" s="365"/>
      <c r="J492" s="1122"/>
      <c r="K492" s="1122"/>
      <c r="L492" s="1122"/>
      <c r="M492" s="1122"/>
    </row>
    <row r="493" spans="1:13" ht="19.2" customHeight="1" thickBot="1">
      <c r="A493" s="373"/>
      <c r="B493" s="378" t="s">
        <v>2723</v>
      </c>
      <c r="C493" s="507" t="str">
        <f t="shared" si="0"/>
        <v/>
      </c>
      <c r="D493" s="374"/>
      <c r="E493" s="374"/>
      <c r="F493" s="374"/>
      <c r="G493" s="374"/>
      <c r="H493" s="374"/>
      <c r="I493" s="365"/>
      <c r="J493" s="1122"/>
      <c r="K493" s="1122"/>
      <c r="L493" s="1122"/>
      <c r="M493" s="1122"/>
    </row>
    <row r="494" spans="1:13" ht="19.2" customHeight="1">
      <c r="A494" s="373"/>
      <c r="B494" s="378" t="s">
        <v>2486</v>
      </c>
      <c r="C494" s="507" t="str">
        <f t="shared" si="0"/>
        <v/>
      </c>
      <c r="D494" s="374"/>
      <c r="E494" s="1432">
        <f>E23</f>
        <v>0</v>
      </c>
      <c r="F494" s="1433"/>
      <c r="G494" s="1433"/>
      <c r="H494" s="1434"/>
      <c r="I494" s="371"/>
      <c r="J494" s="1122"/>
      <c r="K494" s="1122"/>
      <c r="L494" s="1122"/>
      <c r="M494" s="1122"/>
    </row>
    <row r="495" spans="1:13" ht="19.2" customHeight="1">
      <c r="A495" s="373"/>
      <c r="B495" s="378" t="s">
        <v>586</v>
      </c>
      <c r="C495" s="507" t="str">
        <f t="shared" si="0"/>
        <v/>
      </c>
      <c r="D495" s="374"/>
      <c r="E495" s="1435"/>
      <c r="F495" s="1436"/>
      <c r="G495" s="1436"/>
      <c r="H495" s="1437"/>
      <c r="I495" s="371"/>
      <c r="J495" s="1122"/>
      <c r="K495" s="1122"/>
      <c r="L495" s="1122"/>
      <c r="M495" s="1122"/>
    </row>
    <row r="496" spans="1:13" ht="19.2" customHeight="1">
      <c r="A496" s="373"/>
      <c r="B496" s="374"/>
      <c r="C496" s="374"/>
      <c r="D496" s="374"/>
      <c r="E496" s="1435"/>
      <c r="F496" s="1436"/>
      <c r="G496" s="1436"/>
      <c r="H496" s="1437"/>
      <c r="I496" s="371"/>
      <c r="J496" s="1122"/>
      <c r="K496" s="1122"/>
      <c r="L496" s="1122"/>
      <c r="M496" s="1122"/>
    </row>
    <row r="497" spans="1:13" ht="19.2" customHeight="1" thickBot="1">
      <c r="A497" s="373"/>
      <c r="B497" s="377"/>
      <c r="C497" s="374"/>
      <c r="D497" s="374"/>
      <c r="E497" s="1438"/>
      <c r="F497" s="1439"/>
      <c r="G497" s="1439"/>
      <c r="H497" s="1440"/>
      <c r="I497" s="365"/>
      <c r="J497" s="1122"/>
      <c r="K497" s="1122"/>
      <c r="L497" s="1122"/>
      <c r="M497" s="1122"/>
    </row>
    <row r="498" spans="1:13" ht="19.2" customHeight="1" thickBot="1">
      <c r="A498" s="509"/>
      <c r="B498" s="436"/>
      <c r="C498" s="436"/>
      <c r="D498" s="436"/>
      <c r="E498" s="436"/>
      <c r="F498" s="436"/>
      <c r="G498" s="436"/>
      <c r="H498" s="436"/>
      <c r="I498" s="454"/>
      <c r="J498" s="1122"/>
      <c r="K498" s="1122"/>
      <c r="L498" s="1122"/>
      <c r="M498" s="1122"/>
    </row>
    <row r="499" spans="1:13" ht="19.899999999999999" customHeight="1">
      <c r="A499" s="505" t="s">
        <v>2411</v>
      </c>
      <c r="B499" s="502"/>
      <c r="C499" s="502"/>
      <c r="D499" s="502"/>
      <c r="E499" s="502"/>
      <c r="F499" s="502"/>
      <c r="G499" s="502"/>
      <c r="H499" s="502"/>
      <c r="I499" s="503"/>
      <c r="J499" s="1122"/>
      <c r="K499" s="1122"/>
      <c r="L499" s="1122"/>
      <c r="M499" s="1122"/>
    </row>
    <row r="500" spans="1:13" ht="19.899999999999999" customHeight="1">
      <c r="A500" s="506"/>
      <c r="B500" s="377"/>
      <c r="C500" s="377"/>
      <c r="D500" s="377"/>
      <c r="E500" s="377"/>
      <c r="F500" s="377"/>
      <c r="G500" s="377"/>
      <c r="H500" s="377"/>
      <c r="I500" s="403"/>
      <c r="J500" s="1122"/>
      <c r="K500" s="1122"/>
      <c r="L500" s="1122"/>
      <c r="M500" s="1122"/>
    </row>
    <row r="501" spans="1:13" ht="19.899999999999999" customHeight="1">
      <c r="A501" s="1545" t="str">
        <f>IF(Kémia!$B$556&amp;Csomagok!$A$1077&amp;Clinomics!$A$55="nincs vizsgálat kiválasztva",   "",Kémia!$B$556)</f>
        <v/>
      </c>
      <c r="B501" s="1546"/>
      <c r="C501" s="1546"/>
      <c r="D501" s="1546"/>
      <c r="E501" s="1546"/>
      <c r="F501" s="1546"/>
      <c r="G501" s="1546"/>
      <c r="H501" s="1546"/>
      <c r="I501" s="1547"/>
      <c r="J501" s="1122"/>
      <c r="K501" s="1122"/>
      <c r="L501" s="1122"/>
      <c r="M501" s="1122"/>
    </row>
    <row r="502" spans="1:13" ht="19.899999999999999" customHeight="1">
      <c r="A502" s="1545"/>
      <c r="B502" s="1546"/>
      <c r="C502" s="1546"/>
      <c r="D502" s="1546"/>
      <c r="E502" s="1546"/>
      <c r="F502" s="1546"/>
      <c r="G502" s="1546"/>
      <c r="H502" s="1546"/>
      <c r="I502" s="1547"/>
      <c r="J502" s="1122"/>
      <c r="K502" s="1122"/>
      <c r="L502" s="1122"/>
      <c r="M502" s="1122"/>
    </row>
    <row r="503" spans="1:13" ht="19.899999999999999" customHeight="1">
      <c r="A503" s="1545"/>
      <c r="B503" s="1546"/>
      <c r="C503" s="1546"/>
      <c r="D503" s="1546"/>
      <c r="E503" s="1546"/>
      <c r="F503" s="1546"/>
      <c r="G503" s="1546"/>
      <c r="H503" s="1546"/>
      <c r="I503" s="1547"/>
      <c r="J503" s="1122"/>
      <c r="K503" s="1122"/>
      <c r="L503" s="1122"/>
      <c r="M503" s="1122"/>
    </row>
    <row r="504" spans="1:13" ht="13.95" customHeight="1">
      <c r="A504" s="1545"/>
      <c r="B504" s="1546"/>
      <c r="C504" s="1546"/>
      <c r="D504" s="1546"/>
      <c r="E504" s="1546"/>
      <c r="F504" s="1546"/>
      <c r="G504" s="1546"/>
      <c r="H504" s="1546"/>
      <c r="I504" s="1547"/>
      <c r="J504" s="1122"/>
      <c r="K504" s="1122"/>
      <c r="L504" s="1122"/>
      <c r="M504" s="1122"/>
    </row>
    <row r="505" spans="1:13" ht="13.95" customHeight="1">
      <c r="A505" s="1545"/>
      <c r="B505" s="1546"/>
      <c r="C505" s="1546"/>
      <c r="D505" s="1546"/>
      <c r="E505" s="1546"/>
      <c r="F505" s="1546"/>
      <c r="G505" s="1546"/>
      <c r="H505" s="1546"/>
      <c r="I505" s="1547"/>
      <c r="J505" s="1122"/>
      <c r="K505" s="1122"/>
      <c r="L505" s="1122"/>
      <c r="M505" s="1122"/>
    </row>
    <row r="506" spans="1:13" ht="13.95" customHeight="1">
      <c r="A506" s="1545"/>
      <c r="B506" s="1546"/>
      <c r="C506" s="1546"/>
      <c r="D506" s="1546"/>
      <c r="E506" s="1546"/>
      <c r="F506" s="1546"/>
      <c r="G506" s="1546"/>
      <c r="H506" s="1546"/>
      <c r="I506" s="1547"/>
      <c r="J506" s="1122"/>
      <c r="K506" s="1122"/>
      <c r="L506" s="1122"/>
      <c r="M506" s="1122"/>
    </row>
    <row r="507" spans="1:13" ht="13.95" customHeight="1">
      <c r="A507" s="1545"/>
      <c r="B507" s="1546"/>
      <c r="C507" s="1546"/>
      <c r="D507" s="1546"/>
      <c r="E507" s="1546"/>
      <c r="F507" s="1546"/>
      <c r="G507" s="1546"/>
      <c r="H507" s="1546"/>
      <c r="I507" s="1547"/>
      <c r="J507" s="1122"/>
      <c r="K507" s="1122"/>
      <c r="L507" s="1122"/>
      <c r="M507" s="1122"/>
    </row>
    <row r="508" spans="1:13" ht="13.95" customHeight="1">
      <c r="A508" s="1545"/>
      <c r="B508" s="1546"/>
      <c r="C508" s="1546"/>
      <c r="D508" s="1546"/>
      <c r="E508" s="1546"/>
      <c r="F508" s="1546"/>
      <c r="G508" s="1546"/>
      <c r="H508" s="1546"/>
      <c r="I508" s="1547"/>
      <c r="J508" s="1122"/>
      <c r="K508" s="1122"/>
      <c r="L508" s="1122"/>
      <c r="M508" s="1122"/>
    </row>
    <row r="509" spans="1:13" ht="13.95" customHeight="1">
      <c r="A509" s="1545"/>
      <c r="B509" s="1546"/>
      <c r="C509" s="1546"/>
      <c r="D509" s="1546"/>
      <c r="E509" s="1546"/>
      <c r="F509" s="1546"/>
      <c r="G509" s="1546"/>
      <c r="H509" s="1546"/>
      <c r="I509" s="1547"/>
      <c r="J509" s="1122"/>
      <c r="K509" s="1122"/>
      <c r="L509" s="1122"/>
      <c r="M509" s="1122"/>
    </row>
    <row r="510" spans="1:13" ht="13.95" customHeight="1">
      <c r="A510" s="1545"/>
      <c r="B510" s="1546"/>
      <c r="C510" s="1546"/>
      <c r="D510" s="1546"/>
      <c r="E510" s="1546"/>
      <c r="F510" s="1546"/>
      <c r="G510" s="1546"/>
      <c r="H510" s="1546"/>
      <c r="I510" s="1547"/>
      <c r="J510" s="1122"/>
      <c r="K510" s="1122"/>
      <c r="L510" s="1122"/>
      <c r="M510" s="1122"/>
    </row>
    <row r="511" spans="1:13" ht="13.95" customHeight="1">
      <c r="A511" s="1545"/>
      <c r="B511" s="1546"/>
      <c r="C511" s="1546"/>
      <c r="D511" s="1546"/>
      <c r="E511" s="1546"/>
      <c r="F511" s="1546"/>
      <c r="G511" s="1546"/>
      <c r="H511" s="1546"/>
      <c r="I511" s="1547"/>
      <c r="J511" s="1122"/>
      <c r="K511" s="1122"/>
      <c r="L511" s="1122"/>
      <c r="M511" s="1122"/>
    </row>
    <row r="512" spans="1:13" ht="13.95" customHeight="1">
      <c r="A512" s="1545"/>
      <c r="B512" s="1546"/>
      <c r="C512" s="1546"/>
      <c r="D512" s="1546"/>
      <c r="E512" s="1546"/>
      <c r="F512" s="1546"/>
      <c r="G512" s="1546"/>
      <c r="H512" s="1546"/>
      <c r="I512" s="1547"/>
      <c r="J512" s="1122"/>
      <c r="K512" s="1122"/>
      <c r="L512" s="1122"/>
      <c r="M512" s="1122"/>
    </row>
    <row r="513" spans="1:13" ht="13.95" customHeight="1">
      <c r="A513" s="1545"/>
      <c r="B513" s="1546"/>
      <c r="C513" s="1546"/>
      <c r="D513" s="1546"/>
      <c r="E513" s="1546"/>
      <c r="F513" s="1546"/>
      <c r="G513" s="1546"/>
      <c r="H513" s="1546"/>
      <c r="I513" s="1547"/>
      <c r="J513" s="1122"/>
      <c r="K513" s="1122"/>
      <c r="L513" s="1122"/>
      <c r="M513" s="1122"/>
    </row>
    <row r="514" spans="1:13" ht="13.95" customHeight="1">
      <c r="A514" s="1545"/>
      <c r="B514" s="1546"/>
      <c r="C514" s="1546"/>
      <c r="D514" s="1546"/>
      <c r="E514" s="1546"/>
      <c r="F514" s="1546"/>
      <c r="G514" s="1546"/>
      <c r="H514" s="1546"/>
      <c r="I514" s="1547"/>
      <c r="J514" s="1122"/>
      <c r="K514" s="1122"/>
      <c r="L514" s="1122"/>
      <c r="M514" s="1122"/>
    </row>
    <row r="515" spans="1:13" ht="13.95" customHeight="1">
      <c r="A515" s="1545"/>
      <c r="B515" s="1546"/>
      <c r="C515" s="1546"/>
      <c r="D515" s="1546"/>
      <c r="E515" s="1546"/>
      <c r="F515" s="1546"/>
      <c r="G515" s="1546"/>
      <c r="H515" s="1546"/>
      <c r="I515" s="1547"/>
      <c r="J515" s="1122"/>
      <c r="K515" s="1122"/>
      <c r="L515" s="1122"/>
      <c r="M515" s="1122"/>
    </row>
    <row r="516" spans="1:13" ht="13.95" customHeight="1">
      <c r="A516" s="1545"/>
      <c r="B516" s="1546"/>
      <c r="C516" s="1546"/>
      <c r="D516" s="1546"/>
      <c r="E516" s="1546"/>
      <c r="F516" s="1546"/>
      <c r="G516" s="1546"/>
      <c r="H516" s="1546"/>
      <c r="I516" s="1547"/>
      <c r="J516" s="1122"/>
      <c r="K516" s="1122"/>
      <c r="L516" s="1122"/>
      <c r="M516" s="1122"/>
    </row>
    <row r="517" spans="1:13" ht="13.95" customHeight="1">
      <c r="A517" s="1545"/>
      <c r="B517" s="1546"/>
      <c r="C517" s="1546"/>
      <c r="D517" s="1546"/>
      <c r="E517" s="1546"/>
      <c r="F517" s="1546"/>
      <c r="G517" s="1546"/>
      <c r="H517" s="1546"/>
      <c r="I517" s="1547"/>
      <c r="J517" s="1122"/>
      <c r="K517" s="1145"/>
      <c r="L517" s="1122"/>
      <c r="M517" s="1122"/>
    </row>
    <row r="518" spans="1:13" ht="13.95" customHeight="1">
      <c r="A518" s="1545"/>
      <c r="B518" s="1546"/>
      <c r="C518" s="1546"/>
      <c r="D518" s="1546"/>
      <c r="E518" s="1546"/>
      <c r="F518" s="1546"/>
      <c r="G518" s="1546"/>
      <c r="H518" s="1546"/>
      <c r="I518" s="1547"/>
      <c r="J518" s="1122"/>
      <c r="K518" s="1122"/>
      <c r="L518" s="1122"/>
      <c r="M518" s="1122"/>
    </row>
    <row r="519" spans="1:13" ht="13.95" customHeight="1">
      <c r="A519" s="1545"/>
      <c r="B519" s="1546"/>
      <c r="C519" s="1546"/>
      <c r="D519" s="1546"/>
      <c r="E519" s="1546"/>
      <c r="F519" s="1546"/>
      <c r="G519" s="1546"/>
      <c r="H519" s="1546"/>
      <c r="I519" s="1547"/>
      <c r="J519" s="1122"/>
      <c r="K519" s="1122"/>
      <c r="L519" s="1122"/>
      <c r="M519" s="1122"/>
    </row>
    <row r="520" spans="1:13" ht="13.95" customHeight="1">
      <c r="A520" s="1545"/>
      <c r="B520" s="1546"/>
      <c r="C520" s="1546"/>
      <c r="D520" s="1546"/>
      <c r="E520" s="1546"/>
      <c r="F520" s="1546"/>
      <c r="G520" s="1546"/>
      <c r="H520" s="1546"/>
      <c r="I520" s="1547"/>
      <c r="J520" s="1122"/>
      <c r="K520" s="1122"/>
      <c r="L520" s="1122"/>
      <c r="M520" s="1122"/>
    </row>
    <row r="521" spans="1:13" ht="13.95" customHeight="1">
      <c r="A521" s="1545"/>
      <c r="B521" s="1546"/>
      <c r="C521" s="1546"/>
      <c r="D521" s="1546"/>
      <c r="E521" s="1546"/>
      <c r="F521" s="1546"/>
      <c r="G521" s="1546"/>
      <c r="H521" s="1546"/>
      <c r="I521" s="1547"/>
      <c r="J521" s="1122"/>
      <c r="K521" s="1122"/>
      <c r="L521" s="1122"/>
      <c r="M521" s="1122"/>
    </row>
    <row r="522" spans="1:13" ht="13.95" customHeight="1">
      <c r="A522" s="1545"/>
      <c r="B522" s="1546"/>
      <c r="C522" s="1546"/>
      <c r="D522" s="1546"/>
      <c r="E522" s="1546"/>
      <c r="F522" s="1546"/>
      <c r="G522" s="1546"/>
      <c r="H522" s="1546"/>
      <c r="I522" s="1547"/>
      <c r="J522" s="1122"/>
      <c r="K522" s="1122"/>
      <c r="L522" s="1122"/>
      <c r="M522" s="1122"/>
    </row>
    <row r="523" spans="1:13" ht="13.95" customHeight="1">
      <c r="A523" s="1545"/>
      <c r="B523" s="1546"/>
      <c r="C523" s="1546"/>
      <c r="D523" s="1546"/>
      <c r="E523" s="1546"/>
      <c r="F523" s="1546"/>
      <c r="G523" s="1546"/>
      <c r="H523" s="1546"/>
      <c r="I523" s="1547"/>
      <c r="J523" s="1122"/>
      <c r="K523" s="1122"/>
      <c r="L523" s="1122"/>
      <c r="M523" s="1122"/>
    </row>
    <row r="524" spans="1:13" ht="13.95" customHeight="1">
      <c r="A524" s="1545"/>
      <c r="B524" s="1546"/>
      <c r="C524" s="1546"/>
      <c r="D524" s="1546"/>
      <c r="E524" s="1546"/>
      <c r="F524" s="1546"/>
      <c r="G524" s="1546"/>
      <c r="H524" s="1546"/>
      <c r="I524" s="1547"/>
      <c r="J524" s="1122"/>
      <c r="K524" s="1122"/>
      <c r="L524" s="1122"/>
      <c r="M524" s="1122"/>
    </row>
    <row r="525" spans="1:13" ht="13.95" customHeight="1">
      <c r="A525" s="1545"/>
      <c r="B525" s="1546"/>
      <c r="C525" s="1546"/>
      <c r="D525" s="1546"/>
      <c r="E525" s="1546"/>
      <c r="F525" s="1546"/>
      <c r="G525" s="1546"/>
      <c r="H525" s="1546"/>
      <c r="I525" s="1547"/>
      <c r="J525" s="1122"/>
      <c r="K525" s="1122"/>
      <c r="L525" s="1122"/>
      <c r="M525" s="1122"/>
    </row>
    <row r="526" spans="1:13" ht="13.95" customHeight="1">
      <c r="A526" s="1545"/>
      <c r="B526" s="1546"/>
      <c r="C526" s="1546"/>
      <c r="D526" s="1546"/>
      <c r="E526" s="1546"/>
      <c r="F526" s="1546"/>
      <c r="G526" s="1546"/>
      <c r="H526" s="1546"/>
      <c r="I526" s="1547"/>
      <c r="J526" s="1122"/>
      <c r="K526" s="1122"/>
      <c r="L526" s="1122"/>
      <c r="M526" s="1122"/>
    </row>
    <row r="527" spans="1:13" ht="13.95" customHeight="1">
      <c r="A527" s="1545"/>
      <c r="B527" s="1546"/>
      <c r="C527" s="1546"/>
      <c r="D527" s="1546"/>
      <c r="E527" s="1546"/>
      <c r="F527" s="1546"/>
      <c r="G527" s="1546"/>
      <c r="H527" s="1546"/>
      <c r="I527" s="1547"/>
      <c r="J527" s="1122"/>
      <c r="K527" s="1122"/>
      <c r="L527" s="1122"/>
      <c r="M527" s="1122"/>
    </row>
    <row r="528" spans="1:13" ht="13.95" customHeight="1">
      <c r="A528" s="1545"/>
      <c r="B528" s="1546"/>
      <c r="C528" s="1546"/>
      <c r="D528" s="1546"/>
      <c r="E528" s="1546"/>
      <c r="F528" s="1546"/>
      <c r="G528" s="1546"/>
      <c r="H528" s="1546"/>
      <c r="I528" s="1547"/>
      <c r="J528" s="1122"/>
      <c r="K528" s="1122"/>
      <c r="L528" s="1122"/>
      <c r="M528" s="1122"/>
    </row>
    <row r="529" spans="1:13" ht="13.95" customHeight="1">
      <c r="A529" s="1545"/>
      <c r="B529" s="1546"/>
      <c r="C529" s="1546"/>
      <c r="D529" s="1546"/>
      <c r="E529" s="1546"/>
      <c r="F529" s="1546"/>
      <c r="G529" s="1546"/>
      <c r="H529" s="1546"/>
      <c r="I529" s="1547"/>
      <c r="J529" s="1122"/>
      <c r="K529" s="1122"/>
      <c r="L529" s="1122"/>
      <c r="M529" s="1122"/>
    </row>
    <row r="530" spans="1:13" ht="13.95" customHeight="1">
      <c r="A530" s="1545"/>
      <c r="B530" s="1546"/>
      <c r="C530" s="1546"/>
      <c r="D530" s="1546"/>
      <c r="E530" s="1546"/>
      <c r="F530" s="1546"/>
      <c r="G530" s="1546"/>
      <c r="H530" s="1546"/>
      <c r="I530" s="1547"/>
      <c r="J530" s="1122"/>
      <c r="K530" s="1122"/>
      <c r="L530" s="1122"/>
      <c r="M530" s="1122"/>
    </row>
    <row r="531" spans="1:13" ht="13.95" customHeight="1">
      <c r="A531" s="1545"/>
      <c r="B531" s="1546"/>
      <c r="C531" s="1546"/>
      <c r="D531" s="1546"/>
      <c r="E531" s="1546"/>
      <c r="F531" s="1546"/>
      <c r="G531" s="1546"/>
      <c r="H531" s="1546"/>
      <c r="I531" s="1547"/>
      <c r="J531" s="1122"/>
      <c r="K531" s="1122"/>
      <c r="L531" s="1122"/>
      <c r="M531" s="1122"/>
    </row>
    <row r="532" spans="1:13">
      <c r="A532" s="1545"/>
      <c r="B532" s="1546"/>
      <c r="C532" s="1546"/>
      <c r="D532" s="1546"/>
      <c r="E532" s="1546"/>
      <c r="F532" s="1546"/>
      <c r="G532" s="1546"/>
      <c r="H532" s="1546"/>
      <c r="I532" s="1547"/>
      <c r="J532" s="1122"/>
      <c r="K532" s="1122"/>
      <c r="L532" s="1122"/>
      <c r="M532" s="1122"/>
    </row>
    <row r="533" spans="1:13" ht="13.95" customHeight="1">
      <c r="A533" s="1545"/>
      <c r="B533" s="1546"/>
      <c r="C533" s="1546"/>
      <c r="D533" s="1546"/>
      <c r="E533" s="1546"/>
      <c r="F533" s="1546"/>
      <c r="G533" s="1546"/>
      <c r="H533" s="1546"/>
      <c r="I533" s="1547"/>
      <c r="J533" s="1122"/>
      <c r="K533" s="1122"/>
      <c r="L533" s="1122"/>
      <c r="M533" s="1122"/>
    </row>
    <row r="534" spans="1:13" ht="18.350000000000001">
      <c r="A534" s="504" t="s">
        <v>2786</v>
      </c>
      <c r="B534" s="456"/>
      <c r="C534" s="456"/>
      <c r="D534" s="456"/>
      <c r="E534" s="456"/>
      <c r="F534" s="456"/>
      <c r="G534" s="456"/>
      <c r="H534" s="456"/>
      <c r="I534" s="457"/>
      <c r="J534" s="1122"/>
      <c r="K534" s="1122"/>
      <c r="L534" s="1122"/>
      <c r="M534" s="1122"/>
    </row>
    <row r="535" spans="1:13" ht="13.95" customHeight="1">
      <c r="A535" s="455"/>
      <c r="B535" s="456"/>
      <c r="C535" s="456"/>
      <c r="D535" s="456"/>
      <c r="E535" s="456"/>
      <c r="F535" s="456"/>
      <c r="G535" s="456"/>
      <c r="H535" s="456"/>
      <c r="I535" s="457"/>
      <c r="J535" s="1122"/>
      <c r="K535" s="1122"/>
      <c r="L535" s="1122"/>
      <c r="M535" s="1122"/>
    </row>
    <row r="536" spans="1:13" ht="13.95" customHeight="1">
      <c r="A536" s="1548" t="str">
        <f>A41</f>
        <v/>
      </c>
      <c r="B536" s="1546"/>
      <c r="C536" s="1546"/>
      <c r="D536" s="1546"/>
      <c r="E536" s="1546"/>
      <c r="F536" s="1546"/>
      <c r="G536" s="1546"/>
      <c r="H536" s="1546"/>
      <c r="I536" s="1547"/>
      <c r="J536" s="1122"/>
      <c r="K536" s="1122"/>
      <c r="L536" s="1122"/>
      <c r="M536" s="1122"/>
    </row>
    <row r="537" spans="1:13" ht="13.95" customHeight="1">
      <c r="A537" s="1545"/>
      <c r="B537" s="1546"/>
      <c r="C537" s="1546"/>
      <c r="D537" s="1546"/>
      <c r="E537" s="1546"/>
      <c r="F537" s="1546"/>
      <c r="G537" s="1546"/>
      <c r="H537" s="1546"/>
      <c r="I537" s="1547"/>
      <c r="J537" s="1122"/>
      <c r="K537" s="1122"/>
      <c r="L537" s="1122"/>
      <c r="M537" s="1122"/>
    </row>
    <row r="538" spans="1:13" ht="13.95" customHeight="1">
      <c r="A538" s="1545"/>
      <c r="B538" s="1546"/>
      <c r="C538" s="1546"/>
      <c r="D538" s="1546"/>
      <c r="E538" s="1546"/>
      <c r="F538" s="1546"/>
      <c r="G538" s="1546"/>
      <c r="H538" s="1546"/>
      <c r="I538" s="1547"/>
      <c r="J538" s="1122"/>
      <c r="K538" s="1122"/>
      <c r="L538" s="1122"/>
      <c r="M538" s="1122"/>
    </row>
    <row r="539" spans="1:13" ht="13.95" customHeight="1">
      <c r="A539" s="1545"/>
      <c r="B539" s="1546"/>
      <c r="C539" s="1546"/>
      <c r="D539" s="1546"/>
      <c r="E539" s="1546"/>
      <c r="F539" s="1546"/>
      <c r="G539" s="1546"/>
      <c r="H539" s="1546"/>
      <c r="I539" s="1547"/>
      <c r="J539" s="1122"/>
      <c r="K539" s="1122"/>
      <c r="L539" s="1122"/>
      <c r="M539" s="1122"/>
    </row>
    <row r="540" spans="1:13" ht="13.95" customHeight="1">
      <c r="A540" s="1545"/>
      <c r="B540" s="1546"/>
      <c r="C540" s="1546"/>
      <c r="D540" s="1546"/>
      <c r="E540" s="1546"/>
      <c r="F540" s="1546"/>
      <c r="G540" s="1546"/>
      <c r="H540" s="1546"/>
      <c r="I540" s="1547"/>
      <c r="J540" s="1122"/>
      <c r="K540" s="1122"/>
      <c r="L540" s="1122"/>
      <c r="M540" s="1122"/>
    </row>
    <row r="541" spans="1:13" ht="13.95" customHeight="1">
      <c r="A541" s="1545"/>
      <c r="B541" s="1546"/>
      <c r="C541" s="1546"/>
      <c r="D541" s="1546"/>
      <c r="E541" s="1546"/>
      <c r="F541" s="1546"/>
      <c r="G541" s="1546"/>
      <c r="H541" s="1546"/>
      <c r="I541" s="1547"/>
      <c r="J541" s="1122"/>
      <c r="K541" s="1122"/>
      <c r="L541" s="1122"/>
      <c r="M541" s="1122"/>
    </row>
    <row r="542" spans="1:13">
      <c r="A542" s="1545"/>
      <c r="B542" s="1546"/>
      <c r="C542" s="1546"/>
      <c r="D542" s="1546"/>
      <c r="E542" s="1546"/>
      <c r="F542" s="1546"/>
      <c r="G542" s="1546"/>
      <c r="H542" s="1546"/>
      <c r="I542" s="1547"/>
      <c r="J542" s="1122"/>
      <c r="K542" s="1122"/>
      <c r="L542" s="1122"/>
      <c r="M542" s="1122"/>
    </row>
    <row r="543" spans="1:13" ht="13.95" customHeight="1">
      <c r="A543" s="1545"/>
      <c r="B543" s="1546"/>
      <c r="C543" s="1546"/>
      <c r="D543" s="1546"/>
      <c r="E543" s="1546"/>
      <c r="F543" s="1546"/>
      <c r="G543" s="1546"/>
      <c r="H543" s="1546"/>
      <c r="I543" s="1547"/>
      <c r="J543" s="1122"/>
      <c r="K543" s="1122"/>
      <c r="L543" s="1122"/>
      <c r="M543" s="1122"/>
    </row>
    <row r="544" spans="1:13" ht="22.1" customHeight="1" thickBot="1">
      <c r="A544" s="1549"/>
      <c r="B544" s="1550"/>
      <c r="C544" s="1550"/>
      <c r="D544" s="1550"/>
      <c r="E544" s="1550"/>
      <c r="F544" s="1550"/>
      <c r="G544" s="1550"/>
      <c r="H544" s="1550"/>
      <c r="I544" s="1551"/>
      <c r="J544" s="1122"/>
      <c r="K544" s="1122"/>
      <c r="L544" s="1122"/>
      <c r="M544" s="1122"/>
    </row>
    <row r="545" spans="1:13" ht="33.65" customHeight="1">
      <c r="A545" s="137" t="s">
        <v>1221</v>
      </c>
      <c r="B545" s="126"/>
      <c r="C545" s="126"/>
      <c r="D545" s="118"/>
      <c r="E545" s="118"/>
      <c r="F545" s="118"/>
      <c r="G545" s="118"/>
      <c r="H545" s="118"/>
      <c r="I545" s="118"/>
      <c r="J545" s="1122"/>
      <c r="K545" s="1122"/>
      <c r="L545" s="1122"/>
      <c r="M545" s="1122"/>
    </row>
    <row r="546" spans="1:13" ht="30.1" customHeight="1">
      <c r="A546" s="133" t="s">
        <v>1220</v>
      </c>
      <c r="B546" s="111">
        <f>Törvényes_képviselő_neve</f>
        <v>0</v>
      </c>
      <c r="C546" s="126"/>
      <c r="D546" s="118"/>
      <c r="E546" s="118"/>
      <c r="F546" s="118"/>
      <c r="G546" s="118"/>
      <c r="H546" s="118"/>
      <c r="I546" s="118"/>
      <c r="J546" s="1122"/>
      <c r="K546" s="1122"/>
      <c r="L546" s="1122"/>
      <c r="M546" s="1122"/>
    </row>
    <row r="547" spans="1:13" ht="13.95" customHeight="1">
      <c r="A547" s="137"/>
      <c r="B547" s="126"/>
      <c r="C547" s="126"/>
      <c r="D547" s="118"/>
      <c r="E547" s="118"/>
      <c r="F547" s="118"/>
      <c r="G547" s="118"/>
      <c r="H547" s="118"/>
      <c r="I547" s="118"/>
      <c r="J547" s="1122"/>
      <c r="K547" s="1122"/>
      <c r="L547" s="1145"/>
      <c r="M547" s="1122"/>
    </row>
    <row r="548" spans="1:13" ht="18" customHeight="1">
      <c r="A548" s="123" t="s">
        <v>530</v>
      </c>
      <c r="B548" s="124">
        <f ca="1">TODAY()</f>
        <v>45968</v>
      </c>
      <c r="C548" s="70"/>
      <c r="D548" s="1515" t="s">
        <v>540</v>
      </c>
      <c r="E548" s="1515"/>
      <c r="F548" s="1515"/>
      <c r="G548" s="350"/>
      <c r="H548" s="350"/>
      <c r="I548" s="70"/>
      <c r="J548" s="1122"/>
      <c r="K548" s="1122"/>
      <c r="L548" s="1122"/>
      <c r="M548" s="1122"/>
    </row>
    <row r="549" spans="1:13" ht="18.350000000000001">
      <c r="A549" s="123"/>
      <c r="B549" s="70"/>
      <c r="C549" s="70"/>
      <c r="D549" s="1515"/>
      <c r="E549" s="1515"/>
      <c r="F549" s="1515"/>
      <c r="G549" s="350"/>
      <c r="H549" s="350"/>
      <c r="I549" s="70"/>
      <c r="J549" s="1122"/>
      <c r="K549" s="1122"/>
      <c r="L549" s="1122"/>
      <c r="M549" s="1122"/>
    </row>
    <row r="550" spans="1:13" ht="17.7">
      <c r="A550" s="97"/>
      <c r="B550" s="70"/>
      <c r="C550" s="70"/>
      <c r="D550" s="1505" t="s">
        <v>541</v>
      </c>
      <c r="E550" s="1505"/>
      <c r="F550" s="1505"/>
      <c r="G550" s="349"/>
      <c r="H550" s="349"/>
      <c r="I550" s="70"/>
      <c r="J550" s="1122"/>
      <c r="K550" s="1122"/>
      <c r="L550" s="1122"/>
      <c r="M550" s="1122"/>
    </row>
    <row r="551" spans="1:13">
      <c r="J551" s="1122"/>
      <c r="K551" s="1122"/>
      <c r="L551" s="1122"/>
      <c r="M551" s="1122"/>
    </row>
  </sheetData>
  <sheetProtection formatCells="0" formatColumns="0" formatRows="0" insertColumns="0" insertRows="0" insertHyperlinks="0" deleteColumns="0" deleteRows="0" sort="0" autoFilter="0" pivotTables="0"/>
  <mergeCells count="133">
    <mergeCell ref="A214:I226"/>
    <mergeCell ref="C6:D6"/>
    <mergeCell ref="A92:H93"/>
    <mergeCell ref="A431:I433"/>
    <mergeCell ref="D37:D38"/>
    <mergeCell ref="F96:I96"/>
    <mergeCell ref="A501:I533"/>
    <mergeCell ref="A536:I544"/>
    <mergeCell ref="A272:I277"/>
    <mergeCell ref="A279:I279"/>
    <mergeCell ref="A281:I284"/>
    <mergeCell ref="A286:I290"/>
    <mergeCell ref="A291:I291"/>
    <mergeCell ref="A297:I297"/>
    <mergeCell ref="A299:I300"/>
    <mergeCell ref="A302:I302"/>
    <mergeCell ref="B306:D306"/>
    <mergeCell ref="B307:D307"/>
    <mergeCell ref="B308:D308"/>
    <mergeCell ref="B309:D309"/>
    <mergeCell ref="A316:I316"/>
    <mergeCell ref="A317:I321"/>
    <mergeCell ref="A323:I323"/>
    <mergeCell ref="B208:D208"/>
    <mergeCell ref="F208:I208"/>
    <mergeCell ref="A419:I423"/>
    <mergeCell ref="D548:F549"/>
    <mergeCell ref="D550:F550"/>
    <mergeCell ref="F463:H463"/>
    <mergeCell ref="E23:H26"/>
    <mergeCell ref="A475:I476"/>
    <mergeCell ref="B480:D480"/>
    <mergeCell ref="D470:F470"/>
    <mergeCell ref="B254:C254"/>
    <mergeCell ref="D468:F469"/>
    <mergeCell ref="A243:I253"/>
    <mergeCell ref="E255:F258"/>
    <mergeCell ref="E259:F259"/>
    <mergeCell ref="B408:D408"/>
    <mergeCell ref="B409:D409"/>
    <mergeCell ref="B29:D29"/>
    <mergeCell ref="A382:I385"/>
    <mergeCell ref="B369:E371"/>
    <mergeCell ref="A400:I401"/>
    <mergeCell ref="A403:I403"/>
    <mergeCell ref="A373:I378"/>
    <mergeCell ref="A417:I417"/>
    <mergeCell ref="A380:I380"/>
    <mergeCell ref="A229:I241"/>
    <mergeCell ref="D365:F365"/>
    <mergeCell ref="D360:F364"/>
    <mergeCell ref="A268:I268"/>
    <mergeCell ref="A332:I335"/>
    <mergeCell ref="A337:I337"/>
    <mergeCell ref="A339:I339"/>
    <mergeCell ref="A341:I343"/>
    <mergeCell ref="A346:I356"/>
    <mergeCell ref="B357:C357"/>
    <mergeCell ref="F357:H357"/>
    <mergeCell ref="A304:I305"/>
    <mergeCell ref="D265:D266"/>
    <mergeCell ref="A269:I269"/>
    <mergeCell ref="A328:I330"/>
    <mergeCell ref="A325:I326"/>
    <mergeCell ref="H358:I358"/>
    <mergeCell ref="A170:I170"/>
    <mergeCell ref="E181:F184"/>
    <mergeCell ref="E185:F185"/>
    <mergeCell ref="A193:A195"/>
    <mergeCell ref="B121:D121"/>
    <mergeCell ref="F121:I121"/>
    <mergeCell ref="A160:I169"/>
    <mergeCell ref="F119:I119"/>
    <mergeCell ref="B120:D120"/>
    <mergeCell ref="F120:I120"/>
    <mergeCell ref="B207:D207"/>
    <mergeCell ref="F207:I207"/>
    <mergeCell ref="B196:E196"/>
    <mergeCell ref="B197:E197"/>
    <mergeCell ref="B204:D204"/>
    <mergeCell ref="F204:I204"/>
    <mergeCell ref="B205:D205"/>
    <mergeCell ref="F205:I205"/>
    <mergeCell ref="B206:D206"/>
    <mergeCell ref="F206:I206"/>
    <mergeCell ref="A3:A5"/>
    <mergeCell ref="B12:D12"/>
    <mergeCell ref="B14:D14"/>
    <mergeCell ref="B3:E3"/>
    <mergeCell ref="A41:I47"/>
    <mergeCell ref="B410:D410"/>
    <mergeCell ref="A398:I398"/>
    <mergeCell ref="B195:E195"/>
    <mergeCell ref="E101:F101"/>
    <mergeCell ref="E97:F100"/>
    <mergeCell ref="A89:I90"/>
    <mergeCell ref="F12:I12"/>
    <mergeCell ref="F13:I13"/>
    <mergeCell ref="F17:I17"/>
    <mergeCell ref="F14:I14"/>
    <mergeCell ref="B94:C94"/>
    <mergeCell ref="A50:I74"/>
    <mergeCell ref="A76:I81"/>
    <mergeCell ref="A84:I88"/>
    <mergeCell ref="A387:I391"/>
    <mergeCell ref="A405:I406"/>
    <mergeCell ref="A40:F40"/>
    <mergeCell ref="B119:D119"/>
    <mergeCell ref="A91:F91"/>
    <mergeCell ref="D481:E481"/>
    <mergeCell ref="B479:E479"/>
    <mergeCell ref="E309:F309"/>
    <mergeCell ref="E494:H497"/>
    <mergeCell ref="B17:C17"/>
    <mergeCell ref="A106:A108"/>
    <mergeCell ref="B108:E108"/>
    <mergeCell ref="B117:D117"/>
    <mergeCell ref="F117:I117"/>
    <mergeCell ref="B118:D118"/>
    <mergeCell ref="F118:I118"/>
    <mergeCell ref="B110:E110"/>
    <mergeCell ref="B111:E111"/>
    <mergeCell ref="A156:I156"/>
    <mergeCell ref="A440:I440"/>
    <mergeCell ref="A442:I442"/>
    <mergeCell ref="A449:I462"/>
    <mergeCell ref="B463:C463"/>
    <mergeCell ref="A428:I429"/>
    <mergeCell ref="A435:I438"/>
    <mergeCell ref="A444:I446"/>
    <mergeCell ref="A127:I140"/>
    <mergeCell ref="A142:I155"/>
    <mergeCell ref="A425:I426"/>
  </mergeCells>
  <hyperlinks>
    <hyperlink ref="B396" r:id="rId1" xr:uid="{6AA6796C-059E-4240-8048-319E2B0C196B}"/>
    <hyperlink ref="B395" r:id="rId2" xr:uid="{6EB73516-AD81-5D43-99A4-75FC4257449D}"/>
    <hyperlink ref="B295" r:id="rId3" xr:uid="{B33AC0AA-1F97-4AD4-A848-AE70D27B94EB}"/>
    <hyperlink ref="B294" r:id="rId4" xr:uid="{F5770211-A6E2-4FF7-A74A-754287773E23}"/>
  </hyperlinks>
  <printOptions horizontalCentered="1" verticalCentered="1"/>
  <pageMargins left="0.23622047244094491" right="0.23622047244094491" top="0.19685039370078741" bottom="0.15748031496062992" header="0" footer="0"/>
  <pageSetup paperSize="9" scale="60" fitToHeight="2" orientation="portrait" r:id="rId5"/>
  <rowBreaks count="1" manualBreakCount="1">
    <brk id="366" max="8" man="1"/>
  </rowBreaks>
  <drawing r:id="rId6"/>
  <legacyDrawing r:id="rId7"/>
  <controls>
    <mc:AlternateContent xmlns:mc="http://schemas.openxmlformats.org/markup-compatibility/2006">
      <mc:Choice Requires="x14">
        <control shapeId="1078" r:id="rId8" name="CommandButton3">
          <controlPr defaultSize="0" autoLine="0" autoPict="0" r:id="rId9">
            <anchor moveWithCells="1">
              <from>
                <xdr:col>9</xdr:col>
                <xdr:colOff>215660</xdr:colOff>
                <xdr:row>46</xdr:row>
                <xdr:rowOff>103517</xdr:rowOff>
              </from>
              <to>
                <xdr:col>11</xdr:col>
                <xdr:colOff>707366</xdr:colOff>
                <xdr:row>48</xdr:row>
                <xdr:rowOff>8626</xdr:rowOff>
              </to>
            </anchor>
          </controlPr>
        </control>
      </mc:Choice>
      <mc:Fallback>
        <control shapeId="1078" r:id="rId8" name="CommandButton3"/>
      </mc:Fallback>
    </mc:AlternateContent>
    <mc:AlternateContent xmlns:mc="http://schemas.openxmlformats.org/markup-compatibility/2006">
      <mc:Choice Requires="x14">
        <control shapeId="1046" r:id="rId10" name="CommandButton1">
          <controlPr defaultSize="0" autoLine="0" r:id="rId11">
            <anchor moveWithCells="1">
              <from>
                <xdr:col>9</xdr:col>
                <xdr:colOff>767751</xdr:colOff>
                <xdr:row>17</xdr:row>
                <xdr:rowOff>129396</xdr:rowOff>
              </from>
              <to>
                <xdr:col>12</xdr:col>
                <xdr:colOff>241540</xdr:colOff>
                <xdr:row>20</xdr:row>
                <xdr:rowOff>224287</xdr:rowOff>
              </to>
            </anchor>
          </controlPr>
        </control>
      </mc:Choice>
      <mc:Fallback>
        <control shapeId="1046" r:id="rId10" name="CommandButton1"/>
      </mc:Fallback>
    </mc:AlternateContent>
    <mc:AlternateContent xmlns:mc="http://schemas.openxmlformats.org/markup-compatibility/2006">
      <mc:Choice Requires="x14">
        <control shapeId="1054" r:id="rId12" name="CommandButton2">
          <controlPr defaultSize="0" autoLine="0" autoPict="0" altText="" r:id="rId13">
            <anchor moveWithCells="1">
              <from>
                <xdr:col>9</xdr:col>
                <xdr:colOff>785004</xdr:colOff>
                <xdr:row>14</xdr:row>
                <xdr:rowOff>34506</xdr:rowOff>
              </from>
              <to>
                <xdr:col>12</xdr:col>
                <xdr:colOff>301925</xdr:colOff>
                <xdr:row>16</xdr:row>
                <xdr:rowOff>172528</xdr:rowOff>
              </to>
            </anchor>
          </controlPr>
        </control>
      </mc:Choice>
      <mc:Fallback>
        <control shapeId="1054" r:id="rId12" name="CommandButton2"/>
      </mc:Fallback>
    </mc:AlternateContent>
    <mc:AlternateContent xmlns:mc="http://schemas.openxmlformats.org/markup-compatibility/2006">
      <mc:Choice Requires="x14">
        <control shapeId="1043" r:id="rId14" name="Button 19">
          <controlPr defaultSize="0" print="0" autoFill="0" autoPict="0" macro="[0]!OsszesKijelolesTorlese">
            <anchor moveWithCells="1" sizeWithCells="1">
              <from>
                <xdr:col>9</xdr:col>
                <xdr:colOff>785004</xdr:colOff>
                <xdr:row>10</xdr:row>
                <xdr:rowOff>172528</xdr:rowOff>
              </from>
              <to>
                <xdr:col>12</xdr:col>
                <xdr:colOff>310551</xdr:colOff>
                <xdr:row>13</xdr:row>
                <xdr:rowOff>146649</xdr:rowOff>
              </to>
            </anchor>
          </controlPr>
        </control>
      </mc:Choice>
    </mc:AlternateContent>
    <mc:AlternateContent xmlns:mc="http://schemas.openxmlformats.org/markup-compatibility/2006">
      <mc:Choice Requires="x14">
        <control shapeId="1044" r:id="rId15" name="Button 20">
          <controlPr defaultSize="0" print="0" autoFill="0" autoPict="0" macro="[0]!Csomagok_kivalasztasa_es_atvitele_x_es_space">
            <anchor moveWithCells="1" sizeWithCells="1">
              <from>
                <xdr:col>9</xdr:col>
                <xdr:colOff>759125</xdr:colOff>
                <xdr:row>0</xdr:row>
                <xdr:rowOff>129396</xdr:rowOff>
              </from>
              <to>
                <xdr:col>12</xdr:col>
                <xdr:colOff>293298</xdr:colOff>
                <xdr:row>3</xdr:row>
                <xdr:rowOff>51758</xdr:rowOff>
              </to>
            </anchor>
          </controlPr>
        </control>
      </mc:Choice>
    </mc:AlternateContent>
    <mc:AlternateContent xmlns:mc="http://schemas.openxmlformats.org/markup-compatibility/2006">
      <mc:Choice Requires="x14">
        <control shapeId="1056" r:id="rId16" name="Check Box 32">
          <controlPr defaultSize="0" autoFill="0" autoLine="0" autoPict="0">
            <anchor moveWithCells="1">
              <from>
                <xdr:col>7</xdr:col>
                <xdr:colOff>0</xdr:colOff>
                <xdr:row>6</xdr:row>
                <xdr:rowOff>8626</xdr:rowOff>
              </from>
              <to>
                <xdr:col>8</xdr:col>
                <xdr:colOff>198408</xdr:colOff>
                <xdr:row>7</xdr:row>
                <xdr:rowOff>0</xdr:rowOff>
              </to>
            </anchor>
          </controlPr>
        </control>
      </mc:Choice>
    </mc:AlternateContent>
    <mc:AlternateContent xmlns:mc="http://schemas.openxmlformats.org/markup-compatibility/2006">
      <mc:Choice Requires="x14">
        <control shapeId="1057" r:id="rId17" name="Check Box 33">
          <controlPr defaultSize="0" autoFill="0" autoLine="0" autoPict="0" altText="_x000a_">
            <anchor moveWithCells="1">
              <from>
                <xdr:col>2</xdr:col>
                <xdr:colOff>534838</xdr:colOff>
                <xdr:row>29</xdr:row>
                <xdr:rowOff>0</xdr:rowOff>
              </from>
              <to>
                <xdr:col>3</xdr:col>
                <xdr:colOff>276045</xdr:colOff>
                <xdr:row>29</xdr:row>
                <xdr:rowOff>207034</xdr:rowOff>
              </to>
            </anchor>
          </controlPr>
        </control>
      </mc:Choice>
    </mc:AlternateContent>
    <mc:AlternateContent xmlns:mc="http://schemas.openxmlformats.org/markup-compatibility/2006">
      <mc:Choice Requires="x14">
        <control shapeId="1058" r:id="rId18" name="Check Box 34">
          <controlPr defaultSize="0" autoFill="0" autoLine="0" autoPict="0">
            <anchor moveWithCells="1">
              <from>
                <xdr:col>5</xdr:col>
                <xdr:colOff>1319842</xdr:colOff>
                <xdr:row>18</xdr:row>
                <xdr:rowOff>0</xdr:rowOff>
              </from>
              <to>
                <xdr:col>7</xdr:col>
                <xdr:colOff>724619</xdr:colOff>
                <xdr:row>18</xdr:row>
                <xdr:rowOff>207034</xdr:rowOff>
              </to>
            </anchor>
          </controlPr>
        </control>
      </mc:Choice>
    </mc:AlternateContent>
    <mc:AlternateContent xmlns:mc="http://schemas.openxmlformats.org/markup-compatibility/2006">
      <mc:Choice Requires="x14">
        <control shapeId="1060" r:id="rId19" name="Check Box 36">
          <controlPr defaultSize="0" autoFill="0" autoLine="0" autoPict="0">
            <anchor moveWithCells="1">
              <from>
                <xdr:col>1</xdr:col>
                <xdr:colOff>1544128</xdr:colOff>
                <xdr:row>18</xdr:row>
                <xdr:rowOff>17253</xdr:rowOff>
              </from>
              <to>
                <xdr:col>2</xdr:col>
                <xdr:colOff>172528</xdr:colOff>
                <xdr:row>18</xdr:row>
                <xdr:rowOff>207034</xdr:rowOff>
              </to>
            </anchor>
          </controlPr>
        </control>
      </mc:Choice>
    </mc:AlternateContent>
    <mc:AlternateContent xmlns:mc="http://schemas.openxmlformats.org/markup-compatibility/2006">
      <mc:Choice Requires="x14">
        <control shapeId="1061" r:id="rId20" name="Check Box 37">
          <controlPr defaultSize="0" autoFill="0" autoLine="0" autoPict="0">
            <anchor moveWithCells="1">
              <from>
                <xdr:col>1</xdr:col>
                <xdr:colOff>1544128</xdr:colOff>
                <xdr:row>19</xdr:row>
                <xdr:rowOff>60385</xdr:rowOff>
              </from>
              <to>
                <xdr:col>2</xdr:col>
                <xdr:colOff>181155</xdr:colOff>
                <xdr:row>19</xdr:row>
                <xdr:rowOff>198408</xdr:rowOff>
              </to>
            </anchor>
          </controlPr>
        </control>
      </mc:Choice>
    </mc:AlternateContent>
    <mc:AlternateContent xmlns:mc="http://schemas.openxmlformats.org/markup-compatibility/2006">
      <mc:Choice Requires="x14">
        <control shapeId="1062" r:id="rId21" name="Check Box 38">
          <controlPr defaultSize="0" autoFill="0" autoLine="0" autoPict="0">
            <anchor moveWithCells="1">
              <from>
                <xdr:col>1</xdr:col>
                <xdr:colOff>1544128</xdr:colOff>
                <xdr:row>20</xdr:row>
                <xdr:rowOff>17253</xdr:rowOff>
              </from>
              <to>
                <xdr:col>2</xdr:col>
                <xdr:colOff>189781</xdr:colOff>
                <xdr:row>20</xdr:row>
                <xdr:rowOff>207034</xdr:rowOff>
              </to>
            </anchor>
          </controlPr>
        </control>
      </mc:Choice>
    </mc:AlternateContent>
    <mc:AlternateContent xmlns:mc="http://schemas.openxmlformats.org/markup-compatibility/2006">
      <mc:Choice Requires="x14">
        <control shapeId="1063" r:id="rId22" name="Check Box 39">
          <controlPr defaultSize="0" autoFill="0" autoLine="0" autoPict="0">
            <anchor moveWithCells="1">
              <from>
                <xdr:col>1</xdr:col>
                <xdr:colOff>1544128</xdr:colOff>
                <xdr:row>21</xdr:row>
                <xdr:rowOff>17253</xdr:rowOff>
              </from>
              <to>
                <xdr:col>2</xdr:col>
                <xdr:colOff>258792</xdr:colOff>
                <xdr:row>22</xdr:row>
                <xdr:rowOff>0</xdr:rowOff>
              </to>
            </anchor>
          </controlPr>
        </control>
      </mc:Choice>
    </mc:AlternateContent>
    <mc:AlternateContent xmlns:mc="http://schemas.openxmlformats.org/markup-compatibility/2006">
      <mc:Choice Requires="x14">
        <control shapeId="1065" r:id="rId23" name="Check Box 41">
          <controlPr defaultSize="0" autoFill="0" autoLine="0" autoPict="0">
            <anchor moveWithCells="1">
              <from>
                <xdr:col>1</xdr:col>
                <xdr:colOff>1544128</xdr:colOff>
                <xdr:row>23</xdr:row>
                <xdr:rowOff>25879</xdr:rowOff>
              </from>
              <to>
                <xdr:col>2</xdr:col>
                <xdr:colOff>207034</xdr:colOff>
                <xdr:row>24</xdr:row>
                <xdr:rowOff>17253</xdr:rowOff>
              </to>
            </anchor>
          </controlPr>
        </control>
      </mc:Choice>
    </mc:AlternateContent>
    <mc:AlternateContent xmlns:mc="http://schemas.openxmlformats.org/markup-compatibility/2006">
      <mc:Choice Requires="x14">
        <control shapeId="1079" r:id="rId24" name="Button 55">
          <controlPr defaultSize="0" print="0" autoFill="0" autoPict="0" macro="[0]!LetrehozNapiMappakatMC">
            <anchor moveWithCells="1">
              <from>
                <xdr:col>9</xdr:col>
                <xdr:colOff>810883</xdr:colOff>
                <xdr:row>34</xdr:row>
                <xdr:rowOff>86264</xdr:rowOff>
              </from>
              <to>
                <xdr:col>12</xdr:col>
                <xdr:colOff>353683</xdr:colOff>
                <xdr:row>38</xdr:row>
                <xdr:rowOff>34506</xdr:rowOff>
              </to>
            </anchor>
          </controlPr>
        </control>
      </mc:Choice>
    </mc:AlternateContent>
    <mc:AlternateContent xmlns:mc="http://schemas.openxmlformats.org/markup-compatibility/2006">
      <mc:Choice Requires="x14">
        <control shapeId="1080" r:id="rId25" name="Check Box 56">
          <controlPr defaultSize="0" autoFill="0" autoLine="0" autoPict="0" altText=" ">
            <anchor moveWithCells="1">
              <from>
                <xdr:col>2</xdr:col>
                <xdr:colOff>534838</xdr:colOff>
                <xdr:row>30</xdr:row>
                <xdr:rowOff>17253</xdr:rowOff>
              </from>
              <to>
                <xdr:col>3</xdr:col>
                <xdr:colOff>362309</xdr:colOff>
                <xdr:row>31</xdr:row>
                <xdr:rowOff>0</xdr:rowOff>
              </to>
            </anchor>
          </controlPr>
        </control>
      </mc:Choice>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71130D2D-B183-6D47-A3E5-716D9D70A871}">
          <x14:formula1>
            <xm:f>Legordulo!$E$2:$E$3</xm:f>
          </x14:formula1>
          <xm:sqref>F15</xm:sqref>
        </x14:dataValidation>
        <x14:dataValidation type="list" allowBlank="1" showInputMessage="1" showErrorMessage="1" xr:uid="{52246525-A61D-B34F-9359-6A8B7DA4B789}">
          <x14:formula1>
            <xm:f>Legordulo!$D$2:$D$3</xm:f>
          </x14:formula1>
          <xm:sqref>H6</xm:sqref>
        </x14:dataValidation>
        <x14:dataValidation type="list" allowBlank="1" showInputMessage="1" showErrorMessage="1" xr:uid="{2FF0D1F6-80A5-2748-B5F8-BDA9545F9FF3}">
          <x14:formula1>
            <xm:f>Legordulo!$A$2:$A$7</xm:f>
          </x14:formula1>
          <xm:sqref>B17:C17</xm:sqref>
        </x14:dataValidation>
        <x14:dataValidation type="list" allowBlank="1" showInputMessage="1" showErrorMessage="1" xr:uid="{5A904557-4807-1B44-A4DB-7EE37B88AC15}">
          <x14:formula1>
            <xm:f>Legordulo!$A$20:$A$24</xm:f>
          </x14:formula1>
          <xm:sqref>B29:D29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898B22-13B5-EA4D-839D-0A0E075A3101}">
  <sheetPr codeName="Munka2">
    <tabColor rgb="FF00B0F0"/>
  </sheetPr>
  <dimension ref="A2:BD1152"/>
  <sheetViews>
    <sheetView zoomScaleNormal="100" workbookViewId="0">
      <pane xSplit="2" ySplit="4" topLeftCell="C5" activePane="bottomRight" state="frozen"/>
      <selection pane="topRight" activeCell="B1" sqref="B1"/>
      <selection pane="bottomLeft" activeCell="A2" sqref="A2"/>
      <selection pane="bottomRight" activeCell="L5" sqref="L5"/>
    </sheetView>
  </sheetViews>
  <sheetFormatPr defaultColWidth="12.44140625" defaultRowHeight="14.95" customHeight="1"/>
  <cols>
    <col min="1" max="1" width="12.21875" style="596" customWidth="1"/>
    <col min="2" max="2" width="69.77734375" style="596" customWidth="1"/>
    <col min="3" max="3" width="14.77734375" style="596" hidden="1" customWidth="1"/>
    <col min="4" max="4" width="30.21875" style="596" hidden="1" customWidth="1"/>
    <col min="5" max="5" width="55.77734375" style="596" hidden="1" customWidth="1"/>
    <col min="6" max="6" width="15.44140625" style="596" hidden="1" customWidth="1"/>
    <col min="7" max="7" width="10.44140625" style="596" hidden="1" customWidth="1"/>
    <col min="8" max="8" width="11.77734375" style="585" customWidth="1"/>
    <col min="9" max="9" width="13.21875" style="585" customWidth="1"/>
    <col min="10" max="10" width="14.77734375" style="800" customWidth="1"/>
    <col min="11" max="11" width="11.77734375" style="1089" hidden="1" customWidth="1"/>
    <col min="12" max="12" width="15.6640625" style="585" customWidth="1"/>
    <col min="13" max="13" width="15.33203125" style="585" customWidth="1"/>
    <col min="14" max="14" width="9" style="596" hidden="1" customWidth="1"/>
    <col min="15" max="15" width="9.21875" style="596" hidden="1" customWidth="1"/>
    <col min="16" max="16" width="52.21875" style="596" customWidth="1"/>
    <col min="17" max="17" width="32.44140625" style="596" customWidth="1"/>
    <col min="18" max="18" width="175.21875" style="596" bestFit="1" customWidth="1"/>
    <col min="19" max="20" width="12.44140625" style="585" customWidth="1"/>
    <col min="21" max="21" width="34.109375" style="596" customWidth="1"/>
    <col min="22" max="22" width="27.77734375" style="596" customWidth="1"/>
    <col min="23" max="27" width="12.44140625" style="596" customWidth="1"/>
    <col min="28" max="28" width="33.77734375" style="596" customWidth="1"/>
    <col min="29" max="34" width="12.44140625" style="596" customWidth="1"/>
    <col min="35" max="16384" width="12.44140625" style="596"/>
  </cols>
  <sheetData>
    <row r="2" spans="1:42" s="1066" customFormat="1" ht="36" customHeight="1">
      <c r="A2" s="1066" t="s">
        <v>6148</v>
      </c>
      <c r="H2" s="663"/>
      <c r="I2" s="1067"/>
      <c r="J2" s="664">
        <f ca="1">'Összesítő lap'!F34</f>
        <v>3500</v>
      </c>
      <c r="K2" s="1068"/>
      <c r="L2" s="663"/>
      <c r="M2" s="663"/>
      <c r="S2" s="663"/>
      <c r="T2" s="663"/>
      <c r="U2" s="663"/>
      <c r="V2" s="663"/>
      <c r="W2" s="596"/>
      <c r="X2" s="596"/>
      <c r="Y2" s="596"/>
      <c r="Z2" s="596"/>
      <c r="AA2" s="596"/>
      <c r="AB2" s="596"/>
      <c r="AC2" s="596"/>
      <c r="AD2" s="596"/>
      <c r="AE2" s="596"/>
      <c r="AF2" s="596"/>
      <c r="AG2" s="596"/>
      <c r="AH2" s="596"/>
      <c r="AI2" s="596"/>
      <c r="AJ2" s="596"/>
      <c r="AK2" s="596"/>
      <c r="AL2" s="596"/>
      <c r="AM2" s="596"/>
      <c r="AN2" s="596"/>
      <c r="AO2" s="596"/>
      <c r="AP2" s="596"/>
    </row>
    <row r="3" spans="1:42" ht="24.65" customHeight="1"/>
    <row r="4" spans="1:42" s="585" customFormat="1" ht="56.4" customHeight="1">
      <c r="A4" s="1260" t="s">
        <v>5965</v>
      </c>
      <c r="B4" s="1260" t="s">
        <v>2363</v>
      </c>
      <c r="C4" s="1260" t="s">
        <v>2784</v>
      </c>
      <c r="D4" s="1260" t="s">
        <v>440</v>
      </c>
      <c r="E4" s="1260" t="s">
        <v>2419</v>
      </c>
      <c r="F4" s="1260" t="s">
        <v>2358</v>
      </c>
      <c r="G4" s="1260" t="s">
        <v>2359</v>
      </c>
      <c r="H4" s="1260" t="s">
        <v>2360</v>
      </c>
      <c r="I4" s="1260" t="s">
        <v>2361</v>
      </c>
      <c r="J4" s="1260" t="s">
        <v>2362</v>
      </c>
      <c r="K4" s="1260" t="s">
        <v>0</v>
      </c>
      <c r="L4" s="1293"/>
      <c r="M4" s="1239" t="s">
        <v>2782</v>
      </c>
      <c r="N4" s="1260" t="s">
        <v>449</v>
      </c>
      <c r="O4" s="1260" t="s">
        <v>2783</v>
      </c>
      <c r="P4" s="1260" t="s">
        <v>2701</v>
      </c>
      <c r="Q4" s="1260" t="s">
        <v>2702</v>
      </c>
      <c r="R4" s="1260" t="s">
        <v>2447</v>
      </c>
      <c r="S4" s="1260" t="s">
        <v>2360</v>
      </c>
      <c r="T4" s="1260" t="s">
        <v>2364</v>
      </c>
      <c r="U4" s="586" t="s">
        <v>5988</v>
      </c>
      <c r="V4" s="586" t="s">
        <v>5991</v>
      </c>
    </row>
    <row r="5" spans="1:42" ht="15.8" customHeight="1">
      <c r="A5" s="650" t="s">
        <v>1622</v>
      </c>
      <c r="B5" s="650" t="s">
        <v>739</v>
      </c>
      <c r="C5" s="650" t="s">
        <v>2818</v>
      </c>
      <c r="D5" s="650" t="s">
        <v>553</v>
      </c>
      <c r="E5" s="650" t="s">
        <v>2704</v>
      </c>
      <c r="F5" s="1294">
        <v>11500</v>
      </c>
      <c r="G5" s="1295" t="s">
        <v>1363</v>
      </c>
      <c r="H5" s="1295" t="s">
        <v>740</v>
      </c>
      <c r="I5" s="1295">
        <v>7</v>
      </c>
      <c r="J5" s="1294">
        <v>12600</v>
      </c>
      <c r="K5" s="1295">
        <v>7</v>
      </c>
      <c r="L5" s="1420"/>
      <c r="M5" s="1118"/>
      <c r="N5" s="644" t="str">
        <f t="shared" ref="N5:N36" si="0">IF(OR(L5="x", M5="x"), B5 &amp; "; ", "")</f>
        <v/>
      </c>
      <c r="O5" s="644" t="str">
        <f t="shared" ref="O5:O68" si="1">IF(OR(L5="x", M5="x"), A5 &amp; "     /     ", "")</f>
        <v/>
      </c>
      <c r="P5" s="1120" t="s">
        <v>739</v>
      </c>
      <c r="Q5" s="1120" t="s">
        <v>2530</v>
      </c>
      <c r="R5" s="1120" t="s">
        <v>2531</v>
      </c>
      <c r="S5" s="1295" t="s">
        <v>740</v>
      </c>
      <c r="T5" s="640" t="str">
        <f t="shared" ref="T5:T36" si="2">IF(OR(L5="x", M5="x"), S5,"")</f>
        <v/>
      </c>
      <c r="U5" s="614"/>
      <c r="V5" s="611" t="s">
        <v>5990</v>
      </c>
    </row>
    <row r="6" spans="1:42" ht="15.8" customHeight="1">
      <c r="A6" s="592" t="s">
        <v>1623</v>
      </c>
      <c r="B6" s="592" t="s">
        <v>1624</v>
      </c>
      <c r="C6" s="592"/>
      <c r="D6" s="592" t="s">
        <v>550</v>
      </c>
      <c r="E6" s="592"/>
      <c r="F6" s="598">
        <v>207</v>
      </c>
      <c r="G6" s="599" t="s">
        <v>1363</v>
      </c>
      <c r="H6" s="599" t="s">
        <v>5903</v>
      </c>
      <c r="I6" s="599">
        <v>1</v>
      </c>
      <c r="J6" s="598">
        <v>10900</v>
      </c>
      <c r="K6" s="599">
        <v>1</v>
      </c>
      <c r="L6" s="601"/>
      <c r="M6" s="602"/>
      <c r="N6" s="592" t="str">
        <f t="shared" si="0"/>
        <v/>
      </c>
      <c r="O6" s="592" t="str">
        <f t="shared" si="1"/>
        <v/>
      </c>
      <c r="P6" s="767"/>
      <c r="Q6" s="767"/>
      <c r="R6" s="767"/>
      <c r="S6" s="599" t="s">
        <v>5903</v>
      </c>
      <c r="T6" s="594" t="str">
        <f t="shared" si="2"/>
        <v/>
      </c>
      <c r="U6" s="611"/>
      <c r="V6" s="611"/>
    </row>
    <row r="7" spans="1:42" ht="15.8" customHeight="1">
      <c r="A7" s="592" t="s">
        <v>1625</v>
      </c>
      <c r="B7" s="592" t="s">
        <v>1626</v>
      </c>
      <c r="C7" s="592"/>
      <c r="D7" s="592" t="s">
        <v>550</v>
      </c>
      <c r="E7" s="592"/>
      <c r="F7" s="598">
        <v>345</v>
      </c>
      <c r="G7" s="599" t="s">
        <v>1363</v>
      </c>
      <c r="H7" s="599" t="s">
        <v>5904</v>
      </c>
      <c r="I7" s="599">
        <v>1</v>
      </c>
      <c r="J7" s="598">
        <v>15900</v>
      </c>
      <c r="K7" s="599">
        <v>1</v>
      </c>
      <c r="L7" s="601"/>
      <c r="M7" s="602"/>
      <c r="N7" s="592" t="str">
        <f t="shared" si="0"/>
        <v/>
      </c>
      <c r="O7" s="592" t="str">
        <f t="shared" si="1"/>
        <v/>
      </c>
      <c r="P7" s="767"/>
      <c r="Q7" s="767"/>
      <c r="R7" s="767"/>
      <c r="S7" s="599" t="s">
        <v>5904</v>
      </c>
      <c r="T7" s="594" t="str">
        <f t="shared" si="2"/>
        <v/>
      </c>
      <c r="U7" s="611"/>
      <c r="V7" s="611"/>
    </row>
    <row r="8" spans="1:42" ht="15.8" customHeight="1">
      <c r="A8" s="1418" t="s">
        <v>1773</v>
      </c>
      <c r="B8" s="620" t="s">
        <v>836</v>
      </c>
      <c r="C8" s="620"/>
      <c r="D8" s="620" t="s">
        <v>88</v>
      </c>
      <c r="E8" s="620" t="s">
        <v>2736</v>
      </c>
      <c r="F8" s="621">
        <v>4600</v>
      </c>
      <c r="G8" s="622"/>
      <c r="H8" s="622" t="s">
        <v>551</v>
      </c>
      <c r="I8" s="622" t="s">
        <v>664</v>
      </c>
      <c r="J8" s="621">
        <v>6000</v>
      </c>
      <c r="K8" s="622" t="s">
        <v>664</v>
      </c>
      <c r="L8" s="590"/>
      <c r="M8" s="591"/>
      <c r="N8" s="592" t="str">
        <f t="shared" si="0"/>
        <v/>
      </c>
      <c r="O8" s="592" t="str">
        <f t="shared" si="1"/>
        <v/>
      </c>
      <c r="P8" s="593" t="s">
        <v>836</v>
      </c>
      <c r="Q8" s="593" t="s">
        <v>2450</v>
      </c>
      <c r="R8" s="593" t="s">
        <v>2452</v>
      </c>
      <c r="S8" s="622" t="s">
        <v>551</v>
      </c>
      <c r="T8" s="594" t="str">
        <f t="shared" si="2"/>
        <v/>
      </c>
      <c r="U8" s="611"/>
      <c r="V8" s="611"/>
    </row>
    <row r="9" spans="1:42" ht="15.8" customHeight="1">
      <c r="A9" s="1419" t="s">
        <v>1532</v>
      </c>
      <c r="B9" s="587" t="s">
        <v>677</v>
      </c>
      <c r="C9" s="587"/>
      <c r="D9" s="587" t="s">
        <v>88</v>
      </c>
      <c r="E9" s="587" t="s">
        <v>2736</v>
      </c>
      <c r="F9" s="588">
        <v>8000</v>
      </c>
      <c r="G9" s="589"/>
      <c r="H9" s="589" t="s">
        <v>551</v>
      </c>
      <c r="I9" s="589">
        <v>17</v>
      </c>
      <c r="J9" s="597">
        <v>10000</v>
      </c>
      <c r="K9" s="589">
        <v>17</v>
      </c>
      <c r="L9" s="590"/>
      <c r="M9" s="591"/>
      <c r="N9" s="592" t="str">
        <f t="shared" si="0"/>
        <v/>
      </c>
      <c r="O9" s="592" t="str">
        <f t="shared" si="1"/>
        <v/>
      </c>
      <c r="P9" s="593" t="s">
        <v>677</v>
      </c>
      <c r="Q9" s="593" t="s">
        <v>2450</v>
      </c>
      <c r="R9" s="593" t="s">
        <v>2452</v>
      </c>
      <c r="S9" s="589" t="s">
        <v>551</v>
      </c>
      <c r="T9" s="594" t="str">
        <f t="shared" si="2"/>
        <v/>
      </c>
      <c r="U9" s="600"/>
      <c r="V9" s="611"/>
    </row>
    <row r="10" spans="1:42" ht="15.8" customHeight="1">
      <c r="A10" s="587" t="s">
        <v>1537</v>
      </c>
      <c r="B10" s="587" t="s">
        <v>385</v>
      </c>
      <c r="C10" s="587"/>
      <c r="D10" s="587" t="s">
        <v>593</v>
      </c>
      <c r="E10" s="587" t="s">
        <v>593</v>
      </c>
      <c r="F10" s="588">
        <v>4500</v>
      </c>
      <c r="G10" s="589"/>
      <c r="H10" s="589" t="s">
        <v>604</v>
      </c>
      <c r="I10" s="589">
        <v>17</v>
      </c>
      <c r="J10" s="588">
        <v>5850</v>
      </c>
      <c r="K10" s="589">
        <v>17</v>
      </c>
      <c r="L10" s="590"/>
      <c r="M10" s="591"/>
      <c r="N10" s="592" t="str">
        <f t="shared" si="0"/>
        <v/>
      </c>
      <c r="O10" s="592" t="str">
        <f t="shared" si="1"/>
        <v/>
      </c>
      <c r="P10" s="593" t="s">
        <v>385</v>
      </c>
      <c r="Q10" s="593" t="s">
        <v>2465</v>
      </c>
      <c r="R10" s="593" t="s">
        <v>2505</v>
      </c>
      <c r="S10" s="589" t="s">
        <v>604</v>
      </c>
      <c r="T10" s="594" t="str">
        <f t="shared" si="2"/>
        <v/>
      </c>
      <c r="U10" s="611"/>
      <c r="V10" s="611"/>
    </row>
    <row r="11" spans="1:42" ht="15.8" customHeight="1">
      <c r="A11" s="634" t="s">
        <v>1500</v>
      </c>
      <c r="B11" s="634" t="s">
        <v>647</v>
      </c>
      <c r="C11" s="634" t="s">
        <v>2821</v>
      </c>
      <c r="D11" s="634" t="s">
        <v>553</v>
      </c>
      <c r="E11" s="635" t="s">
        <v>2704</v>
      </c>
      <c r="F11" s="636">
        <v>27599.999999999996</v>
      </c>
      <c r="G11" s="637"/>
      <c r="H11" s="637" t="s">
        <v>604</v>
      </c>
      <c r="I11" s="637">
        <v>12</v>
      </c>
      <c r="J11" s="636">
        <v>35880</v>
      </c>
      <c r="K11" s="637">
        <v>12</v>
      </c>
      <c r="L11" s="590"/>
      <c r="M11" s="602"/>
      <c r="N11" s="638" t="str">
        <f t="shared" si="0"/>
        <v/>
      </c>
      <c r="O11" s="638" t="str">
        <f t="shared" si="1"/>
        <v/>
      </c>
      <c r="P11" s="639" t="s">
        <v>647</v>
      </c>
      <c r="Q11" s="639" t="s">
        <v>2465</v>
      </c>
      <c r="R11" s="639" t="s">
        <v>2482</v>
      </c>
      <c r="S11" s="637" t="s">
        <v>604</v>
      </c>
      <c r="T11" s="640" t="str">
        <f t="shared" si="2"/>
        <v/>
      </c>
      <c r="U11" s="611"/>
      <c r="V11" s="800" t="s">
        <v>5990</v>
      </c>
    </row>
    <row r="12" spans="1:42" ht="15.8" customHeight="1">
      <c r="A12" s="592" t="s">
        <v>1655</v>
      </c>
      <c r="B12" s="592" t="s">
        <v>1656</v>
      </c>
      <c r="C12" s="592"/>
      <c r="D12" s="592" t="s">
        <v>759</v>
      </c>
      <c r="E12" s="592" t="s">
        <v>2709</v>
      </c>
      <c r="F12" s="598">
        <v>39900</v>
      </c>
      <c r="G12" s="599" t="s">
        <v>1363</v>
      </c>
      <c r="H12" s="599" t="s">
        <v>750</v>
      </c>
      <c r="I12" s="599">
        <v>10</v>
      </c>
      <c r="J12" s="598">
        <v>49000</v>
      </c>
      <c r="K12" s="599">
        <v>10</v>
      </c>
      <c r="L12" s="601"/>
      <c r="M12" s="602"/>
      <c r="N12" s="592" t="str">
        <f t="shared" si="0"/>
        <v/>
      </c>
      <c r="O12" s="592" t="str">
        <f t="shared" si="1"/>
        <v/>
      </c>
      <c r="P12" s="593" t="s">
        <v>2643</v>
      </c>
      <c r="Q12" s="593" t="s">
        <v>2474</v>
      </c>
      <c r="R12" s="593" t="s">
        <v>2475</v>
      </c>
      <c r="S12" s="599" t="s">
        <v>750</v>
      </c>
      <c r="T12" s="594" t="str">
        <f t="shared" si="2"/>
        <v/>
      </c>
      <c r="U12" s="611"/>
      <c r="V12" s="607"/>
    </row>
    <row r="13" spans="1:42" ht="15.8" customHeight="1">
      <c r="A13" s="587" t="s">
        <v>1793</v>
      </c>
      <c r="B13" s="587" t="s">
        <v>2406</v>
      </c>
      <c r="C13" s="587"/>
      <c r="D13" s="587"/>
      <c r="E13" s="587" t="s">
        <v>2709</v>
      </c>
      <c r="F13" s="588">
        <v>31900</v>
      </c>
      <c r="G13" s="589"/>
      <c r="H13" s="589" t="s">
        <v>750</v>
      </c>
      <c r="I13" s="589">
        <v>10</v>
      </c>
      <c r="J13" s="597">
        <v>37900</v>
      </c>
      <c r="K13" s="589">
        <v>10</v>
      </c>
      <c r="L13" s="590"/>
      <c r="M13" s="591"/>
      <c r="N13" s="592" t="str">
        <f t="shared" si="0"/>
        <v/>
      </c>
      <c r="O13" s="592" t="str">
        <f t="shared" si="1"/>
        <v/>
      </c>
      <c r="P13" s="593" t="s">
        <v>2690</v>
      </c>
      <c r="Q13" s="593" t="s">
        <v>2474</v>
      </c>
      <c r="R13" s="593" t="s">
        <v>2475</v>
      </c>
      <c r="S13" s="589" t="s">
        <v>750</v>
      </c>
      <c r="T13" s="594" t="str">
        <f t="shared" si="2"/>
        <v/>
      </c>
      <c r="U13" s="615"/>
      <c r="V13" s="600"/>
    </row>
    <row r="14" spans="1:42" ht="15.8" customHeight="1">
      <c r="A14" s="587" t="s">
        <v>1553</v>
      </c>
      <c r="B14" s="587" t="s">
        <v>697</v>
      </c>
      <c r="C14" s="587"/>
      <c r="D14" s="587" t="s">
        <v>602</v>
      </c>
      <c r="E14" s="587" t="s">
        <v>2445</v>
      </c>
      <c r="F14" s="588">
        <v>2875</v>
      </c>
      <c r="G14" s="589"/>
      <c r="H14" s="589" t="s">
        <v>551</v>
      </c>
      <c r="I14" s="589">
        <v>3</v>
      </c>
      <c r="J14" s="588">
        <v>5000</v>
      </c>
      <c r="K14" s="589">
        <v>3</v>
      </c>
      <c r="L14" s="590"/>
      <c r="M14" s="591"/>
      <c r="N14" s="592" t="str">
        <f t="shared" si="0"/>
        <v/>
      </c>
      <c r="O14" s="592" t="str">
        <f t="shared" si="1"/>
        <v/>
      </c>
      <c r="P14" s="595"/>
      <c r="Q14" s="595" t="s">
        <v>2450</v>
      </c>
      <c r="R14" s="1121" t="s">
        <v>2452</v>
      </c>
      <c r="S14" s="589" t="s">
        <v>551</v>
      </c>
      <c r="T14" s="594" t="str">
        <f t="shared" si="2"/>
        <v/>
      </c>
      <c r="U14" s="611"/>
      <c r="V14" s="614"/>
    </row>
    <row r="15" spans="1:42" ht="15.8" customHeight="1">
      <c r="A15" s="587" t="s">
        <v>1555</v>
      </c>
      <c r="B15" s="587" t="s">
        <v>700</v>
      </c>
      <c r="C15" s="587"/>
      <c r="D15" s="587" t="s">
        <v>602</v>
      </c>
      <c r="E15" s="587" t="s">
        <v>2445</v>
      </c>
      <c r="F15" s="588">
        <v>3219.9999999999995</v>
      </c>
      <c r="G15" s="589"/>
      <c r="H15" s="589" t="s">
        <v>551</v>
      </c>
      <c r="I15" s="589">
        <v>3</v>
      </c>
      <c r="J15" s="588">
        <v>4190</v>
      </c>
      <c r="K15" s="589">
        <v>3</v>
      </c>
      <c r="L15" s="590"/>
      <c r="M15" s="591"/>
      <c r="N15" s="592" t="str">
        <f t="shared" si="0"/>
        <v/>
      </c>
      <c r="O15" s="592" t="str">
        <f t="shared" si="1"/>
        <v/>
      </c>
      <c r="P15" s="677" t="s">
        <v>700</v>
      </c>
      <c r="Q15" s="677" t="s">
        <v>2450</v>
      </c>
      <c r="R15" s="677" t="s">
        <v>2452</v>
      </c>
      <c r="S15" s="589" t="s">
        <v>551</v>
      </c>
      <c r="T15" s="594" t="str">
        <f t="shared" si="2"/>
        <v/>
      </c>
      <c r="U15" s="614"/>
      <c r="V15" s="614"/>
    </row>
    <row r="16" spans="1:42" ht="15.8" customHeight="1">
      <c r="A16" s="587" t="s">
        <v>1551</v>
      </c>
      <c r="B16" s="587" t="s">
        <v>1552</v>
      </c>
      <c r="C16" s="587"/>
      <c r="D16" s="587" t="s">
        <v>602</v>
      </c>
      <c r="E16" s="587" t="s">
        <v>2445</v>
      </c>
      <c r="F16" s="588">
        <v>2875</v>
      </c>
      <c r="G16" s="589"/>
      <c r="H16" s="589" t="s">
        <v>551</v>
      </c>
      <c r="I16" s="589">
        <v>3</v>
      </c>
      <c r="J16" s="588">
        <v>4000</v>
      </c>
      <c r="K16" s="589">
        <v>3</v>
      </c>
      <c r="L16" s="590"/>
      <c r="M16" s="591"/>
      <c r="N16" s="592" t="str">
        <f t="shared" si="0"/>
        <v/>
      </c>
      <c r="O16" s="592" t="str">
        <f t="shared" si="1"/>
        <v/>
      </c>
      <c r="P16" s="593" t="s">
        <v>2616</v>
      </c>
      <c r="Q16" s="593" t="s">
        <v>2450</v>
      </c>
      <c r="R16" s="593" t="s">
        <v>2452</v>
      </c>
      <c r="S16" s="589" t="s">
        <v>551</v>
      </c>
      <c r="T16" s="594" t="str">
        <f t="shared" si="2"/>
        <v/>
      </c>
      <c r="U16" s="611"/>
      <c r="V16" s="600"/>
    </row>
    <row r="17" spans="1:28" ht="15.8" customHeight="1">
      <c r="A17" s="625" t="s">
        <v>1550</v>
      </c>
      <c r="B17" s="625" t="s">
        <v>696</v>
      </c>
      <c r="C17" s="625"/>
      <c r="D17" s="625" t="s">
        <v>602</v>
      </c>
      <c r="E17" s="625" t="s">
        <v>2445</v>
      </c>
      <c r="F17" s="588">
        <v>2950</v>
      </c>
      <c r="G17" s="594"/>
      <c r="H17" s="594" t="s">
        <v>551</v>
      </c>
      <c r="I17" s="594">
        <v>3</v>
      </c>
      <c r="J17" s="588">
        <v>3800</v>
      </c>
      <c r="K17" s="594">
        <v>3</v>
      </c>
      <c r="L17" s="590"/>
      <c r="M17" s="591"/>
      <c r="N17" s="592" t="str">
        <f t="shared" si="0"/>
        <v/>
      </c>
      <c r="O17" s="592" t="str">
        <f t="shared" si="1"/>
        <v/>
      </c>
      <c r="P17" s="593" t="s">
        <v>2615</v>
      </c>
      <c r="Q17" s="593" t="s">
        <v>2450</v>
      </c>
      <c r="R17" s="593" t="s">
        <v>2452</v>
      </c>
      <c r="S17" s="594" t="s">
        <v>551</v>
      </c>
      <c r="T17" s="594" t="str">
        <f t="shared" si="2"/>
        <v/>
      </c>
      <c r="U17" s="611"/>
      <c r="V17" s="611"/>
    </row>
    <row r="18" spans="1:28" ht="15.8" customHeight="1">
      <c r="A18" s="587" t="s">
        <v>1554</v>
      </c>
      <c r="B18" s="587" t="s">
        <v>698</v>
      </c>
      <c r="C18" s="587"/>
      <c r="D18" s="587" t="s">
        <v>699</v>
      </c>
      <c r="E18" s="587" t="s">
        <v>2445</v>
      </c>
      <c r="F18" s="588">
        <v>15000</v>
      </c>
      <c r="G18" s="589"/>
      <c r="H18" s="589" t="s">
        <v>604</v>
      </c>
      <c r="I18" s="589">
        <v>12</v>
      </c>
      <c r="J18" s="588">
        <v>19500</v>
      </c>
      <c r="K18" s="589">
        <v>12</v>
      </c>
      <c r="L18" s="590"/>
      <c r="M18" s="591"/>
      <c r="N18" s="592" t="str">
        <f t="shared" si="0"/>
        <v/>
      </c>
      <c r="O18" s="592" t="str">
        <f t="shared" si="1"/>
        <v/>
      </c>
      <c r="P18" s="593" t="s">
        <v>698</v>
      </c>
      <c r="Q18" s="593" t="s">
        <v>2465</v>
      </c>
      <c r="R18" s="593" t="s">
        <v>2511</v>
      </c>
      <c r="S18" s="589" t="s">
        <v>604</v>
      </c>
      <c r="T18" s="594" t="str">
        <f t="shared" si="2"/>
        <v/>
      </c>
      <c r="U18" s="611"/>
      <c r="V18" s="611"/>
    </row>
    <row r="19" spans="1:28" ht="15.8" customHeight="1">
      <c r="A19" s="587" t="s">
        <v>1549</v>
      </c>
      <c r="B19" s="587" t="s">
        <v>695</v>
      </c>
      <c r="C19" s="587"/>
      <c r="D19" s="587" t="s">
        <v>602</v>
      </c>
      <c r="E19" s="587" t="s">
        <v>2445</v>
      </c>
      <c r="F19" s="588">
        <v>4255</v>
      </c>
      <c r="G19" s="589"/>
      <c r="H19" s="589" t="s">
        <v>551</v>
      </c>
      <c r="I19" s="589">
        <v>3</v>
      </c>
      <c r="J19" s="588">
        <v>5500</v>
      </c>
      <c r="K19" s="589">
        <v>3</v>
      </c>
      <c r="L19" s="590"/>
      <c r="M19" s="591"/>
      <c r="N19" s="592" t="str">
        <f t="shared" si="0"/>
        <v/>
      </c>
      <c r="O19" s="592" t="str">
        <f t="shared" si="1"/>
        <v/>
      </c>
      <c r="P19" s="593" t="s">
        <v>695</v>
      </c>
      <c r="Q19" s="593" t="s">
        <v>2450</v>
      </c>
      <c r="R19" s="593" t="s">
        <v>2452</v>
      </c>
      <c r="S19" s="589" t="s">
        <v>551</v>
      </c>
      <c r="T19" s="594" t="str">
        <f t="shared" si="2"/>
        <v/>
      </c>
      <c r="U19" s="611"/>
      <c r="V19" s="611"/>
    </row>
    <row r="20" spans="1:28" ht="15.8" customHeight="1">
      <c r="A20" s="587" t="s">
        <v>1548</v>
      </c>
      <c r="B20" s="587" t="s">
        <v>694</v>
      </c>
      <c r="C20" s="587"/>
      <c r="D20" s="587" t="s">
        <v>602</v>
      </c>
      <c r="E20" s="587" t="s">
        <v>2445</v>
      </c>
      <c r="F20" s="588">
        <v>1609.9999999999998</v>
      </c>
      <c r="G20" s="589"/>
      <c r="H20" s="589" t="s">
        <v>551</v>
      </c>
      <c r="I20" s="589">
        <v>1</v>
      </c>
      <c r="J20" s="588">
        <v>3000</v>
      </c>
      <c r="K20" s="589">
        <v>1</v>
      </c>
      <c r="L20" s="590"/>
      <c r="M20" s="591"/>
      <c r="N20" s="592" t="str">
        <f t="shared" si="0"/>
        <v/>
      </c>
      <c r="O20" s="592" t="str">
        <f t="shared" si="1"/>
        <v/>
      </c>
      <c r="P20" s="593" t="s">
        <v>694</v>
      </c>
      <c r="Q20" s="593" t="s">
        <v>2450</v>
      </c>
      <c r="R20" s="593" t="s">
        <v>2452</v>
      </c>
      <c r="S20" s="589" t="s">
        <v>551</v>
      </c>
      <c r="T20" s="594" t="str">
        <f t="shared" si="2"/>
        <v/>
      </c>
      <c r="U20" s="611"/>
      <c r="V20" s="611"/>
    </row>
    <row r="21" spans="1:28" ht="15.8" customHeight="1">
      <c r="A21" s="760" t="s">
        <v>1557</v>
      </c>
      <c r="B21" s="760" t="s">
        <v>702</v>
      </c>
      <c r="C21" s="760"/>
      <c r="D21" s="760" t="s">
        <v>602</v>
      </c>
      <c r="E21" s="760" t="s">
        <v>2445</v>
      </c>
      <c r="F21" s="761">
        <v>9000</v>
      </c>
      <c r="G21" s="762"/>
      <c r="H21" s="762" t="s">
        <v>551</v>
      </c>
      <c r="I21" s="762">
        <v>10</v>
      </c>
      <c r="J21" s="761">
        <v>11500</v>
      </c>
      <c r="K21" s="762">
        <v>10</v>
      </c>
      <c r="L21" s="763"/>
      <c r="M21" s="764"/>
      <c r="N21" s="760" t="str">
        <f t="shared" si="0"/>
        <v/>
      </c>
      <c r="O21" s="760" t="str">
        <f t="shared" si="1"/>
        <v/>
      </c>
      <c r="P21" s="765" t="s">
        <v>702</v>
      </c>
      <c r="Q21" s="765" t="s">
        <v>2450</v>
      </c>
      <c r="R21" s="765" t="s">
        <v>2452</v>
      </c>
      <c r="S21" s="762" t="s">
        <v>551</v>
      </c>
      <c r="T21" s="766" t="str">
        <f t="shared" si="2"/>
        <v/>
      </c>
      <c r="U21" s="600"/>
      <c r="V21" s="600"/>
    </row>
    <row r="22" spans="1:28" ht="15.8" customHeight="1">
      <c r="A22" s="587" t="s">
        <v>1556</v>
      </c>
      <c r="B22" s="587" t="s">
        <v>701</v>
      </c>
      <c r="C22" s="587"/>
      <c r="D22" s="587" t="s">
        <v>553</v>
      </c>
      <c r="E22" s="587" t="s">
        <v>2705</v>
      </c>
      <c r="F22" s="588">
        <v>15000</v>
      </c>
      <c r="G22" s="589"/>
      <c r="H22" s="589" t="s">
        <v>604</v>
      </c>
      <c r="I22" s="589">
        <v>12</v>
      </c>
      <c r="J22" s="588">
        <v>19500</v>
      </c>
      <c r="K22" s="589">
        <v>12</v>
      </c>
      <c r="L22" s="590"/>
      <c r="M22" s="591"/>
      <c r="N22" s="592" t="str">
        <f t="shared" si="0"/>
        <v/>
      </c>
      <c r="O22" s="592" t="str">
        <f t="shared" si="1"/>
        <v/>
      </c>
      <c r="P22" s="593" t="s">
        <v>2617</v>
      </c>
      <c r="Q22" s="593" t="s">
        <v>2465</v>
      </c>
      <c r="R22" s="593" t="s">
        <v>2511</v>
      </c>
      <c r="S22" s="589" t="s">
        <v>604</v>
      </c>
      <c r="T22" s="594" t="str">
        <f t="shared" si="2"/>
        <v/>
      </c>
      <c r="U22" s="611"/>
      <c r="V22" s="614"/>
    </row>
    <row r="23" spans="1:28" s="618" customFormat="1" ht="15.8" customHeight="1">
      <c r="A23" s="587" t="s">
        <v>649</v>
      </c>
      <c r="B23" s="587" t="s">
        <v>649</v>
      </c>
      <c r="C23" s="587"/>
      <c r="D23" s="587" t="s">
        <v>550</v>
      </c>
      <c r="E23" s="587" t="s">
        <v>2424</v>
      </c>
      <c r="F23" s="588">
        <v>459.99999999999994</v>
      </c>
      <c r="G23" s="589"/>
      <c r="H23" s="589" t="s">
        <v>551</v>
      </c>
      <c r="I23" s="589">
        <v>1</v>
      </c>
      <c r="J23" s="588">
        <v>1400</v>
      </c>
      <c r="K23" s="589">
        <v>1</v>
      </c>
      <c r="L23" s="590"/>
      <c r="M23" s="591"/>
      <c r="N23" s="592" t="str">
        <f t="shared" si="0"/>
        <v/>
      </c>
      <c r="O23" s="592" t="str">
        <f t="shared" si="1"/>
        <v/>
      </c>
      <c r="P23" s="593" t="s">
        <v>649</v>
      </c>
      <c r="Q23" s="593" t="s">
        <v>2450</v>
      </c>
      <c r="R23" s="593" t="s">
        <v>2452</v>
      </c>
      <c r="S23" s="589" t="s">
        <v>551</v>
      </c>
      <c r="T23" s="594" t="str">
        <f t="shared" si="2"/>
        <v/>
      </c>
      <c r="U23" s="600"/>
      <c r="V23" s="611"/>
      <c r="W23" s="785"/>
      <c r="X23" s="785"/>
      <c r="Y23" s="785"/>
      <c r="Z23" s="785"/>
      <c r="AA23" s="785"/>
      <c r="AB23" s="785"/>
    </row>
    <row r="24" spans="1:28" ht="15.8" customHeight="1">
      <c r="A24" s="587" t="s">
        <v>1567</v>
      </c>
      <c r="B24" s="587" t="s">
        <v>949</v>
      </c>
      <c r="C24" s="587"/>
      <c r="D24" s="587" t="s">
        <v>550</v>
      </c>
      <c r="E24" s="587" t="s">
        <v>2424</v>
      </c>
      <c r="F24" s="588">
        <v>500</v>
      </c>
      <c r="G24" s="589"/>
      <c r="H24" s="589" t="s">
        <v>551</v>
      </c>
      <c r="I24" s="589">
        <v>1</v>
      </c>
      <c r="J24" s="588">
        <v>1200</v>
      </c>
      <c r="K24" s="589">
        <v>1</v>
      </c>
      <c r="L24" s="590"/>
      <c r="M24" s="591"/>
      <c r="N24" s="592" t="str">
        <f t="shared" si="0"/>
        <v/>
      </c>
      <c r="O24" s="592" t="str">
        <f t="shared" si="1"/>
        <v/>
      </c>
      <c r="P24" s="593" t="s">
        <v>949</v>
      </c>
      <c r="Q24" s="593" t="s">
        <v>2450</v>
      </c>
      <c r="R24" s="593" t="s">
        <v>2452</v>
      </c>
      <c r="S24" s="589" t="s">
        <v>551</v>
      </c>
      <c r="T24" s="594" t="str">
        <f t="shared" si="2"/>
        <v/>
      </c>
      <c r="U24" s="611"/>
      <c r="V24" s="600"/>
    </row>
    <row r="25" spans="1:28" ht="15.8" customHeight="1">
      <c r="A25" s="592" t="s">
        <v>1613</v>
      </c>
      <c r="B25" s="592" t="s">
        <v>32</v>
      </c>
      <c r="C25" s="592"/>
      <c r="D25" s="592" t="s">
        <v>550</v>
      </c>
      <c r="E25" s="592" t="s">
        <v>2438</v>
      </c>
      <c r="F25" s="598">
        <v>69</v>
      </c>
      <c r="G25" s="599" t="s">
        <v>1363</v>
      </c>
      <c r="H25" s="599" t="s">
        <v>551</v>
      </c>
      <c r="I25" s="599">
        <v>1</v>
      </c>
      <c r="J25" s="598">
        <v>200</v>
      </c>
      <c r="K25" s="599">
        <v>1</v>
      </c>
      <c r="L25" s="601"/>
      <c r="M25" s="602"/>
      <c r="N25" s="592" t="str">
        <f t="shared" si="0"/>
        <v/>
      </c>
      <c r="O25" s="592" t="str">
        <f t="shared" si="1"/>
        <v/>
      </c>
      <c r="P25" s="677" t="s">
        <v>32</v>
      </c>
      <c r="Q25" s="677" t="s">
        <v>2450</v>
      </c>
      <c r="R25" s="677" t="s">
        <v>2461</v>
      </c>
      <c r="S25" s="599" t="s">
        <v>551</v>
      </c>
      <c r="T25" s="594" t="str">
        <f t="shared" si="2"/>
        <v/>
      </c>
      <c r="U25" s="611"/>
      <c r="V25" s="615"/>
    </row>
    <row r="26" spans="1:28" ht="15.8" customHeight="1">
      <c r="A26" s="587" t="s">
        <v>945</v>
      </c>
      <c r="B26" s="587" t="s">
        <v>1542</v>
      </c>
      <c r="C26" s="587"/>
      <c r="D26" s="587" t="s">
        <v>550</v>
      </c>
      <c r="E26" s="587" t="s">
        <v>2438</v>
      </c>
      <c r="F26" s="588">
        <v>229.99999999999997</v>
      </c>
      <c r="G26" s="589"/>
      <c r="H26" s="589" t="s">
        <v>551</v>
      </c>
      <c r="I26" s="589">
        <v>1</v>
      </c>
      <c r="J26" s="588">
        <v>600</v>
      </c>
      <c r="K26" s="589">
        <v>1</v>
      </c>
      <c r="L26" s="590"/>
      <c r="M26" s="591"/>
      <c r="N26" s="592" t="str">
        <f t="shared" si="0"/>
        <v/>
      </c>
      <c r="O26" s="592" t="str">
        <f t="shared" si="1"/>
        <v/>
      </c>
      <c r="P26" s="593" t="s">
        <v>34</v>
      </c>
      <c r="Q26" s="593" t="s">
        <v>2450</v>
      </c>
      <c r="R26" s="593" t="s">
        <v>2461</v>
      </c>
      <c r="S26" s="589" t="s">
        <v>551</v>
      </c>
      <c r="T26" s="594" t="str">
        <f t="shared" si="2"/>
        <v/>
      </c>
      <c r="U26" s="611"/>
      <c r="V26" s="615"/>
    </row>
    <row r="27" spans="1:28" ht="15.8" customHeight="1">
      <c r="A27" s="625" t="s">
        <v>948</v>
      </c>
      <c r="B27" s="625" t="s">
        <v>1628</v>
      </c>
      <c r="C27" s="625"/>
      <c r="D27" s="625" t="s">
        <v>550</v>
      </c>
      <c r="E27" s="625" t="s">
        <v>2438</v>
      </c>
      <c r="F27" s="588">
        <v>175</v>
      </c>
      <c r="G27" s="594"/>
      <c r="H27" s="594" t="s">
        <v>551</v>
      </c>
      <c r="I27" s="594">
        <v>1</v>
      </c>
      <c r="J27" s="588">
        <v>700</v>
      </c>
      <c r="K27" s="594">
        <v>1</v>
      </c>
      <c r="L27" s="590"/>
      <c r="M27" s="591"/>
      <c r="N27" s="592" t="str">
        <f t="shared" si="0"/>
        <v/>
      </c>
      <c r="O27" s="592" t="str">
        <f t="shared" si="1"/>
        <v/>
      </c>
      <c r="P27" s="593" t="s">
        <v>35</v>
      </c>
      <c r="Q27" s="593" t="s">
        <v>2450</v>
      </c>
      <c r="R27" s="593" t="s">
        <v>2461</v>
      </c>
      <c r="S27" s="594" t="s">
        <v>551</v>
      </c>
      <c r="T27" s="594" t="str">
        <f t="shared" si="2"/>
        <v/>
      </c>
      <c r="U27" s="611"/>
      <c r="V27" s="611"/>
    </row>
    <row r="28" spans="1:28" s="618" customFormat="1" ht="15.8" customHeight="1">
      <c r="A28" s="634" t="s">
        <v>5578</v>
      </c>
      <c r="B28" s="634" t="s">
        <v>5817</v>
      </c>
      <c r="C28" s="1072"/>
      <c r="D28" s="634" t="s">
        <v>553</v>
      </c>
      <c r="E28" s="634" t="s">
        <v>553</v>
      </c>
      <c r="F28" s="636">
        <v>15000</v>
      </c>
      <c r="G28" s="637"/>
      <c r="H28" s="637" t="s">
        <v>604</v>
      </c>
      <c r="I28" s="637">
        <v>17</v>
      </c>
      <c r="J28" s="636">
        <v>19500</v>
      </c>
      <c r="K28" s="637">
        <v>7</v>
      </c>
      <c r="L28" s="590"/>
      <c r="M28" s="591"/>
      <c r="N28" s="634" t="str">
        <f t="shared" si="0"/>
        <v/>
      </c>
      <c r="O28" s="634" t="str">
        <f t="shared" si="1"/>
        <v/>
      </c>
      <c r="P28" s="1072"/>
      <c r="Q28" s="1406" t="s">
        <v>2465</v>
      </c>
      <c r="R28" s="1406" t="s">
        <v>2466</v>
      </c>
      <c r="S28" s="637" t="s">
        <v>604</v>
      </c>
      <c r="T28" s="640" t="str">
        <f t="shared" si="2"/>
        <v/>
      </c>
      <c r="U28" s="607"/>
      <c r="V28" s="600" t="s">
        <v>5990</v>
      </c>
      <c r="W28" s="785"/>
      <c r="X28" s="785"/>
      <c r="Y28" s="785"/>
      <c r="Z28" s="785"/>
      <c r="AA28" s="785"/>
      <c r="AB28" s="785"/>
    </row>
    <row r="29" spans="1:28" ht="15.8" customHeight="1">
      <c r="A29" s="587" t="s">
        <v>1701</v>
      </c>
      <c r="B29" s="587" t="s">
        <v>790</v>
      </c>
      <c r="C29" s="587"/>
      <c r="D29" s="587" t="s">
        <v>550</v>
      </c>
      <c r="E29" s="587" t="s">
        <v>2438</v>
      </c>
      <c r="F29" s="588">
        <v>0</v>
      </c>
      <c r="G29" s="589"/>
      <c r="H29" s="589" t="s">
        <v>551</v>
      </c>
      <c r="I29" s="589">
        <v>1</v>
      </c>
      <c r="J29" s="588">
        <v>0</v>
      </c>
      <c r="K29" s="589">
        <v>1</v>
      </c>
      <c r="L29" s="590"/>
      <c r="M29" s="591"/>
      <c r="N29" s="592" t="str">
        <f t="shared" si="0"/>
        <v/>
      </c>
      <c r="O29" s="592" t="str">
        <f t="shared" si="1"/>
        <v/>
      </c>
      <c r="P29" s="593" t="s">
        <v>2662</v>
      </c>
      <c r="Q29" s="593" t="s">
        <v>2450</v>
      </c>
      <c r="R29" s="593"/>
      <c r="S29" s="589" t="s">
        <v>551</v>
      </c>
      <c r="T29" s="594" t="str">
        <f t="shared" si="2"/>
        <v/>
      </c>
      <c r="U29" s="611"/>
      <c r="V29" s="615"/>
    </row>
    <row r="30" spans="1:28" ht="15.8" customHeight="1">
      <c r="A30" s="592" t="s">
        <v>1813</v>
      </c>
      <c r="B30" s="592" t="s">
        <v>505</v>
      </c>
      <c r="C30" s="592"/>
      <c r="D30" s="592" t="s">
        <v>550</v>
      </c>
      <c r="E30" s="592" t="s">
        <v>2438</v>
      </c>
      <c r="F30" s="598">
        <v>69</v>
      </c>
      <c r="G30" s="599" t="s">
        <v>1363</v>
      </c>
      <c r="H30" s="599" t="s">
        <v>551</v>
      </c>
      <c r="I30" s="599">
        <v>1</v>
      </c>
      <c r="J30" s="598">
        <v>600</v>
      </c>
      <c r="K30" s="599">
        <v>1</v>
      </c>
      <c r="L30" s="601"/>
      <c r="M30" s="602"/>
      <c r="N30" s="592" t="str">
        <f t="shared" si="0"/>
        <v/>
      </c>
      <c r="O30" s="592" t="str">
        <f t="shared" si="1"/>
        <v/>
      </c>
      <c r="P30" s="593" t="s">
        <v>505</v>
      </c>
      <c r="Q30" s="593" t="s">
        <v>2450</v>
      </c>
      <c r="R30" s="593" t="s">
        <v>2461</v>
      </c>
      <c r="S30" s="599" t="s">
        <v>551</v>
      </c>
      <c r="T30" s="594" t="str">
        <f t="shared" si="2"/>
        <v/>
      </c>
      <c r="U30" s="611"/>
      <c r="V30" s="626"/>
    </row>
    <row r="31" spans="1:28" ht="15.8" customHeight="1">
      <c r="A31" s="592" t="s">
        <v>5984</v>
      </c>
      <c r="B31" s="592" t="s">
        <v>741</v>
      </c>
      <c r="C31" s="592"/>
      <c r="D31" s="592" t="s">
        <v>742</v>
      </c>
      <c r="E31" s="592" t="s">
        <v>742</v>
      </c>
      <c r="F31" s="598">
        <v>25850</v>
      </c>
      <c r="G31" s="599" t="s">
        <v>1363</v>
      </c>
      <c r="H31" s="599" t="s">
        <v>551</v>
      </c>
      <c r="I31" s="599">
        <v>17</v>
      </c>
      <c r="J31" s="630">
        <v>32000</v>
      </c>
      <c r="K31" s="599">
        <v>17</v>
      </c>
      <c r="L31" s="601"/>
      <c r="M31" s="602"/>
      <c r="N31" s="592" t="str">
        <f t="shared" si="0"/>
        <v/>
      </c>
      <c r="O31" s="592" t="str">
        <f t="shared" si="1"/>
        <v/>
      </c>
      <c r="P31" s="593" t="s">
        <v>2638</v>
      </c>
      <c r="Q31" s="593" t="s">
        <v>2450</v>
      </c>
      <c r="R31" s="593" t="s">
        <v>2532</v>
      </c>
      <c r="S31" s="599" t="s">
        <v>551</v>
      </c>
      <c r="T31" s="594" t="str">
        <f t="shared" si="2"/>
        <v/>
      </c>
      <c r="U31" s="626"/>
      <c r="V31" s="611"/>
    </row>
    <row r="32" spans="1:28" s="1252" customFormat="1" ht="15.8" customHeight="1">
      <c r="A32" s="620" t="s">
        <v>527</v>
      </c>
      <c r="B32" s="620" t="s">
        <v>1831</v>
      </c>
      <c r="C32" s="620"/>
      <c r="D32" s="620" t="s">
        <v>593</v>
      </c>
      <c r="E32" s="620" t="s">
        <v>593</v>
      </c>
      <c r="F32" s="621">
        <v>340</v>
      </c>
      <c r="G32" s="622"/>
      <c r="H32" s="622" t="s">
        <v>604</v>
      </c>
      <c r="I32" s="622">
        <v>1</v>
      </c>
      <c r="J32" s="621">
        <v>1200</v>
      </c>
      <c r="K32" s="589">
        <v>1</v>
      </c>
      <c r="L32" s="590"/>
      <c r="M32" s="591"/>
      <c r="N32" s="592" t="str">
        <f t="shared" si="0"/>
        <v/>
      </c>
      <c r="O32" s="592" t="str">
        <f t="shared" si="1"/>
        <v/>
      </c>
      <c r="P32" s="593" t="s">
        <v>2695</v>
      </c>
      <c r="Q32" s="593" t="s">
        <v>2492</v>
      </c>
      <c r="R32" s="593" t="s">
        <v>2550</v>
      </c>
      <c r="S32" s="622" t="s">
        <v>604</v>
      </c>
      <c r="T32" s="594" t="str">
        <f t="shared" si="2"/>
        <v/>
      </c>
      <c r="U32" s="600"/>
      <c r="V32" s="611"/>
    </row>
    <row r="33" spans="1:22" ht="15.8" customHeight="1">
      <c r="A33" s="620" t="s">
        <v>1832</v>
      </c>
      <c r="B33" s="620" t="s">
        <v>863</v>
      </c>
      <c r="C33" s="620"/>
      <c r="D33" s="620" t="s">
        <v>593</v>
      </c>
      <c r="E33" s="620" t="s">
        <v>593</v>
      </c>
      <c r="F33" s="621">
        <v>690</v>
      </c>
      <c r="G33" s="622"/>
      <c r="H33" s="622" t="s">
        <v>604</v>
      </c>
      <c r="I33" s="622">
        <v>1</v>
      </c>
      <c r="J33" s="621">
        <v>1600</v>
      </c>
      <c r="K33" s="589">
        <v>1</v>
      </c>
      <c r="L33" s="590"/>
      <c r="M33" s="591"/>
      <c r="N33" s="592" t="str">
        <f t="shared" si="0"/>
        <v/>
      </c>
      <c r="O33" s="592" t="str">
        <f t="shared" si="1"/>
        <v/>
      </c>
      <c r="P33" s="593" t="s">
        <v>2669</v>
      </c>
      <c r="Q33" s="593" t="s">
        <v>2465</v>
      </c>
      <c r="R33" s="593" t="s">
        <v>2550</v>
      </c>
      <c r="S33" s="622" t="s">
        <v>604</v>
      </c>
      <c r="T33" s="594" t="str">
        <f t="shared" si="2"/>
        <v/>
      </c>
      <c r="U33" s="611"/>
      <c r="V33" s="611"/>
    </row>
    <row r="34" spans="1:22" ht="15.8" customHeight="1">
      <c r="A34" s="620" t="s">
        <v>1833</v>
      </c>
      <c r="B34" s="620" t="s">
        <v>1834</v>
      </c>
      <c r="C34" s="620"/>
      <c r="D34" s="620" t="s">
        <v>593</v>
      </c>
      <c r="E34" s="620" t="s">
        <v>593</v>
      </c>
      <c r="F34" s="621">
        <v>575</v>
      </c>
      <c r="G34" s="622"/>
      <c r="H34" s="622" t="s">
        <v>599</v>
      </c>
      <c r="I34" s="622">
        <v>1</v>
      </c>
      <c r="J34" s="621">
        <v>1000</v>
      </c>
      <c r="K34" s="622">
        <v>1</v>
      </c>
      <c r="L34" s="590"/>
      <c r="M34" s="591"/>
      <c r="N34" s="592" t="str">
        <f t="shared" si="0"/>
        <v/>
      </c>
      <c r="O34" s="592" t="str">
        <f t="shared" si="1"/>
        <v/>
      </c>
      <c r="P34" s="593" t="s">
        <v>1834</v>
      </c>
      <c r="Q34" s="593" t="s">
        <v>2468</v>
      </c>
      <c r="R34" s="593" t="s">
        <v>2550</v>
      </c>
      <c r="S34" s="622" t="s">
        <v>599</v>
      </c>
      <c r="T34" s="594" t="str">
        <f t="shared" si="2"/>
        <v/>
      </c>
      <c r="U34" s="611"/>
      <c r="V34" s="600"/>
    </row>
    <row r="35" spans="1:22" ht="15.8" customHeight="1">
      <c r="A35" s="592" t="s">
        <v>1848</v>
      </c>
      <c r="B35" s="592" t="s">
        <v>126</v>
      </c>
      <c r="C35" s="592"/>
      <c r="D35" s="592" t="s">
        <v>550</v>
      </c>
      <c r="E35" s="592" t="s">
        <v>2439</v>
      </c>
      <c r="F35" s="598">
        <v>69</v>
      </c>
      <c r="G35" s="599" t="s">
        <v>1363</v>
      </c>
      <c r="H35" s="599" t="s">
        <v>476</v>
      </c>
      <c r="I35" s="599">
        <v>1</v>
      </c>
      <c r="J35" s="598">
        <v>300</v>
      </c>
      <c r="K35" s="599">
        <v>1</v>
      </c>
      <c r="L35" s="590"/>
      <c r="M35" s="591"/>
      <c r="N35" s="592" t="str">
        <f t="shared" si="0"/>
        <v/>
      </c>
      <c r="O35" s="592" t="str">
        <f t="shared" si="1"/>
        <v/>
      </c>
      <c r="P35" s="593" t="s">
        <v>126</v>
      </c>
      <c r="Q35" s="593" t="s">
        <v>2454</v>
      </c>
      <c r="R35" s="593" t="s">
        <v>2572</v>
      </c>
      <c r="S35" s="599" t="s">
        <v>476</v>
      </c>
      <c r="T35" s="594" t="str">
        <f t="shared" si="2"/>
        <v/>
      </c>
      <c r="U35" s="615"/>
      <c r="V35" s="611"/>
    </row>
    <row r="36" spans="1:22" ht="15.8" customHeight="1">
      <c r="A36" s="620" t="s">
        <v>1849</v>
      </c>
      <c r="B36" s="620" t="s">
        <v>127</v>
      </c>
      <c r="C36" s="620"/>
      <c r="D36" s="620" t="s">
        <v>550</v>
      </c>
      <c r="E36" s="620" t="s">
        <v>2439</v>
      </c>
      <c r="F36" s="621">
        <v>175</v>
      </c>
      <c r="G36" s="622"/>
      <c r="H36" s="622" t="s">
        <v>476</v>
      </c>
      <c r="I36" s="622">
        <v>1</v>
      </c>
      <c r="J36" s="621">
        <v>600</v>
      </c>
      <c r="K36" s="599">
        <v>1</v>
      </c>
      <c r="L36" s="590"/>
      <c r="M36" s="591"/>
      <c r="N36" s="592" t="str">
        <f t="shared" si="0"/>
        <v/>
      </c>
      <c r="O36" s="592" t="str">
        <f t="shared" si="1"/>
        <v/>
      </c>
      <c r="P36" s="593" t="s">
        <v>127</v>
      </c>
      <c r="Q36" s="593" t="s">
        <v>2454</v>
      </c>
      <c r="R36" s="593" t="s">
        <v>2572</v>
      </c>
      <c r="S36" s="622" t="s">
        <v>476</v>
      </c>
      <c r="T36" s="594" t="str">
        <f t="shared" si="2"/>
        <v/>
      </c>
      <c r="U36" s="600"/>
      <c r="V36" s="600"/>
    </row>
    <row r="37" spans="1:22" s="791" customFormat="1" ht="15.8" customHeight="1">
      <c r="A37" s="620" t="s">
        <v>1846</v>
      </c>
      <c r="B37" s="620" t="s">
        <v>874</v>
      </c>
      <c r="C37" s="620"/>
      <c r="D37" s="620" t="s">
        <v>550</v>
      </c>
      <c r="E37" s="620" t="s">
        <v>2440</v>
      </c>
      <c r="F37" s="621">
        <v>0</v>
      </c>
      <c r="G37" s="622"/>
      <c r="H37" s="622" t="s">
        <v>476</v>
      </c>
      <c r="I37" s="622">
        <v>1</v>
      </c>
      <c r="J37" s="621">
        <v>0</v>
      </c>
      <c r="K37" s="589">
        <v>1</v>
      </c>
      <c r="L37" s="590"/>
      <c r="M37" s="591"/>
      <c r="N37" s="592" t="str">
        <f t="shared" ref="N37:N68" si="3">IF(OR(L37="x", M37="x"), B37 &amp; "; ", "")</f>
        <v/>
      </c>
      <c r="O37" s="592" t="str">
        <f t="shared" si="1"/>
        <v/>
      </c>
      <c r="P37" s="595"/>
      <c r="Q37" s="595"/>
      <c r="R37" s="595"/>
      <c r="S37" s="622" t="s">
        <v>476</v>
      </c>
      <c r="T37" s="594" t="str">
        <f t="shared" ref="T37:T62" si="4">IF(OR(L37="x", M37="x"), S37,"")</f>
        <v/>
      </c>
      <c r="U37" s="797"/>
      <c r="V37" s="611"/>
    </row>
    <row r="38" spans="1:22" ht="15.8" customHeight="1">
      <c r="A38" s="592" t="s">
        <v>1844</v>
      </c>
      <c r="B38" s="592" t="s">
        <v>128</v>
      </c>
      <c r="C38" s="592"/>
      <c r="D38" s="592" t="s">
        <v>550</v>
      </c>
      <c r="E38" s="592" t="s">
        <v>2439</v>
      </c>
      <c r="F38" s="598">
        <v>69</v>
      </c>
      <c r="G38" s="599" t="s">
        <v>1363</v>
      </c>
      <c r="H38" s="599" t="s">
        <v>476</v>
      </c>
      <c r="I38" s="599">
        <v>1</v>
      </c>
      <c r="J38" s="598">
        <v>300</v>
      </c>
      <c r="K38" s="599">
        <v>1</v>
      </c>
      <c r="L38" s="590"/>
      <c r="M38" s="591"/>
      <c r="N38" s="592" t="str">
        <f t="shared" si="3"/>
        <v/>
      </c>
      <c r="O38" s="592" t="str">
        <f t="shared" si="1"/>
        <v/>
      </c>
      <c r="P38" s="593" t="s">
        <v>128</v>
      </c>
      <c r="Q38" s="593" t="s">
        <v>2454</v>
      </c>
      <c r="R38" s="593" t="s">
        <v>2572</v>
      </c>
      <c r="S38" s="599" t="s">
        <v>476</v>
      </c>
      <c r="T38" s="594" t="str">
        <f t="shared" si="4"/>
        <v/>
      </c>
      <c r="U38" s="600"/>
      <c r="V38" s="611"/>
    </row>
    <row r="39" spans="1:22" ht="15.8" customHeight="1">
      <c r="A39" s="592" t="s">
        <v>1851</v>
      </c>
      <c r="B39" s="592" t="s">
        <v>876</v>
      </c>
      <c r="C39" s="592"/>
      <c r="D39" s="592" t="s">
        <v>550</v>
      </c>
      <c r="E39" s="592" t="s">
        <v>2422</v>
      </c>
      <c r="F39" s="598">
        <v>130</v>
      </c>
      <c r="G39" s="599" t="s">
        <v>1363</v>
      </c>
      <c r="H39" s="599" t="s">
        <v>476</v>
      </c>
      <c r="I39" s="599">
        <v>1</v>
      </c>
      <c r="J39" s="598">
        <v>300</v>
      </c>
      <c r="K39" s="599">
        <v>1</v>
      </c>
      <c r="L39" s="601"/>
      <c r="M39" s="602"/>
      <c r="N39" s="592" t="str">
        <f t="shared" si="3"/>
        <v/>
      </c>
      <c r="O39" s="592" t="str">
        <f t="shared" si="1"/>
        <v/>
      </c>
      <c r="P39" s="593" t="s">
        <v>132</v>
      </c>
      <c r="Q39" s="593" t="s">
        <v>2454</v>
      </c>
      <c r="R39" s="593" t="s">
        <v>2572</v>
      </c>
      <c r="S39" s="599" t="s">
        <v>476</v>
      </c>
      <c r="T39" s="594" t="str">
        <f t="shared" si="4"/>
        <v/>
      </c>
      <c r="U39" s="615"/>
      <c r="V39" s="800"/>
    </row>
    <row r="40" spans="1:22" ht="15.8" customHeight="1">
      <c r="A40" s="592" t="s">
        <v>1847</v>
      </c>
      <c r="B40" s="592" t="s">
        <v>875</v>
      </c>
      <c r="C40" s="592"/>
      <c r="D40" s="592" t="s">
        <v>550</v>
      </c>
      <c r="E40" s="592" t="s">
        <v>2422</v>
      </c>
      <c r="F40" s="598">
        <v>130</v>
      </c>
      <c r="G40" s="599" t="s">
        <v>1363</v>
      </c>
      <c r="H40" s="599" t="s">
        <v>476</v>
      </c>
      <c r="I40" s="599">
        <v>1</v>
      </c>
      <c r="J40" s="598">
        <v>300</v>
      </c>
      <c r="K40" s="599">
        <v>1</v>
      </c>
      <c r="L40" s="601"/>
      <c r="M40" s="602"/>
      <c r="N40" s="592" t="str">
        <f t="shared" si="3"/>
        <v/>
      </c>
      <c r="O40" s="592" t="str">
        <f t="shared" si="1"/>
        <v/>
      </c>
      <c r="P40" s="593" t="s">
        <v>130</v>
      </c>
      <c r="Q40" s="593" t="s">
        <v>2454</v>
      </c>
      <c r="R40" s="593" t="s">
        <v>2572</v>
      </c>
      <c r="S40" s="599" t="s">
        <v>476</v>
      </c>
      <c r="T40" s="594" t="str">
        <f t="shared" si="4"/>
        <v/>
      </c>
      <c r="U40" s="615"/>
      <c r="V40" s="611"/>
    </row>
    <row r="41" spans="1:22" ht="15.8" customHeight="1">
      <c r="A41" s="592" t="s">
        <v>1845</v>
      </c>
      <c r="B41" s="592" t="s">
        <v>873</v>
      </c>
      <c r="C41" s="592" t="s">
        <v>2421</v>
      </c>
      <c r="D41" s="592" t="s">
        <v>550</v>
      </c>
      <c r="E41" s="592" t="s">
        <v>2420</v>
      </c>
      <c r="F41" s="598">
        <v>130</v>
      </c>
      <c r="G41" s="599" t="s">
        <v>1363</v>
      </c>
      <c r="H41" s="599" t="s">
        <v>476</v>
      </c>
      <c r="I41" s="599">
        <v>1</v>
      </c>
      <c r="J41" s="598">
        <v>300</v>
      </c>
      <c r="K41" s="599">
        <v>1</v>
      </c>
      <c r="L41" s="601"/>
      <c r="M41" s="602"/>
      <c r="N41" s="592" t="str">
        <f t="shared" si="3"/>
        <v/>
      </c>
      <c r="O41" s="592" t="str">
        <f t="shared" si="1"/>
        <v/>
      </c>
      <c r="P41" s="593" t="s">
        <v>292</v>
      </c>
      <c r="Q41" s="593" t="s">
        <v>2454</v>
      </c>
      <c r="R41" s="593" t="s">
        <v>2572</v>
      </c>
      <c r="S41" s="599" t="s">
        <v>476</v>
      </c>
      <c r="T41" s="594" t="str">
        <f t="shared" si="4"/>
        <v/>
      </c>
      <c r="U41" s="600"/>
      <c r="V41" s="611"/>
    </row>
    <row r="42" spans="1:22" ht="15.8" customHeight="1">
      <c r="A42" s="620" t="s">
        <v>1841</v>
      </c>
      <c r="B42" s="620" t="s">
        <v>870</v>
      </c>
      <c r="C42" s="620"/>
      <c r="D42" s="620" t="s">
        <v>550</v>
      </c>
      <c r="E42" s="620" t="s">
        <v>2420</v>
      </c>
      <c r="F42" s="621">
        <v>130</v>
      </c>
      <c r="G42" s="622"/>
      <c r="H42" s="622" t="s">
        <v>476</v>
      </c>
      <c r="I42" s="622">
        <v>1</v>
      </c>
      <c r="J42" s="621">
        <v>300</v>
      </c>
      <c r="K42" s="599">
        <v>1</v>
      </c>
      <c r="L42" s="590"/>
      <c r="M42" s="591"/>
      <c r="N42" s="592" t="str">
        <f t="shared" si="3"/>
        <v/>
      </c>
      <c r="O42" s="592" t="str">
        <f t="shared" si="1"/>
        <v/>
      </c>
      <c r="P42" s="593" t="s">
        <v>2696</v>
      </c>
      <c r="Q42" s="593" t="s">
        <v>2454</v>
      </c>
      <c r="R42" s="593" t="s">
        <v>2572</v>
      </c>
      <c r="S42" s="622" t="s">
        <v>476</v>
      </c>
      <c r="T42" s="594" t="str">
        <f t="shared" si="4"/>
        <v/>
      </c>
      <c r="U42" s="615"/>
      <c r="V42" s="600"/>
    </row>
    <row r="43" spans="1:22" ht="15.8" customHeight="1">
      <c r="A43" s="592" t="s">
        <v>1782</v>
      </c>
      <c r="B43" s="592" t="s">
        <v>2355</v>
      </c>
      <c r="C43" s="592" t="s">
        <v>579</v>
      </c>
      <c r="D43" s="592" t="s">
        <v>550</v>
      </c>
      <c r="E43" s="592" t="s">
        <v>2439</v>
      </c>
      <c r="F43" s="598">
        <v>600</v>
      </c>
      <c r="G43" s="599" t="s">
        <v>1363</v>
      </c>
      <c r="H43" s="599" t="s">
        <v>476</v>
      </c>
      <c r="I43" s="599">
        <v>1</v>
      </c>
      <c r="J43" s="598">
        <v>1300</v>
      </c>
      <c r="K43" s="599">
        <v>1</v>
      </c>
      <c r="L43" s="590"/>
      <c r="M43" s="591"/>
      <c r="N43" s="592" t="str">
        <f t="shared" si="3"/>
        <v/>
      </c>
      <c r="O43" s="592" t="str">
        <f t="shared" si="1"/>
        <v/>
      </c>
      <c r="P43" s="593" t="s">
        <v>2355</v>
      </c>
      <c r="Q43" s="593" t="s">
        <v>2454</v>
      </c>
      <c r="R43" s="593" t="s">
        <v>2560</v>
      </c>
      <c r="S43" s="599" t="s">
        <v>476</v>
      </c>
      <c r="T43" s="594" t="str">
        <f t="shared" si="4"/>
        <v/>
      </c>
      <c r="U43" s="611"/>
      <c r="V43" s="611"/>
    </row>
    <row r="44" spans="1:22" ht="15.8" customHeight="1">
      <c r="A44" s="592" t="s">
        <v>1850</v>
      </c>
      <c r="B44" s="592" t="s">
        <v>123</v>
      </c>
      <c r="C44" s="592"/>
      <c r="D44" s="592" t="s">
        <v>550</v>
      </c>
      <c r="E44" s="592" t="s">
        <v>2439</v>
      </c>
      <c r="F44" s="598">
        <v>3500</v>
      </c>
      <c r="G44" s="599" t="s">
        <v>1363</v>
      </c>
      <c r="H44" s="599" t="s">
        <v>476</v>
      </c>
      <c r="I44" s="599">
        <v>1</v>
      </c>
      <c r="J44" s="598">
        <v>4500</v>
      </c>
      <c r="K44" s="599">
        <v>1</v>
      </c>
      <c r="L44" s="601"/>
      <c r="M44" s="602"/>
      <c r="N44" s="592" t="str">
        <f t="shared" si="3"/>
        <v/>
      </c>
      <c r="O44" s="592" t="str">
        <f t="shared" si="1"/>
        <v/>
      </c>
      <c r="P44" s="593" t="s">
        <v>123</v>
      </c>
      <c r="Q44" s="593" t="s">
        <v>2454</v>
      </c>
      <c r="R44" s="593" t="s">
        <v>2572</v>
      </c>
      <c r="S44" s="599" t="s">
        <v>476</v>
      </c>
      <c r="T44" s="594" t="str">
        <f t="shared" si="4"/>
        <v/>
      </c>
      <c r="U44" s="611"/>
      <c r="V44" s="611"/>
    </row>
    <row r="45" spans="1:22" ht="15.8" customHeight="1">
      <c r="A45" s="620" t="s">
        <v>1382</v>
      </c>
      <c r="B45" s="620" t="s">
        <v>1384</v>
      </c>
      <c r="C45" s="620"/>
      <c r="D45" s="620" t="s">
        <v>553</v>
      </c>
      <c r="E45" s="620"/>
      <c r="F45" s="621">
        <v>15179.999999999998</v>
      </c>
      <c r="G45" s="622"/>
      <c r="H45" s="622" t="s">
        <v>476</v>
      </c>
      <c r="I45" s="622">
        <v>5</v>
      </c>
      <c r="J45" s="621">
        <v>19700</v>
      </c>
      <c r="K45" s="622">
        <v>5</v>
      </c>
      <c r="L45" s="590"/>
      <c r="M45" s="591"/>
      <c r="N45" s="592" t="str">
        <f t="shared" si="3"/>
        <v/>
      </c>
      <c r="O45" s="592" t="str">
        <f t="shared" si="1"/>
        <v/>
      </c>
      <c r="P45" s="593" t="s">
        <v>2676</v>
      </c>
      <c r="Q45" s="593" t="s">
        <v>2488</v>
      </c>
      <c r="R45" s="593" t="s">
        <v>2554</v>
      </c>
      <c r="S45" s="622" t="s">
        <v>476</v>
      </c>
      <c r="T45" s="594" t="str">
        <f t="shared" si="4"/>
        <v/>
      </c>
      <c r="U45" s="615"/>
      <c r="V45" s="600"/>
    </row>
    <row r="46" spans="1:22" ht="15.8" customHeight="1">
      <c r="A46" s="620" t="s">
        <v>1375</v>
      </c>
      <c r="B46" s="620" t="s">
        <v>1377</v>
      </c>
      <c r="C46" s="620"/>
      <c r="D46" s="620" t="s">
        <v>553</v>
      </c>
      <c r="E46" s="620" t="s">
        <v>2705</v>
      </c>
      <c r="F46" s="621">
        <v>11385</v>
      </c>
      <c r="G46" s="622"/>
      <c r="H46" s="622" t="s">
        <v>476</v>
      </c>
      <c r="I46" s="622">
        <v>5</v>
      </c>
      <c r="J46" s="621">
        <v>14800</v>
      </c>
      <c r="K46" s="622">
        <v>5</v>
      </c>
      <c r="L46" s="590"/>
      <c r="M46" s="591"/>
      <c r="N46" s="592" t="str">
        <f t="shared" si="3"/>
        <v/>
      </c>
      <c r="O46" s="592" t="str">
        <f t="shared" si="1"/>
        <v/>
      </c>
      <c r="P46" s="593" t="s">
        <v>2674</v>
      </c>
      <c r="Q46" s="593" t="s">
        <v>2488</v>
      </c>
      <c r="R46" s="593" t="s">
        <v>2554</v>
      </c>
      <c r="S46" s="622" t="s">
        <v>476</v>
      </c>
      <c r="T46" s="594" t="str">
        <f t="shared" si="4"/>
        <v/>
      </c>
      <c r="U46" s="615"/>
      <c r="V46" s="600"/>
    </row>
    <row r="47" spans="1:22" ht="15.8" customHeight="1">
      <c r="A47" s="592" t="s">
        <v>1478</v>
      </c>
      <c r="B47" s="592" t="s">
        <v>1479</v>
      </c>
      <c r="C47" s="592"/>
      <c r="D47" s="592" t="s">
        <v>553</v>
      </c>
      <c r="E47" s="641" t="s">
        <v>2705</v>
      </c>
      <c r="F47" s="598">
        <v>4485</v>
      </c>
      <c r="G47" s="599" t="s">
        <v>1363</v>
      </c>
      <c r="H47" s="599" t="s">
        <v>2810</v>
      </c>
      <c r="I47" s="599">
        <v>5</v>
      </c>
      <c r="J47" s="598">
        <v>5800</v>
      </c>
      <c r="K47" s="599">
        <v>5</v>
      </c>
      <c r="L47" s="590"/>
      <c r="M47" s="591"/>
      <c r="N47" s="592" t="str">
        <f t="shared" si="3"/>
        <v/>
      </c>
      <c r="O47" s="592" t="str">
        <f t="shared" si="1"/>
        <v/>
      </c>
      <c r="P47" s="593" t="s">
        <v>2600</v>
      </c>
      <c r="Q47" s="593" t="s">
        <v>2488</v>
      </c>
      <c r="R47" s="593" t="s">
        <v>2489</v>
      </c>
      <c r="S47" s="599" t="s">
        <v>2810</v>
      </c>
      <c r="T47" s="594" t="str">
        <f t="shared" si="4"/>
        <v/>
      </c>
      <c r="U47" s="611"/>
      <c r="V47" s="600"/>
    </row>
    <row r="48" spans="1:22" ht="17" customHeight="1">
      <c r="A48" s="608" t="s">
        <v>1478</v>
      </c>
      <c r="B48" s="592" t="s">
        <v>1479</v>
      </c>
      <c r="C48" s="595"/>
      <c r="D48" s="608" t="s">
        <v>553</v>
      </c>
      <c r="E48" s="608" t="s">
        <v>553</v>
      </c>
      <c r="F48" s="598">
        <v>4485</v>
      </c>
      <c r="G48" s="629" t="s">
        <v>1363</v>
      </c>
      <c r="H48" s="599" t="s">
        <v>2810</v>
      </c>
      <c r="I48" s="599">
        <v>5</v>
      </c>
      <c r="J48" s="598">
        <v>5830</v>
      </c>
      <c r="K48" s="629"/>
      <c r="L48" s="590"/>
      <c r="M48" s="591"/>
      <c r="N48" s="592" t="str">
        <f t="shared" si="3"/>
        <v/>
      </c>
      <c r="O48" s="592" t="str">
        <f t="shared" si="1"/>
        <v/>
      </c>
      <c r="P48" s="593"/>
      <c r="Q48" s="593"/>
      <c r="R48" s="1121" t="s">
        <v>2554</v>
      </c>
      <c r="S48" s="629"/>
      <c r="T48" s="594" t="str">
        <f t="shared" si="4"/>
        <v/>
      </c>
      <c r="U48" s="600"/>
      <c r="V48" s="611"/>
    </row>
    <row r="49" spans="1:28" s="618" customFormat="1" ht="15.8" customHeight="1">
      <c r="A49" s="587" t="s">
        <v>1610</v>
      </c>
      <c r="B49" s="587" t="s">
        <v>730</v>
      </c>
      <c r="C49" s="587"/>
      <c r="D49" s="587" t="s">
        <v>559</v>
      </c>
      <c r="E49" s="587" t="s">
        <v>559</v>
      </c>
      <c r="F49" s="588">
        <v>10350</v>
      </c>
      <c r="G49" s="589"/>
      <c r="H49" s="589" t="s">
        <v>731</v>
      </c>
      <c r="I49" s="589">
        <v>17</v>
      </c>
      <c r="J49" s="588">
        <v>13500</v>
      </c>
      <c r="K49" s="589">
        <v>17</v>
      </c>
      <c r="L49" s="590"/>
      <c r="M49" s="591"/>
      <c r="N49" s="592" t="str">
        <f t="shared" si="3"/>
        <v/>
      </c>
      <c r="O49" s="592" t="str">
        <f t="shared" si="1"/>
        <v/>
      </c>
      <c r="P49" s="593" t="s">
        <v>2631</v>
      </c>
      <c r="Q49" s="593" t="s">
        <v>914</v>
      </c>
      <c r="R49" s="593" t="s">
        <v>2523</v>
      </c>
      <c r="S49" s="589" t="s">
        <v>731</v>
      </c>
      <c r="T49" s="594" t="str">
        <f t="shared" si="4"/>
        <v/>
      </c>
      <c r="U49" s="600"/>
      <c r="V49" s="611"/>
      <c r="W49" s="785"/>
      <c r="X49" s="785"/>
      <c r="Y49" s="785"/>
      <c r="Z49" s="785"/>
      <c r="AA49" s="785"/>
      <c r="AB49" s="785"/>
    </row>
    <row r="50" spans="1:28" s="618" customFormat="1" ht="15.8" customHeight="1">
      <c r="A50" s="587" t="s">
        <v>1854</v>
      </c>
      <c r="B50" s="587" t="s">
        <v>877</v>
      </c>
      <c r="C50" s="587"/>
      <c r="D50" s="587" t="s">
        <v>559</v>
      </c>
      <c r="E50" s="587" t="s">
        <v>559</v>
      </c>
      <c r="F50" s="588">
        <v>22770</v>
      </c>
      <c r="G50" s="589"/>
      <c r="H50" s="589" t="s">
        <v>2811</v>
      </c>
      <c r="I50" s="589" t="s">
        <v>1856</v>
      </c>
      <c r="J50" s="588">
        <v>29600</v>
      </c>
      <c r="K50" s="589" t="s">
        <v>1856</v>
      </c>
      <c r="L50" s="590"/>
      <c r="M50" s="591"/>
      <c r="N50" s="592" t="str">
        <f t="shared" si="3"/>
        <v/>
      </c>
      <c r="O50" s="592" t="str">
        <f t="shared" si="1"/>
        <v/>
      </c>
      <c r="P50" s="593" t="s">
        <v>877</v>
      </c>
      <c r="Q50" s="593" t="s">
        <v>910</v>
      </c>
      <c r="R50" s="593" t="s">
        <v>2574</v>
      </c>
      <c r="S50" s="589" t="s">
        <v>2811</v>
      </c>
      <c r="T50" s="594" t="str">
        <f t="shared" si="4"/>
        <v/>
      </c>
      <c r="U50" s="611"/>
      <c r="V50" s="800"/>
      <c r="W50" s="785"/>
      <c r="X50" s="785"/>
      <c r="Y50" s="785"/>
      <c r="Z50" s="785"/>
      <c r="AA50" s="785"/>
      <c r="AB50" s="785"/>
    </row>
    <row r="51" spans="1:28" s="618" customFormat="1" ht="15.8" customHeight="1">
      <c r="A51" s="587" t="s">
        <v>1853</v>
      </c>
      <c r="B51" s="587" t="s">
        <v>399</v>
      </c>
      <c r="C51" s="587"/>
      <c r="D51" s="587" t="s">
        <v>550</v>
      </c>
      <c r="E51" s="587" t="s">
        <v>2432</v>
      </c>
      <c r="F51" s="588">
        <v>14300</v>
      </c>
      <c r="G51" s="589"/>
      <c r="H51" s="589" t="s">
        <v>476</v>
      </c>
      <c r="I51" s="589">
        <v>17</v>
      </c>
      <c r="J51" s="597">
        <v>18000</v>
      </c>
      <c r="K51" s="589">
        <v>17</v>
      </c>
      <c r="L51" s="590"/>
      <c r="M51" s="591"/>
      <c r="N51" s="592" t="str">
        <f t="shared" si="3"/>
        <v/>
      </c>
      <c r="O51" s="592" t="str">
        <f t="shared" si="1"/>
        <v/>
      </c>
      <c r="P51" s="593" t="s">
        <v>399</v>
      </c>
      <c r="Q51" s="593" t="s">
        <v>2454</v>
      </c>
      <c r="R51" s="593" t="s">
        <v>2455</v>
      </c>
      <c r="S51" s="589" t="s">
        <v>476</v>
      </c>
      <c r="T51" s="594" t="str">
        <f t="shared" si="4"/>
        <v/>
      </c>
      <c r="U51" s="615"/>
      <c r="V51" s="800"/>
      <c r="W51" s="785"/>
      <c r="X51" s="785"/>
      <c r="Y51" s="785"/>
      <c r="Z51" s="785"/>
      <c r="AA51" s="785"/>
      <c r="AB51" s="785"/>
    </row>
    <row r="52" spans="1:28" s="627" customFormat="1" ht="15.8" customHeight="1">
      <c r="A52" s="620" t="s">
        <v>1369</v>
      </c>
      <c r="B52" s="620" t="s">
        <v>2368</v>
      </c>
      <c r="C52" s="620" t="s">
        <v>2369</v>
      </c>
      <c r="D52" s="620" t="s">
        <v>559</v>
      </c>
      <c r="E52" s="620" t="s">
        <v>559</v>
      </c>
      <c r="F52" s="621">
        <v>5500</v>
      </c>
      <c r="G52" s="622"/>
      <c r="H52" s="622" t="s">
        <v>476</v>
      </c>
      <c r="I52" s="622">
        <v>17</v>
      </c>
      <c r="J52" s="621">
        <v>7200</v>
      </c>
      <c r="K52" s="622">
        <v>17</v>
      </c>
      <c r="L52" s="590"/>
      <c r="M52" s="591"/>
      <c r="N52" s="592" t="str">
        <f t="shared" si="3"/>
        <v/>
      </c>
      <c r="O52" s="592" t="str">
        <f t="shared" si="1"/>
        <v/>
      </c>
      <c r="P52" s="593" t="s">
        <v>1370</v>
      </c>
      <c r="Q52" s="593" t="s">
        <v>2456</v>
      </c>
      <c r="R52" s="593" t="s">
        <v>2457</v>
      </c>
      <c r="S52" s="622" t="s">
        <v>476</v>
      </c>
      <c r="T52" s="594" t="str">
        <f t="shared" si="4"/>
        <v/>
      </c>
      <c r="U52" s="600"/>
      <c r="V52" s="611"/>
      <c r="W52" s="596"/>
    </row>
    <row r="53" spans="1:28" ht="15.8" customHeight="1">
      <c r="A53" s="592" t="s">
        <v>1839</v>
      </c>
      <c r="B53" s="592" t="s">
        <v>1840</v>
      </c>
      <c r="C53" s="592"/>
      <c r="D53" s="592" t="s">
        <v>550</v>
      </c>
      <c r="E53" s="620" t="s">
        <v>2439</v>
      </c>
      <c r="F53" s="598">
        <v>69</v>
      </c>
      <c r="G53" s="599" t="s">
        <v>1363</v>
      </c>
      <c r="H53" s="599" t="s">
        <v>476</v>
      </c>
      <c r="I53" s="599">
        <v>1</v>
      </c>
      <c r="J53" s="598">
        <v>800</v>
      </c>
      <c r="K53" s="599">
        <v>1</v>
      </c>
      <c r="L53" s="590"/>
      <c r="M53" s="591"/>
      <c r="N53" s="592" t="str">
        <f t="shared" si="3"/>
        <v/>
      </c>
      <c r="O53" s="592" t="str">
        <f t="shared" si="1"/>
        <v/>
      </c>
      <c r="P53" s="593" t="s">
        <v>1840</v>
      </c>
      <c r="Q53" s="593" t="s">
        <v>2454</v>
      </c>
      <c r="R53" s="593" t="s">
        <v>2572</v>
      </c>
      <c r="S53" s="599" t="s">
        <v>476</v>
      </c>
      <c r="T53" s="594" t="str">
        <f t="shared" si="4"/>
        <v/>
      </c>
      <c r="U53" s="615"/>
      <c r="V53" s="600"/>
    </row>
    <row r="54" spans="1:28" ht="15.8" customHeight="1">
      <c r="A54" s="1248" t="s">
        <v>1843</v>
      </c>
      <c r="B54" s="1248" t="s">
        <v>872</v>
      </c>
      <c r="C54" s="1248"/>
      <c r="D54" s="1248" t="s">
        <v>562</v>
      </c>
      <c r="E54" s="1248" t="s">
        <v>562</v>
      </c>
      <c r="F54" s="1253">
        <v>13799.999999999998</v>
      </c>
      <c r="G54" s="1254"/>
      <c r="H54" s="1254" t="s">
        <v>476</v>
      </c>
      <c r="I54" s="1254">
        <v>14</v>
      </c>
      <c r="J54" s="1253">
        <v>17940</v>
      </c>
      <c r="K54" s="1254">
        <v>14</v>
      </c>
      <c r="L54" s="1255"/>
      <c r="M54" s="1249"/>
      <c r="N54" s="1256" t="str">
        <f t="shared" si="3"/>
        <v/>
      </c>
      <c r="O54" s="1256" t="str">
        <f t="shared" si="1"/>
        <v/>
      </c>
      <c r="P54" s="1257"/>
      <c r="Q54" s="1257"/>
      <c r="R54" s="1257"/>
      <c r="S54" s="1254" t="s">
        <v>476</v>
      </c>
      <c r="T54" s="1258" t="str">
        <f t="shared" si="4"/>
        <v/>
      </c>
      <c r="U54" s="1251"/>
      <c r="V54" s="1251"/>
    </row>
    <row r="55" spans="1:28" ht="15.8" customHeight="1">
      <c r="A55" s="620" t="s">
        <v>1838</v>
      </c>
      <c r="B55" s="620" t="s">
        <v>869</v>
      </c>
      <c r="C55" s="620"/>
      <c r="D55" s="620" t="s">
        <v>550</v>
      </c>
      <c r="E55" s="767" t="s">
        <v>2440</v>
      </c>
      <c r="F55" s="621">
        <v>11500</v>
      </c>
      <c r="G55" s="622"/>
      <c r="H55" s="622" t="s">
        <v>476</v>
      </c>
      <c r="I55" s="622">
        <v>1</v>
      </c>
      <c r="J55" s="597">
        <v>15000</v>
      </c>
      <c r="K55" s="589">
        <v>1</v>
      </c>
      <c r="L55" s="590"/>
      <c r="M55" s="591"/>
      <c r="N55" s="592" t="str">
        <f t="shared" si="3"/>
        <v/>
      </c>
      <c r="O55" s="592" t="str">
        <f t="shared" si="1"/>
        <v/>
      </c>
      <c r="P55" s="593" t="s">
        <v>869</v>
      </c>
      <c r="Q55" s="593" t="s">
        <v>2454</v>
      </c>
      <c r="R55" s="593" t="s">
        <v>2573</v>
      </c>
      <c r="S55" s="622" t="s">
        <v>476</v>
      </c>
      <c r="T55" s="594" t="str">
        <f t="shared" si="4"/>
        <v/>
      </c>
      <c r="U55" s="615"/>
      <c r="V55" s="611"/>
    </row>
    <row r="56" spans="1:28" ht="15.8" customHeight="1">
      <c r="A56" s="587" t="s">
        <v>1857</v>
      </c>
      <c r="B56" s="587" t="s">
        <v>879</v>
      </c>
      <c r="C56" s="587"/>
      <c r="D56" s="587" t="s">
        <v>607</v>
      </c>
      <c r="E56" s="587" t="s">
        <v>2741</v>
      </c>
      <c r="F56" s="588">
        <v>4500</v>
      </c>
      <c r="G56" s="589"/>
      <c r="H56" s="589" t="s">
        <v>880</v>
      </c>
      <c r="I56" s="589" t="s">
        <v>350</v>
      </c>
      <c r="J56" s="588">
        <v>5850</v>
      </c>
      <c r="K56" s="589" t="s">
        <v>350</v>
      </c>
      <c r="L56" s="590"/>
      <c r="M56" s="591"/>
      <c r="N56" s="592" t="str">
        <f t="shared" si="3"/>
        <v/>
      </c>
      <c r="O56" s="592" t="str">
        <f t="shared" si="1"/>
        <v/>
      </c>
      <c r="P56" s="593" t="s">
        <v>879</v>
      </c>
      <c r="Q56" s="593" t="s">
        <v>2575</v>
      </c>
      <c r="R56" s="593" t="s">
        <v>2576</v>
      </c>
      <c r="S56" s="589" t="s">
        <v>880</v>
      </c>
      <c r="T56" s="594" t="str">
        <f t="shared" si="4"/>
        <v/>
      </c>
      <c r="V56" s="800"/>
    </row>
    <row r="57" spans="1:28" s="628" customFormat="1" ht="15.8" customHeight="1">
      <c r="A57" s="620" t="s">
        <v>1836</v>
      </c>
      <c r="B57" s="620" t="s">
        <v>129</v>
      </c>
      <c r="C57" s="620"/>
      <c r="D57" s="620" t="s">
        <v>550</v>
      </c>
      <c r="E57" s="620" t="s">
        <v>2431</v>
      </c>
      <c r="F57" s="621">
        <v>229.99999999999997</v>
      </c>
      <c r="G57" s="622"/>
      <c r="H57" s="622" t="s">
        <v>476</v>
      </c>
      <c r="I57" s="622">
        <v>1</v>
      </c>
      <c r="J57" s="621">
        <v>400</v>
      </c>
      <c r="K57" s="622">
        <v>1</v>
      </c>
      <c r="L57" s="601"/>
      <c r="M57" s="591"/>
      <c r="N57" s="592" t="str">
        <f t="shared" si="3"/>
        <v/>
      </c>
      <c r="O57" s="592" t="str">
        <f t="shared" si="1"/>
        <v/>
      </c>
      <c r="P57" s="593" t="s">
        <v>129</v>
      </c>
      <c r="Q57" s="593" t="s">
        <v>2454</v>
      </c>
      <c r="R57" s="593" t="s">
        <v>2572</v>
      </c>
      <c r="S57" s="622" t="s">
        <v>476</v>
      </c>
      <c r="T57" s="594" t="str">
        <f t="shared" si="4"/>
        <v/>
      </c>
      <c r="U57" s="615"/>
      <c r="V57" s="600"/>
      <c r="W57" s="596"/>
      <c r="X57" s="786"/>
    </row>
    <row r="58" spans="1:28" ht="15.8" customHeight="1">
      <c r="A58" s="587" t="s">
        <v>1629</v>
      </c>
      <c r="B58" s="587" t="s">
        <v>743</v>
      </c>
      <c r="C58" s="587"/>
      <c r="D58" s="587" t="s">
        <v>602</v>
      </c>
      <c r="E58" s="587" t="s">
        <v>2446</v>
      </c>
      <c r="F58" s="588">
        <v>9200</v>
      </c>
      <c r="G58" s="589"/>
      <c r="H58" s="589" t="s">
        <v>476</v>
      </c>
      <c r="I58" s="589" t="s">
        <v>587</v>
      </c>
      <c r="J58" s="588">
        <v>11960</v>
      </c>
      <c r="K58" s="589" t="s">
        <v>587</v>
      </c>
      <c r="L58" s="590"/>
      <c r="M58" s="591"/>
      <c r="N58" s="592" t="str">
        <f t="shared" si="3"/>
        <v/>
      </c>
      <c r="O58" s="592" t="str">
        <f t="shared" si="1"/>
        <v/>
      </c>
      <c r="P58" s="593" t="s">
        <v>743</v>
      </c>
      <c r="Q58" s="593" t="s">
        <v>2454</v>
      </c>
      <c r="R58" s="593" t="s">
        <v>2533</v>
      </c>
      <c r="S58" s="589" t="s">
        <v>476</v>
      </c>
      <c r="T58" s="594" t="str">
        <f t="shared" si="4"/>
        <v/>
      </c>
      <c r="U58" s="611"/>
      <c r="V58" s="614"/>
    </row>
    <row r="59" spans="1:28" ht="15.8" customHeight="1">
      <c r="A59" s="587" t="s">
        <v>1852</v>
      </c>
      <c r="B59" s="587" t="s">
        <v>398</v>
      </c>
      <c r="C59" s="587"/>
      <c r="D59" s="587" t="s">
        <v>868</v>
      </c>
      <c r="E59" s="620" t="s">
        <v>2742</v>
      </c>
      <c r="F59" s="588">
        <v>14300</v>
      </c>
      <c r="G59" s="589"/>
      <c r="H59" s="589" t="s">
        <v>476</v>
      </c>
      <c r="I59" s="589">
        <v>17</v>
      </c>
      <c r="J59" s="597">
        <v>18000</v>
      </c>
      <c r="K59" s="589">
        <v>17</v>
      </c>
      <c r="L59" s="590"/>
      <c r="M59" s="591"/>
      <c r="N59" s="592" t="str">
        <f t="shared" si="3"/>
        <v/>
      </c>
      <c r="O59" s="592" t="str">
        <f t="shared" si="1"/>
        <v/>
      </c>
      <c r="P59" s="593" t="s">
        <v>398</v>
      </c>
      <c r="Q59" s="593" t="s">
        <v>2454</v>
      </c>
      <c r="R59" s="593" t="s">
        <v>2455</v>
      </c>
      <c r="S59" s="589" t="s">
        <v>476</v>
      </c>
      <c r="T59" s="594" t="str">
        <f t="shared" si="4"/>
        <v/>
      </c>
      <c r="U59" s="611"/>
      <c r="V59" s="800"/>
    </row>
    <row r="60" spans="1:28" ht="15.8" customHeight="1">
      <c r="A60" s="587" t="s">
        <v>1858</v>
      </c>
      <c r="B60" s="587" t="s">
        <v>2409</v>
      </c>
      <c r="C60" s="587"/>
      <c r="D60" s="587" t="s">
        <v>562</v>
      </c>
      <c r="E60" s="587" t="s">
        <v>562</v>
      </c>
      <c r="F60" s="588">
        <v>33300</v>
      </c>
      <c r="G60" s="589"/>
      <c r="H60" s="589" t="s">
        <v>476</v>
      </c>
      <c r="I60" s="589">
        <v>17</v>
      </c>
      <c r="J60" s="597">
        <v>39500</v>
      </c>
      <c r="K60" s="589">
        <v>17</v>
      </c>
      <c r="L60" s="590"/>
      <c r="M60" s="591"/>
      <c r="N60" s="592" t="str">
        <f t="shared" si="3"/>
        <v/>
      </c>
      <c r="O60" s="592" t="str">
        <f t="shared" si="1"/>
        <v/>
      </c>
      <c r="P60" s="593" t="s">
        <v>2697</v>
      </c>
      <c r="Q60" s="593" t="s">
        <v>2454</v>
      </c>
      <c r="R60" s="593" t="s">
        <v>2577</v>
      </c>
      <c r="S60" s="589" t="s">
        <v>476</v>
      </c>
      <c r="T60" s="594" t="str">
        <f t="shared" si="4"/>
        <v/>
      </c>
      <c r="U60" s="611"/>
      <c r="V60" s="800"/>
    </row>
    <row r="61" spans="1:28" ht="15.8" customHeight="1">
      <c r="A61" s="592" t="s">
        <v>1842</v>
      </c>
      <c r="B61" s="592" t="s">
        <v>871</v>
      </c>
      <c r="C61" s="592"/>
      <c r="D61" s="592" t="s">
        <v>550</v>
      </c>
      <c r="E61" s="592" t="s">
        <v>2434</v>
      </c>
      <c r="F61" s="598">
        <v>69</v>
      </c>
      <c r="G61" s="599" t="s">
        <v>1363</v>
      </c>
      <c r="H61" s="599" t="s">
        <v>476</v>
      </c>
      <c r="I61" s="599">
        <v>1</v>
      </c>
      <c r="J61" s="598">
        <v>300</v>
      </c>
      <c r="K61" s="599">
        <v>1</v>
      </c>
      <c r="L61" s="601"/>
      <c r="M61" s="602"/>
      <c r="N61" s="592" t="str">
        <f t="shared" si="3"/>
        <v/>
      </c>
      <c r="O61" s="592" t="str">
        <f t="shared" si="1"/>
        <v/>
      </c>
      <c r="P61" s="593" t="s">
        <v>871</v>
      </c>
      <c r="Q61" s="593" t="s">
        <v>2454</v>
      </c>
      <c r="R61" s="593" t="s">
        <v>2572</v>
      </c>
      <c r="S61" s="599" t="s">
        <v>476</v>
      </c>
      <c r="T61" s="594" t="str">
        <f t="shared" si="4"/>
        <v/>
      </c>
      <c r="U61" s="615"/>
      <c r="V61" s="615"/>
    </row>
    <row r="62" spans="1:28" s="618" customFormat="1" ht="15.8" customHeight="1">
      <c r="A62" s="620" t="s">
        <v>1837</v>
      </c>
      <c r="B62" s="620" t="s">
        <v>867</v>
      </c>
      <c r="C62" s="620"/>
      <c r="D62" s="620" t="s">
        <v>868</v>
      </c>
      <c r="E62" s="620" t="s">
        <v>2742</v>
      </c>
      <c r="F62" s="621">
        <v>13914.999999999998</v>
      </c>
      <c r="G62" s="622"/>
      <c r="H62" s="622" t="s">
        <v>476</v>
      </c>
      <c r="I62" s="622">
        <v>17</v>
      </c>
      <c r="J62" s="621">
        <v>18000</v>
      </c>
      <c r="K62" s="622">
        <v>17</v>
      </c>
      <c r="L62" s="590"/>
      <c r="M62" s="591"/>
      <c r="N62" s="592" t="str">
        <f t="shared" si="3"/>
        <v/>
      </c>
      <c r="O62" s="592" t="str">
        <f t="shared" si="1"/>
        <v/>
      </c>
      <c r="P62" s="593" t="s">
        <v>867</v>
      </c>
      <c r="Q62" s="593" t="s">
        <v>2454</v>
      </c>
      <c r="R62" s="593" t="s">
        <v>2455</v>
      </c>
      <c r="S62" s="622" t="s">
        <v>476</v>
      </c>
      <c r="T62" s="594" t="str">
        <f t="shared" si="4"/>
        <v/>
      </c>
      <c r="U62" s="611"/>
      <c r="V62" s="615"/>
      <c r="W62" s="785"/>
      <c r="X62" s="785"/>
      <c r="Y62" s="785"/>
      <c r="Z62" s="785"/>
      <c r="AA62" s="785"/>
      <c r="AB62" s="785"/>
    </row>
    <row r="63" spans="1:28" s="618" customFormat="1" ht="15.8" customHeight="1">
      <c r="A63" s="620" t="s">
        <v>6142</v>
      </c>
      <c r="B63" s="620" t="s">
        <v>6143</v>
      </c>
      <c r="C63" s="620"/>
      <c r="D63" s="620" t="s">
        <v>6132</v>
      </c>
      <c r="E63" s="620" t="s">
        <v>6132</v>
      </c>
      <c r="F63" s="621">
        <v>8000</v>
      </c>
      <c r="G63" s="622"/>
      <c r="H63" s="622" t="s">
        <v>476</v>
      </c>
      <c r="I63" s="622">
        <v>15</v>
      </c>
      <c r="J63" s="621">
        <v>10400</v>
      </c>
      <c r="K63" s="622">
        <v>5</v>
      </c>
      <c r="L63" s="590"/>
      <c r="M63" s="591"/>
      <c r="N63" s="592" t="str">
        <f t="shared" si="3"/>
        <v/>
      </c>
      <c r="O63" s="592" t="str">
        <f t="shared" si="1"/>
        <v/>
      </c>
      <c r="P63" s="593"/>
      <c r="Q63" s="593" t="s">
        <v>2486</v>
      </c>
      <c r="R63" s="593" t="s">
        <v>2560</v>
      </c>
      <c r="S63" s="622" t="s">
        <v>476</v>
      </c>
      <c r="T63" s="594"/>
      <c r="U63" s="611"/>
      <c r="V63" s="600"/>
      <c r="W63" s="785"/>
      <c r="X63" s="785"/>
      <c r="Y63" s="785"/>
      <c r="Z63" s="785"/>
      <c r="AA63" s="785"/>
      <c r="AB63" s="785"/>
    </row>
    <row r="64" spans="1:28" ht="15.8" customHeight="1">
      <c r="A64" s="620" t="s">
        <v>6144</v>
      </c>
      <c r="B64" s="620" t="s">
        <v>6145</v>
      </c>
      <c r="C64" s="620"/>
      <c r="D64" s="620" t="s">
        <v>6132</v>
      </c>
      <c r="E64" s="620" t="s">
        <v>6132</v>
      </c>
      <c r="F64" s="621">
        <v>8000</v>
      </c>
      <c r="G64" s="622"/>
      <c r="H64" s="622" t="s">
        <v>476</v>
      </c>
      <c r="I64" s="622">
        <v>15</v>
      </c>
      <c r="J64" s="621">
        <v>10400</v>
      </c>
      <c r="K64" s="622">
        <v>5</v>
      </c>
      <c r="L64" s="590"/>
      <c r="M64" s="591"/>
      <c r="N64" s="592" t="str">
        <f t="shared" si="3"/>
        <v/>
      </c>
      <c r="O64" s="592" t="str">
        <f t="shared" si="1"/>
        <v/>
      </c>
      <c r="P64" s="593"/>
      <c r="Q64" s="593" t="s">
        <v>2486</v>
      </c>
      <c r="R64" s="593" t="s">
        <v>2560</v>
      </c>
      <c r="S64" s="622" t="s">
        <v>476</v>
      </c>
      <c r="T64" s="594"/>
      <c r="U64" s="611"/>
      <c r="V64" s="600"/>
    </row>
    <row r="65" spans="1:28" ht="15.8" customHeight="1">
      <c r="A65" s="587" t="s">
        <v>1695</v>
      </c>
      <c r="B65" s="587" t="s">
        <v>2400</v>
      </c>
      <c r="C65" s="587"/>
      <c r="D65" s="587" t="s">
        <v>553</v>
      </c>
      <c r="E65" s="587" t="s">
        <v>2705</v>
      </c>
      <c r="F65" s="588">
        <v>4485</v>
      </c>
      <c r="G65" s="589"/>
      <c r="H65" s="589" t="s">
        <v>2810</v>
      </c>
      <c r="I65" s="589">
        <v>5</v>
      </c>
      <c r="J65" s="588">
        <v>5900</v>
      </c>
      <c r="K65" s="589">
        <v>5</v>
      </c>
      <c r="L65" s="590"/>
      <c r="M65" s="591"/>
      <c r="N65" s="592" t="str">
        <f t="shared" si="3"/>
        <v/>
      </c>
      <c r="O65" s="592" t="str">
        <f t="shared" si="1"/>
        <v/>
      </c>
      <c r="P65" s="593" t="s">
        <v>2659</v>
      </c>
      <c r="Q65" s="593" t="s">
        <v>2488</v>
      </c>
      <c r="R65" s="593" t="s">
        <v>2489</v>
      </c>
      <c r="S65" s="589" t="s">
        <v>2810</v>
      </c>
      <c r="T65" s="594" t="str">
        <f t="shared" ref="T65:T96" si="5">IF(OR(L65="x", M65="x"), S65,"")</f>
        <v/>
      </c>
      <c r="U65" s="611"/>
      <c r="V65" s="600"/>
    </row>
    <row r="66" spans="1:28" ht="15.8" customHeight="1">
      <c r="A66" s="587" t="s">
        <v>1603</v>
      </c>
      <c r="B66" s="587" t="s">
        <v>726</v>
      </c>
      <c r="C66" s="587"/>
      <c r="D66" s="587" t="s">
        <v>562</v>
      </c>
      <c r="E66" s="587" t="s">
        <v>562</v>
      </c>
      <c r="F66" s="588">
        <v>17000</v>
      </c>
      <c r="G66" s="589"/>
      <c r="H66" s="589" t="s">
        <v>476</v>
      </c>
      <c r="I66" s="589">
        <v>17</v>
      </c>
      <c r="J66" s="588">
        <v>22100</v>
      </c>
      <c r="K66" s="589">
        <v>17</v>
      </c>
      <c r="L66" s="590"/>
      <c r="M66" s="591"/>
      <c r="N66" s="592" t="str">
        <f t="shared" si="3"/>
        <v/>
      </c>
      <c r="O66" s="592" t="str">
        <f t="shared" si="1"/>
        <v/>
      </c>
      <c r="P66" s="593" t="s">
        <v>726</v>
      </c>
      <c r="Q66" s="593" t="s">
        <v>2454</v>
      </c>
      <c r="R66" s="593" t="s">
        <v>2520</v>
      </c>
      <c r="S66" s="589" t="s">
        <v>476</v>
      </c>
      <c r="T66" s="594" t="str">
        <f t="shared" si="5"/>
        <v/>
      </c>
      <c r="U66" s="614"/>
      <c r="V66" s="600"/>
    </row>
    <row r="67" spans="1:28" ht="15.8" customHeight="1">
      <c r="A67" s="620" t="s">
        <v>1808</v>
      </c>
      <c r="B67" s="620" t="s">
        <v>1809</v>
      </c>
      <c r="C67" s="620"/>
      <c r="D67" s="620" t="s">
        <v>550</v>
      </c>
      <c r="E67" s="620" t="s">
        <v>2437</v>
      </c>
      <c r="F67" s="621">
        <v>0</v>
      </c>
      <c r="G67" s="622"/>
      <c r="H67" s="622" t="s">
        <v>551</v>
      </c>
      <c r="I67" s="622">
        <v>1</v>
      </c>
      <c r="J67" s="621">
        <v>0</v>
      </c>
      <c r="K67" s="622">
        <v>1</v>
      </c>
      <c r="L67" s="590"/>
      <c r="M67" s="591"/>
      <c r="N67" s="592" t="str">
        <f t="shared" si="3"/>
        <v/>
      </c>
      <c r="O67" s="592" t="str">
        <f t="shared" si="1"/>
        <v/>
      </c>
      <c r="P67" s="593" t="s">
        <v>1809</v>
      </c>
      <c r="Q67" s="593" t="s">
        <v>2450</v>
      </c>
      <c r="R67" s="593"/>
      <c r="S67" s="622" t="s">
        <v>551</v>
      </c>
      <c r="T67" s="594" t="str">
        <f t="shared" si="5"/>
        <v/>
      </c>
      <c r="U67" s="611"/>
      <c r="V67" s="615"/>
    </row>
    <row r="68" spans="1:28" s="789" customFormat="1" ht="15.8" customHeight="1">
      <c r="A68" s="620" t="s">
        <v>6127</v>
      </c>
      <c r="B68" s="620" t="s">
        <v>6128</v>
      </c>
      <c r="C68" s="620"/>
      <c r="D68" s="587" t="s">
        <v>550</v>
      </c>
      <c r="E68" s="587" t="s">
        <v>2437</v>
      </c>
      <c r="F68" s="588">
        <v>1745</v>
      </c>
      <c r="G68" s="622"/>
      <c r="H68" s="622" t="s">
        <v>551</v>
      </c>
      <c r="I68" s="622">
        <v>1</v>
      </c>
      <c r="J68" s="621">
        <v>4250</v>
      </c>
      <c r="K68" s="622">
        <v>17</v>
      </c>
      <c r="L68" s="590"/>
      <c r="M68" s="591"/>
      <c r="N68" s="592" t="str">
        <f t="shared" si="3"/>
        <v/>
      </c>
      <c r="O68" s="592" t="str">
        <f t="shared" si="1"/>
        <v/>
      </c>
      <c r="P68" s="593" t="s">
        <v>2667</v>
      </c>
      <c r="Q68" s="593" t="s">
        <v>2507</v>
      </c>
      <c r="R68" s="593" t="s">
        <v>2452</v>
      </c>
      <c r="S68" s="589" t="s">
        <v>551</v>
      </c>
      <c r="T68" s="594" t="str">
        <f t="shared" si="5"/>
        <v/>
      </c>
      <c r="U68" s="611"/>
      <c r="V68" s="600"/>
      <c r="W68" s="788"/>
      <c r="X68" s="788"/>
      <c r="Y68" s="788"/>
      <c r="Z68" s="788"/>
      <c r="AA68" s="788"/>
      <c r="AB68" s="788"/>
    </row>
    <row r="69" spans="1:28" ht="15.8" customHeight="1">
      <c r="A69" s="620" t="s">
        <v>1807</v>
      </c>
      <c r="B69" s="620" t="s">
        <v>30</v>
      </c>
      <c r="C69" s="620"/>
      <c r="D69" s="620" t="s">
        <v>550</v>
      </c>
      <c r="E69" s="620" t="s">
        <v>2437</v>
      </c>
      <c r="F69" s="621">
        <v>459.99999999999994</v>
      </c>
      <c r="G69" s="622"/>
      <c r="H69" s="622" t="s">
        <v>551</v>
      </c>
      <c r="I69" s="622">
        <v>1</v>
      </c>
      <c r="J69" s="621">
        <v>850</v>
      </c>
      <c r="K69" s="622">
        <v>1</v>
      </c>
      <c r="L69" s="590"/>
      <c r="M69" s="591"/>
      <c r="N69" s="592" t="str">
        <f t="shared" ref="N69:N100" si="6">IF(OR(L69="x", M69="x"), B69 &amp; "; ", "")</f>
        <v/>
      </c>
      <c r="O69" s="592" t="str">
        <f t="shared" ref="O69:O132" si="7">IF(OR(L69="x", M69="x"), A69 &amp; "     /     ", "")</f>
        <v/>
      </c>
      <c r="P69" s="593" t="s">
        <v>30</v>
      </c>
      <c r="Q69" s="593" t="s">
        <v>2450</v>
      </c>
      <c r="R69" s="593" t="s">
        <v>2452</v>
      </c>
      <c r="S69" s="622" t="s">
        <v>551</v>
      </c>
      <c r="T69" s="594" t="str">
        <f t="shared" si="5"/>
        <v/>
      </c>
      <c r="U69" s="611"/>
      <c r="V69" s="611"/>
    </row>
    <row r="70" spans="1:28" s="618" customFormat="1" ht="15.8" customHeight="1">
      <c r="A70" s="587" t="s">
        <v>1486</v>
      </c>
      <c r="B70" s="587" t="s">
        <v>637</v>
      </c>
      <c r="C70" s="587"/>
      <c r="D70" s="587" t="s">
        <v>88</v>
      </c>
      <c r="E70" s="587" t="s">
        <v>2736</v>
      </c>
      <c r="F70" s="588">
        <v>13900</v>
      </c>
      <c r="G70" s="589"/>
      <c r="H70" s="589" t="s">
        <v>551</v>
      </c>
      <c r="I70" s="589">
        <v>17</v>
      </c>
      <c r="J70" s="588">
        <v>17000</v>
      </c>
      <c r="K70" s="589">
        <v>17</v>
      </c>
      <c r="L70" s="590"/>
      <c r="M70" s="591"/>
      <c r="N70" s="592" t="str">
        <f t="shared" si="6"/>
        <v/>
      </c>
      <c r="O70" s="592" t="str">
        <f t="shared" si="7"/>
        <v/>
      </c>
      <c r="P70" s="593" t="s">
        <v>637</v>
      </c>
      <c r="Q70" s="593" t="s">
        <v>2450</v>
      </c>
      <c r="R70" s="593" t="s">
        <v>2452</v>
      </c>
      <c r="S70" s="589" t="s">
        <v>551</v>
      </c>
      <c r="T70" s="594" t="str">
        <f t="shared" si="5"/>
        <v/>
      </c>
      <c r="U70" s="596"/>
      <c r="V70" s="611"/>
      <c r="W70" s="785"/>
      <c r="X70" s="785"/>
      <c r="Y70" s="785"/>
      <c r="Z70" s="785"/>
      <c r="AA70" s="785"/>
      <c r="AB70" s="785"/>
    </row>
    <row r="71" spans="1:28" s="618" customFormat="1" ht="15.8" customHeight="1">
      <c r="A71" s="587" t="s">
        <v>1633</v>
      </c>
      <c r="B71" s="587" t="s">
        <v>2386</v>
      </c>
      <c r="C71" s="587"/>
      <c r="D71" s="587" t="s">
        <v>567</v>
      </c>
      <c r="E71" s="587" t="s">
        <v>2734</v>
      </c>
      <c r="F71" s="588">
        <v>45850</v>
      </c>
      <c r="G71" s="589"/>
      <c r="H71" s="589" t="s">
        <v>687</v>
      </c>
      <c r="I71" s="589">
        <v>10</v>
      </c>
      <c r="J71" s="588">
        <v>59000</v>
      </c>
      <c r="K71" s="589">
        <v>10</v>
      </c>
      <c r="L71" s="590"/>
      <c r="M71" s="591"/>
      <c r="N71" s="592" t="str">
        <f t="shared" si="6"/>
        <v/>
      </c>
      <c r="O71" s="592" t="str">
        <f t="shared" si="7"/>
        <v/>
      </c>
      <c r="P71" s="593" t="s">
        <v>2639</v>
      </c>
      <c r="Q71" s="593" t="s">
        <v>2534</v>
      </c>
      <c r="R71" s="593" t="s">
        <v>2475</v>
      </c>
      <c r="S71" s="589" t="s">
        <v>687</v>
      </c>
      <c r="T71" s="594" t="str">
        <f t="shared" si="5"/>
        <v/>
      </c>
      <c r="U71" s="611"/>
      <c r="V71" s="600"/>
      <c r="W71" s="785"/>
      <c r="X71" s="785"/>
      <c r="Y71" s="785"/>
      <c r="Z71" s="785"/>
      <c r="AA71" s="785"/>
      <c r="AB71" s="785"/>
    </row>
    <row r="72" spans="1:28" s="628" customFormat="1" ht="15.8" customHeight="1">
      <c r="A72" s="813" t="s">
        <v>1771</v>
      </c>
      <c r="B72" s="813" t="s">
        <v>296</v>
      </c>
      <c r="C72" s="813" t="s">
        <v>477</v>
      </c>
      <c r="D72" s="813" t="s">
        <v>550</v>
      </c>
      <c r="E72" s="813" t="s">
        <v>2437</v>
      </c>
      <c r="F72" s="820">
        <v>5200</v>
      </c>
      <c r="G72" s="821" t="s">
        <v>1363</v>
      </c>
      <c r="H72" s="880" t="s">
        <v>5814</v>
      </c>
      <c r="I72" s="821">
        <v>15</v>
      </c>
      <c r="J72" s="820">
        <v>6800</v>
      </c>
      <c r="K72" s="821">
        <v>15</v>
      </c>
      <c r="L72" s="590"/>
      <c r="M72" s="591"/>
      <c r="N72" s="813" t="str">
        <f t="shared" si="6"/>
        <v/>
      </c>
      <c r="O72" s="813" t="str">
        <f t="shared" si="7"/>
        <v/>
      </c>
      <c r="P72" s="814" t="s">
        <v>296</v>
      </c>
      <c r="Q72" s="814" t="s">
        <v>2450</v>
      </c>
      <c r="R72" s="814" t="s">
        <v>2485</v>
      </c>
      <c r="S72" s="880" t="s">
        <v>5814</v>
      </c>
      <c r="T72" s="815" t="str">
        <f t="shared" si="5"/>
        <v/>
      </c>
      <c r="U72" s="615"/>
      <c r="V72" s="611"/>
      <c r="W72" s="596"/>
    </row>
    <row r="73" spans="1:28" s="628" customFormat="1" ht="15.8" customHeight="1">
      <c r="A73" s="587" t="s">
        <v>1522</v>
      </c>
      <c r="B73" s="587" t="s">
        <v>31</v>
      </c>
      <c r="C73" s="587"/>
      <c r="D73" s="587" t="s">
        <v>550</v>
      </c>
      <c r="E73" s="587" t="s">
        <v>2437</v>
      </c>
      <c r="F73" s="588">
        <v>1150</v>
      </c>
      <c r="G73" s="589"/>
      <c r="H73" s="589" t="s">
        <v>551</v>
      </c>
      <c r="I73" s="589">
        <v>1</v>
      </c>
      <c r="J73" s="588">
        <v>2800</v>
      </c>
      <c r="K73" s="589">
        <v>1</v>
      </c>
      <c r="L73" s="590"/>
      <c r="M73" s="591"/>
      <c r="N73" s="592" t="str">
        <f t="shared" si="6"/>
        <v/>
      </c>
      <c r="O73" s="592" t="str">
        <f t="shared" si="7"/>
        <v/>
      </c>
      <c r="P73" s="593" t="s">
        <v>31</v>
      </c>
      <c r="Q73" s="593" t="s">
        <v>2450</v>
      </c>
      <c r="R73" s="593" t="s">
        <v>2452</v>
      </c>
      <c r="S73" s="589" t="s">
        <v>551</v>
      </c>
      <c r="T73" s="594" t="str">
        <f t="shared" si="5"/>
        <v/>
      </c>
      <c r="U73" s="611"/>
      <c r="V73" s="615"/>
      <c r="W73" s="596"/>
    </row>
    <row r="74" spans="1:28" s="628" customFormat="1" ht="15.8" customHeight="1">
      <c r="A74" s="608" t="s">
        <v>1401</v>
      </c>
      <c r="B74" s="608" t="s">
        <v>223</v>
      </c>
      <c r="C74" s="608"/>
      <c r="D74" s="608" t="s">
        <v>88</v>
      </c>
      <c r="E74" s="587" t="s">
        <v>2736</v>
      </c>
      <c r="F74" s="598">
        <v>17900</v>
      </c>
      <c r="G74" s="629" t="s">
        <v>1363</v>
      </c>
      <c r="H74" s="629" t="s">
        <v>551</v>
      </c>
      <c r="I74" s="629">
        <v>9</v>
      </c>
      <c r="J74" s="630">
        <v>19900</v>
      </c>
      <c r="K74" s="629">
        <v>9</v>
      </c>
      <c r="L74" s="601"/>
      <c r="M74" s="602"/>
      <c r="N74" s="592" t="str">
        <f t="shared" si="6"/>
        <v/>
      </c>
      <c r="O74" s="592" t="str">
        <f t="shared" si="7"/>
        <v/>
      </c>
      <c r="P74" s="593" t="s">
        <v>223</v>
      </c>
      <c r="Q74" s="593" t="s">
        <v>2450</v>
      </c>
      <c r="R74" s="593" t="s">
        <v>2452</v>
      </c>
      <c r="S74" s="629" t="s">
        <v>551</v>
      </c>
      <c r="T74" s="594" t="str">
        <f t="shared" si="5"/>
        <v/>
      </c>
      <c r="U74" s="600"/>
      <c r="V74" s="611"/>
      <c r="W74" s="596"/>
    </row>
    <row r="75" spans="1:28" s="628" customFormat="1" ht="15.8" customHeight="1">
      <c r="A75" s="592" t="s">
        <v>1608</v>
      </c>
      <c r="B75" s="592" t="s">
        <v>19</v>
      </c>
      <c r="C75" s="592"/>
      <c r="D75" s="592" t="s">
        <v>550</v>
      </c>
      <c r="E75" s="592" t="s">
        <v>2439</v>
      </c>
      <c r="F75" s="598">
        <v>69</v>
      </c>
      <c r="G75" s="599" t="s">
        <v>1363</v>
      </c>
      <c r="H75" s="599" t="s">
        <v>551</v>
      </c>
      <c r="I75" s="599">
        <v>1</v>
      </c>
      <c r="J75" s="598">
        <v>600</v>
      </c>
      <c r="K75" s="599">
        <v>1</v>
      </c>
      <c r="L75" s="601"/>
      <c r="M75" s="602"/>
      <c r="N75" s="592" t="str">
        <f t="shared" si="6"/>
        <v/>
      </c>
      <c r="O75" s="592" t="str">
        <f t="shared" si="7"/>
        <v/>
      </c>
      <c r="P75" s="593" t="s">
        <v>19</v>
      </c>
      <c r="Q75" s="593" t="s">
        <v>2450</v>
      </c>
      <c r="R75" s="593" t="s">
        <v>2452</v>
      </c>
      <c r="S75" s="599" t="s">
        <v>551</v>
      </c>
      <c r="T75" s="594" t="str">
        <f t="shared" si="5"/>
        <v/>
      </c>
      <c r="U75" s="600"/>
      <c r="V75" s="615"/>
      <c r="W75" s="596"/>
    </row>
    <row r="76" spans="1:28" ht="15.8" customHeight="1">
      <c r="A76" s="587" t="s">
        <v>1621</v>
      </c>
      <c r="B76" s="587" t="s">
        <v>2346</v>
      </c>
      <c r="C76" s="587"/>
      <c r="D76" s="587" t="s">
        <v>550</v>
      </c>
      <c r="E76" s="587" t="s">
        <v>2439</v>
      </c>
      <c r="F76" s="588">
        <v>175</v>
      </c>
      <c r="G76" s="589"/>
      <c r="H76" s="589" t="s">
        <v>551</v>
      </c>
      <c r="I76" s="589">
        <v>1</v>
      </c>
      <c r="J76" s="588">
        <v>400</v>
      </c>
      <c r="K76" s="589">
        <v>1</v>
      </c>
      <c r="L76" s="590"/>
      <c r="M76" s="591"/>
      <c r="N76" s="592" t="str">
        <f t="shared" si="6"/>
        <v/>
      </c>
      <c r="O76" s="592" t="str">
        <f t="shared" si="7"/>
        <v/>
      </c>
      <c r="P76" s="593" t="s">
        <v>2636</v>
      </c>
      <c r="Q76" s="593" t="s">
        <v>2450</v>
      </c>
      <c r="R76" s="593" t="s">
        <v>2452</v>
      </c>
      <c r="S76" s="589" t="s">
        <v>551</v>
      </c>
      <c r="T76" s="594" t="str">
        <f t="shared" si="5"/>
        <v/>
      </c>
      <c r="U76" s="611"/>
      <c r="V76" s="600"/>
    </row>
    <row r="77" spans="1:28" s="618" customFormat="1" ht="15.8" customHeight="1">
      <c r="A77" s="592" t="s">
        <v>1569</v>
      </c>
      <c r="B77" s="592" t="s">
        <v>27</v>
      </c>
      <c r="C77" s="592"/>
      <c r="D77" s="592" t="s">
        <v>550</v>
      </c>
      <c r="E77" s="592" t="s">
        <v>2439</v>
      </c>
      <c r="F77" s="598">
        <v>69</v>
      </c>
      <c r="G77" s="599" t="s">
        <v>1363</v>
      </c>
      <c r="H77" s="599" t="s">
        <v>551</v>
      </c>
      <c r="I77" s="599">
        <v>1</v>
      </c>
      <c r="J77" s="598">
        <v>600</v>
      </c>
      <c r="K77" s="599">
        <v>1</v>
      </c>
      <c r="L77" s="601"/>
      <c r="M77" s="602"/>
      <c r="N77" s="592" t="str">
        <f t="shared" si="6"/>
        <v/>
      </c>
      <c r="O77" s="592" t="str">
        <f t="shared" si="7"/>
        <v/>
      </c>
      <c r="P77" s="593" t="s">
        <v>27</v>
      </c>
      <c r="Q77" s="593" t="s">
        <v>2450</v>
      </c>
      <c r="R77" s="593" t="s">
        <v>2452</v>
      </c>
      <c r="S77" s="599" t="s">
        <v>551</v>
      </c>
      <c r="T77" s="594" t="str">
        <f t="shared" si="5"/>
        <v/>
      </c>
      <c r="U77" s="796"/>
      <c r="V77" s="600"/>
      <c r="W77" s="785"/>
      <c r="X77" s="785"/>
      <c r="Y77" s="785"/>
      <c r="Z77" s="785"/>
      <c r="AA77" s="785"/>
      <c r="AB77" s="785"/>
    </row>
    <row r="78" spans="1:28" ht="15.8" customHeight="1">
      <c r="A78" s="587" t="s">
        <v>1806</v>
      </c>
      <c r="B78" s="587" t="s">
        <v>850</v>
      </c>
      <c r="C78" s="587"/>
      <c r="D78" s="587" t="s">
        <v>103</v>
      </c>
      <c r="E78" s="587" t="s">
        <v>103</v>
      </c>
      <c r="F78" s="588">
        <v>8625</v>
      </c>
      <c r="G78" s="589"/>
      <c r="H78" s="589" t="s">
        <v>551</v>
      </c>
      <c r="I78" s="589">
        <v>17</v>
      </c>
      <c r="J78" s="588">
        <v>11200</v>
      </c>
      <c r="K78" s="589">
        <v>17</v>
      </c>
      <c r="L78" s="590"/>
      <c r="M78" s="591"/>
      <c r="N78" s="592" t="str">
        <f t="shared" si="6"/>
        <v/>
      </c>
      <c r="O78" s="592" t="str">
        <f t="shared" si="7"/>
        <v/>
      </c>
      <c r="P78" s="593" t="s">
        <v>1806</v>
      </c>
      <c r="Q78" s="593" t="s">
        <v>2450</v>
      </c>
      <c r="R78" s="593" t="s">
        <v>2452</v>
      </c>
      <c r="S78" s="589" t="s">
        <v>551</v>
      </c>
      <c r="T78" s="594" t="str">
        <f t="shared" si="5"/>
        <v/>
      </c>
      <c r="U78" s="611"/>
      <c r="V78" s="615"/>
    </row>
    <row r="79" spans="1:28" ht="15.8" customHeight="1">
      <c r="A79" s="592" t="s">
        <v>1693</v>
      </c>
      <c r="B79" s="592" t="s">
        <v>21</v>
      </c>
      <c r="C79" s="592"/>
      <c r="D79" s="592" t="s">
        <v>550</v>
      </c>
      <c r="E79" s="592" t="s">
        <v>2422</v>
      </c>
      <c r="F79" s="598">
        <v>135</v>
      </c>
      <c r="G79" s="599" t="s">
        <v>1363</v>
      </c>
      <c r="H79" s="599" t="s">
        <v>551</v>
      </c>
      <c r="I79" s="599">
        <v>1</v>
      </c>
      <c r="J79" s="598">
        <v>200</v>
      </c>
      <c r="K79" s="599">
        <v>1</v>
      </c>
      <c r="L79" s="601"/>
      <c r="M79" s="602"/>
      <c r="N79" s="592" t="str">
        <f t="shared" si="6"/>
        <v/>
      </c>
      <c r="O79" s="592" t="str">
        <f t="shared" si="7"/>
        <v/>
      </c>
      <c r="P79" s="593" t="s">
        <v>2658</v>
      </c>
      <c r="Q79" s="593" t="s">
        <v>2450</v>
      </c>
      <c r="R79" s="593" t="s">
        <v>2503</v>
      </c>
      <c r="S79" s="599" t="s">
        <v>551</v>
      </c>
      <c r="T79" s="594" t="str">
        <f t="shared" si="5"/>
        <v/>
      </c>
      <c r="U79" s="611"/>
      <c r="V79" s="615"/>
    </row>
    <row r="80" spans="1:28" s="618" customFormat="1" ht="15.8" customHeight="1">
      <c r="A80" s="592" t="s">
        <v>1607</v>
      </c>
      <c r="B80" s="592" t="s">
        <v>22</v>
      </c>
      <c r="C80" s="592"/>
      <c r="D80" s="592" t="s">
        <v>550</v>
      </c>
      <c r="E80" s="592" t="s">
        <v>2422</v>
      </c>
      <c r="F80" s="598">
        <v>135</v>
      </c>
      <c r="G80" s="599" t="s">
        <v>1363</v>
      </c>
      <c r="H80" s="599" t="s">
        <v>551</v>
      </c>
      <c r="I80" s="599">
        <v>1</v>
      </c>
      <c r="J80" s="598">
        <v>200</v>
      </c>
      <c r="K80" s="599">
        <v>1</v>
      </c>
      <c r="L80" s="601"/>
      <c r="M80" s="602"/>
      <c r="N80" s="592" t="str">
        <f t="shared" si="6"/>
        <v/>
      </c>
      <c r="O80" s="592" t="str">
        <f t="shared" si="7"/>
        <v/>
      </c>
      <c r="P80" s="593" t="s">
        <v>2629</v>
      </c>
      <c r="Q80" s="593" t="s">
        <v>2450</v>
      </c>
      <c r="R80" s="593" t="s">
        <v>2503</v>
      </c>
      <c r="S80" s="599" t="s">
        <v>551</v>
      </c>
      <c r="T80" s="594" t="str">
        <f t="shared" si="5"/>
        <v/>
      </c>
      <c r="U80" s="611"/>
      <c r="V80" s="615"/>
      <c r="W80" s="785"/>
      <c r="X80" s="785"/>
      <c r="Y80" s="785"/>
      <c r="Z80" s="785"/>
      <c r="AA80" s="785"/>
      <c r="AB80" s="785"/>
    </row>
    <row r="81" spans="1:22" ht="15.8" customHeight="1">
      <c r="A81" s="592" t="s">
        <v>1440</v>
      </c>
      <c r="B81" s="592" t="s">
        <v>1441</v>
      </c>
      <c r="C81" s="592" t="s">
        <v>2429</v>
      </c>
      <c r="D81" s="592" t="s">
        <v>550</v>
      </c>
      <c r="E81" s="592" t="s">
        <v>2428</v>
      </c>
      <c r="F81" s="598">
        <v>69</v>
      </c>
      <c r="G81" s="599" t="s">
        <v>1363</v>
      </c>
      <c r="H81" s="599" t="s">
        <v>551</v>
      </c>
      <c r="I81" s="599">
        <v>1</v>
      </c>
      <c r="J81" s="598">
        <v>500</v>
      </c>
      <c r="K81" s="599">
        <v>1</v>
      </c>
      <c r="L81" s="601"/>
      <c r="M81" s="602"/>
      <c r="N81" s="592" t="str">
        <f t="shared" si="6"/>
        <v/>
      </c>
      <c r="O81" s="592" t="str">
        <f t="shared" si="7"/>
        <v/>
      </c>
      <c r="P81" s="593" t="s">
        <v>1441</v>
      </c>
      <c r="Q81" s="593" t="s">
        <v>2450</v>
      </c>
      <c r="R81" s="593" t="s">
        <v>2477</v>
      </c>
      <c r="S81" s="599" t="s">
        <v>551</v>
      </c>
      <c r="T81" s="594" t="str">
        <f t="shared" si="5"/>
        <v/>
      </c>
      <c r="U81" s="611"/>
      <c r="V81" s="600"/>
    </row>
    <row r="82" spans="1:22" ht="15.8" customHeight="1">
      <c r="A82" s="592" t="s">
        <v>1438</v>
      </c>
      <c r="B82" s="592" t="s">
        <v>1439</v>
      </c>
      <c r="C82" s="592" t="s">
        <v>17</v>
      </c>
      <c r="D82" s="592" t="s">
        <v>550</v>
      </c>
      <c r="E82" s="592" t="s">
        <v>2428</v>
      </c>
      <c r="F82" s="598">
        <v>69</v>
      </c>
      <c r="G82" s="599" t="s">
        <v>1363</v>
      </c>
      <c r="H82" s="599" t="s">
        <v>551</v>
      </c>
      <c r="I82" s="599">
        <v>1</v>
      </c>
      <c r="J82" s="598">
        <v>650</v>
      </c>
      <c r="K82" s="599">
        <v>1</v>
      </c>
      <c r="L82" s="601"/>
      <c r="M82" s="602"/>
      <c r="N82" s="592" t="str">
        <f t="shared" si="6"/>
        <v/>
      </c>
      <c r="O82" s="592" t="str">
        <f t="shared" si="7"/>
        <v/>
      </c>
      <c r="P82" s="593" t="s">
        <v>1439</v>
      </c>
      <c r="Q82" s="593" t="s">
        <v>2450</v>
      </c>
      <c r="R82" s="593" t="s">
        <v>2477</v>
      </c>
      <c r="S82" s="599" t="s">
        <v>551</v>
      </c>
      <c r="T82" s="594" t="str">
        <f t="shared" si="5"/>
        <v/>
      </c>
      <c r="U82" s="611"/>
      <c r="V82" s="611"/>
    </row>
    <row r="83" spans="1:22" ht="15.8" customHeight="1">
      <c r="A83" s="592" t="s">
        <v>684</v>
      </c>
      <c r="B83" s="592" t="s">
        <v>1538</v>
      </c>
      <c r="C83" s="592"/>
      <c r="D83" s="592" t="s">
        <v>550</v>
      </c>
      <c r="E83" s="592" t="s">
        <v>2428</v>
      </c>
      <c r="F83" s="598">
        <v>69</v>
      </c>
      <c r="G83" s="599" t="s">
        <v>1363</v>
      </c>
      <c r="H83" s="599" t="s">
        <v>551</v>
      </c>
      <c r="I83" s="599">
        <v>1</v>
      </c>
      <c r="J83" s="598">
        <v>200</v>
      </c>
      <c r="K83" s="599">
        <v>1</v>
      </c>
      <c r="L83" s="601"/>
      <c r="M83" s="602"/>
      <c r="N83" s="592" t="str">
        <f t="shared" si="6"/>
        <v/>
      </c>
      <c r="O83" s="592" t="str">
        <f t="shared" si="7"/>
        <v/>
      </c>
      <c r="P83" s="593" t="s">
        <v>1538</v>
      </c>
      <c r="Q83" s="593" t="s">
        <v>2450</v>
      </c>
      <c r="R83" s="593" t="s">
        <v>2452</v>
      </c>
      <c r="S83" s="599" t="s">
        <v>551</v>
      </c>
      <c r="T83" s="594" t="str">
        <f t="shared" si="5"/>
        <v/>
      </c>
      <c r="U83" s="611"/>
      <c r="V83" s="611"/>
    </row>
    <row r="84" spans="1:22" ht="15.8" customHeight="1">
      <c r="A84" s="592" t="s">
        <v>685</v>
      </c>
      <c r="B84" s="592" t="s">
        <v>1539</v>
      </c>
      <c r="C84" s="592"/>
      <c r="D84" s="592" t="s">
        <v>550</v>
      </c>
      <c r="E84" s="592" t="s">
        <v>2428</v>
      </c>
      <c r="F84" s="598">
        <v>69</v>
      </c>
      <c r="G84" s="599" t="s">
        <v>1363</v>
      </c>
      <c r="H84" s="599" t="s">
        <v>551</v>
      </c>
      <c r="I84" s="599">
        <v>1</v>
      </c>
      <c r="J84" s="598">
        <v>200</v>
      </c>
      <c r="K84" s="599">
        <v>1</v>
      </c>
      <c r="L84" s="601"/>
      <c r="M84" s="602"/>
      <c r="N84" s="592" t="str">
        <f t="shared" si="6"/>
        <v/>
      </c>
      <c r="O84" s="592" t="str">
        <f t="shared" si="7"/>
        <v/>
      </c>
      <c r="P84" s="593" t="s">
        <v>1539</v>
      </c>
      <c r="Q84" s="593" t="s">
        <v>2450</v>
      </c>
      <c r="R84" s="593" t="s">
        <v>2491</v>
      </c>
      <c r="S84" s="599" t="s">
        <v>551</v>
      </c>
      <c r="T84" s="594" t="str">
        <f t="shared" si="5"/>
        <v/>
      </c>
      <c r="U84" s="611"/>
      <c r="V84" s="611"/>
    </row>
    <row r="85" spans="1:22" ht="15.8" customHeight="1">
      <c r="A85" s="608" t="s">
        <v>681</v>
      </c>
      <c r="B85" s="608" t="s">
        <v>15</v>
      </c>
      <c r="C85" s="608"/>
      <c r="D85" s="608" t="s">
        <v>550</v>
      </c>
      <c r="E85" s="608" t="s">
        <v>2428</v>
      </c>
      <c r="F85" s="598">
        <v>69</v>
      </c>
      <c r="G85" s="629" t="s">
        <v>1363</v>
      </c>
      <c r="H85" s="629" t="s">
        <v>551</v>
      </c>
      <c r="I85" s="629">
        <v>1</v>
      </c>
      <c r="J85" s="598">
        <v>250</v>
      </c>
      <c r="K85" s="629">
        <v>1</v>
      </c>
      <c r="L85" s="601"/>
      <c r="M85" s="602"/>
      <c r="N85" s="592" t="str">
        <f t="shared" si="6"/>
        <v/>
      </c>
      <c r="O85" s="592" t="str">
        <f t="shared" si="7"/>
        <v/>
      </c>
      <c r="P85" s="593" t="s">
        <v>2608</v>
      </c>
      <c r="Q85" s="593" t="s">
        <v>2450</v>
      </c>
      <c r="R85" s="593" t="s">
        <v>2452</v>
      </c>
      <c r="S85" s="629" t="s">
        <v>551</v>
      </c>
      <c r="T85" s="594" t="str">
        <f t="shared" si="5"/>
        <v/>
      </c>
      <c r="U85" s="600"/>
      <c r="V85" s="611"/>
    </row>
    <row r="86" spans="1:22" ht="15.8" customHeight="1">
      <c r="A86" s="592" t="s">
        <v>1395</v>
      </c>
      <c r="B86" s="592" t="s">
        <v>1396</v>
      </c>
      <c r="C86" s="592"/>
      <c r="D86" s="592" t="s">
        <v>550</v>
      </c>
      <c r="E86" s="592" t="s">
        <v>2427</v>
      </c>
      <c r="F86" s="598">
        <v>69</v>
      </c>
      <c r="G86" s="599" t="s">
        <v>1363</v>
      </c>
      <c r="H86" s="599" t="s">
        <v>551</v>
      </c>
      <c r="I86" s="599">
        <v>1</v>
      </c>
      <c r="J86" s="598">
        <v>400</v>
      </c>
      <c r="K86" s="599">
        <v>1</v>
      </c>
      <c r="L86" s="590"/>
      <c r="M86" s="591"/>
      <c r="N86" s="592" t="str">
        <f t="shared" si="6"/>
        <v/>
      </c>
      <c r="O86" s="592" t="str">
        <f t="shared" si="7"/>
        <v/>
      </c>
      <c r="P86" s="593" t="s">
        <v>18</v>
      </c>
      <c r="Q86" s="593" t="s">
        <v>2450</v>
      </c>
      <c r="R86" s="593" t="s">
        <v>2452</v>
      </c>
      <c r="S86" s="599" t="s">
        <v>551</v>
      </c>
      <c r="T86" s="594" t="str">
        <f t="shared" si="5"/>
        <v/>
      </c>
      <c r="U86" s="600"/>
      <c r="V86" s="611"/>
    </row>
    <row r="87" spans="1:22" ht="15.8" customHeight="1">
      <c r="A87" s="592" t="s">
        <v>508</v>
      </c>
      <c r="B87" s="592" t="s">
        <v>508</v>
      </c>
      <c r="C87" s="592"/>
      <c r="D87" s="592" t="s">
        <v>550</v>
      </c>
      <c r="E87" s="592" t="s">
        <v>2708</v>
      </c>
      <c r="F87" s="598">
        <v>69</v>
      </c>
      <c r="G87" s="599" t="s">
        <v>1363</v>
      </c>
      <c r="H87" s="599" t="s">
        <v>551</v>
      </c>
      <c r="I87" s="599">
        <v>1</v>
      </c>
      <c r="J87" s="598">
        <v>300</v>
      </c>
      <c r="K87" s="599">
        <v>1</v>
      </c>
      <c r="L87" s="601"/>
      <c r="M87" s="602"/>
      <c r="N87" s="592" t="str">
        <f t="shared" si="6"/>
        <v/>
      </c>
      <c r="O87" s="592" t="str">
        <f t="shared" si="7"/>
        <v/>
      </c>
      <c r="P87" s="593" t="s">
        <v>508</v>
      </c>
      <c r="Q87" s="593" t="s">
        <v>2450</v>
      </c>
      <c r="R87" s="593" t="s">
        <v>2491</v>
      </c>
      <c r="S87" s="599" t="s">
        <v>551</v>
      </c>
      <c r="T87" s="594" t="str">
        <f t="shared" si="5"/>
        <v/>
      </c>
      <c r="U87" s="600"/>
      <c r="V87" s="611"/>
    </row>
    <row r="88" spans="1:22" s="791" customFormat="1" ht="15.8" customHeight="1">
      <c r="A88" s="587" t="s">
        <v>1824</v>
      </c>
      <c r="B88" s="587" t="s">
        <v>2830</v>
      </c>
      <c r="C88" s="587"/>
      <c r="D88" s="587" t="s">
        <v>550</v>
      </c>
      <c r="E88" s="587" t="s">
        <v>2437</v>
      </c>
      <c r="F88" s="588">
        <v>135</v>
      </c>
      <c r="G88" s="589"/>
      <c r="H88" s="589" t="s">
        <v>551</v>
      </c>
      <c r="I88" s="589">
        <v>1</v>
      </c>
      <c r="J88" s="588">
        <v>600</v>
      </c>
      <c r="K88" s="589">
        <v>1</v>
      </c>
      <c r="L88" s="1386"/>
      <c r="M88" s="591"/>
      <c r="N88" s="592" t="str">
        <f t="shared" si="6"/>
        <v/>
      </c>
      <c r="O88" s="592" t="str">
        <f t="shared" si="7"/>
        <v/>
      </c>
      <c r="P88" s="593" t="s">
        <v>861</v>
      </c>
      <c r="Q88" s="593" t="s">
        <v>2450</v>
      </c>
      <c r="R88" s="593" t="s">
        <v>2568</v>
      </c>
      <c r="S88" s="589" t="s">
        <v>551</v>
      </c>
      <c r="T88" s="594" t="str">
        <f t="shared" si="5"/>
        <v/>
      </c>
      <c r="U88" s="600"/>
      <c r="V88" s="611"/>
    </row>
    <row r="89" spans="1:22" ht="15.8" customHeight="1">
      <c r="A89" s="644" t="s">
        <v>1749</v>
      </c>
      <c r="B89" s="644" t="s">
        <v>1750</v>
      </c>
      <c r="C89" s="644" t="s">
        <v>2378</v>
      </c>
      <c r="D89" s="644" t="s">
        <v>553</v>
      </c>
      <c r="E89" s="644" t="s">
        <v>2704</v>
      </c>
      <c r="F89" s="1170">
        <v>48000</v>
      </c>
      <c r="G89" s="651" t="s">
        <v>1363</v>
      </c>
      <c r="H89" s="651" t="s">
        <v>1751</v>
      </c>
      <c r="I89" s="651" t="s">
        <v>581</v>
      </c>
      <c r="J89" s="1170">
        <v>53000</v>
      </c>
      <c r="K89" s="651" t="s">
        <v>581</v>
      </c>
      <c r="L89" s="601"/>
      <c r="M89" s="602"/>
      <c r="N89" s="638" t="str">
        <f t="shared" si="6"/>
        <v/>
      </c>
      <c r="O89" s="638" t="str">
        <f t="shared" si="7"/>
        <v/>
      </c>
      <c r="P89" s="639" t="s">
        <v>2673</v>
      </c>
      <c r="Q89" s="639" t="s">
        <v>2551</v>
      </c>
      <c r="R89" s="639" t="s">
        <v>2552</v>
      </c>
      <c r="S89" s="651" t="s">
        <v>1751</v>
      </c>
      <c r="T89" s="640" t="str">
        <f t="shared" si="5"/>
        <v/>
      </c>
      <c r="U89" s="600"/>
      <c r="V89" s="611" t="s">
        <v>5990</v>
      </c>
    </row>
    <row r="90" spans="1:22" ht="15.8" customHeight="1">
      <c r="A90" s="625" t="s">
        <v>102</v>
      </c>
      <c r="B90" s="625" t="s">
        <v>1469</v>
      </c>
      <c r="C90" s="625"/>
      <c r="D90" s="625" t="s">
        <v>103</v>
      </c>
      <c r="E90" s="625" t="s">
        <v>103</v>
      </c>
      <c r="F90" s="588">
        <v>2500</v>
      </c>
      <c r="G90" s="594"/>
      <c r="H90" s="594" t="s">
        <v>551</v>
      </c>
      <c r="I90" s="594">
        <v>3</v>
      </c>
      <c r="J90" s="588">
        <v>4400</v>
      </c>
      <c r="K90" s="594">
        <v>3</v>
      </c>
      <c r="L90" s="590"/>
      <c r="M90" s="591"/>
      <c r="N90" s="592" t="str">
        <f t="shared" si="6"/>
        <v/>
      </c>
      <c r="O90" s="592" t="str">
        <f t="shared" si="7"/>
        <v/>
      </c>
      <c r="P90" s="593" t="s">
        <v>102</v>
      </c>
      <c r="Q90" s="593" t="s">
        <v>2450</v>
      </c>
      <c r="R90" s="593" t="s">
        <v>2452</v>
      </c>
      <c r="S90" s="594" t="s">
        <v>551</v>
      </c>
      <c r="T90" s="594" t="str">
        <f t="shared" si="5"/>
        <v/>
      </c>
      <c r="U90" s="611"/>
      <c r="V90" s="611"/>
    </row>
    <row r="91" spans="1:22" ht="15.8" customHeight="1">
      <c r="A91" s="587" t="s">
        <v>1402</v>
      </c>
      <c r="B91" s="587" t="s">
        <v>583</v>
      </c>
      <c r="C91" s="587"/>
      <c r="D91" s="587" t="s">
        <v>88</v>
      </c>
      <c r="E91" s="587" t="s">
        <v>2736</v>
      </c>
      <c r="F91" s="588">
        <v>8000</v>
      </c>
      <c r="G91" s="589"/>
      <c r="H91" s="589" t="s">
        <v>551</v>
      </c>
      <c r="I91" s="589">
        <v>7</v>
      </c>
      <c r="J91" s="588">
        <v>10400</v>
      </c>
      <c r="K91" s="589">
        <v>7</v>
      </c>
      <c r="L91" s="590"/>
      <c r="M91" s="591"/>
      <c r="N91" s="592" t="str">
        <f t="shared" si="6"/>
        <v/>
      </c>
      <c r="O91" s="592" t="str">
        <f t="shared" si="7"/>
        <v/>
      </c>
      <c r="P91" s="593" t="s">
        <v>2585</v>
      </c>
      <c r="Q91" s="593" t="s">
        <v>2450</v>
      </c>
      <c r="R91" s="593" t="s">
        <v>2452</v>
      </c>
      <c r="S91" s="589" t="s">
        <v>551</v>
      </c>
      <c r="T91" s="594" t="str">
        <f t="shared" si="5"/>
        <v/>
      </c>
      <c r="U91" s="600"/>
      <c r="V91" s="614"/>
    </row>
    <row r="92" spans="1:22" ht="15.8" customHeight="1">
      <c r="A92" s="592" t="s">
        <v>1387</v>
      </c>
      <c r="B92" s="592" t="s">
        <v>572</v>
      </c>
      <c r="C92" s="592"/>
      <c r="D92" s="592" t="s">
        <v>559</v>
      </c>
      <c r="E92" s="592" t="s">
        <v>559</v>
      </c>
      <c r="F92" s="598">
        <v>12650</v>
      </c>
      <c r="G92" s="599" t="s">
        <v>1363</v>
      </c>
      <c r="H92" s="599" t="s">
        <v>551</v>
      </c>
      <c r="I92" s="599">
        <v>17</v>
      </c>
      <c r="J92" s="598">
        <v>17500</v>
      </c>
      <c r="K92" s="599">
        <v>17</v>
      </c>
      <c r="L92" s="601"/>
      <c r="M92" s="602"/>
      <c r="N92" s="592" t="str">
        <f t="shared" si="6"/>
        <v/>
      </c>
      <c r="O92" s="592" t="str">
        <f t="shared" si="7"/>
        <v/>
      </c>
      <c r="P92" s="593" t="s">
        <v>572</v>
      </c>
      <c r="Q92" s="593" t="s">
        <v>2450</v>
      </c>
      <c r="R92" s="593" t="s">
        <v>2452</v>
      </c>
      <c r="S92" s="599" t="s">
        <v>551</v>
      </c>
      <c r="T92" s="594" t="str">
        <f t="shared" si="5"/>
        <v/>
      </c>
      <c r="U92" s="615"/>
      <c r="V92" s="611"/>
    </row>
    <row r="93" spans="1:22" ht="15.8" customHeight="1">
      <c r="A93" s="592" t="s">
        <v>1826</v>
      </c>
      <c r="B93" s="592" t="s">
        <v>1827</v>
      </c>
      <c r="C93" s="592"/>
      <c r="D93" s="592" t="s">
        <v>550</v>
      </c>
      <c r="E93" s="592" t="s">
        <v>2434</v>
      </c>
      <c r="F93" s="598">
        <v>69</v>
      </c>
      <c r="G93" s="599" t="s">
        <v>1363</v>
      </c>
      <c r="H93" s="599" t="s">
        <v>551</v>
      </c>
      <c r="I93" s="599">
        <v>1</v>
      </c>
      <c r="J93" s="598">
        <v>640</v>
      </c>
      <c r="K93" s="599">
        <v>1</v>
      </c>
      <c r="L93" s="601"/>
      <c r="M93" s="602"/>
      <c r="N93" s="592" t="str">
        <f t="shared" si="6"/>
        <v/>
      </c>
      <c r="O93" s="592" t="str">
        <f t="shared" si="7"/>
        <v/>
      </c>
      <c r="P93" s="593" t="s">
        <v>2611</v>
      </c>
      <c r="Q93" s="593" t="s">
        <v>2450</v>
      </c>
      <c r="R93" s="593" t="s">
        <v>2503</v>
      </c>
      <c r="S93" s="599" t="s">
        <v>551</v>
      </c>
      <c r="T93" s="594" t="str">
        <f t="shared" si="5"/>
        <v/>
      </c>
      <c r="U93" s="611"/>
      <c r="V93" s="615"/>
    </row>
    <row r="94" spans="1:22" ht="15.8" customHeight="1">
      <c r="A94" s="625" t="s">
        <v>1564</v>
      </c>
      <c r="B94" s="625" t="s">
        <v>1565</v>
      </c>
      <c r="C94" s="625"/>
      <c r="D94" s="625" t="s">
        <v>550</v>
      </c>
      <c r="E94" s="625" t="s">
        <v>2434</v>
      </c>
      <c r="F94" s="588">
        <v>0</v>
      </c>
      <c r="G94" s="594"/>
      <c r="H94" s="594" t="s">
        <v>548</v>
      </c>
      <c r="I94" s="594" t="s">
        <v>548</v>
      </c>
      <c r="J94" s="588">
        <v>0</v>
      </c>
      <c r="K94" s="594" t="s">
        <v>548</v>
      </c>
      <c r="L94" s="590"/>
      <c r="M94" s="591"/>
      <c r="N94" s="592" t="str">
        <f t="shared" si="6"/>
        <v/>
      </c>
      <c r="O94" s="592" t="str">
        <f t="shared" si="7"/>
        <v/>
      </c>
      <c r="P94" s="593" t="s">
        <v>2619</v>
      </c>
      <c r="Q94" s="593"/>
      <c r="R94" s="593"/>
      <c r="S94" s="594" t="s">
        <v>548</v>
      </c>
      <c r="T94" s="594" t="str">
        <f t="shared" si="5"/>
        <v/>
      </c>
      <c r="U94" s="611"/>
      <c r="V94" s="611"/>
    </row>
    <row r="95" spans="1:22" ht="15.8" customHeight="1">
      <c r="A95" s="592" t="s">
        <v>1373</v>
      </c>
      <c r="B95" s="592" t="s">
        <v>1374</v>
      </c>
      <c r="C95" s="592"/>
      <c r="D95" s="592" t="s">
        <v>550</v>
      </c>
      <c r="E95" s="592" t="s">
        <v>2434</v>
      </c>
      <c r="F95" s="598">
        <v>207</v>
      </c>
      <c r="G95" s="599" t="s">
        <v>1363</v>
      </c>
      <c r="H95" s="599" t="s">
        <v>5903</v>
      </c>
      <c r="I95" s="599">
        <v>1</v>
      </c>
      <c r="J95" s="598">
        <v>850</v>
      </c>
      <c r="K95" s="599">
        <v>1</v>
      </c>
      <c r="L95" s="590"/>
      <c r="M95" s="591"/>
      <c r="N95" s="592" t="str">
        <f t="shared" si="6"/>
        <v/>
      </c>
      <c r="O95" s="592" t="str">
        <f t="shared" si="7"/>
        <v/>
      </c>
      <c r="P95" s="593" t="s">
        <v>1374</v>
      </c>
      <c r="Q95" s="593" t="s">
        <v>2450</v>
      </c>
      <c r="R95" s="593" t="s">
        <v>2458</v>
      </c>
      <c r="S95" s="599" t="s">
        <v>5903</v>
      </c>
      <c r="T95" s="594" t="str">
        <f t="shared" si="5"/>
        <v/>
      </c>
      <c r="U95" s="600"/>
      <c r="V95" s="611"/>
    </row>
    <row r="96" spans="1:22" ht="15.8" customHeight="1">
      <c r="A96" s="592" t="s">
        <v>1366</v>
      </c>
      <c r="B96" s="592" t="s">
        <v>1367</v>
      </c>
      <c r="C96" s="592" t="s">
        <v>2367</v>
      </c>
      <c r="D96" s="592" t="s">
        <v>550</v>
      </c>
      <c r="E96" s="592" t="s">
        <v>2434</v>
      </c>
      <c r="F96" s="598">
        <v>138</v>
      </c>
      <c r="G96" s="599" t="s">
        <v>1363</v>
      </c>
      <c r="H96" s="599" t="s">
        <v>5902</v>
      </c>
      <c r="I96" s="599">
        <v>1</v>
      </c>
      <c r="J96" s="598">
        <v>580</v>
      </c>
      <c r="K96" s="599">
        <v>1</v>
      </c>
      <c r="L96" s="590"/>
      <c r="M96" s="591"/>
      <c r="N96" s="592" t="str">
        <f t="shared" si="6"/>
        <v/>
      </c>
      <c r="O96" s="592" t="str">
        <f t="shared" si="7"/>
        <v/>
      </c>
      <c r="P96" s="593" t="s">
        <v>1367</v>
      </c>
      <c r="Q96" s="593" t="s">
        <v>2450</v>
      </c>
      <c r="R96" s="593" t="s">
        <v>2453</v>
      </c>
      <c r="S96" s="599" t="s">
        <v>5902</v>
      </c>
      <c r="T96" s="594" t="str">
        <f t="shared" si="5"/>
        <v/>
      </c>
      <c r="U96" s="600"/>
      <c r="V96" s="611"/>
    </row>
    <row r="97" spans="1:28" s="791" customFormat="1" ht="15.8" customHeight="1">
      <c r="A97" s="592" t="s">
        <v>1380</v>
      </c>
      <c r="B97" s="592" t="s">
        <v>1381</v>
      </c>
      <c r="C97" s="592"/>
      <c r="D97" s="592" t="s">
        <v>550</v>
      </c>
      <c r="E97" s="592" t="s">
        <v>2434</v>
      </c>
      <c r="F97" s="598">
        <v>345</v>
      </c>
      <c r="G97" s="599" t="s">
        <v>1363</v>
      </c>
      <c r="H97" s="599" t="s">
        <v>5904</v>
      </c>
      <c r="I97" s="599">
        <v>1</v>
      </c>
      <c r="J97" s="598">
        <v>1300</v>
      </c>
      <c r="K97" s="599">
        <v>1</v>
      </c>
      <c r="L97" s="590"/>
      <c r="M97" s="591"/>
      <c r="N97" s="592" t="str">
        <f t="shared" si="6"/>
        <v/>
      </c>
      <c r="O97" s="592" t="str">
        <f t="shared" si="7"/>
        <v/>
      </c>
      <c r="P97" s="593" t="s">
        <v>1381</v>
      </c>
      <c r="Q97" s="593" t="s">
        <v>2450</v>
      </c>
      <c r="R97" s="593" t="s">
        <v>2459</v>
      </c>
      <c r="S97" s="599" t="s">
        <v>5904</v>
      </c>
      <c r="T97" s="594" t="str">
        <f t="shared" ref="T97:T128" si="8">IF(OR(L97="x", M97="x"), S97,"")</f>
        <v/>
      </c>
      <c r="U97" s="611"/>
      <c r="V97" s="611"/>
    </row>
    <row r="98" spans="1:28" ht="15.8" customHeight="1">
      <c r="A98" s="592" t="s">
        <v>1364</v>
      </c>
      <c r="B98" s="592" t="s">
        <v>2365</v>
      </c>
      <c r="C98" s="592" t="s">
        <v>2366</v>
      </c>
      <c r="D98" s="592" t="s">
        <v>550</v>
      </c>
      <c r="E98" s="592" t="s">
        <v>2434</v>
      </c>
      <c r="F98" s="598">
        <v>69</v>
      </c>
      <c r="G98" s="599" t="s">
        <v>1363</v>
      </c>
      <c r="H98" s="599" t="s">
        <v>551</v>
      </c>
      <c r="I98" s="599">
        <v>1</v>
      </c>
      <c r="J98" s="598">
        <v>500</v>
      </c>
      <c r="K98" s="599">
        <v>1</v>
      </c>
      <c r="L98" s="590"/>
      <c r="M98" s="591"/>
      <c r="N98" s="592" t="str">
        <f t="shared" si="6"/>
        <v/>
      </c>
      <c r="O98" s="592" t="str">
        <f t="shared" si="7"/>
        <v/>
      </c>
      <c r="P98" s="593" t="s">
        <v>2610</v>
      </c>
      <c r="Q98" s="593" t="s">
        <v>2450</v>
      </c>
      <c r="R98" s="593" t="s">
        <v>2506</v>
      </c>
      <c r="S98" s="599" t="s">
        <v>551</v>
      </c>
      <c r="T98" s="594" t="str">
        <f t="shared" si="8"/>
        <v/>
      </c>
      <c r="U98" s="611"/>
      <c r="V98" s="611"/>
    </row>
    <row r="99" spans="1:28" ht="15.8" customHeight="1">
      <c r="A99" s="592" t="s">
        <v>1828</v>
      </c>
      <c r="B99" s="592" t="s">
        <v>1829</v>
      </c>
      <c r="C99" s="592"/>
      <c r="D99" s="592" t="s">
        <v>550</v>
      </c>
      <c r="E99" s="592" t="s">
        <v>2434</v>
      </c>
      <c r="F99" s="598">
        <v>69</v>
      </c>
      <c r="G99" s="599" t="s">
        <v>1363</v>
      </c>
      <c r="H99" s="599" t="s">
        <v>551</v>
      </c>
      <c r="I99" s="599">
        <v>1</v>
      </c>
      <c r="J99" s="598">
        <v>640</v>
      </c>
      <c r="K99" s="599">
        <v>1</v>
      </c>
      <c r="L99" s="601"/>
      <c r="M99" s="602"/>
      <c r="N99" s="592" t="str">
        <f t="shared" si="6"/>
        <v/>
      </c>
      <c r="O99" s="592" t="str">
        <f t="shared" si="7"/>
        <v/>
      </c>
      <c r="P99" s="593" t="s">
        <v>2612</v>
      </c>
      <c r="Q99" s="593" t="s">
        <v>2450</v>
      </c>
      <c r="R99" s="593" t="s">
        <v>2503</v>
      </c>
      <c r="S99" s="599" t="s">
        <v>551</v>
      </c>
      <c r="T99" s="594" t="str">
        <f t="shared" si="8"/>
        <v/>
      </c>
      <c r="U99" s="614"/>
      <c r="V99" s="600"/>
    </row>
    <row r="100" spans="1:28" ht="15.8" customHeight="1">
      <c r="A100" s="592" t="s">
        <v>946</v>
      </c>
      <c r="B100" s="592" t="s">
        <v>2349</v>
      </c>
      <c r="C100" s="592"/>
      <c r="D100" s="592" t="s">
        <v>593</v>
      </c>
      <c r="E100" s="592" t="s">
        <v>593</v>
      </c>
      <c r="F100" s="598">
        <v>700</v>
      </c>
      <c r="G100" s="599" t="s">
        <v>1363</v>
      </c>
      <c r="H100" s="599" t="s">
        <v>599</v>
      </c>
      <c r="I100" s="599">
        <v>1</v>
      </c>
      <c r="J100" s="598">
        <v>1000</v>
      </c>
      <c r="K100" s="599">
        <v>1</v>
      </c>
      <c r="L100" s="590"/>
      <c r="M100" s="591"/>
      <c r="N100" s="592" t="str">
        <f t="shared" si="6"/>
        <v/>
      </c>
      <c r="O100" s="592" t="str">
        <f t="shared" si="7"/>
        <v/>
      </c>
      <c r="P100" s="593" t="s">
        <v>2349</v>
      </c>
      <c r="Q100" s="593" t="s">
        <v>2468</v>
      </c>
      <c r="R100" s="593" t="s">
        <v>2469</v>
      </c>
      <c r="S100" s="599" t="s">
        <v>599</v>
      </c>
      <c r="T100" s="594" t="str">
        <f t="shared" si="8"/>
        <v/>
      </c>
      <c r="U100" s="611"/>
      <c r="V100" s="632"/>
    </row>
    <row r="101" spans="1:28" s="791" customFormat="1" ht="15.8" customHeight="1">
      <c r="A101" s="620" t="s">
        <v>1360</v>
      </c>
      <c r="B101" s="620" t="s">
        <v>1361</v>
      </c>
      <c r="C101" s="620"/>
      <c r="D101" s="620" t="s">
        <v>559</v>
      </c>
      <c r="E101" s="620" t="s">
        <v>559</v>
      </c>
      <c r="F101" s="621">
        <v>10900</v>
      </c>
      <c r="G101" s="622"/>
      <c r="H101" s="622" t="s">
        <v>551</v>
      </c>
      <c r="I101" s="622">
        <v>5</v>
      </c>
      <c r="J101" s="621">
        <v>14500</v>
      </c>
      <c r="K101" s="622">
        <v>5</v>
      </c>
      <c r="L101" s="590"/>
      <c r="M101" s="591"/>
      <c r="N101" s="592" t="str">
        <f t="shared" ref="N101:N132" si="9">IF(OR(L101="x", M101="x"), B101 &amp; "; ", "")</f>
        <v/>
      </c>
      <c r="O101" s="592" t="str">
        <f t="shared" si="7"/>
        <v/>
      </c>
      <c r="P101" s="593" t="s">
        <v>1361</v>
      </c>
      <c r="Q101" s="593" t="s">
        <v>2451</v>
      </c>
      <c r="R101" s="593" t="s">
        <v>2449</v>
      </c>
      <c r="S101" s="622" t="s">
        <v>551</v>
      </c>
      <c r="T101" s="594" t="str">
        <f t="shared" si="8"/>
        <v/>
      </c>
      <c r="U101" s="615"/>
      <c r="V101" s="600"/>
    </row>
    <row r="102" spans="1:28" s="618" customFormat="1" ht="15.8" customHeight="1">
      <c r="A102" s="625" t="s">
        <v>1436</v>
      </c>
      <c r="B102" s="625" t="s">
        <v>1437</v>
      </c>
      <c r="C102" s="625"/>
      <c r="D102" s="625" t="s">
        <v>559</v>
      </c>
      <c r="E102" s="625" t="s">
        <v>559</v>
      </c>
      <c r="F102" s="588">
        <v>2200</v>
      </c>
      <c r="G102" s="594"/>
      <c r="H102" s="594" t="s">
        <v>551</v>
      </c>
      <c r="I102" s="594">
        <v>1</v>
      </c>
      <c r="J102" s="597">
        <v>3900</v>
      </c>
      <c r="K102" s="594">
        <v>1</v>
      </c>
      <c r="L102" s="590"/>
      <c r="M102" s="591"/>
      <c r="N102" s="592" t="str">
        <f t="shared" si="9"/>
        <v/>
      </c>
      <c r="O102" s="592" t="str">
        <f t="shared" si="7"/>
        <v/>
      </c>
      <c r="P102" s="593" t="s">
        <v>1437</v>
      </c>
      <c r="Q102" s="593" t="s">
        <v>2450</v>
      </c>
      <c r="R102" s="593" t="s">
        <v>2452</v>
      </c>
      <c r="S102" s="594" t="s">
        <v>551</v>
      </c>
      <c r="T102" s="594" t="str">
        <f t="shared" si="8"/>
        <v/>
      </c>
      <c r="U102" s="611"/>
      <c r="V102" s="632"/>
      <c r="W102" s="785"/>
      <c r="X102" s="785"/>
      <c r="Y102" s="785"/>
      <c r="Z102" s="785"/>
      <c r="AA102" s="785"/>
      <c r="AB102" s="785"/>
    </row>
    <row r="103" spans="1:28" ht="15.8" customHeight="1">
      <c r="A103" s="587" t="s">
        <v>1481</v>
      </c>
      <c r="B103" s="587" t="s">
        <v>1482</v>
      </c>
      <c r="C103" s="587"/>
      <c r="D103" s="587" t="s">
        <v>559</v>
      </c>
      <c r="E103" s="587" t="s">
        <v>559</v>
      </c>
      <c r="F103" s="588">
        <v>1609.9999999999998</v>
      </c>
      <c r="G103" s="589"/>
      <c r="H103" s="589" t="s">
        <v>551</v>
      </c>
      <c r="I103" s="589">
        <v>1</v>
      </c>
      <c r="J103" s="597">
        <v>3100</v>
      </c>
      <c r="K103" s="589">
        <v>1</v>
      </c>
      <c r="L103" s="590"/>
      <c r="M103" s="591"/>
      <c r="N103" s="592" t="str">
        <f t="shared" si="9"/>
        <v/>
      </c>
      <c r="O103" s="592" t="str">
        <f t="shared" si="7"/>
        <v/>
      </c>
      <c r="P103" s="595"/>
      <c r="Q103" s="595"/>
      <c r="R103" s="595"/>
      <c r="S103" s="589" t="s">
        <v>551</v>
      </c>
      <c r="T103" s="594" t="str">
        <f t="shared" si="8"/>
        <v/>
      </c>
      <c r="U103" s="611"/>
      <c r="V103" s="611"/>
    </row>
    <row r="104" spans="1:28" ht="15.8" customHeight="1">
      <c r="A104" s="587" t="s">
        <v>1481</v>
      </c>
      <c r="B104" s="587" t="s">
        <v>65</v>
      </c>
      <c r="C104" s="587"/>
      <c r="D104" s="587" t="s">
        <v>559</v>
      </c>
      <c r="E104" s="587" t="s">
        <v>559</v>
      </c>
      <c r="F104" s="588">
        <v>1609.9999999999998</v>
      </c>
      <c r="G104" s="589"/>
      <c r="H104" s="589" t="s">
        <v>551</v>
      </c>
      <c r="I104" s="589">
        <v>1</v>
      </c>
      <c r="J104" s="597">
        <v>3100</v>
      </c>
      <c r="K104" s="622">
        <v>1</v>
      </c>
      <c r="L104" s="590"/>
      <c r="M104" s="591"/>
      <c r="N104" s="592" t="str">
        <f t="shared" si="9"/>
        <v/>
      </c>
      <c r="O104" s="592" t="str">
        <f t="shared" si="7"/>
        <v/>
      </c>
      <c r="P104" s="593" t="s">
        <v>65</v>
      </c>
      <c r="Q104" s="593" t="s">
        <v>2450</v>
      </c>
      <c r="R104" s="593" t="s">
        <v>2452</v>
      </c>
      <c r="S104" s="589" t="s">
        <v>551</v>
      </c>
      <c r="T104" s="594" t="str">
        <f t="shared" si="8"/>
        <v/>
      </c>
      <c r="U104" s="615"/>
      <c r="V104" s="626"/>
    </row>
    <row r="105" spans="1:28" ht="15.8" customHeight="1">
      <c r="A105" s="592" t="s">
        <v>1362</v>
      </c>
      <c r="B105" s="592" t="s">
        <v>558</v>
      </c>
      <c r="C105" s="592"/>
      <c r="D105" s="592" t="s">
        <v>559</v>
      </c>
      <c r="E105" s="592" t="s">
        <v>559</v>
      </c>
      <c r="F105" s="598">
        <v>3449.9999999999995</v>
      </c>
      <c r="G105" s="599" t="s">
        <v>1363</v>
      </c>
      <c r="H105" s="599" t="s">
        <v>551</v>
      </c>
      <c r="I105" s="599">
        <v>9</v>
      </c>
      <c r="J105" s="598">
        <v>4500</v>
      </c>
      <c r="K105" s="599">
        <v>9</v>
      </c>
      <c r="L105" s="590"/>
      <c r="M105" s="591"/>
      <c r="N105" s="592" t="str">
        <f t="shared" si="9"/>
        <v/>
      </c>
      <c r="O105" s="592" t="str">
        <f t="shared" si="7"/>
        <v/>
      </c>
      <c r="P105" s="593" t="s">
        <v>558</v>
      </c>
      <c r="Q105" s="593" t="s">
        <v>2450</v>
      </c>
      <c r="R105" s="593" t="s">
        <v>2452</v>
      </c>
      <c r="S105" s="599" t="s">
        <v>551</v>
      </c>
      <c r="T105" s="594" t="str">
        <f t="shared" si="8"/>
        <v/>
      </c>
      <c r="U105" s="600"/>
      <c r="V105" s="611"/>
    </row>
    <row r="106" spans="1:28" ht="15.8" customHeight="1">
      <c r="A106" s="587" t="s">
        <v>1545</v>
      </c>
      <c r="B106" s="587" t="s">
        <v>1546</v>
      </c>
      <c r="C106" s="587" t="s">
        <v>2372</v>
      </c>
      <c r="D106" s="587" t="s">
        <v>550</v>
      </c>
      <c r="E106" s="587" t="s">
        <v>2434</v>
      </c>
      <c r="F106" s="588">
        <v>1380</v>
      </c>
      <c r="G106" s="589"/>
      <c r="H106" s="589" t="s">
        <v>604</v>
      </c>
      <c r="I106" s="589">
        <v>1</v>
      </c>
      <c r="J106" s="588">
        <v>4000</v>
      </c>
      <c r="K106" s="589">
        <v>1</v>
      </c>
      <c r="L106" s="590"/>
      <c r="M106" s="591"/>
      <c r="N106" s="592" t="str">
        <f t="shared" si="9"/>
        <v/>
      </c>
      <c r="O106" s="592" t="str">
        <f t="shared" si="7"/>
        <v/>
      </c>
      <c r="P106" s="593" t="s">
        <v>2614</v>
      </c>
      <c r="Q106" s="593" t="s">
        <v>2465</v>
      </c>
      <c r="R106" s="593" t="s">
        <v>2509</v>
      </c>
      <c r="S106" s="589" t="s">
        <v>604</v>
      </c>
      <c r="T106" s="594" t="str">
        <f t="shared" si="8"/>
        <v/>
      </c>
      <c r="U106" s="611"/>
      <c r="V106" s="611"/>
    </row>
    <row r="107" spans="1:28" ht="15.8" customHeight="1">
      <c r="A107" s="623" t="s">
        <v>1371</v>
      </c>
      <c r="B107" s="623" t="s">
        <v>1372</v>
      </c>
      <c r="C107" s="623" t="s">
        <v>2442</v>
      </c>
      <c r="D107" s="623" t="s">
        <v>550</v>
      </c>
      <c r="E107" s="623" t="s">
        <v>2441</v>
      </c>
      <c r="F107" s="621">
        <v>2415</v>
      </c>
      <c r="G107" s="624"/>
      <c r="H107" s="624" t="s">
        <v>551</v>
      </c>
      <c r="I107" s="624">
        <v>1</v>
      </c>
      <c r="J107" s="621">
        <v>5800</v>
      </c>
      <c r="K107" s="624">
        <v>1</v>
      </c>
      <c r="L107" s="590"/>
      <c r="M107" s="591"/>
      <c r="N107" s="592" t="str">
        <f t="shared" si="9"/>
        <v/>
      </c>
      <c r="O107" s="592" t="str">
        <f t="shared" si="7"/>
        <v/>
      </c>
      <c r="P107" s="593" t="s">
        <v>2579</v>
      </c>
      <c r="Q107" s="593" t="s">
        <v>2450</v>
      </c>
      <c r="R107" s="593" t="s">
        <v>2448</v>
      </c>
      <c r="S107" s="624" t="s">
        <v>551</v>
      </c>
      <c r="T107" s="594" t="str">
        <f t="shared" si="8"/>
        <v/>
      </c>
      <c r="U107" s="615"/>
      <c r="V107" s="611"/>
    </row>
    <row r="108" spans="1:28" ht="15.8" customHeight="1">
      <c r="A108" s="587" t="s">
        <v>1431</v>
      </c>
      <c r="B108" s="587" t="s">
        <v>40</v>
      </c>
      <c r="C108" s="587"/>
      <c r="D108" s="587" t="s">
        <v>562</v>
      </c>
      <c r="E108" s="587" t="s">
        <v>562</v>
      </c>
      <c r="F108" s="588">
        <v>2070</v>
      </c>
      <c r="G108" s="589"/>
      <c r="H108" s="589" t="s">
        <v>551</v>
      </c>
      <c r="I108" s="589">
        <v>1</v>
      </c>
      <c r="J108" s="597">
        <v>4500</v>
      </c>
      <c r="K108" s="589">
        <v>1</v>
      </c>
      <c r="L108" s="590"/>
      <c r="M108" s="591"/>
      <c r="N108" s="592" t="str">
        <f t="shared" si="9"/>
        <v/>
      </c>
      <c r="O108" s="592" t="str">
        <f t="shared" si="7"/>
        <v/>
      </c>
      <c r="P108" s="593" t="s">
        <v>507</v>
      </c>
      <c r="Q108" s="593" t="s">
        <v>2450</v>
      </c>
      <c r="R108" s="593" t="s">
        <v>2448</v>
      </c>
      <c r="S108" s="589" t="s">
        <v>551</v>
      </c>
      <c r="T108" s="594" t="str">
        <f t="shared" si="8"/>
        <v/>
      </c>
      <c r="U108" s="611"/>
      <c r="V108" s="611"/>
    </row>
    <row r="109" spans="1:28" s="618" customFormat="1" ht="15.8" customHeight="1">
      <c r="A109" s="620" t="s">
        <v>1390</v>
      </c>
      <c r="B109" s="620" t="s">
        <v>577</v>
      </c>
      <c r="C109" s="620"/>
      <c r="D109" s="620" t="s">
        <v>562</v>
      </c>
      <c r="E109" s="620" t="s">
        <v>562</v>
      </c>
      <c r="F109" s="621">
        <v>7000</v>
      </c>
      <c r="G109" s="622"/>
      <c r="H109" s="622" t="s">
        <v>551</v>
      </c>
      <c r="I109" s="622">
        <v>17</v>
      </c>
      <c r="J109" s="621">
        <v>8800</v>
      </c>
      <c r="K109" s="622">
        <v>17</v>
      </c>
      <c r="L109" s="590"/>
      <c r="M109" s="591"/>
      <c r="N109" s="592" t="str">
        <f t="shared" si="9"/>
        <v/>
      </c>
      <c r="O109" s="592" t="str">
        <f t="shared" si="7"/>
        <v/>
      </c>
      <c r="P109" s="593" t="s">
        <v>2582</v>
      </c>
      <c r="Q109" s="593" t="s">
        <v>2450</v>
      </c>
      <c r="R109" s="593" t="s">
        <v>2448</v>
      </c>
      <c r="S109" s="622" t="s">
        <v>551</v>
      </c>
      <c r="T109" s="594" t="str">
        <f t="shared" si="8"/>
        <v/>
      </c>
      <c r="U109" s="615"/>
      <c r="V109" s="607"/>
      <c r="W109" s="785"/>
      <c r="X109" s="785"/>
      <c r="Y109" s="785"/>
      <c r="Z109" s="785"/>
      <c r="AA109" s="785"/>
      <c r="AB109" s="785"/>
    </row>
    <row r="110" spans="1:28" ht="15.8" customHeight="1">
      <c r="A110" s="620" t="s">
        <v>1358</v>
      </c>
      <c r="B110" s="620" t="s">
        <v>549</v>
      </c>
      <c r="C110" s="620"/>
      <c r="D110" s="620" t="s">
        <v>550</v>
      </c>
      <c r="E110" s="620" t="s">
        <v>2441</v>
      </c>
      <c r="F110" s="621">
        <v>10350</v>
      </c>
      <c r="G110" s="622"/>
      <c r="H110" s="622" t="s">
        <v>551</v>
      </c>
      <c r="I110" s="622">
        <v>17</v>
      </c>
      <c r="J110" s="621">
        <v>13500</v>
      </c>
      <c r="K110" s="622">
        <v>17</v>
      </c>
      <c r="L110" s="590"/>
      <c r="M110" s="591"/>
      <c r="N110" s="592" t="str">
        <f t="shared" si="9"/>
        <v/>
      </c>
      <c r="O110" s="592" t="str">
        <f t="shared" si="7"/>
        <v/>
      </c>
      <c r="P110" s="620"/>
      <c r="Q110" s="593" t="s">
        <v>2450</v>
      </c>
      <c r="R110" s="593" t="s">
        <v>2448</v>
      </c>
      <c r="S110" s="622" t="s">
        <v>551</v>
      </c>
      <c r="T110" s="594" t="str">
        <f t="shared" si="8"/>
        <v/>
      </c>
      <c r="U110" s="611"/>
      <c r="V110" s="614"/>
    </row>
    <row r="111" spans="1:28" ht="15.8" customHeight="1">
      <c r="A111" s="634" t="s">
        <v>1505</v>
      </c>
      <c r="B111" s="634" t="s">
        <v>652</v>
      </c>
      <c r="C111" s="634"/>
      <c r="D111" s="634" t="s">
        <v>553</v>
      </c>
      <c r="E111" s="635" t="s">
        <v>2704</v>
      </c>
      <c r="F111" s="636">
        <v>48299.999999999993</v>
      </c>
      <c r="G111" s="637"/>
      <c r="H111" s="637" t="s">
        <v>604</v>
      </c>
      <c r="I111" s="637">
        <v>10</v>
      </c>
      <c r="J111" s="636">
        <v>62700</v>
      </c>
      <c r="K111" s="637">
        <v>10</v>
      </c>
      <c r="L111" s="590"/>
      <c r="M111" s="602"/>
      <c r="N111" s="638" t="str">
        <f t="shared" si="9"/>
        <v/>
      </c>
      <c r="O111" s="638" t="str">
        <f t="shared" si="7"/>
        <v/>
      </c>
      <c r="P111" s="639" t="s">
        <v>652</v>
      </c>
      <c r="Q111" s="639" t="s">
        <v>2465</v>
      </c>
      <c r="R111" s="639" t="s">
        <v>2498</v>
      </c>
      <c r="S111" s="637" t="s">
        <v>604</v>
      </c>
      <c r="T111" s="640" t="str">
        <f t="shared" si="8"/>
        <v/>
      </c>
      <c r="U111" s="600"/>
      <c r="V111" s="611" t="s">
        <v>5992</v>
      </c>
    </row>
    <row r="112" spans="1:28" ht="15.8" customHeight="1">
      <c r="A112" s="810" t="s">
        <v>1604</v>
      </c>
      <c r="B112" s="810" t="s">
        <v>727</v>
      </c>
      <c r="C112" s="810" t="s">
        <v>477</v>
      </c>
      <c r="D112" s="810" t="s">
        <v>562</v>
      </c>
      <c r="E112" s="810" t="s">
        <v>562</v>
      </c>
      <c r="F112" s="811">
        <v>14900</v>
      </c>
      <c r="G112" s="812"/>
      <c r="H112" s="880" t="s">
        <v>5814</v>
      </c>
      <c r="I112" s="812">
        <v>17</v>
      </c>
      <c r="J112" s="811">
        <v>19300</v>
      </c>
      <c r="K112" s="812">
        <v>17</v>
      </c>
      <c r="L112" s="590"/>
      <c r="M112" s="591"/>
      <c r="N112" s="813" t="str">
        <f t="shared" si="9"/>
        <v/>
      </c>
      <c r="O112" s="813" t="str">
        <f t="shared" si="7"/>
        <v/>
      </c>
      <c r="P112" s="814" t="s">
        <v>2637</v>
      </c>
      <c r="Q112" s="814" t="s">
        <v>2450</v>
      </c>
      <c r="R112" s="814" t="s">
        <v>2529</v>
      </c>
      <c r="S112" s="880" t="s">
        <v>5814</v>
      </c>
      <c r="T112" s="815" t="str">
        <f t="shared" si="8"/>
        <v/>
      </c>
      <c r="U112" s="600"/>
      <c r="V112" s="611"/>
    </row>
    <row r="113" spans="1:28" ht="15.8" customHeight="1">
      <c r="A113" s="810" t="s">
        <v>1457</v>
      </c>
      <c r="B113" s="810" t="s">
        <v>622</v>
      </c>
      <c r="C113" s="810" t="s">
        <v>477</v>
      </c>
      <c r="D113" s="810" t="s">
        <v>562</v>
      </c>
      <c r="E113" s="810" t="s">
        <v>562</v>
      </c>
      <c r="F113" s="811">
        <v>11385</v>
      </c>
      <c r="G113" s="812"/>
      <c r="H113" s="812" t="s">
        <v>5814</v>
      </c>
      <c r="I113" s="812">
        <v>17</v>
      </c>
      <c r="J113" s="811">
        <v>14800</v>
      </c>
      <c r="K113" s="812">
        <v>17</v>
      </c>
      <c r="L113" s="590"/>
      <c r="M113" s="591"/>
      <c r="N113" s="813" t="str">
        <f t="shared" si="9"/>
        <v/>
      </c>
      <c r="O113" s="813" t="str">
        <f t="shared" si="7"/>
        <v/>
      </c>
      <c r="P113" s="814" t="s">
        <v>313</v>
      </c>
      <c r="Q113" s="814" t="s">
        <v>2450</v>
      </c>
      <c r="R113" s="814" t="s">
        <v>5813</v>
      </c>
      <c r="S113" s="812" t="s">
        <v>5814</v>
      </c>
      <c r="T113" s="815" t="str">
        <f t="shared" si="8"/>
        <v/>
      </c>
      <c r="U113" s="611"/>
      <c r="V113" s="607"/>
    </row>
    <row r="114" spans="1:28" ht="15.8" customHeight="1">
      <c r="A114" s="620" t="s">
        <v>6009</v>
      </c>
      <c r="B114" s="620" t="s">
        <v>6010</v>
      </c>
      <c r="C114" s="620"/>
      <c r="D114" s="620" t="s">
        <v>562</v>
      </c>
      <c r="E114" s="620"/>
      <c r="F114" s="621">
        <v>8800</v>
      </c>
      <c r="G114" s="622"/>
      <c r="H114" s="622" t="s">
        <v>604</v>
      </c>
      <c r="I114" s="622">
        <v>17</v>
      </c>
      <c r="J114" s="621">
        <v>12000</v>
      </c>
      <c r="K114" s="622">
        <v>17</v>
      </c>
      <c r="L114" s="590"/>
      <c r="M114" s="591"/>
      <c r="N114" s="592" t="str">
        <f t="shared" si="9"/>
        <v/>
      </c>
      <c r="O114" s="592" t="str">
        <f t="shared" si="7"/>
        <v/>
      </c>
      <c r="P114" s="593" t="s">
        <v>2680</v>
      </c>
      <c r="Q114" s="593"/>
      <c r="R114" s="593" t="s">
        <v>6020</v>
      </c>
      <c r="S114" s="622" t="s">
        <v>604</v>
      </c>
      <c r="T114" s="594" t="str">
        <f t="shared" si="8"/>
        <v/>
      </c>
      <c r="U114" s="611"/>
      <c r="V114" s="600"/>
    </row>
    <row r="115" spans="1:28" ht="15.8" customHeight="1">
      <c r="A115" s="620" t="s">
        <v>6013</v>
      </c>
      <c r="B115" s="620" t="s">
        <v>6014</v>
      </c>
      <c r="C115" s="620"/>
      <c r="D115" s="620" t="s">
        <v>562</v>
      </c>
      <c r="E115" s="620"/>
      <c r="F115" s="621">
        <v>8800</v>
      </c>
      <c r="G115" s="622"/>
      <c r="H115" s="622" t="s">
        <v>551</v>
      </c>
      <c r="I115" s="622">
        <v>17</v>
      </c>
      <c r="J115" s="621">
        <v>11900</v>
      </c>
      <c r="K115" s="622">
        <v>17</v>
      </c>
      <c r="L115" s="590"/>
      <c r="M115" s="591"/>
      <c r="N115" s="592" t="str">
        <f t="shared" si="9"/>
        <v/>
      </c>
      <c r="O115" s="592" t="str">
        <f t="shared" si="7"/>
        <v/>
      </c>
      <c r="P115" s="593"/>
      <c r="Q115" s="593"/>
      <c r="R115" s="593" t="s">
        <v>2452</v>
      </c>
      <c r="S115" s="622" t="s">
        <v>551</v>
      </c>
      <c r="T115" s="594" t="str">
        <f t="shared" si="8"/>
        <v/>
      </c>
      <c r="U115" s="611"/>
      <c r="V115" s="600"/>
    </row>
    <row r="116" spans="1:28" ht="15.8" customHeight="1">
      <c r="A116" s="623" t="s">
        <v>1385</v>
      </c>
      <c r="B116" s="623" t="s">
        <v>570</v>
      </c>
      <c r="C116" s="623"/>
      <c r="D116" s="623" t="s">
        <v>562</v>
      </c>
      <c r="E116" s="623" t="s">
        <v>562</v>
      </c>
      <c r="F116" s="621">
        <v>9000</v>
      </c>
      <c r="G116" s="624"/>
      <c r="H116" s="624" t="s">
        <v>551</v>
      </c>
      <c r="I116" s="624">
        <v>17</v>
      </c>
      <c r="J116" s="621">
        <v>11400</v>
      </c>
      <c r="K116" s="624">
        <v>17</v>
      </c>
      <c r="L116" s="590"/>
      <c r="M116" s="591"/>
      <c r="N116" s="592" t="str">
        <f t="shared" si="9"/>
        <v/>
      </c>
      <c r="O116" s="592" t="str">
        <f t="shared" si="7"/>
        <v/>
      </c>
      <c r="P116" s="593" t="s">
        <v>2589</v>
      </c>
      <c r="Q116" s="593" t="s">
        <v>2450</v>
      </c>
      <c r="R116" s="593" t="s">
        <v>2448</v>
      </c>
      <c r="S116" s="624" t="s">
        <v>551</v>
      </c>
      <c r="T116" s="594" t="str">
        <f t="shared" si="8"/>
        <v/>
      </c>
      <c r="U116" s="611"/>
      <c r="V116" s="600"/>
    </row>
    <row r="117" spans="1:28" ht="15.8" customHeight="1">
      <c r="A117" s="587" t="s">
        <v>1512</v>
      </c>
      <c r="B117" s="587" t="s">
        <v>660</v>
      </c>
      <c r="C117" s="587"/>
      <c r="D117" s="587" t="s">
        <v>562</v>
      </c>
      <c r="E117" s="587" t="s">
        <v>562</v>
      </c>
      <c r="F117" s="588">
        <v>10350</v>
      </c>
      <c r="G117" s="589"/>
      <c r="H117" s="589" t="s">
        <v>551</v>
      </c>
      <c r="I117" s="589">
        <v>17</v>
      </c>
      <c r="J117" s="588">
        <v>13500</v>
      </c>
      <c r="K117" s="589">
        <v>17</v>
      </c>
      <c r="L117" s="590"/>
      <c r="M117" s="591"/>
      <c r="N117" s="592" t="str">
        <f t="shared" si="9"/>
        <v/>
      </c>
      <c r="O117" s="592" t="str">
        <f t="shared" si="7"/>
        <v/>
      </c>
      <c r="P117" s="593" t="s">
        <v>2607</v>
      </c>
      <c r="Q117" s="593" t="s">
        <v>2450</v>
      </c>
      <c r="R117" s="593" t="s">
        <v>2496</v>
      </c>
      <c r="S117" s="589" t="s">
        <v>551</v>
      </c>
      <c r="T117" s="594" t="str">
        <f t="shared" si="8"/>
        <v/>
      </c>
      <c r="U117" s="611"/>
      <c r="V117" s="611"/>
    </row>
    <row r="118" spans="1:28" ht="15.8" customHeight="1">
      <c r="A118" s="587" t="s">
        <v>1531</v>
      </c>
      <c r="B118" s="587" t="s">
        <v>1531</v>
      </c>
      <c r="C118" s="587" t="s">
        <v>2371</v>
      </c>
      <c r="D118" s="587" t="s">
        <v>559</v>
      </c>
      <c r="E118" s="587" t="s">
        <v>2706</v>
      </c>
      <c r="F118" s="588">
        <v>1724.9999999999998</v>
      </c>
      <c r="G118" s="589"/>
      <c r="H118" s="589" t="s">
        <v>551</v>
      </c>
      <c r="I118" s="589">
        <v>1</v>
      </c>
      <c r="J118" s="588">
        <v>2900</v>
      </c>
      <c r="K118" s="589">
        <v>1</v>
      </c>
      <c r="L118" s="590"/>
      <c r="M118" s="591"/>
      <c r="N118" s="592" t="str">
        <f t="shared" si="9"/>
        <v/>
      </c>
      <c r="O118" s="592" t="str">
        <f t="shared" si="7"/>
        <v/>
      </c>
      <c r="P118" s="593" t="s">
        <v>1531</v>
      </c>
      <c r="Q118" s="593" t="s">
        <v>2450</v>
      </c>
      <c r="R118" s="593" t="s">
        <v>2452</v>
      </c>
      <c r="S118" s="589" t="s">
        <v>551</v>
      </c>
      <c r="T118" s="594" t="str">
        <f t="shared" si="8"/>
        <v/>
      </c>
      <c r="U118" s="611"/>
      <c r="V118" s="611"/>
    </row>
    <row r="119" spans="1:28" ht="15.8" customHeight="1">
      <c r="A119" s="587" t="s">
        <v>1530</v>
      </c>
      <c r="B119" s="587" t="s">
        <v>1530</v>
      </c>
      <c r="C119" s="587" t="s">
        <v>2371</v>
      </c>
      <c r="D119" s="587" t="s">
        <v>559</v>
      </c>
      <c r="E119" s="587" t="s">
        <v>2706</v>
      </c>
      <c r="F119" s="588">
        <v>1724.9999999999998</v>
      </c>
      <c r="G119" s="589"/>
      <c r="H119" s="589" t="s">
        <v>551</v>
      </c>
      <c r="I119" s="589">
        <v>1</v>
      </c>
      <c r="J119" s="588">
        <v>2900</v>
      </c>
      <c r="K119" s="589">
        <v>1</v>
      </c>
      <c r="L119" s="590"/>
      <c r="M119" s="591"/>
      <c r="N119" s="592" t="str">
        <f t="shared" si="9"/>
        <v/>
      </c>
      <c r="O119" s="592" t="str">
        <f t="shared" si="7"/>
        <v/>
      </c>
      <c r="P119" s="593" t="s">
        <v>1530</v>
      </c>
      <c r="Q119" s="593" t="s">
        <v>2450</v>
      </c>
      <c r="R119" s="593" t="s">
        <v>2452</v>
      </c>
      <c r="S119" s="589" t="s">
        <v>551</v>
      </c>
      <c r="T119" s="594" t="str">
        <f t="shared" si="8"/>
        <v/>
      </c>
      <c r="U119" s="611"/>
      <c r="V119" s="614"/>
    </row>
    <row r="120" spans="1:28" ht="15.8" customHeight="1">
      <c r="A120" s="587" t="s">
        <v>54</v>
      </c>
      <c r="B120" s="587" t="s">
        <v>54</v>
      </c>
      <c r="C120" s="587"/>
      <c r="D120" s="587" t="s">
        <v>559</v>
      </c>
      <c r="E120" s="587" t="s">
        <v>2706</v>
      </c>
      <c r="F120" s="588">
        <v>1150</v>
      </c>
      <c r="G120" s="589"/>
      <c r="H120" s="589" t="s">
        <v>551</v>
      </c>
      <c r="I120" s="589">
        <v>1</v>
      </c>
      <c r="J120" s="597">
        <v>1900</v>
      </c>
      <c r="K120" s="589">
        <v>1</v>
      </c>
      <c r="L120" s="590"/>
      <c r="M120" s="591"/>
      <c r="N120" s="592" t="str">
        <f t="shared" si="9"/>
        <v/>
      </c>
      <c r="O120" s="592" t="str">
        <f t="shared" si="7"/>
        <v/>
      </c>
      <c r="P120" s="593" t="s">
        <v>54</v>
      </c>
      <c r="Q120" s="593" t="s">
        <v>2450</v>
      </c>
      <c r="R120" s="593" t="s">
        <v>2452</v>
      </c>
      <c r="S120" s="589" t="s">
        <v>551</v>
      </c>
      <c r="T120" s="594" t="str">
        <f t="shared" si="8"/>
        <v/>
      </c>
      <c r="U120" s="611"/>
      <c r="V120" s="611"/>
    </row>
    <row r="121" spans="1:28" ht="15.8" customHeight="1">
      <c r="A121" s="587" t="s">
        <v>1650</v>
      </c>
      <c r="B121" s="587" t="s">
        <v>24</v>
      </c>
      <c r="C121" s="587"/>
      <c r="D121" s="587" t="s">
        <v>550</v>
      </c>
      <c r="E121" s="587" t="s">
        <v>2422</v>
      </c>
      <c r="F121" s="588">
        <v>125</v>
      </c>
      <c r="G121" s="589"/>
      <c r="H121" s="589" t="s">
        <v>551</v>
      </c>
      <c r="I121" s="589">
        <v>1</v>
      </c>
      <c r="J121" s="588">
        <v>200</v>
      </c>
      <c r="K121" s="589">
        <v>1</v>
      </c>
      <c r="L121" s="590"/>
      <c r="M121" s="591"/>
      <c r="N121" s="592" t="str">
        <f t="shared" si="9"/>
        <v/>
      </c>
      <c r="O121" s="592" t="str">
        <f t="shared" si="7"/>
        <v/>
      </c>
      <c r="P121" s="593" t="s">
        <v>2641</v>
      </c>
      <c r="Q121" s="593" t="s">
        <v>2450</v>
      </c>
      <c r="R121" s="593" t="s">
        <v>2503</v>
      </c>
      <c r="S121" s="589" t="s">
        <v>551</v>
      </c>
      <c r="T121" s="594" t="str">
        <f t="shared" si="8"/>
        <v/>
      </c>
      <c r="U121" s="611"/>
      <c r="V121" s="611"/>
    </row>
    <row r="122" spans="1:28" ht="15.8" customHeight="1">
      <c r="A122" s="587" t="s">
        <v>1527</v>
      </c>
      <c r="B122" s="587" t="s">
        <v>1528</v>
      </c>
      <c r="C122" s="587" t="s">
        <v>2700</v>
      </c>
      <c r="D122" s="587" t="s">
        <v>550</v>
      </c>
      <c r="E122" s="587" t="s">
        <v>2423</v>
      </c>
      <c r="F122" s="588">
        <v>130</v>
      </c>
      <c r="G122" s="589"/>
      <c r="H122" s="589" t="s">
        <v>551</v>
      </c>
      <c r="I122" s="589">
        <v>1</v>
      </c>
      <c r="J122" s="588">
        <v>600</v>
      </c>
      <c r="K122" s="589">
        <v>1</v>
      </c>
      <c r="L122" s="590"/>
      <c r="M122" s="591"/>
      <c r="N122" s="592" t="str">
        <f t="shared" si="9"/>
        <v/>
      </c>
      <c r="O122" s="592" t="str">
        <f t="shared" si="7"/>
        <v/>
      </c>
      <c r="P122" s="593" t="s">
        <v>671</v>
      </c>
      <c r="Q122" s="593" t="s">
        <v>2450</v>
      </c>
      <c r="R122" s="593" t="s">
        <v>2503</v>
      </c>
      <c r="S122" s="589" t="s">
        <v>551</v>
      </c>
      <c r="T122" s="594" t="str">
        <f t="shared" si="8"/>
        <v/>
      </c>
      <c r="U122" s="611"/>
      <c r="V122" s="611"/>
    </row>
    <row r="123" spans="1:28" ht="15.8" customHeight="1">
      <c r="A123" s="587" t="s">
        <v>1592</v>
      </c>
      <c r="B123" s="587" t="s">
        <v>53</v>
      </c>
      <c r="C123" s="587"/>
      <c r="D123" s="587" t="s">
        <v>559</v>
      </c>
      <c r="E123" s="587" t="s">
        <v>559</v>
      </c>
      <c r="F123" s="588">
        <v>1380</v>
      </c>
      <c r="G123" s="589"/>
      <c r="H123" s="589" t="s">
        <v>551</v>
      </c>
      <c r="I123" s="589">
        <v>1</v>
      </c>
      <c r="J123" s="588">
        <v>3200</v>
      </c>
      <c r="K123" s="589">
        <v>1</v>
      </c>
      <c r="L123" s="590"/>
      <c r="M123" s="591"/>
      <c r="N123" s="592" t="str">
        <f t="shared" si="9"/>
        <v/>
      </c>
      <c r="O123" s="592" t="str">
        <f t="shared" si="7"/>
        <v/>
      </c>
      <c r="P123" s="593" t="s">
        <v>2627</v>
      </c>
      <c r="Q123" s="593" t="s">
        <v>2450</v>
      </c>
      <c r="R123" s="593" t="s">
        <v>2518</v>
      </c>
      <c r="S123" s="589" t="s">
        <v>551</v>
      </c>
      <c r="T123" s="594" t="str">
        <f t="shared" si="8"/>
        <v/>
      </c>
      <c r="U123" s="600"/>
      <c r="V123" s="611"/>
    </row>
    <row r="124" spans="1:28" ht="15.8" customHeight="1">
      <c r="A124" s="592" t="s">
        <v>1606</v>
      </c>
      <c r="B124" s="592" t="s">
        <v>1332</v>
      </c>
      <c r="C124" s="592"/>
      <c r="D124" s="592" t="s">
        <v>550</v>
      </c>
      <c r="E124" s="592" t="s">
        <v>2422</v>
      </c>
      <c r="F124" s="598">
        <v>69</v>
      </c>
      <c r="G124" s="599" t="s">
        <v>1363</v>
      </c>
      <c r="H124" s="599" t="s">
        <v>551</v>
      </c>
      <c r="I124" s="599">
        <v>1</v>
      </c>
      <c r="J124" s="598">
        <v>300</v>
      </c>
      <c r="K124" s="599">
        <v>1</v>
      </c>
      <c r="L124" s="601"/>
      <c r="M124" s="602"/>
      <c r="N124" s="592" t="str">
        <f t="shared" si="9"/>
        <v/>
      </c>
      <c r="O124" s="592" t="str">
        <f t="shared" si="7"/>
        <v/>
      </c>
      <c r="P124" s="593" t="s">
        <v>2628</v>
      </c>
      <c r="Q124" s="593" t="s">
        <v>2450</v>
      </c>
      <c r="R124" s="593" t="s">
        <v>2503</v>
      </c>
      <c r="S124" s="599" t="s">
        <v>551</v>
      </c>
      <c r="T124" s="594" t="str">
        <f t="shared" si="8"/>
        <v/>
      </c>
      <c r="U124" s="600"/>
      <c r="V124" s="611"/>
    </row>
    <row r="125" spans="1:28" ht="15.8" customHeight="1">
      <c r="A125" s="587" t="s">
        <v>1725</v>
      </c>
      <c r="B125" s="587" t="s">
        <v>5870</v>
      </c>
      <c r="C125" s="587" t="s">
        <v>285</v>
      </c>
      <c r="D125" s="587" t="s">
        <v>550</v>
      </c>
      <c r="E125" s="587" t="s">
        <v>2424</v>
      </c>
      <c r="F125" s="588">
        <v>11900</v>
      </c>
      <c r="G125" s="589"/>
      <c r="H125" s="589" t="s">
        <v>551</v>
      </c>
      <c r="I125" s="589">
        <v>1</v>
      </c>
      <c r="J125" s="588">
        <v>13200</v>
      </c>
      <c r="K125" s="599">
        <v>1</v>
      </c>
      <c r="L125" s="590"/>
      <c r="M125" s="591"/>
      <c r="N125" s="592" t="str">
        <f t="shared" si="9"/>
        <v/>
      </c>
      <c r="O125" s="592" t="str">
        <f t="shared" si="7"/>
        <v/>
      </c>
      <c r="P125" s="593" t="s">
        <v>809</v>
      </c>
      <c r="Q125" s="593" t="s">
        <v>2450</v>
      </c>
      <c r="R125" s="593" t="s">
        <v>2452</v>
      </c>
      <c r="S125" s="589" t="s">
        <v>551</v>
      </c>
      <c r="T125" s="594" t="str">
        <f t="shared" si="8"/>
        <v/>
      </c>
      <c r="U125" s="615"/>
      <c r="V125" s="611"/>
    </row>
    <row r="126" spans="1:28" s="618" customFormat="1" ht="15.8" customHeight="1">
      <c r="A126" s="813" t="s">
        <v>1605</v>
      </c>
      <c r="B126" s="813" t="s">
        <v>5869</v>
      </c>
      <c r="C126" s="813" t="s">
        <v>477</v>
      </c>
      <c r="D126" s="813" t="s">
        <v>103</v>
      </c>
      <c r="E126" s="813" t="s">
        <v>103</v>
      </c>
      <c r="F126" s="820">
        <v>5900</v>
      </c>
      <c r="G126" s="821" t="s">
        <v>1363</v>
      </c>
      <c r="H126" s="880" t="s">
        <v>5814</v>
      </c>
      <c r="I126" s="821">
        <v>17</v>
      </c>
      <c r="J126" s="820">
        <v>7670</v>
      </c>
      <c r="K126" s="821">
        <v>17</v>
      </c>
      <c r="L126" s="590"/>
      <c r="M126" s="591"/>
      <c r="N126" s="813" t="str">
        <f t="shared" si="9"/>
        <v/>
      </c>
      <c r="O126" s="813" t="str">
        <f t="shared" si="7"/>
        <v/>
      </c>
      <c r="P126" s="814" t="s">
        <v>2597</v>
      </c>
      <c r="Q126" s="814" t="s">
        <v>2450</v>
      </c>
      <c r="R126" s="814" t="s">
        <v>2478</v>
      </c>
      <c r="S126" s="880" t="s">
        <v>5814</v>
      </c>
      <c r="T126" s="815" t="str">
        <f t="shared" si="8"/>
        <v/>
      </c>
      <c r="U126" s="611"/>
      <c r="V126" s="611"/>
      <c r="W126" s="785"/>
      <c r="X126" s="785"/>
      <c r="Y126" s="785"/>
      <c r="Z126" s="785"/>
      <c r="AA126" s="785"/>
      <c r="AB126" s="785"/>
    </row>
    <row r="127" spans="1:28" ht="15.8" customHeight="1">
      <c r="A127" s="879" t="s">
        <v>1601</v>
      </c>
      <c r="B127" s="879" t="s">
        <v>724</v>
      </c>
      <c r="C127" s="879" t="s">
        <v>477</v>
      </c>
      <c r="D127" s="879" t="s">
        <v>559</v>
      </c>
      <c r="E127" s="879" t="s">
        <v>559</v>
      </c>
      <c r="F127" s="811">
        <v>6324.9999999999991</v>
      </c>
      <c r="G127" s="815"/>
      <c r="H127" s="880" t="s">
        <v>5814</v>
      </c>
      <c r="I127" s="815">
        <v>17</v>
      </c>
      <c r="J127" s="811">
        <v>8300</v>
      </c>
      <c r="K127" s="815">
        <v>17</v>
      </c>
      <c r="L127" s="601"/>
      <c r="M127" s="602"/>
      <c r="N127" s="813" t="str">
        <f t="shared" si="9"/>
        <v/>
      </c>
      <c r="O127" s="813" t="str">
        <f t="shared" si="7"/>
        <v/>
      </c>
      <c r="P127" s="814" t="s">
        <v>724</v>
      </c>
      <c r="Q127" s="814" t="s">
        <v>2450</v>
      </c>
      <c r="R127" s="814" t="s">
        <v>2519</v>
      </c>
      <c r="S127" s="880" t="s">
        <v>5814</v>
      </c>
      <c r="T127" s="815" t="str">
        <f t="shared" si="8"/>
        <v/>
      </c>
      <c r="U127" s="611"/>
      <c r="V127" s="611"/>
    </row>
    <row r="128" spans="1:28" ht="15.8" customHeight="1">
      <c r="A128" s="587" t="s">
        <v>1600</v>
      </c>
      <c r="B128" s="587" t="s">
        <v>233</v>
      </c>
      <c r="C128" s="587"/>
      <c r="D128" s="587" t="s">
        <v>88</v>
      </c>
      <c r="E128" s="587" t="s">
        <v>2736</v>
      </c>
      <c r="F128" s="588">
        <v>5865</v>
      </c>
      <c r="G128" s="589"/>
      <c r="H128" s="589" t="s">
        <v>551</v>
      </c>
      <c r="I128" s="589">
        <v>7</v>
      </c>
      <c r="J128" s="588">
        <v>7700</v>
      </c>
      <c r="K128" s="589">
        <v>7</v>
      </c>
      <c r="L128" s="590"/>
      <c r="M128" s="591"/>
      <c r="N128" s="592" t="str">
        <f t="shared" si="9"/>
        <v/>
      </c>
      <c r="O128" s="592" t="str">
        <f t="shared" si="7"/>
        <v/>
      </c>
      <c r="P128" s="593" t="s">
        <v>233</v>
      </c>
      <c r="Q128" s="593" t="s">
        <v>2450</v>
      </c>
      <c r="R128" s="593" t="s">
        <v>2452</v>
      </c>
      <c r="S128" s="589" t="s">
        <v>551</v>
      </c>
      <c r="T128" s="594" t="str">
        <f t="shared" si="8"/>
        <v/>
      </c>
      <c r="U128" s="611"/>
      <c r="V128" s="611"/>
    </row>
    <row r="129" spans="1:28" ht="15.8" customHeight="1">
      <c r="A129" s="587" t="s">
        <v>1595</v>
      </c>
      <c r="B129" s="587" t="s">
        <v>484</v>
      </c>
      <c r="C129" s="587"/>
      <c r="D129" s="587" t="s">
        <v>559</v>
      </c>
      <c r="E129" s="587" t="s">
        <v>559</v>
      </c>
      <c r="F129" s="588">
        <v>1380</v>
      </c>
      <c r="G129" s="589"/>
      <c r="H129" s="589" t="s">
        <v>551</v>
      </c>
      <c r="I129" s="589">
        <v>1</v>
      </c>
      <c r="J129" s="588">
        <v>3200</v>
      </c>
      <c r="K129" s="589">
        <v>1</v>
      </c>
      <c r="L129" s="590"/>
      <c r="M129" s="591"/>
      <c r="N129" s="592" t="str">
        <f t="shared" si="9"/>
        <v/>
      </c>
      <c r="O129" s="592" t="str">
        <f t="shared" si="7"/>
        <v/>
      </c>
      <c r="P129" s="593" t="s">
        <v>484</v>
      </c>
      <c r="Q129" s="593" t="s">
        <v>2450</v>
      </c>
      <c r="R129" s="593" t="s">
        <v>2518</v>
      </c>
      <c r="S129" s="589" t="s">
        <v>551</v>
      </c>
      <c r="T129" s="594" t="str">
        <f t="shared" ref="T129:T153" si="10">IF(OR(L129="x", M129="x"), S129,"")</f>
        <v/>
      </c>
      <c r="U129" s="614"/>
      <c r="V129" s="611"/>
    </row>
    <row r="130" spans="1:28" s="618" customFormat="1" ht="15.8" customHeight="1">
      <c r="A130" s="587" t="s">
        <v>1599</v>
      </c>
      <c r="B130" s="587" t="s">
        <v>482</v>
      </c>
      <c r="C130" s="587"/>
      <c r="D130" s="587" t="s">
        <v>559</v>
      </c>
      <c r="E130" s="587" t="s">
        <v>559</v>
      </c>
      <c r="F130" s="588">
        <v>1380</v>
      </c>
      <c r="G130" s="589"/>
      <c r="H130" s="589" t="s">
        <v>551</v>
      </c>
      <c r="I130" s="589">
        <v>1</v>
      </c>
      <c r="J130" s="588">
        <v>3200</v>
      </c>
      <c r="K130" s="589">
        <v>1</v>
      </c>
      <c r="L130" s="590"/>
      <c r="M130" s="591"/>
      <c r="N130" s="592" t="str">
        <f t="shared" si="9"/>
        <v/>
      </c>
      <c r="O130" s="592" t="str">
        <f t="shared" si="7"/>
        <v/>
      </c>
      <c r="P130" s="587" t="s">
        <v>482</v>
      </c>
      <c r="Q130" s="593" t="s">
        <v>2450</v>
      </c>
      <c r="R130" s="593" t="s">
        <v>2518</v>
      </c>
      <c r="S130" s="589" t="s">
        <v>551</v>
      </c>
      <c r="T130" s="594" t="str">
        <f t="shared" si="10"/>
        <v/>
      </c>
      <c r="U130" s="600"/>
      <c r="V130" s="614"/>
      <c r="W130" s="785"/>
      <c r="X130" s="785"/>
      <c r="Y130" s="785"/>
      <c r="Z130" s="785"/>
      <c r="AA130" s="785"/>
      <c r="AB130" s="785"/>
    </row>
    <row r="131" spans="1:28" s="618" customFormat="1" ht="15.8" customHeight="1">
      <c r="A131" s="587" t="s">
        <v>1593</v>
      </c>
      <c r="B131" s="587" t="s">
        <v>1594</v>
      </c>
      <c r="C131" s="587"/>
      <c r="D131" s="587" t="s">
        <v>559</v>
      </c>
      <c r="E131" s="587" t="s">
        <v>559</v>
      </c>
      <c r="F131" s="588">
        <v>1380</v>
      </c>
      <c r="G131" s="589"/>
      <c r="H131" s="589" t="s">
        <v>551</v>
      </c>
      <c r="I131" s="589">
        <v>1</v>
      </c>
      <c r="J131" s="588">
        <v>3200</v>
      </c>
      <c r="K131" s="589">
        <v>1</v>
      </c>
      <c r="L131" s="590"/>
      <c r="M131" s="591"/>
      <c r="N131" s="592" t="str">
        <f t="shared" si="9"/>
        <v/>
      </c>
      <c r="O131" s="592" t="str">
        <f t="shared" si="7"/>
        <v/>
      </c>
      <c r="P131" s="593" t="s">
        <v>483</v>
      </c>
      <c r="Q131" s="593" t="s">
        <v>2450</v>
      </c>
      <c r="R131" s="593" t="s">
        <v>2518</v>
      </c>
      <c r="S131" s="589" t="s">
        <v>551</v>
      </c>
      <c r="T131" s="594" t="str">
        <f t="shared" si="10"/>
        <v/>
      </c>
      <c r="U131" s="611"/>
      <c r="V131" s="611"/>
      <c r="W131" s="785"/>
      <c r="X131" s="785"/>
      <c r="Y131" s="785"/>
      <c r="Z131" s="785"/>
      <c r="AA131" s="785"/>
      <c r="AB131" s="785"/>
    </row>
    <row r="132" spans="1:28" ht="15.8" customHeight="1">
      <c r="A132" s="587" t="s">
        <v>1596</v>
      </c>
      <c r="B132" s="587" t="s">
        <v>1597</v>
      </c>
      <c r="C132" s="587"/>
      <c r="D132" s="587" t="s">
        <v>559</v>
      </c>
      <c r="E132" s="587" t="s">
        <v>559</v>
      </c>
      <c r="F132" s="588">
        <v>1380</v>
      </c>
      <c r="G132" s="589"/>
      <c r="H132" s="589" t="s">
        <v>551</v>
      </c>
      <c r="I132" s="589">
        <v>1</v>
      </c>
      <c r="J132" s="588">
        <v>3200</v>
      </c>
      <c r="K132" s="589">
        <v>1</v>
      </c>
      <c r="L132" s="590"/>
      <c r="M132" s="591"/>
      <c r="N132" s="592" t="str">
        <f t="shared" si="9"/>
        <v/>
      </c>
      <c r="O132" s="592" t="str">
        <f t="shared" si="7"/>
        <v/>
      </c>
      <c r="P132" s="593" t="s">
        <v>1597</v>
      </c>
      <c r="Q132" s="593" t="s">
        <v>2450</v>
      </c>
      <c r="R132" s="593" t="s">
        <v>2518</v>
      </c>
      <c r="S132" s="589" t="s">
        <v>551</v>
      </c>
      <c r="T132" s="594" t="str">
        <f t="shared" si="10"/>
        <v/>
      </c>
      <c r="U132" s="611"/>
      <c r="V132" s="614"/>
    </row>
    <row r="133" spans="1:28" s="618" customFormat="1" ht="15.8" customHeight="1">
      <c r="A133" s="587" t="s">
        <v>1598</v>
      </c>
      <c r="B133" s="587" t="s">
        <v>481</v>
      </c>
      <c r="C133" s="587"/>
      <c r="D133" s="587" t="s">
        <v>559</v>
      </c>
      <c r="E133" s="587" t="s">
        <v>559</v>
      </c>
      <c r="F133" s="588">
        <v>1380</v>
      </c>
      <c r="G133" s="589"/>
      <c r="H133" s="589" t="s">
        <v>551</v>
      </c>
      <c r="I133" s="589">
        <v>1</v>
      </c>
      <c r="J133" s="588">
        <v>3200</v>
      </c>
      <c r="K133" s="589">
        <v>1</v>
      </c>
      <c r="L133" s="590"/>
      <c r="M133" s="591"/>
      <c r="N133" s="592" t="str">
        <f t="shared" ref="N133:N164" si="11">IF(OR(L133="x", M133="x"), B133 &amp; "; ", "")</f>
        <v/>
      </c>
      <c r="O133" s="592" t="str">
        <f t="shared" ref="O133:O196" si="12">IF(OR(L133="x", M133="x"), A133 &amp; "     /     ", "")</f>
        <v/>
      </c>
      <c r="P133" s="593" t="s">
        <v>481</v>
      </c>
      <c r="Q133" s="593" t="s">
        <v>2450</v>
      </c>
      <c r="R133" s="593" t="s">
        <v>2518</v>
      </c>
      <c r="S133" s="589" t="s">
        <v>551</v>
      </c>
      <c r="T133" s="594" t="str">
        <f t="shared" si="10"/>
        <v/>
      </c>
      <c r="U133" s="611"/>
      <c r="V133" s="611"/>
      <c r="W133" s="785"/>
      <c r="X133" s="785"/>
      <c r="Y133" s="785"/>
      <c r="Z133" s="785"/>
      <c r="AA133" s="785"/>
      <c r="AB133" s="785"/>
    </row>
    <row r="134" spans="1:28" ht="15.8" customHeight="1">
      <c r="A134" s="592" t="s">
        <v>1716</v>
      </c>
      <c r="B134" s="592" t="s">
        <v>25</v>
      </c>
      <c r="C134" s="592"/>
      <c r="D134" s="592" t="s">
        <v>550</v>
      </c>
      <c r="E134" s="592" t="s">
        <v>2424</v>
      </c>
      <c r="F134" s="598">
        <v>69</v>
      </c>
      <c r="G134" s="599" t="s">
        <v>1363</v>
      </c>
      <c r="H134" s="599" t="s">
        <v>551</v>
      </c>
      <c r="I134" s="599">
        <v>1</v>
      </c>
      <c r="J134" s="598">
        <v>600</v>
      </c>
      <c r="K134" s="599">
        <v>1</v>
      </c>
      <c r="L134" s="601"/>
      <c r="M134" s="602"/>
      <c r="N134" s="592" t="str">
        <f t="shared" si="11"/>
        <v/>
      </c>
      <c r="O134" s="592" t="str">
        <f t="shared" si="12"/>
        <v/>
      </c>
      <c r="P134" s="593" t="s">
        <v>25</v>
      </c>
      <c r="Q134" s="593" t="s">
        <v>2450</v>
      </c>
      <c r="R134" s="593" t="s">
        <v>2461</v>
      </c>
      <c r="S134" s="599" t="s">
        <v>551</v>
      </c>
      <c r="T134" s="594" t="str">
        <f t="shared" si="10"/>
        <v/>
      </c>
      <c r="U134" s="600"/>
      <c r="V134" s="611"/>
    </row>
    <row r="135" spans="1:28" ht="15.8" customHeight="1">
      <c r="A135" s="592" t="s">
        <v>1391</v>
      </c>
      <c r="B135" s="592" t="s">
        <v>1392</v>
      </c>
      <c r="C135" s="592"/>
      <c r="D135" s="592" t="s">
        <v>550</v>
      </c>
      <c r="E135" s="592" t="s">
        <v>2424</v>
      </c>
      <c r="F135" s="598">
        <v>69</v>
      </c>
      <c r="G135" s="599" t="s">
        <v>1363</v>
      </c>
      <c r="H135" s="599" t="s">
        <v>551</v>
      </c>
      <c r="I135" s="599">
        <v>1</v>
      </c>
      <c r="J135" s="598">
        <v>400</v>
      </c>
      <c r="K135" s="599">
        <v>1</v>
      </c>
      <c r="L135" s="601"/>
      <c r="M135" s="602"/>
      <c r="N135" s="592" t="str">
        <f t="shared" si="11"/>
        <v/>
      </c>
      <c r="O135" s="592" t="str">
        <f t="shared" si="12"/>
        <v/>
      </c>
      <c r="P135" s="593" t="s">
        <v>26</v>
      </c>
      <c r="Q135" s="593" t="s">
        <v>2450</v>
      </c>
      <c r="R135" s="593" t="s">
        <v>2461</v>
      </c>
      <c r="S135" s="599" t="s">
        <v>551</v>
      </c>
      <c r="T135" s="594" t="str">
        <f t="shared" si="10"/>
        <v/>
      </c>
      <c r="U135" s="615"/>
      <c r="V135" s="611"/>
    </row>
    <row r="136" spans="1:28" s="618" customFormat="1" ht="15.8" customHeight="1">
      <c r="A136" s="620" t="s">
        <v>1861</v>
      </c>
      <c r="B136" s="620" t="s">
        <v>1862</v>
      </c>
      <c r="C136" s="620"/>
      <c r="D136" s="620" t="s">
        <v>593</v>
      </c>
      <c r="E136" s="620" t="s">
        <v>2430</v>
      </c>
      <c r="F136" s="621">
        <v>175</v>
      </c>
      <c r="G136" s="622"/>
      <c r="H136" s="622" t="s">
        <v>604</v>
      </c>
      <c r="I136" s="622">
        <v>1</v>
      </c>
      <c r="J136" s="621">
        <v>1200</v>
      </c>
      <c r="K136" s="622">
        <v>1</v>
      </c>
      <c r="L136" s="590"/>
      <c r="M136" s="591"/>
      <c r="N136" s="592" t="str">
        <f t="shared" si="11"/>
        <v/>
      </c>
      <c r="O136" s="592" t="str">
        <f t="shared" si="12"/>
        <v/>
      </c>
      <c r="P136" s="593" t="s">
        <v>2698</v>
      </c>
      <c r="Q136" s="593" t="s">
        <v>2465</v>
      </c>
      <c r="R136" s="593" t="s">
        <v>2550</v>
      </c>
      <c r="S136" s="622" t="s">
        <v>604</v>
      </c>
      <c r="T136" s="594" t="str">
        <f t="shared" si="10"/>
        <v/>
      </c>
      <c r="V136" s="611"/>
      <c r="W136" s="785"/>
      <c r="X136" s="785"/>
      <c r="Y136" s="785"/>
      <c r="Z136" s="785"/>
      <c r="AA136" s="785"/>
      <c r="AB136" s="785"/>
    </row>
    <row r="137" spans="1:28" ht="15.8" customHeight="1">
      <c r="A137" s="592" t="s">
        <v>1611</v>
      </c>
      <c r="B137" s="592" t="s">
        <v>1612</v>
      </c>
      <c r="C137" s="592" t="s">
        <v>2374</v>
      </c>
      <c r="D137" s="592" t="s">
        <v>550</v>
      </c>
      <c r="E137" s="592" t="s">
        <v>2422</v>
      </c>
      <c r="F137" s="598">
        <v>125</v>
      </c>
      <c r="G137" s="599" t="s">
        <v>1363</v>
      </c>
      <c r="H137" s="599" t="s">
        <v>551</v>
      </c>
      <c r="I137" s="599">
        <v>1</v>
      </c>
      <c r="J137" s="598">
        <v>200</v>
      </c>
      <c r="K137" s="599">
        <v>1</v>
      </c>
      <c r="L137" s="601"/>
      <c r="M137" s="602"/>
      <c r="N137" s="592" t="str">
        <f t="shared" si="11"/>
        <v/>
      </c>
      <c r="O137" s="592" t="str">
        <f t="shared" si="12"/>
        <v/>
      </c>
      <c r="P137" s="593" t="s">
        <v>1612</v>
      </c>
      <c r="Q137" s="593" t="s">
        <v>2450</v>
      </c>
      <c r="R137" s="593" t="s">
        <v>2503</v>
      </c>
      <c r="S137" s="599" t="s">
        <v>551</v>
      </c>
      <c r="T137" s="594" t="str">
        <f t="shared" si="10"/>
        <v/>
      </c>
      <c r="U137" s="611"/>
      <c r="V137" s="611"/>
    </row>
    <row r="138" spans="1:28" ht="15.8" customHeight="1">
      <c r="A138" s="587" t="s">
        <v>1802</v>
      </c>
      <c r="B138" s="587" t="s">
        <v>846</v>
      </c>
      <c r="C138" s="587"/>
      <c r="D138" s="587" t="s">
        <v>559</v>
      </c>
      <c r="E138" s="587" t="s">
        <v>2706</v>
      </c>
      <c r="F138" s="588">
        <v>2000</v>
      </c>
      <c r="G138" s="589"/>
      <c r="H138" s="589" t="s">
        <v>551</v>
      </c>
      <c r="I138" s="589">
        <v>1</v>
      </c>
      <c r="J138" s="588">
        <v>2600</v>
      </c>
      <c r="K138" s="589">
        <v>1</v>
      </c>
      <c r="L138" s="590"/>
      <c r="M138" s="591"/>
      <c r="N138" s="592" t="str">
        <f t="shared" si="11"/>
        <v/>
      </c>
      <c r="O138" s="592" t="str">
        <f t="shared" si="12"/>
        <v/>
      </c>
      <c r="P138" s="593" t="s">
        <v>846</v>
      </c>
      <c r="Q138" s="593" t="s">
        <v>2450</v>
      </c>
      <c r="R138" s="593" t="s">
        <v>2452</v>
      </c>
      <c r="S138" s="589" t="s">
        <v>551</v>
      </c>
      <c r="T138" s="594" t="str">
        <f t="shared" si="10"/>
        <v/>
      </c>
      <c r="U138" s="615"/>
      <c r="V138" s="615"/>
    </row>
    <row r="139" spans="1:28" s="618" customFormat="1" ht="15.8" customHeight="1">
      <c r="A139" s="587" t="s">
        <v>1736</v>
      </c>
      <c r="B139" s="587" t="s">
        <v>817</v>
      </c>
      <c r="C139" s="587"/>
      <c r="D139" s="587" t="s">
        <v>559</v>
      </c>
      <c r="E139" s="587" t="s">
        <v>2706</v>
      </c>
      <c r="F139" s="588">
        <v>5700</v>
      </c>
      <c r="G139" s="589"/>
      <c r="H139" s="589" t="s">
        <v>551</v>
      </c>
      <c r="I139" s="589">
        <v>15</v>
      </c>
      <c r="J139" s="588">
        <v>7500</v>
      </c>
      <c r="K139" s="589">
        <v>15</v>
      </c>
      <c r="L139" s="590"/>
      <c r="M139" s="591"/>
      <c r="N139" s="592" t="str">
        <f t="shared" si="11"/>
        <v/>
      </c>
      <c r="O139" s="592" t="str">
        <f t="shared" si="12"/>
        <v/>
      </c>
      <c r="P139" s="593" t="s">
        <v>817</v>
      </c>
      <c r="Q139" s="593" t="s">
        <v>2450</v>
      </c>
      <c r="R139" s="593" t="s">
        <v>2452</v>
      </c>
      <c r="S139" s="589" t="s">
        <v>551</v>
      </c>
      <c r="T139" s="594" t="str">
        <f t="shared" si="10"/>
        <v/>
      </c>
      <c r="U139" s="611"/>
      <c r="V139" s="600"/>
      <c r="W139" s="785"/>
      <c r="X139" s="785"/>
      <c r="Y139" s="785"/>
      <c r="Z139" s="785"/>
      <c r="AA139" s="785"/>
      <c r="AB139" s="785"/>
    </row>
    <row r="140" spans="1:28" ht="15.8" customHeight="1">
      <c r="A140" s="587" t="s">
        <v>1817</v>
      </c>
      <c r="B140" s="587" t="s">
        <v>853</v>
      </c>
      <c r="C140" s="587"/>
      <c r="D140" s="587" t="s">
        <v>559</v>
      </c>
      <c r="E140" s="587" t="s">
        <v>2706</v>
      </c>
      <c r="F140" s="588">
        <v>5750</v>
      </c>
      <c r="G140" s="589"/>
      <c r="H140" s="589" t="s">
        <v>551</v>
      </c>
      <c r="I140" s="589">
        <v>3</v>
      </c>
      <c r="J140" s="588">
        <v>7000</v>
      </c>
      <c r="K140" s="589">
        <v>3</v>
      </c>
      <c r="L140" s="590"/>
      <c r="M140" s="591"/>
      <c r="N140" s="592" t="str">
        <f t="shared" si="11"/>
        <v/>
      </c>
      <c r="O140" s="592" t="str">
        <f t="shared" si="12"/>
        <v/>
      </c>
      <c r="P140" s="593" t="s">
        <v>853</v>
      </c>
      <c r="Q140" s="593" t="s">
        <v>2450</v>
      </c>
      <c r="R140" s="593" t="s">
        <v>2452</v>
      </c>
      <c r="S140" s="589" t="s">
        <v>551</v>
      </c>
      <c r="T140" s="594" t="str">
        <f t="shared" si="10"/>
        <v/>
      </c>
      <c r="U140" s="611"/>
      <c r="V140" s="618"/>
    </row>
    <row r="141" spans="1:28" ht="15.8" customHeight="1">
      <c r="A141" s="587" t="s">
        <v>1485</v>
      </c>
      <c r="B141" s="587" t="s">
        <v>636</v>
      </c>
      <c r="C141" s="587"/>
      <c r="D141" s="587" t="s">
        <v>550</v>
      </c>
      <c r="E141" s="587" t="s">
        <v>2443</v>
      </c>
      <c r="F141" s="588">
        <v>3500</v>
      </c>
      <c r="G141" s="589"/>
      <c r="H141" s="589" t="s">
        <v>551</v>
      </c>
      <c r="I141" s="589">
        <v>3</v>
      </c>
      <c r="J141" s="588">
        <v>11400</v>
      </c>
      <c r="K141" s="589">
        <v>3</v>
      </c>
      <c r="L141" s="590"/>
      <c r="M141" s="591"/>
      <c r="N141" s="592" t="str">
        <f t="shared" si="11"/>
        <v/>
      </c>
      <c r="O141" s="592" t="str">
        <f t="shared" si="12"/>
        <v/>
      </c>
      <c r="P141" s="593" t="s">
        <v>636</v>
      </c>
      <c r="Q141" s="593" t="s">
        <v>2450</v>
      </c>
      <c r="R141" s="593" t="s">
        <v>2491</v>
      </c>
      <c r="S141" s="589" t="s">
        <v>551</v>
      </c>
      <c r="T141" s="594" t="str">
        <f t="shared" si="10"/>
        <v/>
      </c>
      <c r="U141" s="611"/>
      <c r="V141" s="614"/>
    </row>
    <row r="142" spans="1:28" ht="15.8" customHeight="1">
      <c r="A142" s="623" t="s">
        <v>1722</v>
      </c>
      <c r="B142" s="623" t="s">
        <v>61</v>
      </c>
      <c r="C142" s="623"/>
      <c r="D142" s="623" t="s">
        <v>559</v>
      </c>
      <c r="E142" s="623" t="s">
        <v>559</v>
      </c>
      <c r="F142" s="621">
        <v>3449.9999999999995</v>
      </c>
      <c r="G142" s="624"/>
      <c r="H142" s="624" t="s">
        <v>551</v>
      </c>
      <c r="I142" s="624">
        <v>5</v>
      </c>
      <c r="J142" s="621">
        <v>4500</v>
      </c>
      <c r="K142" s="624">
        <v>5</v>
      </c>
      <c r="L142" s="590"/>
      <c r="M142" s="591"/>
      <c r="N142" s="592" t="str">
        <f t="shared" si="11"/>
        <v/>
      </c>
      <c r="O142" s="592" t="str">
        <f t="shared" si="12"/>
        <v/>
      </c>
      <c r="P142" s="593" t="s">
        <v>61</v>
      </c>
      <c r="Q142" s="593" t="s">
        <v>2450</v>
      </c>
      <c r="R142" s="593" t="s">
        <v>2452</v>
      </c>
      <c r="S142" s="624" t="s">
        <v>551</v>
      </c>
      <c r="T142" s="594" t="str">
        <f t="shared" si="10"/>
        <v/>
      </c>
      <c r="U142" s="611"/>
      <c r="V142" s="614"/>
    </row>
    <row r="143" spans="1:28" ht="15.8" customHeight="1">
      <c r="A143" s="587" t="s">
        <v>1524</v>
      </c>
      <c r="B143" s="587" t="s">
        <v>41</v>
      </c>
      <c r="C143" s="587"/>
      <c r="D143" s="587" t="s">
        <v>562</v>
      </c>
      <c r="E143" s="587" t="s">
        <v>562</v>
      </c>
      <c r="F143" s="588">
        <v>2300</v>
      </c>
      <c r="G143" s="589"/>
      <c r="H143" s="589" t="s">
        <v>551</v>
      </c>
      <c r="I143" s="589">
        <v>1</v>
      </c>
      <c r="J143" s="588">
        <v>3500</v>
      </c>
      <c r="K143" s="589">
        <v>1</v>
      </c>
      <c r="L143" s="590"/>
      <c r="M143" s="591"/>
      <c r="N143" s="592" t="str">
        <f t="shared" si="11"/>
        <v/>
      </c>
      <c r="O143" s="592" t="str">
        <f t="shared" si="12"/>
        <v/>
      </c>
      <c r="P143" s="593" t="s">
        <v>41</v>
      </c>
      <c r="Q143" s="593" t="s">
        <v>2450</v>
      </c>
      <c r="R143" s="593" t="s">
        <v>2452</v>
      </c>
      <c r="S143" s="589" t="s">
        <v>551</v>
      </c>
      <c r="T143" s="594" t="str">
        <f t="shared" si="10"/>
        <v/>
      </c>
      <c r="U143" s="611"/>
      <c r="V143" s="611"/>
    </row>
    <row r="144" spans="1:28" ht="15.8" customHeight="1">
      <c r="A144" s="587" t="s">
        <v>1450</v>
      </c>
      <c r="B144" s="587" t="s">
        <v>6033</v>
      </c>
      <c r="C144" s="587"/>
      <c r="D144" s="587" t="s">
        <v>602</v>
      </c>
      <c r="E144" s="587" t="s">
        <v>2445</v>
      </c>
      <c r="F144" s="588">
        <v>12900</v>
      </c>
      <c r="G144" s="589"/>
      <c r="H144" s="589" t="s">
        <v>551</v>
      </c>
      <c r="I144" s="589">
        <v>7</v>
      </c>
      <c r="J144" s="588">
        <v>16800</v>
      </c>
      <c r="K144" s="589"/>
      <c r="L144" s="590"/>
      <c r="M144" s="591"/>
      <c r="N144" s="592" t="str">
        <f t="shared" si="11"/>
        <v/>
      </c>
      <c r="O144" s="592" t="str">
        <f t="shared" si="12"/>
        <v/>
      </c>
      <c r="P144" s="593"/>
      <c r="Q144" s="593"/>
      <c r="R144" s="593" t="s">
        <v>2452</v>
      </c>
      <c r="S144" s="589" t="s">
        <v>551</v>
      </c>
      <c r="T144" s="594" t="str">
        <f t="shared" si="10"/>
        <v/>
      </c>
      <c r="U144" s="611"/>
      <c r="V144" s="614"/>
    </row>
    <row r="145" spans="1:28" ht="15.8" customHeight="1">
      <c r="A145" s="587" t="s">
        <v>1704</v>
      </c>
      <c r="B145" s="587" t="s">
        <v>793</v>
      </c>
      <c r="C145" s="587"/>
      <c r="D145" s="587" t="s">
        <v>550</v>
      </c>
      <c r="E145" s="587" t="s">
        <v>2435</v>
      </c>
      <c r="F145" s="588">
        <v>10350</v>
      </c>
      <c r="G145" s="589"/>
      <c r="H145" s="589" t="s">
        <v>551</v>
      </c>
      <c r="I145" s="589">
        <v>3</v>
      </c>
      <c r="J145" s="588">
        <v>13300</v>
      </c>
      <c r="K145" s="589">
        <v>3</v>
      </c>
      <c r="L145" s="590"/>
      <c r="M145" s="591"/>
      <c r="N145" s="592" t="str">
        <f t="shared" si="11"/>
        <v/>
      </c>
      <c r="O145" s="592" t="str">
        <f t="shared" si="12"/>
        <v/>
      </c>
      <c r="P145" s="593" t="s">
        <v>793</v>
      </c>
      <c r="Q145" s="593" t="s">
        <v>2450</v>
      </c>
      <c r="R145" s="593" t="s">
        <v>2452</v>
      </c>
      <c r="S145" s="589" t="s">
        <v>551</v>
      </c>
      <c r="T145" s="594" t="str">
        <f t="shared" si="10"/>
        <v/>
      </c>
      <c r="U145" s="600"/>
      <c r="V145" s="611"/>
    </row>
    <row r="146" spans="1:28" ht="15.8" customHeight="1">
      <c r="A146" s="587" t="s">
        <v>1815</v>
      </c>
      <c r="B146" s="587" t="s">
        <v>1816</v>
      </c>
      <c r="C146" s="587"/>
      <c r="D146" s="587" t="s">
        <v>550</v>
      </c>
      <c r="E146" s="587" t="s">
        <v>2435</v>
      </c>
      <c r="F146" s="588">
        <v>3679.9999999999995</v>
      </c>
      <c r="G146" s="589"/>
      <c r="H146" s="589" t="s">
        <v>551</v>
      </c>
      <c r="I146" s="589">
        <v>1</v>
      </c>
      <c r="J146" s="588">
        <v>5400</v>
      </c>
      <c r="K146" s="589">
        <v>1</v>
      </c>
      <c r="L146" s="590"/>
      <c r="M146" s="591"/>
      <c r="N146" s="592" t="str">
        <f t="shared" si="11"/>
        <v/>
      </c>
      <c r="O146" s="592" t="str">
        <f t="shared" si="12"/>
        <v/>
      </c>
      <c r="P146" s="593" t="s">
        <v>2621</v>
      </c>
      <c r="Q146" s="593" t="s">
        <v>2450</v>
      </c>
      <c r="R146" s="593" t="s">
        <v>2452</v>
      </c>
      <c r="S146" s="589" t="s">
        <v>551</v>
      </c>
      <c r="T146" s="594" t="str">
        <f t="shared" si="10"/>
        <v/>
      </c>
      <c r="U146" s="615"/>
      <c r="V146" s="611"/>
    </row>
    <row r="147" spans="1:28" ht="15.8" customHeight="1">
      <c r="A147" s="608" t="s">
        <v>1516</v>
      </c>
      <c r="B147" s="608" t="s">
        <v>364</v>
      </c>
      <c r="C147" s="608"/>
      <c r="D147" s="608" t="s">
        <v>550</v>
      </c>
      <c r="E147" s="608" t="s">
        <v>2428</v>
      </c>
      <c r="F147" s="598">
        <v>7750</v>
      </c>
      <c r="G147" s="629" t="s">
        <v>1363</v>
      </c>
      <c r="H147" s="629" t="s">
        <v>551</v>
      </c>
      <c r="I147" s="629">
        <v>1</v>
      </c>
      <c r="J147" s="598">
        <v>12500</v>
      </c>
      <c r="K147" s="629">
        <v>1</v>
      </c>
      <c r="L147" s="601"/>
      <c r="M147" s="602"/>
      <c r="N147" s="592" t="str">
        <f t="shared" si="11"/>
        <v/>
      </c>
      <c r="O147" s="592" t="str">
        <f t="shared" si="12"/>
        <v/>
      </c>
      <c r="P147" s="593" t="s">
        <v>364</v>
      </c>
      <c r="Q147" s="593" t="s">
        <v>2450</v>
      </c>
      <c r="R147" s="593" t="s">
        <v>2502</v>
      </c>
      <c r="S147" s="629" t="s">
        <v>551</v>
      </c>
      <c r="T147" s="594" t="str">
        <f t="shared" si="10"/>
        <v/>
      </c>
      <c r="U147" s="611"/>
      <c r="V147" s="611"/>
    </row>
    <row r="148" spans="1:28" ht="15.8" customHeight="1">
      <c r="A148" s="587" t="s">
        <v>1830</v>
      </c>
      <c r="B148" s="587" t="s">
        <v>118</v>
      </c>
      <c r="C148" s="587"/>
      <c r="D148" s="587" t="s">
        <v>855</v>
      </c>
      <c r="E148" s="587" t="s">
        <v>855</v>
      </c>
      <c r="F148" s="588">
        <v>7589.9999999999991</v>
      </c>
      <c r="G148" s="589"/>
      <c r="H148" s="589" t="s">
        <v>856</v>
      </c>
      <c r="I148" s="589">
        <v>2</v>
      </c>
      <c r="J148" s="588">
        <v>14000</v>
      </c>
      <c r="K148" s="589">
        <v>2</v>
      </c>
      <c r="L148" s="590"/>
      <c r="M148" s="591"/>
      <c r="N148" s="592" t="str">
        <f t="shared" si="11"/>
        <v/>
      </c>
      <c r="O148" s="592" t="str">
        <f t="shared" si="12"/>
        <v/>
      </c>
      <c r="P148" s="593" t="s">
        <v>118</v>
      </c>
      <c r="Q148" s="593" t="s">
        <v>2569</v>
      </c>
      <c r="R148" s="593" t="s">
        <v>2550</v>
      </c>
      <c r="S148" s="589" t="s">
        <v>856</v>
      </c>
      <c r="T148" s="594" t="str">
        <f t="shared" si="10"/>
        <v/>
      </c>
      <c r="U148" s="615"/>
      <c r="V148" s="615"/>
    </row>
    <row r="149" spans="1:28" s="618" customFormat="1" ht="15.8" customHeight="1">
      <c r="A149" s="592" t="s">
        <v>1760</v>
      </c>
      <c r="B149" s="592" t="s">
        <v>830</v>
      </c>
      <c r="C149" s="592"/>
      <c r="D149" s="592" t="s">
        <v>550</v>
      </c>
      <c r="E149" s="592" t="s">
        <v>2433</v>
      </c>
      <c r="F149" s="598">
        <v>1265</v>
      </c>
      <c r="G149" s="599" t="s">
        <v>1363</v>
      </c>
      <c r="H149" s="599" t="s">
        <v>5852</v>
      </c>
      <c r="I149" s="599">
        <v>2</v>
      </c>
      <c r="J149" s="598">
        <v>1700</v>
      </c>
      <c r="K149" s="599">
        <v>2</v>
      </c>
      <c r="L149" s="601"/>
      <c r="M149" s="591"/>
      <c r="N149" s="592" t="str">
        <f t="shared" si="11"/>
        <v/>
      </c>
      <c r="O149" s="592" t="str">
        <f t="shared" si="12"/>
        <v/>
      </c>
      <c r="P149" s="593" t="s">
        <v>441</v>
      </c>
      <c r="Q149" s="593" t="s">
        <v>2547</v>
      </c>
      <c r="R149" s="593" t="s">
        <v>2557</v>
      </c>
      <c r="S149" s="599" t="s">
        <v>5852</v>
      </c>
      <c r="T149" s="594" t="str">
        <f t="shared" si="10"/>
        <v/>
      </c>
      <c r="U149" s="615"/>
      <c r="V149" s="615"/>
      <c r="W149" s="785"/>
      <c r="X149" s="785"/>
      <c r="Y149" s="785"/>
      <c r="Z149" s="785"/>
      <c r="AA149" s="785"/>
      <c r="AB149" s="785"/>
    </row>
    <row r="150" spans="1:28" ht="15.8" customHeight="1">
      <c r="A150" s="592" t="s">
        <v>6039</v>
      </c>
      <c r="B150" s="592" t="s">
        <v>6040</v>
      </c>
      <c r="C150" s="592"/>
      <c r="D150" s="592" t="s">
        <v>550</v>
      </c>
      <c r="E150" s="592" t="s">
        <v>2433</v>
      </c>
      <c r="F150" s="598">
        <v>3795</v>
      </c>
      <c r="G150" s="599" t="s">
        <v>1363</v>
      </c>
      <c r="H150" s="599" t="s">
        <v>5852</v>
      </c>
      <c r="I150" s="599">
        <v>2</v>
      </c>
      <c r="J150" s="598">
        <v>5100</v>
      </c>
      <c r="K150" s="599">
        <v>2</v>
      </c>
      <c r="L150" s="601"/>
      <c r="M150" s="591"/>
      <c r="N150" s="592" t="str">
        <f t="shared" si="11"/>
        <v/>
      </c>
      <c r="O150" s="592" t="str">
        <f t="shared" si="12"/>
        <v/>
      </c>
      <c r="P150" s="593" t="s">
        <v>441</v>
      </c>
      <c r="Q150" s="593" t="s">
        <v>2547</v>
      </c>
      <c r="R150" s="593" t="s">
        <v>2557</v>
      </c>
      <c r="S150" s="599" t="s">
        <v>5852</v>
      </c>
      <c r="T150" s="594" t="str">
        <f t="shared" si="10"/>
        <v/>
      </c>
      <c r="U150" s="615"/>
      <c r="V150" s="615"/>
    </row>
    <row r="151" spans="1:28" ht="15.8" customHeight="1">
      <c r="A151" s="879" t="s">
        <v>1609</v>
      </c>
      <c r="B151" s="879" t="s">
        <v>729</v>
      </c>
      <c r="C151" s="813" t="s">
        <v>477</v>
      </c>
      <c r="D151" s="879" t="s">
        <v>559</v>
      </c>
      <c r="E151" s="879" t="s">
        <v>559</v>
      </c>
      <c r="F151" s="811">
        <v>13914.999999999998</v>
      </c>
      <c r="G151" s="815"/>
      <c r="H151" s="815" t="s">
        <v>575</v>
      </c>
      <c r="I151" s="815">
        <v>17</v>
      </c>
      <c r="J151" s="811">
        <v>18090</v>
      </c>
      <c r="K151" s="815">
        <v>17</v>
      </c>
      <c r="L151" s="590"/>
      <c r="M151" s="591"/>
      <c r="N151" s="813" t="str">
        <f t="shared" si="11"/>
        <v/>
      </c>
      <c r="O151" s="813" t="str">
        <f t="shared" si="12"/>
        <v/>
      </c>
      <c r="P151" s="814" t="s">
        <v>2630</v>
      </c>
      <c r="Q151" s="814" t="s">
        <v>2521</v>
      </c>
      <c r="R151" s="814" t="s">
        <v>2522</v>
      </c>
      <c r="S151" s="815" t="s">
        <v>575</v>
      </c>
      <c r="T151" s="815" t="str">
        <f t="shared" si="10"/>
        <v/>
      </c>
      <c r="U151" s="600"/>
      <c r="V151" s="611"/>
    </row>
    <row r="152" spans="1:28" ht="15.8" customHeight="1">
      <c r="A152" s="1157" t="s">
        <v>5808</v>
      </c>
      <c r="B152" s="1158" t="s">
        <v>5809</v>
      </c>
      <c r="C152" s="595"/>
      <c r="D152" s="1157" t="s">
        <v>550</v>
      </c>
      <c r="E152" s="1157" t="s">
        <v>550</v>
      </c>
      <c r="F152" s="588">
        <v>28000</v>
      </c>
      <c r="G152" s="1159" t="s">
        <v>1363</v>
      </c>
      <c r="H152" s="1160" t="s">
        <v>5822</v>
      </c>
      <c r="I152" s="1160">
        <v>17</v>
      </c>
      <c r="J152" s="588">
        <v>36400</v>
      </c>
      <c r="K152" s="589">
        <v>17</v>
      </c>
      <c r="L152" s="590"/>
      <c r="M152" s="591"/>
      <c r="N152" s="592" t="str">
        <f t="shared" si="11"/>
        <v/>
      </c>
      <c r="O152" s="592" t="str">
        <f t="shared" si="12"/>
        <v/>
      </c>
      <c r="P152" s="593"/>
      <c r="Q152" s="593" t="s">
        <v>5823</v>
      </c>
      <c r="R152" s="1121" t="s">
        <v>5821</v>
      </c>
      <c r="S152" s="1160" t="s">
        <v>5822</v>
      </c>
      <c r="T152" s="594" t="str">
        <f t="shared" si="10"/>
        <v/>
      </c>
      <c r="V152" s="800"/>
    </row>
    <row r="153" spans="1:28" s="618" customFormat="1" ht="15.8" customHeight="1">
      <c r="A153" s="652" t="s">
        <v>1825</v>
      </c>
      <c r="B153" s="652" t="s">
        <v>862</v>
      </c>
      <c r="C153" s="652" t="s">
        <v>2819</v>
      </c>
      <c r="D153" s="652" t="s">
        <v>553</v>
      </c>
      <c r="E153" s="652" t="s">
        <v>2704</v>
      </c>
      <c r="F153" s="653">
        <v>31900</v>
      </c>
      <c r="G153" s="654"/>
      <c r="H153" s="654" t="s">
        <v>604</v>
      </c>
      <c r="I153" s="654">
        <v>12</v>
      </c>
      <c r="J153" s="653">
        <v>96500</v>
      </c>
      <c r="K153" s="654">
        <v>12</v>
      </c>
      <c r="L153" s="601"/>
      <c r="M153" s="591"/>
      <c r="N153" s="638" t="str">
        <f t="shared" si="11"/>
        <v/>
      </c>
      <c r="O153" s="638" t="str">
        <f t="shared" si="12"/>
        <v/>
      </c>
      <c r="P153" s="639" t="s">
        <v>2688</v>
      </c>
      <c r="Q153" s="639" t="s">
        <v>2492</v>
      </c>
      <c r="R153" s="639" t="s">
        <v>2561</v>
      </c>
      <c r="S153" s="654" t="s">
        <v>604</v>
      </c>
      <c r="T153" s="640" t="str">
        <f t="shared" si="10"/>
        <v/>
      </c>
      <c r="U153" s="600"/>
      <c r="V153" s="611" t="s">
        <v>5990</v>
      </c>
      <c r="W153" s="785"/>
      <c r="X153" s="785"/>
      <c r="Y153" s="785"/>
      <c r="Z153" s="785"/>
      <c r="AA153" s="785"/>
      <c r="AB153" s="785"/>
    </row>
    <row r="154" spans="1:28" s="618" customFormat="1" ht="15.8" customHeight="1">
      <c r="A154" s="620" t="s">
        <v>6138</v>
      </c>
      <c r="B154" s="620" t="s">
        <v>6139</v>
      </c>
      <c r="C154" s="620"/>
      <c r="D154" s="620" t="s">
        <v>6132</v>
      </c>
      <c r="E154" s="620" t="s">
        <v>6132</v>
      </c>
      <c r="F154" s="621">
        <v>8000</v>
      </c>
      <c r="G154" s="622"/>
      <c r="H154" s="622" t="s">
        <v>604</v>
      </c>
      <c r="I154" s="622">
        <v>15</v>
      </c>
      <c r="J154" s="621">
        <v>10400</v>
      </c>
      <c r="K154" s="622">
        <v>5</v>
      </c>
      <c r="L154" s="590"/>
      <c r="M154" s="591"/>
      <c r="N154" s="592" t="str">
        <f t="shared" si="11"/>
        <v/>
      </c>
      <c r="O154" s="592" t="str">
        <f t="shared" si="12"/>
        <v/>
      </c>
      <c r="P154" s="593"/>
      <c r="Q154" s="593" t="s">
        <v>2486</v>
      </c>
      <c r="R154" s="593" t="s">
        <v>6133</v>
      </c>
      <c r="S154" s="622" t="s">
        <v>551</v>
      </c>
      <c r="T154" s="594"/>
      <c r="U154" s="611"/>
      <c r="V154" s="600"/>
      <c r="W154" s="785"/>
      <c r="X154" s="785"/>
      <c r="Y154" s="785"/>
      <c r="Z154" s="785"/>
      <c r="AA154" s="785"/>
      <c r="AB154" s="785"/>
    </row>
    <row r="155" spans="1:28" ht="15.8" customHeight="1">
      <c r="A155" s="620" t="s">
        <v>6140</v>
      </c>
      <c r="B155" s="620" t="s">
        <v>6141</v>
      </c>
      <c r="C155" s="620"/>
      <c r="D155" s="620" t="s">
        <v>6132</v>
      </c>
      <c r="E155" s="620" t="s">
        <v>6132</v>
      </c>
      <c r="F155" s="621">
        <v>8000</v>
      </c>
      <c r="G155" s="622"/>
      <c r="H155" s="622" t="s">
        <v>604</v>
      </c>
      <c r="I155" s="622">
        <v>15</v>
      </c>
      <c r="J155" s="621">
        <v>10400</v>
      </c>
      <c r="K155" s="622">
        <v>5</v>
      </c>
      <c r="L155" s="590"/>
      <c r="M155" s="591"/>
      <c r="N155" s="592" t="str">
        <f t="shared" si="11"/>
        <v/>
      </c>
      <c r="O155" s="592" t="str">
        <f t="shared" si="12"/>
        <v/>
      </c>
      <c r="P155" s="593"/>
      <c r="Q155" s="593" t="s">
        <v>2486</v>
      </c>
      <c r="R155" s="593" t="s">
        <v>6133</v>
      </c>
      <c r="S155" s="622" t="s">
        <v>551</v>
      </c>
      <c r="T155" s="594"/>
      <c r="U155" s="611"/>
      <c r="V155" s="600"/>
    </row>
    <row r="156" spans="1:28" s="618" customFormat="1" ht="15.8" customHeight="1">
      <c r="A156" s="587" t="s">
        <v>1451</v>
      </c>
      <c r="B156" s="587" t="s">
        <v>616</v>
      </c>
      <c r="C156" s="587"/>
      <c r="D156" s="587" t="s">
        <v>553</v>
      </c>
      <c r="E156" s="641" t="s">
        <v>2705</v>
      </c>
      <c r="F156" s="588">
        <v>10000</v>
      </c>
      <c r="G156" s="589"/>
      <c r="H156" s="589" t="s">
        <v>604</v>
      </c>
      <c r="I156" s="589">
        <v>5</v>
      </c>
      <c r="J156" s="588">
        <v>13000</v>
      </c>
      <c r="K156" s="589">
        <v>5</v>
      </c>
      <c r="L156" s="590"/>
      <c r="M156" s="591"/>
      <c r="N156" s="592" t="str">
        <f t="shared" si="11"/>
        <v/>
      </c>
      <c r="O156" s="592" t="str">
        <f t="shared" si="12"/>
        <v/>
      </c>
      <c r="P156" s="593" t="s">
        <v>2593</v>
      </c>
      <c r="Q156" s="593" t="s">
        <v>2465</v>
      </c>
      <c r="R156" s="593" t="s">
        <v>2481</v>
      </c>
      <c r="S156" s="589" t="s">
        <v>604</v>
      </c>
      <c r="T156" s="594" t="str">
        <f>IF(OR(L156="x", M156="x"), S156,"")</f>
        <v/>
      </c>
      <c r="U156" s="614"/>
      <c r="V156" s="611"/>
      <c r="W156" s="785"/>
      <c r="X156" s="785"/>
      <c r="Y156" s="785"/>
      <c r="Z156" s="785"/>
      <c r="AA156" s="785"/>
      <c r="AB156" s="785"/>
    </row>
    <row r="157" spans="1:28" s="618" customFormat="1" ht="15.8" customHeight="1">
      <c r="A157" s="673" t="s">
        <v>1649</v>
      </c>
      <c r="B157" s="673" t="s">
        <v>755</v>
      </c>
      <c r="C157" s="673"/>
      <c r="D157" s="673" t="s">
        <v>553</v>
      </c>
      <c r="E157" s="673"/>
      <c r="F157" s="1297">
        <v>19000</v>
      </c>
      <c r="G157" s="1298"/>
      <c r="H157" s="1298" t="s">
        <v>604</v>
      </c>
      <c r="I157" s="1298">
        <v>12</v>
      </c>
      <c r="J157" s="1297">
        <v>24700</v>
      </c>
      <c r="K157" s="1298">
        <v>12</v>
      </c>
      <c r="L157" s="676"/>
      <c r="M157" s="670"/>
      <c r="N157" s="674" t="str">
        <f t="shared" si="11"/>
        <v/>
      </c>
      <c r="O157" s="674" t="str">
        <f t="shared" si="12"/>
        <v/>
      </c>
      <c r="P157" s="1299"/>
      <c r="Q157" s="1299"/>
      <c r="R157" s="1299"/>
      <c r="S157" s="1298" t="s">
        <v>604</v>
      </c>
      <c r="T157" s="675" t="str">
        <f>IF(OR(L157="x", M157="x"), S157,"")</f>
        <v/>
      </c>
      <c r="U157" s="792"/>
      <c r="V157" s="790"/>
      <c r="W157" s="785"/>
      <c r="X157" s="785"/>
      <c r="Y157" s="785"/>
      <c r="Z157" s="785"/>
      <c r="AA157" s="785"/>
      <c r="AB157" s="785"/>
    </row>
    <row r="158" spans="1:28" s="618" customFormat="1" ht="15.8" customHeight="1">
      <c r="A158" s="592" t="s">
        <v>1720</v>
      </c>
      <c r="B158" s="592" t="s">
        <v>805</v>
      </c>
      <c r="C158" s="592"/>
      <c r="D158" s="592" t="s">
        <v>550</v>
      </c>
      <c r="E158" s="592" t="s">
        <v>2431</v>
      </c>
      <c r="F158" s="598">
        <v>16500</v>
      </c>
      <c r="G158" s="599" t="s">
        <v>1363</v>
      </c>
      <c r="H158" s="599" t="s">
        <v>551</v>
      </c>
      <c r="I158" s="599">
        <v>17</v>
      </c>
      <c r="J158" s="630">
        <v>19500</v>
      </c>
      <c r="K158" s="599">
        <v>17</v>
      </c>
      <c r="L158" s="601"/>
      <c r="M158" s="591"/>
      <c r="N158" s="592" t="str">
        <f t="shared" si="11"/>
        <v/>
      </c>
      <c r="O158" s="592" t="str">
        <f t="shared" si="12"/>
        <v/>
      </c>
      <c r="P158" s="593" t="s">
        <v>805</v>
      </c>
      <c r="Q158" s="593" t="s">
        <v>2450</v>
      </c>
      <c r="R158" s="593" t="s">
        <v>2548</v>
      </c>
      <c r="S158" s="599" t="s">
        <v>551</v>
      </c>
      <c r="T158" s="594" t="str">
        <f>IF(OR(L158="x", M158="x"), S158,"")</f>
        <v/>
      </c>
      <c r="U158" s="600"/>
      <c r="V158" s="611"/>
      <c r="W158" s="785"/>
      <c r="X158" s="785"/>
      <c r="Y158" s="785"/>
      <c r="Z158" s="785"/>
      <c r="AA158" s="785"/>
      <c r="AB158" s="785"/>
    </row>
    <row r="159" spans="1:28" s="618" customFormat="1" ht="15.8" customHeight="1">
      <c r="A159" s="587" t="s">
        <v>1803</v>
      </c>
      <c r="B159" s="587" t="s">
        <v>2408</v>
      </c>
      <c r="C159" s="587"/>
      <c r="D159" s="587" t="s">
        <v>562</v>
      </c>
      <c r="E159" s="587" t="s">
        <v>562</v>
      </c>
      <c r="F159" s="588">
        <v>33300</v>
      </c>
      <c r="G159" s="589"/>
      <c r="H159" s="589" t="s">
        <v>848</v>
      </c>
      <c r="I159" s="589">
        <v>17</v>
      </c>
      <c r="J159" s="597">
        <v>39000</v>
      </c>
      <c r="K159" s="589">
        <v>17</v>
      </c>
      <c r="L159" s="590"/>
      <c r="M159" s="591"/>
      <c r="N159" s="592" t="str">
        <f t="shared" si="11"/>
        <v/>
      </c>
      <c r="O159" s="592" t="str">
        <f t="shared" si="12"/>
        <v/>
      </c>
      <c r="P159" s="593" t="s">
        <v>2692</v>
      </c>
      <c r="Q159" s="593" t="s">
        <v>2563</v>
      </c>
      <c r="R159" s="593" t="s">
        <v>2470</v>
      </c>
      <c r="S159" s="589" t="s">
        <v>848</v>
      </c>
      <c r="T159" s="594" t="str">
        <f>IF(OR(L159="x", M159="x"), S159,"")</f>
        <v/>
      </c>
      <c r="U159" s="600"/>
      <c r="V159" s="600"/>
      <c r="W159" s="785"/>
      <c r="X159" s="785"/>
      <c r="Y159" s="785"/>
      <c r="Z159" s="785"/>
      <c r="AA159" s="785"/>
      <c r="AB159" s="785"/>
    </row>
    <row r="160" spans="1:28" ht="15.8" customHeight="1">
      <c r="A160" s="620" t="s">
        <v>6130</v>
      </c>
      <c r="B160" s="620" t="s">
        <v>6131</v>
      </c>
      <c r="C160" s="620"/>
      <c r="D160" s="620" t="s">
        <v>6132</v>
      </c>
      <c r="E160" s="620" t="s">
        <v>6132</v>
      </c>
      <c r="F160" s="621">
        <v>8000</v>
      </c>
      <c r="G160" s="622"/>
      <c r="H160" s="622" t="s">
        <v>604</v>
      </c>
      <c r="I160" s="622">
        <v>15</v>
      </c>
      <c r="J160" s="621">
        <v>10400</v>
      </c>
      <c r="K160" s="622">
        <v>5</v>
      </c>
      <c r="L160" s="590"/>
      <c r="M160" s="591"/>
      <c r="N160" s="592" t="str">
        <f t="shared" si="11"/>
        <v/>
      </c>
      <c r="O160" s="592" t="str">
        <f t="shared" si="12"/>
        <v/>
      </c>
      <c r="P160" s="593"/>
      <c r="Q160" s="593" t="s">
        <v>2486</v>
      </c>
      <c r="R160" s="593" t="s">
        <v>6133</v>
      </c>
      <c r="S160" s="622" t="s">
        <v>551</v>
      </c>
      <c r="T160" s="594"/>
      <c r="U160" s="611"/>
      <c r="V160" s="600"/>
    </row>
    <row r="161" spans="1:28" ht="15.8" customHeight="1">
      <c r="A161" s="620" t="s">
        <v>6134</v>
      </c>
      <c r="B161" s="620" t="s">
        <v>6135</v>
      </c>
      <c r="C161" s="620"/>
      <c r="D161" s="620" t="s">
        <v>6132</v>
      </c>
      <c r="E161" s="620" t="s">
        <v>6132</v>
      </c>
      <c r="F161" s="621">
        <v>8000</v>
      </c>
      <c r="G161" s="622"/>
      <c r="H161" s="622" t="s">
        <v>604</v>
      </c>
      <c r="I161" s="622">
        <v>15</v>
      </c>
      <c r="J161" s="621">
        <v>10400</v>
      </c>
      <c r="K161" s="622">
        <v>5</v>
      </c>
      <c r="L161" s="590"/>
      <c r="M161" s="591"/>
      <c r="N161" s="592" t="str">
        <f t="shared" si="11"/>
        <v/>
      </c>
      <c r="O161" s="592" t="str">
        <f t="shared" si="12"/>
        <v/>
      </c>
      <c r="P161" s="593"/>
      <c r="Q161" s="593" t="s">
        <v>2486</v>
      </c>
      <c r="R161" s="593" t="s">
        <v>6133</v>
      </c>
      <c r="S161" s="622" t="s">
        <v>551</v>
      </c>
      <c r="T161" s="594"/>
      <c r="U161" s="611"/>
      <c r="V161" s="600"/>
    </row>
    <row r="162" spans="1:28" s="618" customFormat="1" ht="15.8" customHeight="1">
      <c r="A162" s="620" t="s">
        <v>6136</v>
      </c>
      <c r="B162" s="620" t="s">
        <v>6137</v>
      </c>
      <c r="C162" s="620"/>
      <c r="D162" s="620" t="s">
        <v>6132</v>
      </c>
      <c r="E162" s="620" t="s">
        <v>6132</v>
      </c>
      <c r="F162" s="621">
        <v>8000</v>
      </c>
      <c r="G162" s="622"/>
      <c r="H162" s="622" t="s">
        <v>604</v>
      </c>
      <c r="I162" s="622">
        <v>15</v>
      </c>
      <c r="J162" s="621">
        <v>10400</v>
      </c>
      <c r="K162" s="622">
        <v>5</v>
      </c>
      <c r="L162" s="590"/>
      <c r="M162" s="591"/>
      <c r="N162" s="592" t="str">
        <f t="shared" si="11"/>
        <v/>
      </c>
      <c r="O162" s="592" t="str">
        <f t="shared" si="12"/>
        <v/>
      </c>
      <c r="P162" s="593"/>
      <c r="Q162" s="593" t="s">
        <v>2486</v>
      </c>
      <c r="R162" s="593" t="s">
        <v>6133</v>
      </c>
      <c r="S162" s="622" t="s">
        <v>551</v>
      </c>
      <c r="T162" s="594"/>
      <c r="U162" s="611"/>
      <c r="V162" s="600"/>
      <c r="W162" s="785"/>
      <c r="X162" s="785"/>
      <c r="Y162" s="785"/>
      <c r="Z162" s="785"/>
      <c r="AA162" s="785"/>
      <c r="AB162" s="785"/>
    </row>
    <row r="163" spans="1:28" ht="15.8" customHeight="1">
      <c r="A163" s="587" t="s">
        <v>1697</v>
      </c>
      <c r="B163" s="587" t="s">
        <v>2401</v>
      </c>
      <c r="C163" s="587"/>
      <c r="D163" s="587" t="s">
        <v>787</v>
      </c>
      <c r="E163" s="587" t="s">
        <v>2704</v>
      </c>
      <c r="F163" s="588">
        <v>175000</v>
      </c>
      <c r="G163" s="589"/>
      <c r="H163" s="589" t="s">
        <v>788</v>
      </c>
      <c r="I163" s="589">
        <v>14</v>
      </c>
      <c r="J163" s="588">
        <v>212000</v>
      </c>
      <c r="K163" s="589">
        <v>14</v>
      </c>
      <c r="L163" s="590"/>
      <c r="M163" s="602"/>
      <c r="N163" s="592" t="str">
        <f t="shared" si="11"/>
        <v/>
      </c>
      <c r="O163" s="592" t="str">
        <f t="shared" si="12"/>
        <v/>
      </c>
      <c r="P163" s="593" t="s">
        <v>2660</v>
      </c>
      <c r="Q163" s="593" t="s">
        <v>2507</v>
      </c>
      <c r="R163" s="593" t="s">
        <v>2508</v>
      </c>
      <c r="S163" s="589" t="s">
        <v>788</v>
      </c>
      <c r="T163" s="594" t="str">
        <f t="shared" ref="T163:T226" si="13">IF(OR(L163="x", M163="x"), S163,"")</f>
        <v/>
      </c>
      <c r="U163" s="600"/>
      <c r="V163" s="611"/>
    </row>
    <row r="164" spans="1:28" ht="15.8" customHeight="1">
      <c r="A164" s="587" t="s">
        <v>1602</v>
      </c>
      <c r="B164" s="587" t="s">
        <v>725</v>
      </c>
      <c r="C164" s="587"/>
      <c r="D164" s="587" t="s">
        <v>562</v>
      </c>
      <c r="E164" s="587" t="s">
        <v>562</v>
      </c>
      <c r="F164" s="588">
        <v>14949.999999999998</v>
      </c>
      <c r="G164" s="589"/>
      <c r="H164" s="589" t="s">
        <v>551</v>
      </c>
      <c r="I164" s="589">
        <v>14</v>
      </c>
      <c r="J164" s="588">
        <v>19500</v>
      </c>
      <c r="K164" s="589">
        <v>14</v>
      </c>
      <c r="L164" s="590"/>
      <c r="M164" s="591"/>
      <c r="N164" s="592" t="str">
        <f t="shared" si="11"/>
        <v/>
      </c>
      <c r="O164" s="592" t="str">
        <f t="shared" si="12"/>
        <v/>
      </c>
      <c r="P164" s="593" t="s">
        <v>725</v>
      </c>
      <c r="Q164" s="593" t="s">
        <v>2450</v>
      </c>
      <c r="R164" s="593" t="s">
        <v>2496</v>
      </c>
      <c r="S164" s="589" t="s">
        <v>551</v>
      </c>
      <c r="T164" s="594" t="str">
        <f t="shared" si="13"/>
        <v/>
      </c>
      <c r="U164" s="614"/>
      <c r="V164" s="600"/>
    </row>
    <row r="165" spans="1:28" ht="15.8" customHeight="1">
      <c r="A165" s="587" t="s">
        <v>1645</v>
      </c>
      <c r="B165" s="587" t="s">
        <v>2389</v>
      </c>
      <c r="C165" s="587"/>
      <c r="D165" s="587" t="s">
        <v>567</v>
      </c>
      <c r="E165" s="587" t="s">
        <v>2734</v>
      </c>
      <c r="F165" s="588">
        <v>43550</v>
      </c>
      <c r="G165" s="589"/>
      <c r="H165" s="589" t="s">
        <v>750</v>
      </c>
      <c r="I165" s="589">
        <v>10</v>
      </c>
      <c r="J165" s="588">
        <v>56600</v>
      </c>
      <c r="K165" s="589">
        <v>10</v>
      </c>
      <c r="L165" s="590"/>
      <c r="M165" s="591"/>
      <c r="N165" s="592" t="str">
        <f t="shared" ref="N165:N170" si="14">IF(OR(L165="x", M165="x"), B165 &amp; "; ", "")</f>
        <v/>
      </c>
      <c r="O165" s="592" t="str">
        <f t="shared" si="12"/>
        <v/>
      </c>
      <c r="P165" s="593" t="s">
        <v>2640</v>
      </c>
      <c r="Q165" s="593" t="s">
        <v>2534</v>
      </c>
      <c r="R165" s="593" t="s">
        <v>2475</v>
      </c>
      <c r="S165" s="589" t="s">
        <v>750</v>
      </c>
      <c r="T165" s="594" t="str">
        <f t="shared" si="13"/>
        <v/>
      </c>
      <c r="U165" s="607"/>
      <c r="V165" s="611"/>
    </row>
    <row r="166" spans="1:28" ht="15.8" customHeight="1">
      <c r="A166" s="625" t="s">
        <v>1641</v>
      </c>
      <c r="B166" s="625" t="s">
        <v>2388</v>
      </c>
      <c r="C166" s="625"/>
      <c r="D166" s="625" t="s">
        <v>567</v>
      </c>
      <c r="E166" s="587" t="s">
        <v>2734</v>
      </c>
      <c r="F166" s="588">
        <v>62400</v>
      </c>
      <c r="G166" s="594"/>
      <c r="H166" s="594" t="s">
        <v>750</v>
      </c>
      <c r="I166" s="594">
        <v>10</v>
      </c>
      <c r="J166" s="588">
        <v>81000</v>
      </c>
      <c r="K166" s="594">
        <v>10</v>
      </c>
      <c r="L166" s="590"/>
      <c r="M166" s="591"/>
      <c r="N166" s="592" t="str">
        <f t="shared" si="14"/>
        <v/>
      </c>
      <c r="O166" s="592" t="str">
        <f t="shared" si="12"/>
        <v/>
      </c>
      <c r="P166" s="593" t="s">
        <v>346</v>
      </c>
      <c r="Q166" s="593" t="s">
        <v>2534</v>
      </c>
      <c r="R166" s="593" t="s">
        <v>2475</v>
      </c>
      <c r="S166" s="594" t="s">
        <v>750</v>
      </c>
      <c r="T166" s="594" t="str">
        <f t="shared" si="13"/>
        <v/>
      </c>
      <c r="U166" s="611"/>
      <c r="V166" s="614"/>
    </row>
    <row r="167" spans="1:28" ht="15.8" customHeight="1">
      <c r="A167" s="587" t="s">
        <v>1639</v>
      </c>
      <c r="B167" s="587" t="s">
        <v>2387</v>
      </c>
      <c r="C167" s="587"/>
      <c r="D167" s="587" t="s">
        <v>567</v>
      </c>
      <c r="E167" s="587" t="s">
        <v>2734</v>
      </c>
      <c r="F167" s="588">
        <v>69800</v>
      </c>
      <c r="G167" s="589"/>
      <c r="H167" s="589" t="s">
        <v>750</v>
      </c>
      <c r="I167" s="589">
        <v>10</v>
      </c>
      <c r="J167" s="588">
        <v>73000</v>
      </c>
      <c r="K167" s="589">
        <v>10</v>
      </c>
      <c r="L167" s="590"/>
      <c r="M167" s="591"/>
      <c r="N167" s="592" t="str">
        <f t="shared" si="14"/>
        <v/>
      </c>
      <c r="O167" s="592" t="str">
        <f t="shared" si="12"/>
        <v/>
      </c>
      <c r="P167" s="593" t="s">
        <v>348</v>
      </c>
      <c r="Q167" s="593" t="s">
        <v>2534</v>
      </c>
      <c r="R167" s="593" t="s">
        <v>2475</v>
      </c>
      <c r="S167" s="589" t="s">
        <v>750</v>
      </c>
      <c r="T167" s="594" t="str">
        <f t="shared" si="13"/>
        <v/>
      </c>
      <c r="U167" s="611"/>
      <c r="V167" s="611"/>
    </row>
    <row r="168" spans="1:28" ht="15.8" customHeight="1">
      <c r="A168" s="587" t="s">
        <v>1503</v>
      </c>
      <c r="B168" s="587" t="s">
        <v>1504</v>
      </c>
      <c r="C168" s="587"/>
      <c r="D168" s="587" t="s">
        <v>593</v>
      </c>
      <c r="E168" s="587" t="s">
        <v>593</v>
      </c>
      <c r="F168" s="588">
        <v>4485</v>
      </c>
      <c r="G168" s="589"/>
      <c r="H168" s="589" t="s">
        <v>599</v>
      </c>
      <c r="I168" s="589">
        <v>1</v>
      </c>
      <c r="J168" s="588">
        <v>6500</v>
      </c>
      <c r="K168" s="589">
        <v>1</v>
      </c>
      <c r="L168" s="590"/>
      <c r="M168" s="591"/>
      <c r="N168" s="592" t="str">
        <f t="shared" si="14"/>
        <v/>
      </c>
      <c r="O168" s="592" t="str">
        <f t="shared" si="12"/>
        <v/>
      </c>
      <c r="P168" s="593" t="s">
        <v>1504</v>
      </c>
      <c r="Q168" s="593" t="s">
        <v>2468</v>
      </c>
      <c r="R168" s="593" t="s">
        <v>2469</v>
      </c>
      <c r="S168" s="589" t="s">
        <v>599</v>
      </c>
      <c r="T168" s="594" t="str">
        <f t="shared" si="13"/>
        <v/>
      </c>
      <c r="U168" s="611"/>
      <c r="V168" s="615"/>
    </row>
    <row r="169" spans="1:28" ht="15.8" customHeight="1">
      <c r="A169" s="620" t="s">
        <v>1729</v>
      </c>
      <c r="B169" s="620" t="s">
        <v>1730</v>
      </c>
      <c r="C169" s="620"/>
      <c r="D169" s="620" t="s">
        <v>103</v>
      </c>
      <c r="E169" s="620" t="s">
        <v>103</v>
      </c>
      <c r="F169" s="621">
        <v>1380</v>
      </c>
      <c r="G169" s="622"/>
      <c r="H169" s="622" t="s">
        <v>551</v>
      </c>
      <c r="I169" s="622">
        <v>1</v>
      </c>
      <c r="J169" s="597">
        <v>2800</v>
      </c>
      <c r="K169" s="622">
        <v>1</v>
      </c>
      <c r="L169" s="590"/>
      <c r="M169" s="591"/>
      <c r="N169" s="592" t="str">
        <f t="shared" si="14"/>
        <v/>
      </c>
      <c r="O169" s="592" t="str">
        <f t="shared" si="12"/>
        <v/>
      </c>
      <c r="P169" s="593" t="s">
        <v>1729</v>
      </c>
      <c r="Q169" s="593" t="s">
        <v>2450</v>
      </c>
      <c r="R169" s="593" t="s">
        <v>2452</v>
      </c>
      <c r="S169" s="622" t="s">
        <v>551</v>
      </c>
      <c r="T169" s="594" t="str">
        <f t="shared" si="13"/>
        <v/>
      </c>
      <c r="U169" s="611"/>
      <c r="V169" s="611"/>
    </row>
    <row r="170" spans="1:28" ht="15.8" customHeight="1">
      <c r="A170" s="620" t="s">
        <v>1731</v>
      </c>
      <c r="B170" s="620" t="s">
        <v>2350</v>
      </c>
      <c r="C170" s="620"/>
      <c r="D170" s="620" t="s">
        <v>103</v>
      </c>
      <c r="E170" s="620" t="s">
        <v>103</v>
      </c>
      <c r="F170" s="621">
        <v>1724.9999999999998</v>
      </c>
      <c r="G170" s="622"/>
      <c r="H170" s="622" t="s">
        <v>551</v>
      </c>
      <c r="I170" s="622">
        <v>1</v>
      </c>
      <c r="J170" s="621">
        <v>4000</v>
      </c>
      <c r="K170" s="622">
        <v>1</v>
      </c>
      <c r="L170" s="590"/>
      <c r="M170" s="591"/>
      <c r="N170" s="592" t="str">
        <f t="shared" si="14"/>
        <v/>
      </c>
      <c r="O170" s="592" t="str">
        <f t="shared" si="12"/>
        <v/>
      </c>
      <c r="P170" s="593" t="s">
        <v>2668</v>
      </c>
      <c r="Q170" s="593" t="s">
        <v>2450</v>
      </c>
      <c r="R170" s="593" t="s">
        <v>2452</v>
      </c>
      <c r="S170" s="622" t="s">
        <v>551</v>
      </c>
      <c r="T170" s="594" t="str">
        <f t="shared" si="13"/>
        <v/>
      </c>
      <c r="U170" s="611"/>
      <c r="V170" s="600"/>
    </row>
    <row r="171" spans="1:28" ht="15.8" customHeight="1">
      <c r="A171" s="592" t="s">
        <v>6037</v>
      </c>
      <c r="B171" s="592" t="s">
        <v>6038</v>
      </c>
      <c r="C171" s="595"/>
      <c r="D171" s="592" t="s">
        <v>567</v>
      </c>
      <c r="E171" s="595"/>
      <c r="F171" s="598">
        <v>12700</v>
      </c>
      <c r="G171" s="629" t="s">
        <v>1363</v>
      </c>
      <c r="H171" s="1413" t="s">
        <v>551</v>
      </c>
      <c r="I171" s="599">
        <v>5</v>
      </c>
      <c r="J171" s="598">
        <v>16600</v>
      </c>
      <c r="K171" s="589">
        <v>5</v>
      </c>
      <c r="L171" s="590"/>
      <c r="M171" s="591"/>
      <c r="N171" s="592" t="str">
        <f>IF(L171="x",CONCATENATE(B171,"; "),"")</f>
        <v/>
      </c>
      <c r="O171" s="592" t="str">
        <f t="shared" si="12"/>
        <v/>
      </c>
      <c r="P171" s="595"/>
      <c r="Q171" s="595" t="s">
        <v>2486</v>
      </c>
      <c r="R171" s="593" t="s">
        <v>6036</v>
      </c>
      <c r="S171" s="589" t="s">
        <v>551</v>
      </c>
      <c r="T171" s="594" t="str">
        <f t="shared" si="13"/>
        <v/>
      </c>
      <c r="U171" s="785"/>
      <c r="V171" s="800"/>
    </row>
    <row r="172" spans="1:28" ht="15.8" customHeight="1">
      <c r="A172" s="592" t="s">
        <v>1589</v>
      </c>
      <c r="B172" s="592" t="s">
        <v>1590</v>
      </c>
      <c r="C172" s="592"/>
      <c r="D172" s="592" t="s">
        <v>567</v>
      </c>
      <c r="E172" s="587" t="s">
        <v>2734</v>
      </c>
      <c r="F172" s="598">
        <v>8900</v>
      </c>
      <c r="G172" s="599" t="s">
        <v>1363</v>
      </c>
      <c r="H172" s="599" t="s">
        <v>5930</v>
      </c>
      <c r="I172" s="599">
        <v>5</v>
      </c>
      <c r="J172" s="598">
        <v>15900</v>
      </c>
      <c r="K172" s="599">
        <v>5</v>
      </c>
      <c r="L172" s="601"/>
      <c r="M172" s="602"/>
      <c r="N172" s="592" t="str">
        <f t="shared" ref="N172:N235" si="15">IF(OR(L172="x", M172="x"), B172 &amp; "; ", "")</f>
        <v/>
      </c>
      <c r="O172" s="592" t="str">
        <f t="shared" si="12"/>
        <v/>
      </c>
      <c r="P172" s="593" t="s">
        <v>2626</v>
      </c>
      <c r="Q172" s="593" t="s">
        <v>2450</v>
      </c>
      <c r="R172" s="593" t="s">
        <v>2452</v>
      </c>
      <c r="S172" s="599" t="s">
        <v>5930</v>
      </c>
      <c r="T172" s="594" t="str">
        <f t="shared" si="13"/>
        <v/>
      </c>
      <c r="U172" s="611"/>
      <c r="V172" s="611"/>
    </row>
    <row r="173" spans="1:28" ht="15.8" customHeight="1">
      <c r="A173" s="608" t="s">
        <v>6034</v>
      </c>
      <c r="B173" s="608" t="s">
        <v>6035</v>
      </c>
      <c r="C173" s="608"/>
      <c r="D173" s="608" t="s">
        <v>567</v>
      </c>
      <c r="E173" s="608"/>
      <c r="F173" s="598">
        <v>12700</v>
      </c>
      <c r="G173" s="629" t="s">
        <v>1363</v>
      </c>
      <c r="H173" s="629" t="s">
        <v>551</v>
      </c>
      <c r="I173" s="629">
        <v>5</v>
      </c>
      <c r="J173" s="598">
        <v>16600</v>
      </c>
      <c r="K173" s="589"/>
      <c r="L173" s="590"/>
      <c r="M173" s="591"/>
      <c r="N173" s="592" t="str">
        <f t="shared" si="15"/>
        <v/>
      </c>
      <c r="O173" s="592" t="str">
        <f t="shared" si="12"/>
        <v/>
      </c>
      <c r="P173" s="595"/>
      <c r="Q173" s="595"/>
      <c r="R173" s="593" t="s">
        <v>6036</v>
      </c>
      <c r="S173" s="589" t="s">
        <v>551</v>
      </c>
      <c r="T173" s="594" t="str">
        <f t="shared" si="13"/>
        <v/>
      </c>
      <c r="U173" s="785"/>
      <c r="V173" s="800"/>
    </row>
    <row r="174" spans="1:28" ht="15.8" customHeight="1">
      <c r="A174" s="592" t="s">
        <v>1705</v>
      </c>
      <c r="B174" s="592" t="s">
        <v>1706</v>
      </c>
      <c r="C174" s="592"/>
      <c r="D174" s="592" t="s">
        <v>567</v>
      </c>
      <c r="E174" s="587" t="s">
        <v>2734</v>
      </c>
      <c r="F174" s="598">
        <v>8900</v>
      </c>
      <c r="G174" s="599" t="s">
        <v>1363</v>
      </c>
      <c r="H174" s="599" t="s">
        <v>5930</v>
      </c>
      <c r="I174" s="599">
        <v>5</v>
      </c>
      <c r="J174" s="598">
        <v>13000</v>
      </c>
      <c r="K174" s="599">
        <v>5</v>
      </c>
      <c r="L174" s="601"/>
      <c r="M174" s="602"/>
      <c r="N174" s="592" t="str">
        <f t="shared" si="15"/>
        <v/>
      </c>
      <c r="O174" s="592" t="str">
        <f t="shared" si="12"/>
        <v/>
      </c>
      <c r="P174" s="593" t="s">
        <v>2663</v>
      </c>
      <c r="Q174" s="593" t="s">
        <v>2450</v>
      </c>
      <c r="R174" s="593" t="s">
        <v>2452</v>
      </c>
      <c r="S174" s="599" t="s">
        <v>5930</v>
      </c>
      <c r="T174" s="594" t="str">
        <f t="shared" si="13"/>
        <v/>
      </c>
      <c r="U174" s="611"/>
      <c r="V174" s="611"/>
    </row>
    <row r="175" spans="1:28" ht="15.8" customHeight="1">
      <c r="A175" s="587" t="s">
        <v>1669</v>
      </c>
      <c r="B175" s="587" t="s">
        <v>2395</v>
      </c>
      <c r="C175" s="587"/>
      <c r="D175" s="587" t="s">
        <v>567</v>
      </c>
      <c r="E175" s="587" t="s">
        <v>2734</v>
      </c>
      <c r="F175" s="588">
        <v>17900</v>
      </c>
      <c r="G175" s="589"/>
      <c r="H175" s="589" t="s">
        <v>5930</v>
      </c>
      <c r="I175" s="589">
        <v>12</v>
      </c>
      <c r="J175" s="597">
        <v>22500</v>
      </c>
      <c r="K175" s="589">
        <v>12</v>
      </c>
      <c r="L175" s="590"/>
      <c r="M175" s="591"/>
      <c r="N175" s="592" t="str">
        <f t="shared" si="15"/>
        <v/>
      </c>
      <c r="O175" s="592" t="str">
        <f t="shared" si="12"/>
        <v/>
      </c>
      <c r="P175" s="593" t="s">
        <v>2650</v>
      </c>
      <c r="Q175" s="593" t="s">
        <v>2450</v>
      </c>
      <c r="R175" s="593" t="s">
        <v>2452</v>
      </c>
      <c r="S175" s="594" t="s">
        <v>5930</v>
      </c>
      <c r="T175" s="594" t="str">
        <f t="shared" si="13"/>
        <v/>
      </c>
      <c r="U175" s="614"/>
      <c r="V175" s="611"/>
    </row>
    <row r="176" spans="1:28" ht="15.8" customHeight="1">
      <c r="A176" s="587" t="s">
        <v>1432</v>
      </c>
      <c r="B176" s="587" t="s">
        <v>2381</v>
      </c>
      <c r="C176" s="587"/>
      <c r="D176" s="587" t="s">
        <v>567</v>
      </c>
      <c r="E176" s="587" t="s">
        <v>2734</v>
      </c>
      <c r="F176" s="588">
        <v>13799.999999999998</v>
      </c>
      <c r="G176" s="589"/>
      <c r="H176" s="589" t="s">
        <v>627</v>
      </c>
      <c r="I176" s="589">
        <v>12</v>
      </c>
      <c r="J176" s="588">
        <v>17900</v>
      </c>
      <c r="K176" s="589">
        <v>12</v>
      </c>
      <c r="L176" s="590"/>
      <c r="M176" s="591"/>
      <c r="N176" s="592" t="str">
        <f t="shared" si="15"/>
        <v/>
      </c>
      <c r="O176" s="592" t="str">
        <f t="shared" si="12"/>
        <v/>
      </c>
      <c r="P176" s="677" t="s">
        <v>2590</v>
      </c>
      <c r="Q176" s="677" t="s">
        <v>2474</v>
      </c>
      <c r="R176" s="677" t="s">
        <v>2475</v>
      </c>
      <c r="S176" s="589" t="s">
        <v>627</v>
      </c>
      <c r="T176" s="594" t="str">
        <f t="shared" si="13"/>
        <v/>
      </c>
      <c r="U176" s="614"/>
      <c r="V176" s="611"/>
    </row>
    <row r="177" spans="1:28" ht="15.8" customHeight="1">
      <c r="A177" s="592" t="s">
        <v>1780</v>
      </c>
      <c r="B177" s="592" t="s">
        <v>1781</v>
      </c>
      <c r="C177" s="592"/>
      <c r="D177" s="592" t="s">
        <v>567</v>
      </c>
      <c r="E177" s="587" t="s">
        <v>2734</v>
      </c>
      <c r="F177" s="598">
        <v>12900</v>
      </c>
      <c r="G177" s="599" t="s">
        <v>1363</v>
      </c>
      <c r="H177" s="599" t="s">
        <v>5930</v>
      </c>
      <c r="I177" s="599">
        <v>5</v>
      </c>
      <c r="J177" s="598">
        <v>15700</v>
      </c>
      <c r="K177" s="599">
        <v>5</v>
      </c>
      <c r="L177" s="601"/>
      <c r="M177" s="602"/>
      <c r="N177" s="592" t="str">
        <f t="shared" si="15"/>
        <v/>
      </c>
      <c r="O177" s="592" t="str">
        <f t="shared" si="12"/>
        <v/>
      </c>
      <c r="P177" s="593" t="s">
        <v>2687</v>
      </c>
      <c r="Q177" s="593" t="s">
        <v>2450</v>
      </c>
      <c r="R177" s="593" t="s">
        <v>2452</v>
      </c>
      <c r="S177" s="599" t="s">
        <v>5930</v>
      </c>
      <c r="T177" s="594" t="str">
        <f t="shared" si="13"/>
        <v/>
      </c>
      <c r="U177" s="607"/>
      <c r="V177" s="600"/>
    </row>
    <row r="178" spans="1:28" ht="15.8" customHeight="1">
      <c r="A178" s="592" t="s">
        <v>1615</v>
      </c>
      <c r="B178" s="592" t="s">
        <v>2403</v>
      </c>
      <c r="C178" s="592"/>
      <c r="D178" s="592" t="s">
        <v>567</v>
      </c>
      <c r="E178" s="587" t="s">
        <v>2734</v>
      </c>
      <c r="F178" s="598">
        <v>28900</v>
      </c>
      <c r="G178" s="599" t="s">
        <v>1363</v>
      </c>
      <c r="H178" s="599" t="s">
        <v>5930</v>
      </c>
      <c r="I178" s="599">
        <v>5</v>
      </c>
      <c r="J178" s="598">
        <v>34900</v>
      </c>
      <c r="K178" s="599">
        <v>5</v>
      </c>
      <c r="L178" s="601"/>
      <c r="M178" s="602"/>
      <c r="N178" s="592" t="str">
        <f t="shared" si="15"/>
        <v/>
      </c>
      <c r="O178" s="592" t="str">
        <f t="shared" si="12"/>
        <v/>
      </c>
      <c r="P178" s="593" t="s">
        <v>2632</v>
      </c>
      <c r="Q178" s="593" t="s">
        <v>2450</v>
      </c>
      <c r="R178" s="593" t="s">
        <v>2452</v>
      </c>
      <c r="S178" s="599" t="s">
        <v>5930</v>
      </c>
      <c r="T178" s="594" t="str">
        <f t="shared" si="13"/>
        <v/>
      </c>
      <c r="U178" s="611"/>
      <c r="V178" s="611"/>
    </row>
    <row r="179" spans="1:28" ht="15.8" customHeight="1">
      <c r="A179" s="625" t="s">
        <v>1659</v>
      </c>
      <c r="B179" s="625" t="s">
        <v>2390</v>
      </c>
      <c r="C179" s="625"/>
      <c r="D179" s="625" t="s">
        <v>567</v>
      </c>
      <c r="E179" s="587" t="s">
        <v>2734</v>
      </c>
      <c r="F179" s="588">
        <v>12649.999999999998</v>
      </c>
      <c r="G179" s="594"/>
      <c r="H179" s="594" t="s">
        <v>5930</v>
      </c>
      <c r="I179" s="594">
        <v>12</v>
      </c>
      <c r="J179" s="588">
        <v>16500</v>
      </c>
      <c r="K179" s="594">
        <v>12</v>
      </c>
      <c r="L179" s="590"/>
      <c r="M179" s="591"/>
      <c r="N179" s="592" t="str">
        <f t="shared" si="15"/>
        <v/>
      </c>
      <c r="O179" s="592" t="str">
        <f t="shared" si="12"/>
        <v/>
      </c>
      <c r="P179" s="593" t="s">
        <v>2645</v>
      </c>
      <c r="Q179" s="593" t="s">
        <v>2450</v>
      </c>
      <c r="R179" s="593" t="s">
        <v>2452</v>
      </c>
      <c r="S179" s="594" t="s">
        <v>5930</v>
      </c>
      <c r="T179" s="594" t="str">
        <f t="shared" si="13"/>
        <v/>
      </c>
      <c r="U179" s="611"/>
      <c r="V179" s="611"/>
    </row>
    <row r="180" spans="1:28" ht="15.8" customHeight="1">
      <c r="A180" s="587" t="s">
        <v>1661</v>
      </c>
      <c r="B180" s="587" t="s">
        <v>2391</v>
      </c>
      <c r="C180" s="587"/>
      <c r="D180" s="587" t="s">
        <v>567</v>
      </c>
      <c r="E180" s="587" t="s">
        <v>2734</v>
      </c>
      <c r="F180" s="588">
        <v>12649.999999999998</v>
      </c>
      <c r="G180" s="589"/>
      <c r="H180" s="589" t="s">
        <v>5930</v>
      </c>
      <c r="I180" s="589">
        <v>12</v>
      </c>
      <c r="J180" s="597">
        <v>15000</v>
      </c>
      <c r="K180" s="589">
        <v>12</v>
      </c>
      <c r="L180" s="590"/>
      <c r="M180" s="591"/>
      <c r="N180" s="592" t="str">
        <f t="shared" si="15"/>
        <v/>
      </c>
      <c r="O180" s="592" t="str">
        <f t="shared" si="12"/>
        <v/>
      </c>
      <c r="P180" s="677" t="s">
        <v>2646</v>
      </c>
      <c r="Q180" s="677" t="s">
        <v>2450</v>
      </c>
      <c r="R180" s="677" t="s">
        <v>2452</v>
      </c>
      <c r="S180" s="594" t="s">
        <v>5930</v>
      </c>
      <c r="T180" s="594" t="str">
        <f t="shared" si="13"/>
        <v/>
      </c>
      <c r="U180" s="611"/>
      <c r="V180" s="611"/>
    </row>
    <row r="181" spans="1:28" ht="15.8" customHeight="1">
      <c r="A181" s="587" t="s">
        <v>1663</v>
      </c>
      <c r="B181" s="587" t="s">
        <v>2392</v>
      </c>
      <c r="C181" s="587"/>
      <c r="D181" s="587" t="s">
        <v>567</v>
      </c>
      <c r="E181" s="587" t="s">
        <v>2734</v>
      </c>
      <c r="F181" s="588">
        <v>20000</v>
      </c>
      <c r="G181" s="589"/>
      <c r="H181" s="589" t="s">
        <v>5930</v>
      </c>
      <c r="I181" s="589">
        <v>12</v>
      </c>
      <c r="J181" s="597">
        <v>24300</v>
      </c>
      <c r="K181" s="589">
        <v>12</v>
      </c>
      <c r="L181" s="590"/>
      <c r="M181" s="591"/>
      <c r="N181" s="592" t="str">
        <f t="shared" si="15"/>
        <v/>
      </c>
      <c r="O181" s="592" t="str">
        <f t="shared" si="12"/>
        <v/>
      </c>
      <c r="P181" s="593" t="s">
        <v>2647</v>
      </c>
      <c r="Q181" s="593" t="s">
        <v>2450</v>
      </c>
      <c r="R181" s="593" t="s">
        <v>2452</v>
      </c>
      <c r="S181" s="594" t="s">
        <v>5930</v>
      </c>
      <c r="T181" s="594" t="str">
        <f t="shared" si="13"/>
        <v/>
      </c>
      <c r="U181" s="611"/>
      <c r="V181" s="611"/>
    </row>
    <row r="182" spans="1:28" s="618" customFormat="1" ht="15.8" customHeight="1">
      <c r="A182" s="587" t="s">
        <v>1665</v>
      </c>
      <c r="B182" s="587" t="s">
        <v>2393</v>
      </c>
      <c r="C182" s="587"/>
      <c r="D182" s="587" t="s">
        <v>567</v>
      </c>
      <c r="E182" s="587" t="s">
        <v>2734</v>
      </c>
      <c r="F182" s="588">
        <v>24900</v>
      </c>
      <c r="G182" s="589"/>
      <c r="H182" s="589" t="s">
        <v>5930</v>
      </c>
      <c r="I182" s="589">
        <v>12</v>
      </c>
      <c r="J182" s="597">
        <v>29900</v>
      </c>
      <c r="K182" s="589">
        <v>12</v>
      </c>
      <c r="L182" s="590"/>
      <c r="M182" s="591"/>
      <c r="N182" s="592" t="str">
        <f t="shared" si="15"/>
        <v/>
      </c>
      <c r="O182" s="592" t="str">
        <f t="shared" si="12"/>
        <v/>
      </c>
      <c r="P182" s="593" t="s">
        <v>2648</v>
      </c>
      <c r="Q182" s="593" t="s">
        <v>2450</v>
      </c>
      <c r="R182" s="593" t="s">
        <v>2452</v>
      </c>
      <c r="S182" s="594" t="s">
        <v>5930</v>
      </c>
      <c r="T182" s="594" t="str">
        <f t="shared" si="13"/>
        <v/>
      </c>
      <c r="U182" s="611"/>
      <c r="V182" s="600"/>
      <c r="W182" s="785"/>
      <c r="X182" s="785"/>
      <c r="Y182" s="785"/>
      <c r="Z182" s="785"/>
      <c r="AA182" s="785"/>
      <c r="AB182" s="785"/>
    </row>
    <row r="183" spans="1:28" ht="15.8" customHeight="1">
      <c r="A183" s="587" t="s">
        <v>1667</v>
      </c>
      <c r="B183" s="587" t="s">
        <v>2394</v>
      </c>
      <c r="C183" s="587"/>
      <c r="D183" s="587" t="s">
        <v>567</v>
      </c>
      <c r="E183" s="587" t="s">
        <v>2734</v>
      </c>
      <c r="F183" s="588">
        <v>6899.9999999999991</v>
      </c>
      <c r="G183" s="589"/>
      <c r="H183" s="589" t="s">
        <v>5930</v>
      </c>
      <c r="I183" s="589">
        <v>12</v>
      </c>
      <c r="J183" s="597">
        <v>8000</v>
      </c>
      <c r="K183" s="589">
        <v>12</v>
      </c>
      <c r="L183" s="590"/>
      <c r="M183" s="591"/>
      <c r="N183" s="592" t="str">
        <f t="shared" si="15"/>
        <v/>
      </c>
      <c r="O183" s="592" t="str">
        <f t="shared" si="12"/>
        <v/>
      </c>
      <c r="P183" s="593" t="s">
        <v>2649</v>
      </c>
      <c r="Q183" s="593" t="s">
        <v>2450</v>
      </c>
      <c r="R183" s="593" t="s">
        <v>2452</v>
      </c>
      <c r="S183" s="594" t="s">
        <v>5930</v>
      </c>
      <c r="T183" s="594" t="str">
        <f t="shared" si="13"/>
        <v/>
      </c>
      <c r="U183" s="611"/>
      <c r="V183" s="600"/>
    </row>
    <row r="184" spans="1:28" ht="15.8" customHeight="1">
      <c r="A184" s="608" t="s">
        <v>1671</v>
      </c>
      <c r="B184" s="608" t="s">
        <v>769</v>
      </c>
      <c r="C184" s="608"/>
      <c r="D184" s="608" t="s">
        <v>567</v>
      </c>
      <c r="E184" s="587" t="s">
        <v>2734</v>
      </c>
      <c r="F184" s="598">
        <v>13500</v>
      </c>
      <c r="G184" s="629" t="s">
        <v>1363</v>
      </c>
      <c r="H184" s="629" t="s">
        <v>5930</v>
      </c>
      <c r="I184" s="629">
        <v>5</v>
      </c>
      <c r="J184" s="630">
        <v>16700</v>
      </c>
      <c r="K184" s="589">
        <v>5</v>
      </c>
      <c r="L184" s="601"/>
      <c r="M184" s="602"/>
      <c r="N184" s="592" t="str">
        <f t="shared" si="15"/>
        <v/>
      </c>
      <c r="O184" s="592" t="str">
        <f t="shared" si="12"/>
        <v/>
      </c>
      <c r="P184" s="593" t="s">
        <v>2642</v>
      </c>
      <c r="Q184" s="593" t="s">
        <v>2450</v>
      </c>
      <c r="R184" s="593" t="s">
        <v>2452</v>
      </c>
      <c r="S184" s="594" t="s">
        <v>5930</v>
      </c>
      <c r="T184" s="594" t="str">
        <f t="shared" si="13"/>
        <v/>
      </c>
      <c r="U184" s="611"/>
      <c r="V184" s="611"/>
    </row>
    <row r="185" spans="1:28" ht="15.8" customHeight="1">
      <c r="A185" s="587" t="s">
        <v>1672</v>
      </c>
      <c r="B185" s="587" t="s">
        <v>2396</v>
      </c>
      <c r="C185" s="587"/>
      <c r="D185" s="587" t="s">
        <v>567</v>
      </c>
      <c r="E185" s="587" t="s">
        <v>2734</v>
      </c>
      <c r="F185" s="588">
        <v>16900</v>
      </c>
      <c r="G185" s="589"/>
      <c r="H185" s="589" t="s">
        <v>5930</v>
      </c>
      <c r="I185" s="589">
        <v>12</v>
      </c>
      <c r="J185" s="597">
        <v>21700</v>
      </c>
      <c r="K185" s="589">
        <v>12</v>
      </c>
      <c r="L185" s="590"/>
      <c r="M185" s="591"/>
      <c r="N185" s="592" t="str">
        <f t="shared" si="15"/>
        <v/>
      </c>
      <c r="O185" s="592" t="str">
        <f t="shared" si="12"/>
        <v/>
      </c>
      <c r="P185" s="593" t="s">
        <v>2651</v>
      </c>
      <c r="Q185" s="593" t="s">
        <v>2450</v>
      </c>
      <c r="R185" s="593" t="s">
        <v>2452</v>
      </c>
      <c r="S185" s="594" t="s">
        <v>5930</v>
      </c>
      <c r="T185" s="594" t="str">
        <f t="shared" si="13"/>
        <v/>
      </c>
      <c r="U185" s="611"/>
      <c r="V185" s="600"/>
    </row>
    <row r="186" spans="1:28" s="618" customFormat="1" ht="15.8" customHeight="1">
      <c r="A186" s="1071" t="s">
        <v>5777</v>
      </c>
      <c r="B186" s="641" t="s">
        <v>5778</v>
      </c>
      <c r="C186" s="767"/>
      <c r="D186" s="1071" t="s">
        <v>567</v>
      </c>
      <c r="E186" s="1071" t="s">
        <v>567</v>
      </c>
      <c r="F186" s="588">
        <v>12650</v>
      </c>
      <c r="G186" s="768"/>
      <c r="H186" s="622" t="s">
        <v>5930</v>
      </c>
      <c r="I186" s="622">
        <v>12</v>
      </c>
      <c r="J186" s="621">
        <v>16500</v>
      </c>
      <c r="K186" s="622"/>
      <c r="L186" s="590"/>
      <c r="M186" s="591"/>
      <c r="N186" s="592" t="str">
        <f t="shared" si="15"/>
        <v/>
      </c>
      <c r="O186" s="592" t="str">
        <f t="shared" si="12"/>
        <v/>
      </c>
      <c r="P186" s="593"/>
      <c r="Q186" s="593" t="s">
        <v>2450</v>
      </c>
      <c r="R186" s="1121" t="s">
        <v>2452</v>
      </c>
      <c r="S186" s="594" t="s">
        <v>5930</v>
      </c>
      <c r="T186" s="594" t="str">
        <f t="shared" si="13"/>
        <v/>
      </c>
      <c r="U186" s="611"/>
      <c r="V186" s="611"/>
      <c r="W186" s="785"/>
      <c r="X186" s="785"/>
      <c r="Y186" s="785"/>
      <c r="Z186" s="785"/>
      <c r="AA186" s="785"/>
      <c r="AB186" s="785"/>
    </row>
    <row r="187" spans="1:28" s="618" customFormat="1" ht="15.8" customHeight="1">
      <c r="A187" s="587" t="s">
        <v>1674</v>
      </c>
      <c r="B187" s="587" t="s">
        <v>2397</v>
      </c>
      <c r="C187" s="587"/>
      <c r="D187" s="587" t="s">
        <v>567</v>
      </c>
      <c r="E187" s="587" t="s">
        <v>2734</v>
      </c>
      <c r="F187" s="588">
        <v>6899.9999999999991</v>
      </c>
      <c r="G187" s="589"/>
      <c r="H187" s="589" t="s">
        <v>5930</v>
      </c>
      <c r="I187" s="589">
        <v>12</v>
      </c>
      <c r="J187" s="597">
        <v>8000</v>
      </c>
      <c r="K187" s="589">
        <v>12</v>
      </c>
      <c r="L187" s="590"/>
      <c r="M187" s="591"/>
      <c r="N187" s="592" t="str">
        <f t="shared" si="15"/>
        <v/>
      </c>
      <c r="O187" s="592" t="str">
        <f t="shared" si="12"/>
        <v/>
      </c>
      <c r="P187" s="593" t="s">
        <v>2652</v>
      </c>
      <c r="Q187" s="593" t="s">
        <v>2450</v>
      </c>
      <c r="R187" s="593" t="s">
        <v>2452</v>
      </c>
      <c r="S187" s="594" t="s">
        <v>5930</v>
      </c>
      <c r="T187" s="594" t="str">
        <f t="shared" si="13"/>
        <v/>
      </c>
      <c r="U187" s="611"/>
      <c r="V187" s="611"/>
      <c r="W187" s="785"/>
      <c r="X187" s="785"/>
      <c r="Y187" s="785"/>
      <c r="Z187" s="785"/>
      <c r="AA187" s="785"/>
      <c r="AB187" s="785"/>
    </row>
    <row r="188" spans="1:28" ht="15.8" customHeight="1">
      <c r="A188" s="587" t="s">
        <v>1676</v>
      </c>
      <c r="B188" s="587" t="s">
        <v>2398</v>
      </c>
      <c r="C188" s="587"/>
      <c r="D188" s="587" t="s">
        <v>567</v>
      </c>
      <c r="E188" s="587" t="s">
        <v>2734</v>
      </c>
      <c r="F188" s="588">
        <v>15900</v>
      </c>
      <c r="G188" s="589"/>
      <c r="H188" s="589" t="s">
        <v>5930</v>
      </c>
      <c r="I188" s="589">
        <v>12</v>
      </c>
      <c r="J188" s="597">
        <v>19300</v>
      </c>
      <c r="K188" s="589">
        <v>12</v>
      </c>
      <c r="L188" s="590"/>
      <c r="M188" s="591"/>
      <c r="N188" s="592" t="str">
        <f t="shared" si="15"/>
        <v/>
      </c>
      <c r="O188" s="592" t="str">
        <f t="shared" si="12"/>
        <v/>
      </c>
      <c r="P188" s="593" t="s">
        <v>2653</v>
      </c>
      <c r="Q188" s="593" t="s">
        <v>2450</v>
      </c>
      <c r="R188" s="593" t="s">
        <v>2452</v>
      </c>
      <c r="S188" s="594" t="s">
        <v>5930</v>
      </c>
      <c r="T188" s="594" t="str">
        <f t="shared" si="13"/>
        <v/>
      </c>
      <c r="U188" s="611"/>
      <c r="V188" s="611"/>
    </row>
    <row r="189" spans="1:28" ht="15.8" customHeight="1">
      <c r="A189" s="587" t="s">
        <v>1678</v>
      </c>
      <c r="B189" s="587" t="s">
        <v>2399</v>
      </c>
      <c r="C189" s="587"/>
      <c r="D189" s="587" t="s">
        <v>567</v>
      </c>
      <c r="E189" s="587" t="s">
        <v>2734</v>
      </c>
      <c r="F189" s="588">
        <v>12649.999999999998</v>
      </c>
      <c r="G189" s="589"/>
      <c r="H189" s="589" t="s">
        <v>5930</v>
      </c>
      <c r="I189" s="589">
        <v>12</v>
      </c>
      <c r="J189" s="597">
        <v>14900</v>
      </c>
      <c r="K189" s="589">
        <v>12</v>
      </c>
      <c r="L189" s="590"/>
      <c r="M189" s="591"/>
      <c r="N189" s="592" t="str">
        <f t="shared" si="15"/>
        <v/>
      </c>
      <c r="O189" s="592" t="str">
        <f t="shared" si="12"/>
        <v/>
      </c>
      <c r="P189" s="593" t="s">
        <v>2654</v>
      </c>
      <c r="Q189" s="593" t="s">
        <v>2450</v>
      </c>
      <c r="R189" s="593" t="s">
        <v>2452</v>
      </c>
      <c r="S189" s="594" t="s">
        <v>5930</v>
      </c>
      <c r="T189" s="594" t="str">
        <f t="shared" si="13"/>
        <v/>
      </c>
      <c r="U189" s="614"/>
      <c r="V189" s="600"/>
    </row>
    <row r="190" spans="1:28" ht="15.8" customHeight="1">
      <c r="A190" s="1031" t="s">
        <v>5574</v>
      </c>
      <c r="B190" s="587" t="s">
        <v>5575</v>
      </c>
      <c r="C190" s="587"/>
      <c r="D190" s="587" t="s">
        <v>567</v>
      </c>
      <c r="E190" s="587" t="s">
        <v>5576</v>
      </c>
      <c r="F190" s="588">
        <v>62900</v>
      </c>
      <c r="G190" s="589"/>
      <c r="H190" s="589" t="s">
        <v>5930</v>
      </c>
      <c r="I190" s="589">
        <v>5</v>
      </c>
      <c r="J190" s="588">
        <v>77000</v>
      </c>
      <c r="K190" s="589"/>
      <c r="L190" s="590"/>
      <c r="M190" s="591"/>
      <c r="N190" s="592" t="str">
        <f t="shared" si="15"/>
        <v/>
      </c>
      <c r="O190" s="592" t="str">
        <f t="shared" si="12"/>
        <v/>
      </c>
      <c r="P190" s="593"/>
      <c r="Q190" s="593" t="s">
        <v>2450</v>
      </c>
      <c r="R190" s="1121" t="s">
        <v>2452</v>
      </c>
      <c r="S190" s="589" t="s">
        <v>5930</v>
      </c>
      <c r="T190" s="594" t="str">
        <f t="shared" si="13"/>
        <v/>
      </c>
      <c r="U190" s="600"/>
      <c r="V190" s="611"/>
    </row>
    <row r="191" spans="1:28" ht="15.8" customHeight="1">
      <c r="A191" s="672" t="s">
        <v>1540</v>
      </c>
      <c r="B191" s="672" t="s">
        <v>5573</v>
      </c>
      <c r="C191" s="672"/>
      <c r="D191" s="672" t="s">
        <v>567</v>
      </c>
      <c r="E191" s="673" t="s">
        <v>2734</v>
      </c>
      <c r="F191" s="1414">
        <v>45850</v>
      </c>
      <c r="G191" s="1415" t="s">
        <v>1363</v>
      </c>
      <c r="H191" s="1415" t="s">
        <v>687</v>
      </c>
      <c r="I191" s="1415">
        <v>10</v>
      </c>
      <c r="J191" s="1414">
        <v>53900</v>
      </c>
      <c r="K191" s="1415">
        <v>10</v>
      </c>
      <c r="L191" s="1416"/>
      <c r="M191" s="671"/>
      <c r="N191" s="674" t="str">
        <f t="shared" si="15"/>
        <v/>
      </c>
      <c r="O191" s="674" t="str">
        <f t="shared" si="12"/>
        <v/>
      </c>
      <c r="P191" s="1417"/>
      <c r="Q191" s="1417"/>
      <c r="R191" s="1417"/>
      <c r="S191" s="1415" t="s">
        <v>687</v>
      </c>
      <c r="T191" s="675" t="str">
        <f t="shared" si="13"/>
        <v/>
      </c>
      <c r="U191" s="787"/>
      <c r="V191" s="787"/>
    </row>
    <row r="192" spans="1:28" ht="15.8" customHeight="1">
      <c r="A192" s="810" t="s">
        <v>75</v>
      </c>
      <c r="B192" s="810" t="s">
        <v>574</v>
      </c>
      <c r="C192" s="813" t="s">
        <v>477</v>
      </c>
      <c r="D192" s="810" t="s">
        <v>559</v>
      </c>
      <c r="E192" s="810" t="s">
        <v>559</v>
      </c>
      <c r="F192" s="811">
        <v>4400</v>
      </c>
      <c r="G192" s="812"/>
      <c r="H192" s="812" t="s">
        <v>575</v>
      </c>
      <c r="I192" s="812">
        <v>17</v>
      </c>
      <c r="J192" s="811">
        <v>5700</v>
      </c>
      <c r="K192" s="812">
        <v>17</v>
      </c>
      <c r="L192" s="590"/>
      <c r="M192" s="591"/>
      <c r="N192" s="813" t="str">
        <f t="shared" si="15"/>
        <v/>
      </c>
      <c r="O192" s="813" t="str">
        <f t="shared" si="12"/>
        <v/>
      </c>
      <c r="P192" s="814" t="s">
        <v>574</v>
      </c>
      <c r="Q192" s="814" t="s">
        <v>897</v>
      </c>
      <c r="R192" s="814" t="s">
        <v>2460</v>
      </c>
      <c r="S192" s="812" t="s">
        <v>575</v>
      </c>
      <c r="T192" s="815" t="str">
        <f t="shared" si="13"/>
        <v/>
      </c>
      <c r="U192" s="615"/>
      <c r="V192" s="632"/>
    </row>
    <row r="193" spans="1:28" ht="15.8" customHeight="1">
      <c r="A193" s="587" t="s">
        <v>1518</v>
      </c>
      <c r="B193" s="587" t="s">
        <v>295</v>
      </c>
      <c r="C193" s="587"/>
      <c r="D193" s="587" t="s">
        <v>559</v>
      </c>
      <c r="E193" s="587" t="s">
        <v>559</v>
      </c>
      <c r="F193" s="588">
        <v>10925</v>
      </c>
      <c r="G193" s="589"/>
      <c r="H193" s="589" t="s">
        <v>551</v>
      </c>
      <c r="I193" s="589">
        <v>15</v>
      </c>
      <c r="J193" s="588">
        <v>14200</v>
      </c>
      <c r="K193" s="589">
        <v>15</v>
      </c>
      <c r="L193" s="590"/>
      <c r="M193" s="591"/>
      <c r="N193" s="592" t="str">
        <f t="shared" si="15"/>
        <v/>
      </c>
      <c r="O193" s="592" t="str">
        <f t="shared" si="12"/>
        <v/>
      </c>
      <c r="P193" s="593" t="s">
        <v>295</v>
      </c>
      <c r="Q193" s="593" t="s">
        <v>2450</v>
      </c>
      <c r="R193" s="593" t="s">
        <v>2452</v>
      </c>
      <c r="S193" s="589" t="s">
        <v>551</v>
      </c>
      <c r="T193" s="594" t="str">
        <f t="shared" si="13"/>
        <v/>
      </c>
      <c r="U193" s="611"/>
      <c r="V193" s="611"/>
    </row>
    <row r="194" spans="1:28" ht="15.8" customHeight="1">
      <c r="A194" s="625" t="s">
        <v>1492</v>
      </c>
      <c r="B194" s="625" t="s">
        <v>1492</v>
      </c>
      <c r="C194" s="625" t="s">
        <v>1873</v>
      </c>
      <c r="D194" s="625" t="s">
        <v>550</v>
      </c>
      <c r="E194" s="625" t="s">
        <v>2436</v>
      </c>
      <c r="F194" s="588">
        <v>252.99999999999997</v>
      </c>
      <c r="G194" s="594"/>
      <c r="H194" s="594" t="s">
        <v>551</v>
      </c>
      <c r="I194" s="594">
        <v>1</v>
      </c>
      <c r="J194" s="588">
        <v>500</v>
      </c>
      <c r="K194" s="594">
        <v>1</v>
      </c>
      <c r="L194" s="590"/>
      <c r="M194" s="591"/>
      <c r="N194" s="592" t="str">
        <f t="shared" si="15"/>
        <v/>
      </c>
      <c r="O194" s="592" t="str">
        <f t="shared" si="12"/>
        <v/>
      </c>
      <c r="P194" s="593" t="s">
        <v>1492</v>
      </c>
      <c r="Q194" s="593" t="s">
        <v>2450</v>
      </c>
      <c r="R194" s="593" t="s">
        <v>2452</v>
      </c>
      <c r="S194" s="594" t="s">
        <v>551</v>
      </c>
      <c r="T194" s="594" t="str">
        <f t="shared" si="13"/>
        <v/>
      </c>
      <c r="U194" s="600"/>
      <c r="V194" s="615"/>
    </row>
    <row r="195" spans="1:28" s="618" customFormat="1" ht="15.8" customHeight="1">
      <c r="A195" s="587" t="s">
        <v>1397</v>
      </c>
      <c r="B195" s="587" t="s">
        <v>38</v>
      </c>
      <c r="C195" s="587"/>
      <c r="D195" s="587" t="s">
        <v>550</v>
      </c>
      <c r="E195" s="587" t="s">
        <v>2431</v>
      </c>
      <c r="F195" s="588">
        <v>345</v>
      </c>
      <c r="G195" s="589"/>
      <c r="H195" s="589" t="s">
        <v>551</v>
      </c>
      <c r="I195" s="589">
        <v>1</v>
      </c>
      <c r="J195" s="588">
        <v>500</v>
      </c>
      <c r="K195" s="589">
        <v>1</v>
      </c>
      <c r="L195" s="601"/>
      <c r="M195" s="591"/>
      <c r="N195" s="592" t="str">
        <f t="shared" si="15"/>
        <v/>
      </c>
      <c r="O195" s="592" t="str">
        <f t="shared" si="12"/>
        <v/>
      </c>
      <c r="P195" s="593" t="s">
        <v>38</v>
      </c>
      <c r="Q195" s="593" t="s">
        <v>2450</v>
      </c>
      <c r="R195" s="593" t="s">
        <v>2452</v>
      </c>
      <c r="S195" s="589" t="s">
        <v>551</v>
      </c>
      <c r="T195" s="594" t="str">
        <f t="shared" si="13"/>
        <v/>
      </c>
      <c r="U195" s="615"/>
      <c r="V195" s="611"/>
      <c r="W195" s="785"/>
      <c r="X195" s="785"/>
      <c r="Y195" s="785"/>
      <c r="Z195" s="785"/>
      <c r="AA195" s="785"/>
      <c r="AB195" s="785"/>
    </row>
    <row r="196" spans="1:28" ht="15.8" customHeight="1">
      <c r="A196" s="625" t="s">
        <v>1498</v>
      </c>
      <c r="B196" s="625" t="s">
        <v>734</v>
      </c>
      <c r="C196" s="625"/>
      <c r="D196" s="625" t="s">
        <v>559</v>
      </c>
      <c r="E196" s="625" t="s">
        <v>559</v>
      </c>
      <c r="F196" s="588">
        <v>1724.9999999999998</v>
      </c>
      <c r="G196" s="594"/>
      <c r="H196" s="594" t="s">
        <v>551</v>
      </c>
      <c r="I196" s="594">
        <v>2</v>
      </c>
      <c r="J196" s="588">
        <v>3500</v>
      </c>
      <c r="K196" s="594">
        <v>2</v>
      </c>
      <c r="L196" s="590"/>
      <c r="M196" s="591"/>
      <c r="N196" s="592" t="str">
        <f t="shared" si="15"/>
        <v/>
      </c>
      <c r="O196" s="592" t="str">
        <f t="shared" si="12"/>
        <v/>
      </c>
      <c r="P196" s="593" t="s">
        <v>1499</v>
      </c>
      <c r="Q196" s="593" t="s">
        <v>2450</v>
      </c>
      <c r="R196" s="593" t="s">
        <v>2497</v>
      </c>
      <c r="S196" s="594" t="s">
        <v>551</v>
      </c>
      <c r="T196" s="594" t="str">
        <f t="shared" si="13"/>
        <v/>
      </c>
      <c r="U196" s="611"/>
      <c r="V196" s="611"/>
    </row>
    <row r="197" spans="1:28" s="618" customFormat="1" ht="15.8" customHeight="1">
      <c r="A197" s="587" t="s">
        <v>1635</v>
      </c>
      <c r="B197" s="587" t="s">
        <v>39</v>
      </c>
      <c r="C197" s="587"/>
      <c r="D197" s="587" t="s">
        <v>550</v>
      </c>
      <c r="E197" s="587" t="s">
        <v>2431</v>
      </c>
      <c r="F197" s="588">
        <v>490</v>
      </c>
      <c r="G197" s="589"/>
      <c r="H197" s="589" t="s">
        <v>551</v>
      </c>
      <c r="I197" s="589">
        <v>1</v>
      </c>
      <c r="J197" s="588">
        <v>800</v>
      </c>
      <c r="K197" s="589">
        <v>1</v>
      </c>
      <c r="L197" s="601"/>
      <c r="M197" s="591"/>
      <c r="N197" s="592" t="str">
        <f t="shared" si="15"/>
        <v/>
      </c>
      <c r="O197" s="592" t="str">
        <f t="shared" ref="O197:O260" si="16">IF(OR(L197="x", M197="x"), A197 &amp; "     /     ", "")</f>
        <v/>
      </c>
      <c r="P197" s="593" t="s">
        <v>39</v>
      </c>
      <c r="Q197" s="593" t="s">
        <v>2450</v>
      </c>
      <c r="R197" s="593" t="s">
        <v>2452</v>
      </c>
      <c r="S197" s="589" t="s">
        <v>551</v>
      </c>
      <c r="T197" s="594" t="str">
        <f t="shared" si="13"/>
        <v/>
      </c>
      <c r="U197" s="611"/>
      <c r="V197" s="611"/>
      <c r="W197" s="785"/>
      <c r="X197" s="785"/>
      <c r="Y197" s="785"/>
      <c r="Z197" s="785"/>
      <c r="AA197" s="785"/>
      <c r="AB197" s="785"/>
    </row>
    <row r="198" spans="1:28" ht="15.8" customHeight="1">
      <c r="A198" s="587" t="s">
        <v>1475</v>
      </c>
      <c r="B198" s="587" t="s">
        <v>630</v>
      </c>
      <c r="C198" s="587"/>
      <c r="D198" s="587" t="s">
        <v>602</v>
      </c>
      <c r="E198" s="587" t="s">
        <v>2445</v>
      </c>
      <c r="F198" s="588">
        <v>7900</v>
      </c>
      <c r="G198" s="589"/>
      <c r="H198" s="589" t="s">
        <v>551</v>
      </c>
      <c r="I198" s="589">
        <v>5</v>
      </c>
      <c r="J198" s="588">
        <v>10270</v>
      </c>
      <c r="K198" s="589">
        <v>5</v>
      </c>
      <c r="L198" s="590"/>
      <c r="M198" s="591"/>
      <c r="N198" s="592" t="str">
        <f t="shared" si="15"/>
        <v/>
      </c>
      <c r="O198" s="592" t="str">
        <f t="shared" si="16"/>
        <v/>
      </c>
      <c r="P198" s="593" t="s">
        <v>630</v>
      </c>
      <c r="Q198" s="593" t="s">
        <v>2450</v>
      </c>
      <c r="R198" s="593" t="s">
        <v>2452</v>
      </c>
      <c r="S198" s="589" t="s">
        <v>551</v>
      </c>
      <c r="T198" s="594" t="str">
        <f t="shared" si="13"/>
        <v/>
      </c>
      <c r="U198" s="611"/>
      <c r="V198" s="611"/>
    </row>
    <row r="199" spans="1:28" ht="15.8" customHeight="1">
      <c r="A199" s="587" t="s">
        <v>1691</v>
      </c>
      <c r="B199" s="587" t="s">
        <v>782</v>
      </c>
      <c r="C199" s="587"/>
      <c r="D199" s="587" t="s">
        <v>602</v>
      </c>
      <c r="E199" s="587" t="s">
        <v>2445</v>
      </c>
      <c r="F199" s="588">
        <v>7474.9999999999991</v>
      </c>
      <c r="G199" s="589"/>
      <c r="H199" s="589" t="s">
        <v>551</v>
      </c>
      <c r="I199" s="589">
        <v>5</v>
      </c>
      <c r="J199" s="588">
        <v>8200</v>
      </c>
      <c r="K199" s="589">
        <v>5</v>
      </c>
      <c r="L199" s="590"/>
      <c r="M199" s="591"/>
      <c r="N199" s="592" t="str">
        <f t="shared" si="15"/>
        <v/>
      </c>
      <c r="O199" s="592" t="str">
        <f t="shared" si="16"/>
        <v/>
      </c>
      <c r="P199" s="593" t="s">
        <v>782</v>
      </c>
      <c r="Q199" s="593" t="s">
        <v>2450</v>
      </c>
      <c r="R199" s="593" t="s">
        <v>2452</v>
      </c>
      <c r="S199" s="589" t="s">
        <v>551</v>
      </c>
      <c r="T199" s="594" t="str">
        <f t="shared" si="13"/>
        <v/>
      </c>
      <c r="U199" s="611"/>
      <c r="V199" s="600"/>
    </row>
    <row r="200" spans="1:28" s="618" customFormat="1" ht="15.8" customHeight="1">
      <c r="A200" s="587" t="s">
        <v>1411</v>
      </c>
      <c r="B200" s="587" t="s">
        <v>1412</v>
      </c>
      <c r="C200" s="587"/>
      <c r="D200" s="587" t="s">
        <v>550</v>
      </c>
      <c r="E200" s="587" t="s">
        <v>2425</v>
      </c>
      <c r="F200" s="588">
        <v>1200</v>
      </c>
      <c r="G200" s="589"/>
      <c r="H200" s="589" t="s">
        <v>551</v>
      </c>
      <c r="I200" s="589">
        <v>3</v>
      </c>
      <c r="J200" s="588">
        <v>2000</v>
      </c>
      <c r="K200" s="589">
        <v>3</v>
      </c>
      <c r="L200" s="590"/>
      <c r="M200" s="591"/>
      <c r="N200" s="592" t="str">
        <f t="shared" si="15"/>
        <v/>
      </c>
      <c r="O200" s="592" t="str">
        <f t="shared" si="16"/>
        <v/>
      </c>
      <c r="P200" s="593" t="s">
        <v>1412</v>
      </c>
      <c r="Q200" s="593" t="s">
        <v>2450</v>
      </c>
      <c r="R200" s="593" t="s">
        <v>2452</v>
      </c>
      <c r="S200" s="589" t="s">
        <v>551</v>
      </c>
      <c r="T200" s="594" t="str">
        <f t="shared" si="13"/>
        <v/>
      </c>
      <c r="U200" s="600"/>
      <c r="V200" s="611"/>
      <c r="W200" s="785"/>
      <c r="X200" s="785"/>
      <c r="Y200" s="785"/>
      <c r="Z200" s="785"/>
      <c r="AA200" s="785"/>
      <c r="AB200" s="785"/>
    </row>
    <row r="201" spans="1:28" s="618" customFormat="1" ht="15.8" customHeight="1">
      <c r="A201" s="625" t="s">
        <v>1477</v>
      </c>
      <c r="B201" s="625" t="s">
        <v>632</v>
      </c>
      <c r="C201" s="625"/>
      <c r="D201" s="625" t="s">
        <v>602</v>
      </c>
      <c r="E201" s="625" t="s">
        <v>2445</v>
      </c>
      <c r="F201" s="588">
        <v>6324.9999999999991</v>
      </c>
      <c r="G201" s="594"/>
      <c r="H201" s="594" t="s">
        <v>551</v>
      </c>
      <c r="I201" s="594">
        <v>5</v>
      </c>
      <c r="J201" s="588">
        <v>8250</v>
      </c>
      <c r="K201" s="594">
        <v>5</v>
      </c>
      <c r="L201" s="590"/>
      <c r="M201" s="591"/>
      <c r="N201" s="592" t="str">
        <f t="shared" si="15"/>
        <v/>
      </c>
      <c r="O201" s="592" t="str">
        <f t="shared" si="16"/>
        <v/>
      </c>
      <c r="P201" s="593" t="s">
        <v>632</v>
      </c>
      <c r="Q201" s="593" t="s">
        <v>2450</v>
      </c>
      <c r="R201" s="593" t="s">
        <v>2452</v>
      </c>
      <c r="S201" s="594" t="s">
        <v>551</v>
      </c>
      <c r="T201" s="594" t="str">
        <f t="shared" si="13"/>
        <v/>
      </c>
      <c r="U201" s="614"/>
      <c r="V201" s="611"/>
      <c r="W201" s="785"/>
      <c r="X201" s="785"/>
      <c r="Y201" s="785"/>
      <c r="Z201" s="785"/>
      <c r="AA201" s="785"/>
      <c r="AB201" s="785"/>
    </row>
    <row r="202" spans="1:28" ht="15.8" customHeight="1">
      <c r="A202" s="587" t="s">
        <v>1712</v>
      </c>
      <c r="B202" s="587" t="s">
        <v>1713</v>
      </c>
      <c r="C202" s="587"/>
      <c r="D202" s="587" t="s">
        <v>553</v>
      </c>
      <c r="E202" s="587" t="s">
        <v>2705</v>
      </c>
      <c r="F202" s="588">
        <v>11385</v>
      </c>
      <c r="G202" s="589"/>
      <c r="H202" s="589" t="s">
        <v>778</v>
      </c>
      <c r="I202" s="589">
        <v>5</v>
      </c>
      <c r="J202" s="588">
        <v>14900</v>
      </c>
      <c r="K202" s="589">
        <v>5</v>
      </c>
      <c r="L202" s="590"/>
      <c r="M202" s="591"/>
      <c r="N202" s="592" t="str">
        <f t="shared" si="15"/>
        <v/>
      </c>
      <c r="O202" s="592" t="str">
        <f t="shared" si="16"/>
        <v/>
      </c>
      <c r="P202" s="593" t="s">
        <v>2666</v>
      </c>
      <c r="Q202" s="593" t="s">
        <v>2543</v>
      </c>
      <c r="R202" s="593" t="s">
        <v>2545</v>
      </c>
      <c r="S202" s="589" t="s">
        <v>778</v>
      </c>
      <c r="T202" s="594" t="str">
        <f t="shared" si="13"/>
        <v/>
      </c>
      <c r="U202" s="626"/>
      <c r="V202" s="611"/>
    </row>
    <row r="203" spans="1:28" ht="15.8" customHeight="1">
      <c r="A203" s="625" t="s">
        <v>1591</v>
      </c>
      <c r="B203" s="625" t="s">
        <v>301</v>
      </c>
      <c r="C203" s="625"/>
      <c r="D203" s="625" t="s">
        <v>559</v>
      </c>
      <c r="E203" s="625" t="s">
        <v>559</v>
      </c>
      <c r="F203" s="588">
        <v>16445</v>
      </c>
      <c r="G203" s="594"/>
      <c r="H203" s="594" t="s">
        <v>551</v>
      </c>
      <c r="I203" s="594">
        <v>17</v>
      </c>
      <c r="J203" s="588">
        <v>21400</v>
      </c>
      <c r="K203" s="594">
        <v>17</v>
      </c>
      <c r="L203" s="590"/>
      <c r="M203" s="591"/>
      <c r="N203" s="592" t="str">
        <f t="shared" si="15"/>
        <v/>
      </c>
      <c r="O203" s="592" t="str">
        <f t="shared" si="16"/>
        <v/>
      </c>
      <c r="P203" s="677" t="s">
        <v>301</v>
      </c>
      <c r="Q203" s="677" t="s">
        <v>2450</v>
      </c>
      <c r="R203" s="677" t="s">
        <v>2452</v>
      </c>
      <c r="S203" s="594" t="s">
        <v>551</v>
      </c>
      <c r="T203" s="594" t="str">
        <f t="shared" si="13"/>
        <v/>
      </c>
      <c r="U203" s="614"/>
      <c r="V203" s="611"/>
    </row>
    <row r="204" spans="1:28" ht="15.8" customHeight="1">
      <c r="A204" s="810" t="s">
        <v>1442</v>
      </c>
      <c r="B204" s="810" t="s">
        <v>613</v>
      </c>
      <c r="C204" s="810" t="s">
        <v>477</v>
      </c>
      <c r="D204" s="810" t="s">
        <v>103</v>
      </c>
      <c r="E204" s="810" t="s">
        <v>103</v>
      </c>
      <c r="F204" s="811">
        <v>12649.999999999998</v>
      </c>
      <c r="G204" s="812"/>
      <c r="H204" s="880" t="s">
        <v>5814</v>
      </c>
      <c r="I204" s="812">
        <v>17</v>
      </c>
      <c r="J204" s="811">
        <v>16500</v>
      </c>
      <c r="K204" s="812">
        <v>17</v>
      </c>
      <c r="L204" s="601"/>
      <c r="M204" s="602"/>
      <c r="N204" s="813" t="str">
        <f t="shared" si="15"/>
        <v/>
      </c>
      <c r="O204" s="813" t="str">
        <f t="shared" si="16"/>
        <v/>
      </c>
      <c r="P204" s="814" t="s">
        <v>387</v>
      </c>
      <c r="Q204" s="814" t="s">
        <v>2450</v>
      </c>
      <c r="R204" s="814" t="s">
        <v>2478</v>
      </c>
      <c r="S204" s="880" t="s">
        <v>5814</v>
      </c>
      <c r="T204" s="815" t="str">
        <f t="shared" si="13"/>
        <v/>
      </c>
      <c r="U204" s="611"/>
      <c r="V204" s="611"/>
    </row>
    <row r="205" spans="1:28" ht="15.8" customHeight="1">
      <c r="A205" s="587" t="s">
        <v>1792</v>
      </c>
      <c r="B205" s="587" t="s">
        <v>2356</v>
      </c>
      <c r="C205" s="587"/>
      <c r="D205" s="587" t="s">
        <v>559</v>
      </c>
      <c r="E205" s="587" t="s">
        <v>2706</v>
      </c>
      <c r="F205" s="588">
        <v>2530</v>
      </c>
      <c r="G205" s="589"/>
      <c r="H205" s="589" t="s">
        <v>551</v>
      </c>
      <c r="I205" s="589">
        <v>1</v>
      </c>
      <c r="J205" s="588">
        <v>3200</v>
      </c>
      <c r="K205" s="589">
        <v>1</v>
      </c>
      <c r="L205" s="590"/>
      <c r="M205" s="591"/>
      <c r="N205" s="592" t="str">
        <f t="shared" si="15"/>
        <v/>
      </c>
      <c r="O205" s="592" t="str">
        <f t="shared" si="16"/>
        <v/>
      </c>
      <c r="P205" s="593" t="s">
        <v>2356</v>
      </c>
      <c r="Q205" s="593" t="s">
        <v>2450</v>
      </c>
      <c r="R205" s="593" t="s">
        <v>2452</v>
      </c>
      <c r="S205" s="589" t="s">
        <v>551</v>
      </c>
      <c r="T205" s="594" t="str">
        <f t="shared" si="13"/>
        <v/>
      </c>
      <c r="U205" s="600"/>
      <c r="V205" s="600"/>
    </row>
    <row r="206" spans="1:28" ht="15.8" customHeight="1">
      <c r="A206" s="587" t="s">
        <v>1413</v>
      </c>
      <c r="B206" s="587" t="s">
        <v>1414</v>
      </c>
      <c r="C206" s="587"/>
      <c r="D206" s="587" t="s">
        <v>559</v>
      </c>
      <c r="E206" s="587" t="s">
        <v>2706</v>
      </c>
      <c r="F206" s="588">
        <v>2300</v>
      </c>
      <c r="G206" s="589"/>
      <c r="H206" s="589" t="s">
        <v>551</v>
      </c>
      <c r="I206" s="589">
        <v>1</v>
      </c>
      <c r="J206" s="597">
        <v>3600</v>
      </c>
      <c r="K206" s="589">
        <v>1</v>
      </c>
      <c r="L206" s="590"/>
      <c r="M206" s="591"/>
      <c r="N206" s="592" t="str">
        <f t="shared" si="15"/>
        <v/>
      </c>
      <c r="O206" s="592" t="str">
        <f t="shared" si="16"/>
        <v/>
      </c>
      <c r="P206" s="593" t="s">
        <v>1414</v>
      </c>
      <c r="Q206" s="593" t="s">
        <v>2450</v>
      </c>
      <c r="R206" s="593" t="s">
        <v>2452</v>
      </c>
      <c r="S206" s="589" t="s">
        <v>551</v>
      </c>
      <c r="T206" s="594" t="str">
        <f t="shared" si="13"/>
        <v/>
      </c>
      <c r="U206" s="614"/>
      <c r="V206" s="611"/>
    </row>
    <row r="207" spans="1:28" ht="15.8" customHeight="1">
      <c r="A207" s="592" t="s">
        <v>1398</v>
      </c>
      <c r="B207" s="592" t="s">
        <v>580</v>
      </c>
      <c r="C207" s="592"/>
      <c r="D207" s="592" t="s">
        <v>88</v>
      </c>
      <c r="E207" s="587" t="s">
        <v>2736</v>
      </c>
      <c r="F207" s="598">
        <v>4370</v>
      </c>
      <c r="G207" s="599" t="s">
        <v>1363</v>
      </c>
      <c r="H207" s="599" t="s">
        <v>551</v>
      </c>
      <c r="I207" s="599" t="s">
        <v>1399</v>
      </c>
      <c r="J207" s="598">
        <v>5800</v>
      </c>
      <c r="K207" s="599" t="s">
        <v>1399</v>
      </c>
      <c r="L207" s="601"/>
      <c r="M207" s="602"/>
      <c r="N207" s="592" t="str">
        <f t="shared" si="15"/>
        <v/>
      </c>
      <c r="O207" s="592" t="str">
        <f t="shared" si="16"/>
        <v/>
      </c>
      <c r="P207" s="593" t="s">
        <v>580</v>
      </c>
      <c r="Q207" s="593" t="s">
        <v>2450</v>
      </c>
      <c r="R207" s="593" t="s">
        <v>2452</v>
      </c>
      <c r="S207" s="599" t="s">
        <v>551</v>
      </c>
      <c r="T207" s="594" t="str">
        <f t="shared" si="13"/>
        <v/>
      </c>
      <c r="U207" s="611"/>
      <c r="V207" s="611"/>
    </row>
    <row r="208" spans="1:28" ht="15.8" customHeight="1">
      <c r="A208" s="620" t="s">
        <v>1400</v>
      </c>
      <c r="B208" s="620" t="s">
        <v>582</v>
      </c>
      <c r="C208" s="620"/>
      <c r="D208" s="620" t="s">
        <v>88</v>
      </c>
      <c r="E208" s="587" t="s">
        <v>2736</v>
      </c>
      <c r="F208" s="621">
        <v>4485</v>
      </c>
      <c r="G208" s="622"/>
      <c r="H208" s="622" t="s">
        <v>551</v>
      </c>
      <c r="I208" s="622" t="s">
        <v>1399</v>
      </c>
      <c r="J208" s="621">
        <v>6900</v>
      </c>
      <c r="K208" s="622" t="s">
        <v>1399</v>
      </c>
      <c r="L208" s="590"/>
      <c r="M208" s="591"/>
      <c r="N208" s="592" t="str">
        <f t="shared" si="15"/>
        <v/>
      </c>
      <c r="O208" s="592" t="str">
        <f t="shared" si="16"/>
        <v/>
      </c>
      <c r="P208" s="593" t="s">
        <v>582</v>
      </c>
      <c r="Q208" s="593" t="s">
        <v>2450</v>
      </c>
      <c r="R208" s="593" t="s">
        <v>2452</v>
      </c>
      <c r="S208" s="622" t="s">
        <v>551</v>
      </c>
      <c r="T208" s="594" t="str">
        <f t="shared" si="13"/>
        <v/>
      </c>
      <c r="U208" s="611"/>
      <c r="V208" s="611"/>
    </row>
    <row r="209" spans="1:28" ht="15.8" customHeight="1">
      <c r="A209" s="587" t="s">
        <v>1511</v>
      </c>
      <c r="B209" s="587" t="s">
        <v>658</v>
      </c>
      <c r="C209" s="587"/>
      <c r="D209" s="587" t="s">
        <v>88</v>
      </c>
      <c r="E209" s="587" t="s">
        <v>2736</v>
      </c>
      <c r="F209" s="588">
        <v>2760</v>
      </c>
      <c r="G209" s="589"/>
      <c r="H209" s="589" t="s">
        <v>551</v>
      </c>
      <c r="I209" s="589" t="s">
        <v>1399</v>
      </c>
      <c r="J209" s="588">
        <v>3600</v>
      </c>
      <c r="K209" s="589" t="s">
        <v>1399</v>
      </c>
      <c r="L209" s="590"/>
      <c r="M209" s="591"/>
      <c r="N209" s="592" t="str">
        <f t="shared" si="15"/>
        <v/>
      </c>
      <c r="O209" s="592" t="str">
        <f t="shared" si="16"/>
        <v/>
      </c>
      <c r="P209" s="593" t="s">
        <v>2605</v>
      </c>
      <c r="Q209" s="593" t="s">
        <v>2450</v>
      </c>
      <c r="R209" s="593" t="s">
        <v>2452</v>
      </c>
      <c r="S209" s="589" t="s">
        <v>551</v>
      </c>
      <c r="T209" s="594" t="str">
        <f t="shared" si="13"/>
        <v/>
      </c>
      <c r="U209" s="614"/>
      <c r="V209" s="611"/>
    </row>
    <row r="210" spans="1:28" ht="15.8" customHeight="1">
      <c r="A210" s="625" t="s">
        <v>1410</v>
      </c>
      <c r="B210" s="625" t="s">
        <v>589</v>
      </c>
      <c r="C210" s="625"/>
      <c r="D210" s="625" t="s">
        <v>88</v>
      </c>
      <c r="E210" s="587" t="s">
        <v>2736</v>
      </c>
      <c r="F210" s="588">
        <v>10005</v>
      </c>
      <c r="G210" s="594"/>
      <c r="H210" s="594" t="s">
        <v>551</v>
      </c>
      <c r="I210" s="594" t="s">
        <v>1399</v>
      </c>
      <c r="J210" s="588">
        <v>13000</v>
      </c>
      <c r="K210" s="594" t="s">
        <v>1399</v>
      </c>
      <c r="L210" s="590"/>
      <c r="M210" s="591"/>
      <c r="N210" s="592" t="str">
        <f t="shared" si="15"/>
        <v/>
      </c>
      <c r="O210" s="592" t="str">
        <f t="shared" si="16"/>
        <v/>
      </c>
      <c r="P210" s="593" t="s">
        <v>589</v>
      </c>
      <c r="Q210" s="593" t="s">
        <v>2450</v>
      </c>
      <c r="R210" s="593" t="s">
        <v>2452</v>
      </c>
      <c r="S210" s="594" t="s">
        <v>551</v>
      </c>
      <c r="T210" s="594" t="str">
        <f t="shared" si="13"/>
        <v/>
      </c>
      <c r="U210" s="611"/>
      <c r="V210" s="611"/>
    </row>
    <row r="211" spans="1:28" ht="15.8" customHeight="1">
      <c r="A211" s="592" t="s">
        <v>1514</v>
      </c>
      <c r="B211" s="592" t="s">
        <v>663</v>
      </c>
      <c r="C211" s="592"/>
      <c r="D211" s="592" t="s">
        <v>88</v>
      </c>
      <c r="E211" s="587" t="s">
        <v>2736</v>
      </c>
      <c r="F211" s="598">
        <v>3449.9999999999995</v>
      </c>
      <c r="G211" s="599" t="s">
        <v>1363</v>
      </c>
      <c r="H211" s="599" t="s">
        <v>551</v>
      </c>
      <c r="I211" s="599" t="s">
        <v>664</v>
      </c>
      <c r="J211" s="598">
        <v>6800</v>
      </c>
      <c r="K211" s="599" t="s">
        <v>664</v>
      </c>
      <c r="L211" s="601"/>
      <c r="M211" s="602"/>
      <c r="N211" s="592" t="str">
        <f t="shared" si="15"/>
        <v/>
      </c>
      <c r="O211" s="592" t="str">
        <f t="shared" si="16"/>
        <v/>
      </c>
      <c r="P211" s="593" t="s">
        <v>663</v>
      </c>
      <c r="Q211" s="593" t="s">
        <v>2450</v>
      </c>
      <c r="R211" s="593" t="s">
        <v>2452</v>
      </c>
      <c r="S211" s="599" t="s">
        <v>551</v>
      </c>
      <c r="T211" s="594" t="str">
        <f t="shared" si="13"/>
        <v/>
      </c>
      <c r="U211" s="611"/>
      <c r="V211" s="611"/>
    </row>
    <row r="212" spans="1:28" s="795" customFormat="1" ht="15.8" customHeight="1">
      <c r="A212" s="587" t="s">
        <v>1127</v>
      </c>
      <c r="B212" s="587" t="s">
        <v>72</v>
      </c>
      <c r="C212" s="587"/>
      <c r="D212" s="587" t="s">
        <v>559</v>
      </c>
      <c r="E212" s="587" t="s">
        <v>559</v>
      </c>
      <c r="F212" s="588">
        <v>8500</v>
      </c>
      <c r="G212" s="589"/>
      <c r="H212" s="589" t="s">
        <v>551</v>
      </c>
      <c r="I212" s="589">
        <v>5</v>
      </c>
      <c r="J212" s="588">
        <v>10000</v>
      </c>
      <c r="K212" s="589">
        <v>5</v>
      </c>
      <c r="L212" s="590"/>
      <c r="M212" s="591"/>
      <c r="N212" s="592" t="str">
        <f t="shared" si="15"/>
        <v/>
      </c>
      <c r="O212" s="592" t="str">
        <f t="shared" si="16"/>
        <v/>
      </c>
      <c r="P212" s="593" t="s">
        <v>72</v>
      </c>
      <c r="Q212" s="593" t="s">
        <v>2450</v>
      </c>
      <c r="R212" s="593" t="s">
        <v>2452</v>
      </c>
      <c r="S212" s="589" t="s">
        <v>551</v>
      </c>
      <c r="T212" s="594" t="str">
        <f t="shared" si="13"/>
        <v/>
      </c>
      <c r="U212" s="600"/>
      <c r="V212" s="614"/>
    </row>
    <row r="213" spans="1:28" ht="15.8" customHeight="1">
      <c r="A213" s="587" t="s">
        <v>1468</v>
      </c>
      <c r="B213" s="587" t="s">
        <v>625</v>
      </c>
      <c r="C213" s="587"/>
      <c r="D213" s="587" t="s">
        <v>88</v>
      </c>
      <c r="E213" s="587" t="s">
        <v>2736</v>
      </c>
      <c r="F213" s="588">
        <v>2530</v>
      </c>
      <c r="G213" s="589"/>
      <c r="H213" s="589" t="s">
        <v>551</v>
      </c>
      <c r="I213" s="589">
        <v>5</v>
      </c>
      <c r="J213" s="588">
        <v>5700</v>
      </c>
      <c r="K213" s="589">
        <v>5</v>
      </c>
      <c r="L213" s="590"/>
      <c r="M213" s="591"/>
      <c r="N213" s="592" t="str">
        <f t="shared" si="15"/>
        <v/>
      </c>
      <c r="O213" s="592" t="str">
        <f t="shared" si="16"/>
        <v/>
      </c>
      <c r="P213" s="593" t="s">
        <v>625</v>
      </c>
      <c r="Q213" s="593" t="s">
        <v>2450</v>
      </c>
      <c r="R213" s="593" t="s">
        <v>2452</v>
      </c>
      <c r="S213" s="589" t="s">
        <v>551</v>
      </c>
      <c r="T213" s="594" t="str">
        <f t="shared" si="13"/>
        <v/>
      </c>
      <c r="U213" s="611"/>
      <c r="V213" s="611"/>
    </row>
    <row r="214" spans="1:28" s="618" customFormat="1" ht="15.8" customHeight="1">
      <c r="A214" s="587" t="s">
        <v>1409</v>
      </c>
      <c r="B214" s="587" t="s">
        <v>588</v>
      </c>
      <c r="C214" s="587"/>
      <c r="D214" s="587" t="s">
        <v>88</v>
      </c>
      <c r="E214" s="587" t="s">
        <v>2736</v>
      </c>
      <c r="F214" s="588">
        <v>5060</v>
      </c>
      <c r="G214" s="589"/>
      <c r="H214" s="589" t="s">
        <v>551</v>
      </c>
      <c r="I214" s="589">
        <v>7</v>
      </c>
      <c r="J214" s="597">
        <v>6500</v>
      </c>
      <c r="K214" s="589">
        <v>7</v>
      </c>
      <c r="L214" s="590"/>
      <c r="M214" s="591"/>
      <c r="N214" s="592" t="str">
        <f t="shared" si="15"/>
        <v/>
      </c>
      <c r="O214" s="592" t="str">
        <f t="shared" si="16"/>
        <v/>
      </c>
      <c r="P214" s="593" t="s">
        <v>588</v>
      </c>
      <c r="Q214" s="593" t="s">
        <v>2450</v>
      </c>
      <c r="R214" s="593" t="s">
        <v>2452</v>
      </c>
      <c r="S214" s="589" t="s">
        <v>551</v>
      </c>
      <c r="T214" s="594" t="str">
        <f t="shared" si="13"/>
        <v/>
      </c>
      <c r="U214" s="611"/>
      <c r="V214" s="611"/>
      <c r="W214" s="785"/>
      <c r="X214" s="785"/>
      <c r="Y214" s="785"/>
      <c r="Z214" s="785"/>
      <c r="AA214" s="785"/>
      <c r="AB214" s="785"/>
    </row>
    <row r="215" spans="1:28" s="618" customFormat="1" ht="15.8" customHeight="1">
      <c r="A215" s="813" t="s">
        <v>1415</v>
      </c>
      <c r="B215" s="813" t="s">
        <v>596</v>
      </c>
      <c r="C215" s="813" t="s">
        <v>477</v>
      </c>
      <c r="D215" s="813" t="s">
        <v>593</v>
      </c>
      <c r="E215" s="813" t="s">
        <v>593</v>
      </c>
      <c r="F215" s="820">
        <v>9500</v>
      </c>
      <c r="G215" s="821" t="s">
        <v>1363</v>
      </c>
      <c r="H215" s="821" t="s">
        <v>595</v>
      </c>
      <c r="I215" s="821" t="s">
        <v>361</v>
      </c>
      <c r="J215" s="820">
        <v>12350</v>
      </c>
      <c r="K215" s="821" t="s">
        <v>361</v>
      </c>
      <c r="L215" s="590"/>
      <c r="M215" s="591"/>
      <c r="N215" s="813" t="str">
        <f t="shared" si="15"/>
        <v/>
      </c>
      <c r="O215" s="813" t="str">
        <f t="shared" si="16"/>
        <v/>
      </c>
      <c r="P215" s="814" t="s">
        <v>596</v>
      </c>
      <c r="Q215" s="814" t="s">
        <v>5825</v>
      </c>
      <c r="R215" s="814" t="s">
        <v>2464</v>
      </c>
      <c r="S215" s="821" t="s">
        <v>595</v>
      </c>
      <c r="T215" s="815" t="str">
        <f t="shared" si="13"/>
        <v/>
      </c>
      <c r="U215" s="611"/>
      <c r="V215" s="632"/>
      <c r="W215" s="785"/>
      <c r="X215" s="785"/>
      <c r="Y215" s="785"/>
      <c r="Z215" s="785"/>
      <c r="AA215" s="785"/>
      <c r="AB215" s="785"/>
    </row>
    <row r="216" spans="1:28" s="618" customFormat="1" ht="15.8" customHeight="1">
      <c r="A216" s="587" t="s">
        <v>1761</v>
      </c>
      <c r="B216" s="587" t="s">
        <v>831</v>
      </c>
      <c r="C216" s="587"/>
      <c r="D216" s="587" t="s">
        <v>103</v>
      </c>
      <c r="E216" s="587" t="s">
        <v>103</v>
      </c>
      <c r="F216" s="588">
        <v>16500</v>
      </c>
      <c r="G216" s="589"/>
      <c r="H216" s="589" t="s">
        <v>5853</v>
      </c>
      <c r="I216" s="589">
        <v>7</v>
      </c>
      <c r="J216" s="588">
        <v>20300</v>
      </c>
      <c r="K216" s="589">
        <v>7</v>
      </c>
      <c r="L216" s="590"/>
      <c r="M216" s="591"/>
      <c r="N216" s="592" t="str">
        <f t="shared" si="15"/>
        <v/>
      </c>
      <c r="O216" s="592" t="str">
        <f t="shared" si="16"/>
        <v/>
      </c>
      <c r="P216" s="593" t="s">
        <v>2679</v>
      </c>
      <c r="Q216" s="593" t="s">
        <v>2556</v>
      </c>
      <c r="R216" s="593" t="s">
        <v>2557</v>
      </c>
      <c r="S216" s="589" t="s">
        <v>5853</v>
      </c>
      <c r="T216" s="594" t="str">
        <f t="shared" si="13"/>
        <v/>
      </c>
      <c r="U216" s="611"/>
      <c r="V216" s="607"/>
      <c r="W216" s="785"/>
      <c r="X216" s="785"/>
      <c r="Y216" s="785"/>
      <c r="Z216" s="785"/>
      <c r="AA216" s="785"/>
      <c r="AB216" s="785"/>
    </row>
    <row r="217" spans="1:28" s="618" customFormat="1" ht="15.8" customHeight="1">
      <c r="A217" s="620" t="s">
        <v>6011</v>
      </c>
      <c r="B217" s="620" t="s">
        <v>6012</v>
      </c>
      <c r="C217" s="620"/>
      <c r="D217" s="620" t="s">
        <v>593</v>
      </c>
      <c r="E217" s="620"/>
      <c r="F217" s="621">
        <v>9000</v>
      </c>
      <c r="G217" s="622"/>
      <c r="H217" s="622" t="s">
        <v>848</v>
      </c>
      <c r="I217" s="622">
        <v>5</v>
      </c>
      <c r="J217" s="621">
        <v>13500</v>
      </c>
      <c r="K217" s="622">
        <v>5</v>
      </c>
      <c r="L217" s="590"/>
      <c r="M217" s="591"/>
      <c r="N217" s="592" t="str">
        <f t="shared" si="15"/>
        <v/>
      </c>
      <c r="O217" s="592" t="str">
        <f t="shared" si="16"/>
        <v/>
      </c>
      <c r="P217" s="593" t="s">
        <v>2613</v>
      </c>
      <c r="Q217" s="593"/>
      <c r="R217" s="593" t="s">
        <v>6022</v>
      </c>
      <c r="S217" s="622" t="s">
        <v>848</v>
      </c>
      <c r="T217" s="594" t="str">
        <f t="shared" si="13"/>
        <v/>
      </c>
      <c r="U217" s="611"/>
      <c r="V217" s="600"/>
      <c r="W217" s="785"/>
      <c r="X217" s="785"/>
      <c r="Y217" s="785"/>
      <c r="Z217" s="785"/>
      <c r="AA217" s="785"/>
      <c r="AB217" s="785"/>
    </row>
    <row r="218" spans="1:28" ht="15.8" customHeight="1">
      <c r="A218" s="620" t="s">
        <v>6017</v>
      </c>
      <c r="B218" s="620" t="s">
        <v>6018</v>
      </c>
      <c r="C218" s="620"/>
      <c r="D218" s="620" t="s">
        <v>593</v>
      </c>
      <c r="E218" s="620"/>
      <c r="F218" s="621">
        <v>11000</v>
      </c>
      <c r="G218" s="622"/>
      <c r="H218" s="622" t="s">
        <v>6019</v>
      </c>
      <c r="I218" s="622">
        <v>5</v>
      </c>
      <c r="J218" s="621">
        <v>15000</v>
      </c>
      <c r="K218" s="622">
        <v>5</v>
      </c>
      <c r="L218" s="590"/>
      <c r="M218" s="591"/>
      <c r="N218" s="592" t="str">
        <f t="shared" si="15"/>
        <v/>
      </c>
      <c r="O218" s="592" t="str">
        <f t="shared" si="16"/>
        <v/>
      </c>
      <c r="P218" s="593"/>
      <c r="Q218" s="593"/>
      <c r="R218" s="593" t="s">
        <v>6023</v>
      </c>
      <c r="S218" s="622" t="s">
        <v>6019</v>
      </c>
      <c r="T218" s="594" t="str">
        <f t="shared" si="13"/>
        <v/>
      </c>
      <c r="U218" s="611"/>
      <c r="V218" s="600"/>
    </row>
    <row r="219" spans="1:28" ht="15.8" customHeight="1">
      <c r="A219" s="587" t="s">
        <v>1483</v>
      </c>
      <c r="B219" s="587" t="s">
        <v>1484</v>
      </c>
      <c r="C219" s="587"/>
      <c r="D219" s="587" t="s">
        <v>559</v>
      </c>
      <c r="E219" s="587" t="s">
        <v>559</v>
      </c>
      <c r="F219" s="588">
        <v>15285</v>
      </c>
      <c r="G219" s="589"/>
      <c r="H219" s="589" t="s">
        <v>551</v>
      </c>
      <c r="I219" s="589">
        <v>3</v>
      </c>
      <c r="J219" s="633">
        <v>20000</v>
      </c>
      <c r="K219" s="589">
        <v>3</v>
      </c>
      <c r="L219" s="590"/>
      <c r="M219" s="591"/>
      <c r="N219" s="592" t="str">
        <f t="shared" si="15"/>
        <v/>
      </c>
      <c r="O219" s="592" t="str">
        <f t="shared" si="16"/>
        <v/>
      </c>
      <c r="P219" s="595"/>
      <c r="Q219" s="595"/>
      <c r="R219" s="595"/>
      <c r="S219" s="589" t="s">
        <v>551</v>
      </c>
      <c r="T219" s="594" t="str">
        <f t="shared" si="13"/>
        <v/>
      </c>
      <c r="U219" s="611"/>
      <c r="V219" s="611"/>
    </row>
    <row r="220" spans="1:28" s="618" customFormat="1" ht="15.8" customHeight="1">
      <c r="A220" s="587" t="s">
        <v>674</v>
      </c>
      <c r="B220" s="587" t="s">
        <v>674</v>
      </c>
      <c r="C220" s="587" t="s">
        <v>2370</v>
      </c>
      <c r="D220" s="587" t="s">
        <v>559</v>
      </c>
      <c r="E220" s="587" t="s">
        <v>559</v>
      </c>
      <c r="F220" s="588">
        <v>1954.9999999999998</v>
      </c>
      <c r="G220" s="589"/>
      <c r="H220" s="589" t="s">
        <v>551</v>
      </c>
      <c r="I220" s="589">
        <v>1</v>
      </c>
      <c r="J220" s="588">
        <v>3800</v>
      </c>
      <c r="K220" s="589">
        <v>1</v>
      </c>
      <c r="L220" s="590"/>
      <c r="M220" s="591"/>
      <c r="N220" s="592" t="str">
        <f t="shared" si="15"/>
        <v/>
      </c>
      <c r="O220" s="592" t="str">
        <f t="shared" si="16"/>
        <v/>
      </c>
      <c r="P220" s="593" t="s">
        <v>674</v>
      </c>
      <c r="Q220" s="593" t="s">
        <v>2450</v>
      </c>
      <c r="R220" s="593" t="s">
        <v>2452</v>
      </c>
      <c r="S220" s="589" t="s">
        <v>551</v>
      </c>
      <c r="T220" s="594" t="str">
        <f t="shared" si="13"/>
        <v/>
      </c>
      <c r="U220" s="611"/>
      <c r="V220" s="611"/>
      <c r="W220" s="785"/>
      <c r="X220" s="785"/>
      <c r="Y220" s="785"/>
      <c r="Z220" s="785"/>
      <c r="AA220" s="785"/>
      <c r="AB220" s="785"/>
    </row>
    <row r="221" spans="1:28" s="618" customFormat="1" ht="15.8" customHeight="1">
      <c r="A221" s="587" t="s">
        <v>1717</v>
      </c>
      <c r="B221" s="587" t="s">
        <v>506</v>
      </c>
      <c r="C221" s="587" t="s">
        <v>2376</v>
      </c>
      <c r="D221" s="587" t="s">
        <v>559</v>
      </c>
      <c r="E221" s="587" t="s">
        <v>559</v>
      </c>
      <c r="F221" s="588">
        <v>1609.9999999999998</v>
      </c>
      <c r="G221" s="589"/>
      <c r="H221" s="589" t="s">
        <v>551</v>
      </c>
      <c r="I221" s="589">
        <v>1</v>
      </c>
      <c r="J221" s="597">
        <v>2900</v>
      </c>
      <c r="K221" s="589">
        <v>1</v>
      </c>
      <c r="L221" s="590"/>
      <c r="M221" s="591"/>
      <c r="N221" s="592" t="str">
        <f t="shared" si="15"/>
        <v/>
      </c>
      <c r="O221" s="592" t="str">
        <f t="shared" si="16"/>
        <v/>
      </c>
      <c r="P221" s="593" t="s">
        <v>506</v>
      </c>
      <c r="Q221" s="593" t="s">
        <v>2450</v>
      </c>
      <c r="R221" s="593" t="s">
        <v>2452</v>
      </c>
      <c r="S221" s="589" t="s">
        <v>551</v>
      </c>
      <c r="T221" s="594" t="str">
        <f t="shared" si="13"/>
        <v/>
      </c>
      <c r="U221" s="611"/>
      <c r="V221" s="611"/>
      <c r="W221" s="785"/>
      <c r="X221" s="785"/>
      <c r="Y221" s="785"/>
      <c r="Z221" s="785"/>
      <c r="AA221" s="785"/>
      <c r="AB221" s="785"/>
    </row>
    <row r="222" spans="1:28" ht="15.8" customHeight="1">
      <c r="A222" s="587" t="s">
        <v>1403</v>
      </c>
      <c r="B222" s="587" t="s">
        <v>77</v>
      </c>
      <c r="C222" s="587"/>
      <c r="D222" s="587" t="s">
        <v>559</v>
      </c>
      <c r="E222" s="587" t="s">
        <v>559</v>
      </c>
      <c r="F222" s="588">
        <v>4350</v>
      </c>
      <c r="G222" s="589"/>
      <c r="H222" s="589" t="s">
        <v>551</v>
      </c>
      <c r="I222" s="589">
        <v>17</v>
      </c>
      <c r="J222" s="588">
        <v>5500</v>
      </c>
      <c r="K222" s="589">
        <v>17</v>
      </c>
      <c r="L222" s="590"/>
      <c r="M222" s="591"/>
      <c r="N222" s="592" t="str">
        <f t="shared" si="15"/>
        <v/>
      </c>
      <c r="O222" s="592" t="str">
        <f t="shared" si="16"/>
        <v/>
      </c>
      <c r="P222" s="593" t="s">
        <v>2586</v>
      </c>
      <c r="Q222" s="593" t="s">
        <v>2450</v>
      </c>
      <c r="R222" s="593" t="s">
        <v>2452</v>
      </c>
      <c r="S222" s="589" t="s">
        <v>551</v>
      </c>
      <c r="T222" s="594" t="str">
        <f t="shared" si="13"/>
        <v/>
      </c>
      <c r="U222" s="611"/>
      <c r="V222" s="611"/>
    </row>
    <row r="223" spans="1:28" s="618" customFormat="1" ht="15.8" customHeight="1">
      <c r="A223" s="620" t="s">
        <v>1764</v>
      </c>
      <c r="B223" s="620" t="s">
        <v>832</v>
      </c>
      <c r="C223" s="620"/>
      <c r="D223" s="620" t="s">
        <v>602</v>
      </c>
      <c r="E223" s="620" t="s">
        <v>2446</v>
      </c>
      <c r="F223" s="621">
        <v>7474.9999999999991</v>
      </c>
      <c r="G223" s="622"/>
      <c r="H223" s="622" t="s">
        <v>642</v>
      </c>
      <c r="I223" s="622" t="s">
        <v>587</v>
      </c>
      <c r="J223" s="621">
        <v>10300</v>
      </c>
      <c r="K223" s="622" t="s">
        <v>587</v>
      </c>
      <c r="L223" s="590"/>
      <c r="M223" s="591"/>
      <c r="N223" s="592" t="str">
        <f t="shared" si="15"/>
        <v/>
      </c>
      <c r="O223" s="592" t="str">
        <f t="shared" si="16"/>
        <v/>
      </c>
      <c r="P223" s="593" t="s">
        <v>2681</v>
      </c>
      <c r="Q223" s="593" t="s">
        <v>2494</v>
      </c>
      <c r="R223" s="593" t="s">
        <v>2495</v>
      </c>
      <c r="S223" s="622" t="s">
        <v>642</v>
      </c>
      <c r="T223" s="594" t="str">
        <f t="shared" si="13"/>
        <v/>
      </c>
      <c r="U223" s="611"/>
      <c r="V223" s="611"/>
      <c r="W223" s="785"/>
      <c r="X223" s="785"/>
      <c r="Y223" s="785"/>
      <c r="Z223" s="785"/>
      <c r="AA223" s="785"/>
      <c r="AB223" s="785"/>
    </row>
    <row r="224" spans="1:28" ht="15.8" customHeight="1">
      <c r="A224" s="587" t="s">
        <v>1766</v>
      </c>
      <c r="B224" s="587" t="s">
        <v>1767</v>
      </c>
      <c r="C224" s="587"/>
      <c r="D224" s="587" t="s">
        <v>169</v>
      </c>
      <c r="E224" s="587" t="s">
        <v>169</v>
      </c>
      <c r="F224" s="588">
        <v>29000</v>
      </c>
      <c r="G224" s="589"/>
      <c r="H224" s="589" t="s">
        <v>690</v>
      </c>
      <c r="I224" s="589">
        <v>17</v>
      </c>
      <c r="J224" s="588">
        <v>33000</v>
      </c>
      <c r="K224" s="589">
        <v>17</v>
      </c>
      <c r="L224" s="590"/>
      <c r="M224" s="591"/>
      <c r="N224" s="592" t="str">
        <f t="shared" si="15"/>
        <v/>
      </c>
      <c r="O224" s="592" t="str">
        <f t="shared" si="16"/>
        <v/>
      </c>
      <c r="P224" s="593" t="s">
        <v>2682</v>
      </c>
      <c r="Q224" s="593" t="s">
        <v>2507</v>
      </c>
      <c r="R224" s="593" t="s">
        <v>6146</v>
      </c>
      <c r="S224" s="589" t="s">
        <v>690</v>
      </c>
      <c r="T224" s="594" t="str">
        <f t="shared" si="13"/>
        <v/>
      </c>
      <c r="V224" s="611"/>
    </row>
    <row r="225" spans="1:28" ht="15.8" customHeight="1">
      <c r="A225" s="620" t="s">
        <v>1864</v>
      </c>
      <c r="B225" s="620" t="s">
        <v>883</v>
      </c>
      <c r="C225" s="620"/>
      <c r="D225" s="620" t="s">
        <v>88</v>
      </c>
      <c r="E225" s="620" t="s">
        <v>2740</v>
      </c>
      <c r="F225" s="621">
        <v>22000</v>
      </c>
      <c r="G225" s="622"/>
      <c r="H225" s="622" t="s">
        <v>551</v>
      </c>
      <c r="I225" s="622">
        <v>17</v>
      </c>
      <c r="J225" s="621">
        <v>27000</v>
      </c>
      <c r="K225" s="622">
        <v>17</v>
      </c>
      <c r="L225" s="590"/>
      <c r="M225" s="591"/>
      <c r="N225" s="592" t="str">
        <f t="shared" si="15"/>
        <v/>
      </c>
      <c r="O225" s="592" t="str">
        <f t="shared" si="16"/>
        <v/>
      </c>
      <c r="P225" s="593" t="s">
        <v>883</v>
      </c>
      <c r="Q225" s="593" t="s">
        <v>2450</v>
      </c>
      <c r="R225" s="593" t="s">
        <v>2452</v>
      </c>
      <c r="S225" s="622" t="s">
        <v>551</v>
      </c>
      <c r="T225" s="594" t="str">
        <f t="shared" si="13"/>
        <v/>
      </c>
      <c r="U225" s="611"/>
      <c r="V225" s="600"/>
    </row>
    <row r="226" spans="1:28" ht="15.8" customHeight="1">
      <c r="A226" s="813" t="s">
        <v>1435</v>
      </c>
      <c r="B226" s="813" t="s">
        <v>612</v>
      </c>
      <c r="C226" s="813" t="s">
        <v>477</v>
      </c>
      <c r="D226" s="813" t="s">
        <v>550</v>
      </c>
      <c r="E226" s="813" t="s">
        <v>2420</v>
      </c>
      <c r="F226" s="820">
        <v>5990</v>
      </c>
      <c r="G226" s="821" t="s">
        <v>1363</v>
      </c>
      <c r="H226" s="821" t="s">
        <v>575</v>
      </c>
      <c r="I226" s="821">
        <v>3</v>
      </c>
      <c r="J226" s="822">
        <v>7800</v>
      </c>
      <c r="K226" s="821">
        <v>3</v>
      </c>
      <c r="L226" s="601"/>
      <c r="M226" s="602"/>
      <c r="N226" s="813" t="str">
        <f t="shared" si="15"/>
        <v/>
      </c>
      <c r="O226" s="813" t="str">
        <f t="shared" si="16"/>
        <v/>
      </c>
      <c r="P226" s="814" t="s">
        <v>612</v>
      </c>
      <c r="Q226" s="814" t="s">
        <v>897</v>
      </c>
      <c r="R226" s="814" t="s">
        <v>2476</v>
      </c>
      <c r="S226" s="821" t="s">
        <v>575</v>
      </c>
      <c r="T226" s="815" t="str">
        <f t="shared" si="13"/>
        <v/>
      </c>
      <c r="U226" s="611"/>
      <c r="V226" s="615"/>
    </row>
    <row r="227" spans="1:28" s="618" customFormat="1" ht="15.8" customHeight="1">
      <c r="A227" s="587" t="s">
        <v>1614</v>
      </c>
      <c r="B227" s="587" t="s">
        <v>732</v>
      </c>
      <c r="C227" s="587"/>
      <c r="D227" s="587" t="s">
        <v>550</v>
      </c>
      <c r="E227" s="587" t="s">
        <v>2428</v>
      </c>
      <c r="F227" s="588">
        <v>175</v>
      </c>
      <c r="G227" s="589"/>
      <c r="H227" s="589" t="s">
        <v>551</v>
      </c>
      <c r="I227" s="589">
        <v>1</v>
      </c>
      <c r="J227" s="588">
        <v>400</v>
      </c>
      <c r="K227" s="589">
        <v>1</v>
      </c>
      <c r="L227" s="590"/>
      <c r="M227" s="591"/>
      <c r="N227" s="592" t="str">
        <f t="shared" si="15"/>
        <v/>
      </c>
      <c r="O227" s="592" t="str">
        <f t="shared" si="16"/>
        <v/>
      </c>
      <c r="P227" s="593" t="s">
        <v>732</v>
      </c>
      <c r="Q227" s="593" t="s">
        <v>2450</v>
      </c>
      <c r="R227" s="593" t="s">
        <v>2452</v>
      </c>
      <c r="S227" s="589" t="s">
        <v>551</v>
      </c>
      <c r="T227" s="594" t="str">
        <f t="shared" ref="T227:T290" si="17">IF(OR(L227="x", M227="x"), S227,"")</f>
        <v/>
      </c>
      <c r="U227" s="611"/>
      <c r="V227" s="611"/>
      <c r="W227" s="785"/>
      <c r="X227" s="785"/>
      <c r="Y227" s="785"/>
      <c r="Z227" s="785"/>
      <c r="AA227" s="785"/>
      <c r="AB227" s="785"/>
    </row>
    <row r="228" spans="1:28" ht="15.8" customHeight="1">
      <c r="A228" s="620" t="s">
        <v>1757</v>
      </c>
      <c r="B228" s="620" t="s">
        <v>828</v>
      </c>
      <c r="C228" s="620"/>
      <c r="D228" s="620" t="s">
        <v>88</v>
      </c>
      <c r="E228" s="620" t="s">
        <v>88</v>
      </c>
      <c r="F228" s="621">
        <v>5060</v>
      </c>
      <c r="G228" s="622"/>
      <c r="H228" s="622" t="s">
        <v>5851</v>
      </c>
      <c r="I228" s="622">
        <v>5</v>
      </c>
      <c r="J228" s="621">
        <v>11400</v>
      </c>
      <c r="K228" s="622">
        <v>5</v>
      </c>
      <c r="L228" s="590"/>
      <c r="M228" s="591"/>
      <c r="N228" s="592" t="str">
        <f t="shared" si="15"/>
        <v/>
      </c>
      <c r="O228" s="592" t="str">
        <f t="shared" si="16"/>
        <v/>
      </c>
      <c r="P228" s="677" t="s">
        <v>828</v>
      </c>
      <c r="Q228" s="677" t="s">
        <v>2547</v>
      </c>
      <c r="R228" s="677" t="s">
        <v>2510</v>
      </c>
      <c r="S228" s="622" t="s">
        <v>5851</v>
      </c>
      <c r="T228" s="594" t="str">
        <f t="shared" si="17"/>
        <v/>
      </c>
      <c r="U228" s="796"/>
      <c r="V228" s="611"/>
    </row>
    <row r="229" spans="1:28" s="618" customFormat="1" ht="15.8" customHeight="1">
      <c r="A229" s="620" t="s">
        <v>1821</v>
      </c>
      <c r="B229" s="620" t="s">
        <v>858</v>
      </c>
      <c r="C229" s="620"/>
      <c r="D229" s="620" t="s">
        <v>742</v>
      </c>
      <c r="E229" s="620" t="s">
        <v>742</v>
      </c>
      <c r="F229" s="621">
        <v>5900</v>
      </c>
      <c r="G229" s="622"/>
      <c r="H229" s="622" t="s">
        <v>551</v>
      </c>
      <c r="I229" s="622" t="s">
        <v>361</v>
      </c>
      <c r="J229" s="621">
        <v>7700</v>
      </c>
      <c r="K229" s="622" t="s">
        <v>361</v>
      </c>
      <c r="L229" s="590"/>
      <c r="M229" s="591"/>
      <c r="N229" s="592" t="str">
        <f t="shared" si="15"/>
        <v/>
      </c>
      <c r="O229" s="592" t="str">
        <f t="shared" si="16"/>
        <v/>
      </c>
      <c r="P229" s="593" t="s">
        <v>858</v>
      </c>
      <c r="Q229" s="593" t="s">
        <v>2450</v>
      </c>
      <c r="R229" s="593" t="s">
        <v>2452</v>
      </c>
      <c r="S229" s="622" t="s">
        <v>551</v>
      </c>
      <c r="T229" s="594" t="str">
        <f t="shared" si="17"/>
        <v/>
      </c>
      <c r="U229" s="615"/>
      <c r="V229" s="615"/>
      <c r="W229" s="785"/>
      <c r="X229" s="785"/>
      <c r="Y229" s="785"/>
      <c r="Z229" s="785"/>
      <c r="AA229" s="785"/>
      <c r="AB229" s="785"/>
    </row>
    <row r="230" spans="1:28" s="618" customFormat="1" ht="15.8" customHeight="1">
      <c r="A230" s="592" t="s">
        <v>1756</v>
      </c>
      <c r="B230" s="592" t="s">
        <v>827</v>
      </c>
      <c r="C230" s="592"/>
      <c r="D230" s="592" t="s">
        <v>602</v>
      </c>
      <c r="E230" s="592" t="s">
        <v>2446</v>
      </c>
      <c r="F230" s="598">
        <v>9000</v>
      </c>
      <c r="G230" s="599" t="s">
        <v>1363</v>
      </c>
      <c r="H230" s="599" t="s">
        <v>642</v>
      </c>
      <c r="I230" s="599">
        <v>2</v>
      </c>
      <c r="J230" s="598">
        <v>11700</v>
      </c>
      <c r="K230" s="599">
        <v>2</v>
      </c>
      <c r="L230" s="590"/>
      <c r="M230" s="591"/>
      <c r="N230" s="592" t="str">
        <f t="shared" si="15"/>
        <v/>
      </c>
      <c r="O230" s="592" t="str">
        <f t="shared" si="16"/>
        <v/>
      </c>
      <c r="P230" s="593" t="s">
        <v>827</v>
      </c>
      <c r="Q230" s="593" t="s">
        <v>2494</v>
      </c>
      <c r="R230" s="593" t="s">
        <v>2495</v>
      </c>
      <c r="S230" s="599" t="s">
        <v>642</v>
      </c>
      <c r="T230" s="594" t="str">
        <f t="shared" si="17"/>
        <v/>
      </c>
      <c r="U230" s="611"/>
      <c r="V230" s="600"/>
      <c r="W230" s="785"/>
      <c r="X230" s="785"/>
      <c r="Y230" s="785"/>
      <c r="Z230" s="785"/>
      <c r="AA230" s="785"/>
      <c r="AB230" s="785"/>
    </row>
    <row r="231" spans="1:28" s="618" customFormat="1" ht="15.8" customHeight="1">
      <c r="A231" s="587" t="s">
        <v>1768</v>
      </c>
      <c r="B231" s="587" t="s">
        <v>834</v>
      </c>
      <c r="C231" s="587"/>
      <c r="D231" s="587" t="s">
        <v>607</v>
      </c>
      <c r="E231" s="587" t="s">
        <v>2741</v>
      </c>
      <c r="F231" s="588">
        <v>6000</v>
      </c>
      <c r="G231" s="589"/>
      <c r="H231" s="589" t="s">
        <v>642</v>
      </c>
      <c r="I231" s="589" t="s">
        <v>350</v>
      </c>
      <c r="J231" s="588">
        <v>7800</v>
      </c>
      <c r="K231" s="589" t="s">
        <v>350</v>
      </c>
      <c r="L231" s="590"/>
      <c r="M231" s="591"/>
      <c r="N231" s="592" t="str">
        <f t="shared" si="15"/>
        <v/>
      </c>
      <c r="O231" s="592" t="str">
        <f t="shared" si="16"/>
        <v/>
      </c>
      <c r="P231" s="593" t="s">
        <v>834</v>
      </c>
      <c r="Q231" s="593" t="s">
        <v>2494</v>
      </c>
      <c r="R231" s="593" t="s">
        <v>2559</v>
      </c>
      <c r="S231" s="589" t="s">
        <v>642</v>
      </c>
      <c r="T231" s="594" t="str">
        <f t="shared" si="17"/>
        <v/>
      </c>
      <c r="U231" s="600"/>
      <c r="V231" s="611"/>
      <c r="W231" s="785"/>
      <c r="X231" s="785"/>
      <c r="Y231" s="785"/>
      <c r="Z231" s="785"/>
      <c r="AA231" s="785"/>
      <c r="AB231" s="785"/>
    </row>
    <row r="232" spans="1:28" s="618" customFormat="1" ht="14.95" customHeight="1">
      <c r="A232" s="587" t="s">
        <v>1543</v>
      </c>
      <c r="B232" s="587" t="s">
        <v>689</v>
      </c>
      <c r="C232" s="587"/>
      <c r="D232" s="587" t="s">
        <v>602</v>
      </c>
      <c r="E232" s="587" t="s">
        <v>2446</v>
      </c>
      <c r="F232" s="588">
        <v>3900</v>
      </c>
      <c r="G232" s="589"/>
      <c r="H232" s="589" t="s">
        <v>5849</v>
      </c>
      <c r="I232" s="589">
        <v>2</v>
      </c>
      <c r="J232" s="597">
        <v>5700</v>
      </c>
      <c r="K232" s="589">
        <v>2</v>
      </c>
      <c r="L232" s="590"/>
      <c r="M232" s="591"/>
      <c r="N232" s="592" t="str">
        <f t="shared" si="15"/>
        <v/>
      </c>
      <c r="O232" s="592" t="str">
        <f t="shared" si="16"/>
        <v/>
      </c>
      <c r="P232" s="593" t="s">
        <v>2678</v>
      </c>
      <c r="Q232" s="593" t="s">
        <v>2547</v>
      </c>
      <c r="R232" s="593" t="s">
        <v>2510</v>
      </c>
      <c r="S232" s="589" t="s">
        <v>5849</v>
      </c>
      <c r="T232" s="594" t="str">
        <f t="shared" si="17"/>
        <v/>
      </c>
      <c r="U232" s="611"/>
      <c r="V232" s="611"/>
      <c r="W232" s="785"/>
      <c r="X232" s="785"/>
      <c r="Y232" s="785"/>
      <c r="Z232" s="785"/>
      <c r="AA232" s="785"/>
      <c r="AB232" s="785"/>
    </row>
    <row r="233" spans="1:28" s="618" customFormat="1" ht="15.8" customHeight="1">
      <c r="A233" s="587" t="s">
        <v>1719</v>
      </c>
      <c r="B233" s="587" t="s">
        <v>804</v>
      </c>
      <c r="C233" s="587"/>
      <c r="D233" s="587" t="s">
        <v>550</v>
      </c>
      <c r="E233" s="587" t="s">
        <v>2431</v>
      </c>
      <c r="F233" s="588">
        <v>16000</v>
      </c>
      <c r="G233" s="589"/>
      <c r="H233" s="589" t="s">
        <v>5850</v>
      </c>
      <c r="I233" s="589">
        <v>17</v>
      </c>
      <c r="J233" s="597">
        <v>18500</v>
      </c>
      <c r="K233" s="589">
        <v>17</v>
      </c>
      <c r="L233" s="601"/>
      <c r="M233" s="591"/>
      <c r="N233" s="592" t="str">
        <f t="shared" si="15"/>
        <v/>
      </c>
      <c r="O233" s="592" t="str">
        <f t="shared" si="16"/>
        <v/>
      </c>
      <c r="P233" s="593" t="s">
        <v>804</v>
      </c>
      <c r="Q233" s="593" t="s">
        <v>2547</v>
      </c>
      <c r="R233" s="593" t="s">
        <v>2510</v>
      </c>
      <c r="S233" s="589" t="s">
        <v>5850</v>
      </c>
      <c r="T233" s="594" t="str">
        <f t="shared" si="17"/>
        <v/>
      </c>
      <c r="U233" s="611"/>
      <c r="V233" s="611"/>
      <c r="W233" s="785"/>
      <c r="X233" s="785"/>
      <c r="Y233" s="785"/>
      <c r="Z233" s="785"/>
      <c r="AA233" s="785"/>
      <c r="AB233" s="785"/>
    </row>
    <row r="234" spans="1:28" ht="15.8" customHeight="1">
      <c r="A234" s="620" t="s">
        <v>1758</v>
      </c>
      <c r="B234" s="620" t="s">
        <v>1759</v>
      </c>
      <c r="C234" s="620"/>
      <c r="D234" s="620" t="s">
        <v>602</v>
      </c>
      <c r="E234" s="620" t="s">
        <v>2446</v>
      </c>
      <c r="F234" s="621">
        <v>7474.9999999999991</v>
      </c>
      <c r="G234" s="622"/>
      <c r="H234" s="622" t="s">
        <v>642</v>
      </c>
      <c r="I234" s="622" t="s">
        <v>587</v>
      </c>
      <c r="J234" s="621">
        <v>10300</v>
      </c>
      <c r="K234" s="622" t="s">
        <v>587</v>
      </c>
      <c r="L234" s="590"/>
      <c r="M234" s="591"/>
      <c r="N234" s="592" t="str">
        <f t="shared" si="15"/>
        <v/>
      </c>
      <c r="O234" s="592" t="str">
        <f t="shared" si="16"/>
        <v/>
      </c>
      <c r="P234" s="593" t="s">
        <v>2677</v>
      </c>
      <c r="Q234" s="593" t="s">
        <v>2494</v>
      </c>
      <c r="R234" s="593" t="s">
        <v>2555</v>
      </c>
      <c r="S234" s="622" t="s">
        <v>642</v>
      </c>
      <c r="T234" s="594" t="str">
        <f t="shared" si="17"/>
        <v/>
      </c>
      <c r="U234" s="615"/>
      <c r="V234" s="615"/>
    </row>
    <row r="235" spans="1:28" ht="15.8" customHeight="1">
      <c r="A235" s="592" t="s">
        <v>1762</v>
      </c>
      <c r="B235" s="592" t="s">
        <v>1763</v>
      </c>
      <c r="C235" s="592"/>
      <c r="D235" s="592" t="s">
        <v>169</v>
      </c>
      <c r="E235" s="592" t="s">
        <v>169</v>
      </c>
      <c r="F235" s="598">
        <v>63900</v>
      </c>
      <c r="G235" s="599" t="s">
        <v>1363</v>
      </c>
      <c r="H235" s="599" t="s">
        <v>5854</v>
      </c>
      <c r="I235" s="599">
        <v>30</v>
      </c>
      <c r="J235" s="598">
        <v>74000</v>
      </c>
      <c r="K235" s="599">
        <v>30</v>
      </c>
      <c r="L235" s="601"/>
      <c r="M235" s="591"/>
      <c r="N235" s="592" t="str">
        <f t="shared" si="15"/>
        <v/>
      </c>
      <c r="O235" s="592" t="str">
        <f t="shared" si="16"/>
        <v/>
      </c>
      <c r="P235" s="593" t="s">
        <v>1295</v>
      </c>
      <c r="Q235" s="593" t="s">
        <v>2547</v>
      </c>
      <c r="R235" s="593" t="s">
        <v>2558</v>
      </c>
      <c r="S235" s="599" t="s">
        <v>5854</v>
      </c>
      <c r="T235" s="594" t="str">
        <f t="shared" si="17"/>
        <v/>
      </c>
      <c r="U235" s="611"/>
      <c r="V235" s="611"/>
    </row>
    <row r="236" spans="1:28" ht="15.8" customHeight="1">
      <c r="A236" s="587" t="s">
        <v>1765</v>
      </c>
      <c r="B236" s="587" t="s">
        <v>833</v>
      </c>
      <c r="C236" s="587"/>
      <c r="D236" s="587" t="s">
        <v>602</v>
      </c>
      <c r="E236" s="620" t="s">
        <v>2446</v>
      </c>
      <c r="F236" s="588">
        <v>8049.9999999999991</v>
      </c>
      <c r="G236" s="589"/>
      <c r="H236" s="589" t="s">
        <v>642</v>
      </c>
      <c r="I236" s="589">
        <v>2</v>
      </c>
      <c r="J236" s="588">
        <v>10500</v>
      </c>
      <c r="K236" s="589">
        <v>2</v>
      </c>
      <c r="L236" s="590"/>
      <c r="M236" s="591"/>
      <c r="N236" s="592" t="str">
        <f t="shared" ref="N236:N299" si="18">IF(OR(L236="x", M236="x"), B236 &amp; "; ", "")</f>
        <v/>
      </c>
      <c r="O236" s="592" t="str">
        <f t="shared" si="16"/>
        <v/>
      </c>
      <c r="P236" s="593" t="s">
        <v>833</v>
      </c>
      <c r="Q236" s="593" t="s">
        <v>2494</v>
      </c>
      <c r="R236" s="593" t="s">
        <v>2495</v>
      </c>
      <c r="S236" s="589" t="s">
        <v>642</v>
      </c>
      <c r="T236" s="594" t="str">
        <f t="shared" si="17"/>
        <v/>
      </c>
      <c r="U236" s="615"/>
      <c r="V236" s="611"/>
    </row>
    <row r="237" spans="1:28" ht="15.8" customHeight="1">
      <c r="A237" s="587" t="s">
        <v>688</v>
      </c>
      <c r="B237" s="587" t="s">
        <v>1738</v>
      </c>
      <c r="C237" s="587"/>
      <c r="D237" s="587" t="s">
        <v>103</v>
      </c>
      <c r="E237" s="587" t="s">
        <v>103</v>
      </c>
      <c r="F237" s="588">
        <v>9950</v>
      </c>
      <c r="G237" s="589"/>
      <c r="H237" s="589" t="s">
        <v>551</v>
      </c>
      <c r="I237" s="589">
        <v>7</v>
      </c>
      <c r="J237" s="588">
        <v>13700</v>
      </c>
      <c r="K237" s="589">
        <v>7</v>
      </c>
      <c r="L237" s="590"/>
      <c r="M237" s="591"/>
      <c r="N237" s="592" t="str">
        <f t="shared" si="18"/>
        <v/>
      </c>
      <c r="O237" s="592" t="str">
        <f t="shared" si="16"/>
        <v/>
      </c>
      <c r="P237" s="593" t="s">
        <v>1738</v>
      </c>
      <c r="Q237" s="593" t="s">
        <v>2450</v>
      </c>
      <c r="R237" s="593" t="s">
        <v>2452</v>
      </c>
      <c r="S237" s="589" t="s">
        <v>551</v>
      </c>
      <c r="T237" s="594" t="str">
        <f t="shared" si="17"/>
        <v/>
      </c>
      <c r="U237" s="611"/>
      <c r="V237" s="611"/>
    </row>
    <row r="238" spans="1:28" ht="15.8" customHeight="1">
      <c r="A238" s="625" t="s">
        <v>1745</v>
      </c>
      <c r="B238" s="625" t="s">
        <v>5973</v>
      </c>
      <c r="C238" s="625"/>
      <c r="D238" s="625" t="s">
        <v>602</v>
      </c>
      <c r="E238" s="625" t="s">
        <v>2445</v>
      </c>
      <c r="F238" s="588">
        <v>6900</v>
      </c>
      <c r="G238" s="594"/>
      <c r="H238" s="594" t="s">
        <v>551</v>
      </c>
      <c r="I238" s="594" t="s">
        <v>1747</v>
      </c>
      <c r="J238" s="588">
        <v>9000</v>
      </c>
      <c r="K238" s="594" t="s">
        <v>1747</v>
      </c>
      <c r="L238" s="590"/>
      <c r="M238" s="591"/>
      <c r="N238" s="592" t="str">
        <f t="shared" si="18"/>
        <v/>
      </c>
      <c r="O238" s="592" t="str">
        <f t="shared" si="16"/>
        <v/>
      </c>
      <c r="P238" s="593" t="s">
        <v>2672</v>
      </c>
      <c r="Q238" s="593" t="s">
        <v>2450</v>
      </c>
      <c r="R238" s="593" t="s">
        <v>2452</v>
      </c>
      <c r="S238" s="594" t="s">
        <v>551</v>
      </c>
      <c r="T238" s="594" t="str">
        <f t="shared" si="17"/>
        <v/>
      </c>
      <c r="U238" s="611"/>
      <c r="V238" s="600"/>
    </row>
    <row r="239" spans="1:28" ht="15.8" customHeight="1">
      <c r="A239" s="587" t="s">
        <v>1493</v>
      </c>
      <c r="B239" s="587" t="s">
        <v>509</v>
      </c>
      <c r="C239" s="587"/>
      <c r="D239" s="587" t="s">
        <v>550</v>
      </c>
      <c r="E239" s="587" t="s">
        <v>2436</v>
      </c>
      <c r="F239" s="588">
        <v>3600</v>
      </c>
      <c r="G239" s="589"/>
      <c r="H239" s="589" t="s">
        <v>551</v>
      </c>
      <c r="I239" s="589">
        <v>1</v>
      </c>
      <c r="J239" s="588">
        <v>4500</v>
      </c>
      <c r="K239" s="589">
        <v>1</v>
      </c>
      <c r="L239" s="590"/>
      <c r="M239" s="591"/>
      <c r="N239" s="592" t="str">
        <f t="shared" si="18"/>
        <v/>
      </c>
      <c r="O239" s="592" t="str">
        <f t="shared" si="16"/>
        <v/>
      </c>
      <c r="P239" s="593" t="s">
        <v>509</v>
      </c>
      <c r="Q239" s="593" t="s">
        <v>2450</v>
      </c>
      <c r="R239" s="593" t="s">
        <v>2452</v>
      </c>
      <c r="S239" s="589" t="s">
        <v>551</v>
      </c>
      <c r="T239" s="594" t="str">
        <f t="shared" si="17"/>
        <v/>
      </c>
      <c r="U239" s="611"/>
      <c r="V239" s="615"/>
    </row>
    <row r="240" spans="1:28" ht="15.8" customHeight="1">
      <c r="A240" s="587" t="s">
        <v>1495</v>
      </c>
      <c r="B240" s="587" t="s">
        <v>641</v>
      </c>
      <c r="C240" s="587"/>
      <c r="D240" s="587" t="s">
        <v>602</v>
      </c>
      <c r="E240" s="587" t="s">
        <v>2446</v>
      </c>
      <c r="F240" s="588">
        <v>8500</v>
      </c>
      <c r="G240" s="589"/>
      <c r="H240" s="589" t="s">
        <v>642</v>
      </c>
      <c r="I240" s="589">
        <v>2</v>
      </c>
      <c r="J240" s="588">
        <v>11050</v>
      </c>
      <c r="K240" s="589">
        <v>2</v>
      </c>
      <c r="L240" s="590"/>
      <c r="M240" s="591"/>
      <c r="N240" s="592" t="str">
        <f t="shared" si="18"/>
        <v/>
      </c>
      <c r="O240" s="592" t="str">
        <f t="shared" si="16"/>
        <v/>
      </c>
      <c r="P240" s="593" t="s">
        <v>2603</v>
      </c>
      <c r="Q240" s="593" t="s">
        <v>2494</v>
      </c>
      <c r="R240" s="593" t="s">
        <v>2495</v>
      </c>
      <c r="S240" s="589" t="s">
        <v>642</v>
      </c>
      <c r="T240" s="594" t="str">
        <f t="shared" si="17"/>
        <v/>
      </c>
      <c r="U240" s="611"/>
      <c r="V240" s="611"/>
    </row>
    <row r="241" spans="1:28" ht="15.8" customHeight="1">
      <c r="A241" s="587" t="s">
        <v>1394</v>
      </c>
      <c r="B241" s="587" t="s">
        <v>578</v>
      </c>
      <c r="C241" s="587"/>
      <c r="D241" s="587" t="s">
        <v>550</v>
      </c>
      <c r="E241" s="587" t="s">
        <v>2424</v>
      </c>
      <c r="F241" s="588">
        <v>2100</v>
      </c>
      <c r="G241" s="589"/>
      <c r="H241" s="589" t="s">
        <v>551</v>
      </c>
      <c r="I241" s="589">
        <v>17</v>
      </c>
      <c r="J241" s="597">
        <v>2700</v>
      </c>
      <c r="K241" s="589">
        <v>17</v>
      </c>
      <c r="L241" s="590"/>
      <c r="M241" s="591"/>
      <c r="N241" s="592" t="str">
        <f t="shared" si="18"/>
        <v/>
      </c>
      <c r="O241" s="592" t="str">
        <f t="shared" si="16"/>
        <v/>
      </c>
      <c r="P241" s="593" t="s">
        <v>2583</v>
      </c>
      <c r="Q241" s="593" t="s">
        <v>2450</v>
      </c>
      <c r="R241" s="593" t="s">
        <v>2452</v>
      </c>
      <c r="S241" s="589" t="s">
        <v>551</v>
      </c>
      <c r="T241" s="594" t="str">
        <f t="shared" si="17"/>
        <v/>
      </c>
      <c r="U241" s="600"/>
      <c r="V241" s="600"/>
    </row>
    <row r="242" spans="1:28" s="618" customFormat="1" ht="15.8" customHeight="1">
      <c r="A242" s="587" t="s">
        <v>1814</v>
      </c>
      <c r="B242" s="587" t="s">
        <v>101</v>
      </c>
      <c r="C242" s="587"/>
      <c r="D242" s="587" t="s">
        <v>567</v>
      </c>
      <c r="E242" s="587" t="s">
        <v>2734</v>
      </c>
      <c r="F242" s="588">
        <v>9900</v>
      </c>
      <c r="G242" s="589"/>
      <c r="H242" s="589" t="s">
        <v>551</v>
      </c>
      <c r="I242" s="589">
        <v>17</v>
      </c>
      <c r="J242" s="597">
        <v>12500</v>
      </c>
      <c r="K242" s="589">
        <v>17</v>
      </c>
      <c r="L242" s="590"/>
      <c r="M242" s="591"/>
      <c r="N242" s="592" t="str">
        <f t="shared" si="18"/>
        <v/>
      </c>
      <c r="O242" s="592" t="str">
        <f t="shared" si="16"/>
        <v/>
      </c>
      <c r="P242" s="593" t="s">
        <v>101</v>
      </c>
      <c r="Q242" s="593" t="s">
        <v>2450</v>
      </c>
      <c r="R242" s="593" t="s">
        <v>2565</v>
      </c>
      <c r="S242" s="589" t="s">
        <v>551</v>
      </c>
      <c r="T242" s="594" t="str">
        <f t="shared" si="17"/>
        <v/>
      </c>
      <c r="U242" s="600"/>
      <c r="V242" s="600"/>
      <c r="W242" s="785"/>
      <c r="X242" s="785"/>
      <c r="Y242" s="785"/>
      <c r="Z242" s="785"/>
      <c r="AA242" s="785"/>
      <c r="AB242" s="785"/>
    </row>
    <row r="243" spans="1:28" s="618" customFormat="1" ht="15.8" customHeight="1">
      <c r="A243" s="813" t="s">
        <v>1536</v>
      </c>
      <c r="B243" s="813" t="s">
        <v>84</v>
      </c>
      <c r="C243" s="813" t="s">
        <v>477</v>
      </c>
      <c r="D243" s="813" t="s">
        <v>559</v>
      </c>
      <c r="E243" s="813" t="s">
        <v>2707</v>
      </c>
      <c r="F243" s="820">
        <v>11000</v>
      </c>
      <c r="G243" s="821" t="s">
        <v>1363</v>
      </c>
      <c r="H243" s="821" t="s">
        <v>5814</v>
      </c>
      <c r="I243" s="821">
        <v>17</v>
      </c>
      <c r="J243" s="822">
        <v>13700</v>
      </c>
      <c r="K243" s="812">
        <v>17</v>
      </c>
      <c r="L243" s="590"/>
      <c r="M243" s="591"/>
      <c r="N243" s="813" t="str">
        <f t="shared" si="18"/>
        <v/>
      </c>
      <c r="O243" s="813" t="str">
        <f t="shared" si="16"/>
        <v/>
      </c>
      <c r="P243" s="814" t="s">
        <v>84</v>
      </c>
      <c r="Q243" s="814" t="s">
        <v>2450</v>
      </c>
      <c r="R243" s="814" t="s">
        <v>2504</v>
      </c>
      <c r="S243" s="821" t="s">
        <v>5814</v>
      </c>
      <c r="T243" s="815" t="str">
        <f t="shared" si="17"/>
        <v/>
      </c>
      <c r="U243" s="611"/>
      <c r="V243" s="611"/>
      <c r="W243" s="785"/>
      <c r="X243" s="785"/>
      <c r="Y243" s="785"/>
      <c r="Z243" s="785"/>
      <c r="AA243" s="785"/>
      <c r="AB243" s="785"/>
    </row>
    <row r="244" spans="1:28" s="618" customFormat="1" ht="15.8" customHeight="1">
      <c r="A244" s="587" t="s">
        <v>1517</v>
      </c>
      <c r="B244" s="587" t="s">
        <v>666</v>
      </c>
      <c r="C244" s="587"/>
      <c r="D244" s="587" t="s">
        <v>602</v>
      </c>
      <c r="E244" s="587" t="s">
        <v>2445</v>
      </c>
      <c r="F244" s="588">
        <v>8049.9999999999991</v>
      </c>
      <c r="G244" s="589"/>
      <c r="H244" s="589" t="s">
        <v>551</v>
      </c>
      <c r="I244" s="589">
        <v>5</v>
      </c>
      <c r="J244" s="588">
        <v>10500</v>
      </c>
      <c r="K244" s="589">
        <v>5</v>
      </c>
      <c r="L244" s="590"/>
      <c r="M244" s="591"/>
      <c r="N244" s="592" t="str">
        <f t="shared" si="18"/>
        <v/>
      </c>
      <c r="O244" s="592" t="str">
        <f t="shared" si="16"/>
        <v/>
      </c>
      <c r="P244" s="593" t="s">
        <v>666</v>
      </c>
      <c r="Q244" s="593" t="s">
        <v>2450</v>
      </c>
      <c r="R244" s="593" t="s">
        <v>2452</v>
      </c>
      <c r="S244" s="589" t="s">
        <v>551</v>
      </c>
      <c r="T244" s="594" t="str">
        <f t="shared" si="17"/>
        <v/>
      </c>
      <c r="U244" s="611"/>
      <c r="V244" s="611"/>
      <c r="W244" s="785"/>
      <c r="X244" s="785"/>
      <c r="Y244" s="785"/>
      <c r="Z244" s="785"/>
      <c r="AA244" s="785"/>
      <c r="AB244" s="785"/>
    </row>
    <row r="245" spans="1:28" ht="15.8" customHeight="1">
      <c r="A245" s="587" t="s">
        <v>1424</v>
      </c>
      <c r="B245" s="587" t="s">
        <v>221</v>
      </c>
      <c r="C245" s="587"/>
      <c r="D245" s="587" t="s">
        <v>88</v>
      </c>
      <c r="E245" s="587" t="s">
        <v>2736</v>
      </c>
      <c r="F245" s="588">
        <v>3219.9999999999995</v>
      </c>
      <c r="G245" s="589"/>
      <c r="H245" s="589" t="s">
        <v>551</v>
      </c>
      <c r="I245" s="589">
        <v>5</v>
      </c>
      <c r="J245" s="588">
        <v>4200</v>
      </c>
      <c r="K245" s="589">
        <v>5</v>
      </c>
      <c r="L245" s="590"/>
      <c r="M245" s="591"/>
      <c r="N245" s="592" t="str">
        <f t="shared" si="18"/>
        <v/>
      </c>
      <c r="O245" s="592" t="str">
        <f t="shared" si="16"/>
        <v/>
      </c>
      <c r="P245" s="593" t="s">
        <v>221</v>
      </c>
      <c r="Q245" s="593" t="s">
        <v>2450</v>
      </c>
      <c r="R245" s="593" t="s">
        <v>2452</v>
      </c>
      <c r="S245" s="589" t="s">
        <v>551</v>
      </c>
      <c r="T245" s="594" t="str">
        <f t="shared" si="17"/>
        <v/>
      </c>
      <c r="U245" s="611"/>
      <c r="V245" s="611"/>
    </row>
    <row r="246" spans="1:28" ht="15.8" customHeight="1">
      <c r="A246" s="587" t="s">
        <v>1423</v>
      </c>
      <c r="B246" s="587" t="s">
        <v>222</v>
      </c>
      <c r="C246" s="587"/>
      <c r="D246" s="587" t="s">
        <v>88</v>
      </c>
      <c r="E246" s="587" t="s">
        <v>2736</v>
      </c>
      <c r="F246" s="588">
        <v>3219.9999999999995</v>
      </c>
      <c r="G246" s="589"/>
      <c r="H246" s="589" t="s">
        <v>551</v>
      </c>
      <c r="I246" s="589">
        <v>5</v>
      </c>
      <c r="J246" s="588">
        <v>4200</v>
      </c>
      <c r="K246" s="589">
        <v>5</v>
      </c>
      <c r="L246" s="590"/>
      <c r="M246" s="591"/>
      <c r="N246" s="592" t="str">
        <f t="shared" si="18"/>
        <v/>
      </c>
      <c r="O246" s="592" t="str">
        <f t="shared" si="16"/>
        <v/>
      </c>
      <c r="P246" s="593" t="s">
        <v>222</v>
      </c>
      <c r="Q246" s="593" t="s">
        <v>2450</v>
      </c>
      <c r="R246" s="593" t="s">
        <v>2452</v>
      </c>
      <c r="S246" s="589" t="s">
        <v>551</v>
      </c>
      <c r="T246" s="594" t="str">
        <f t="shared" si="17"/>
        <v/>
      </c>
      <c r="U246" s="600"/>
      <c r="V246" s="611"/>
    </row>
    <row r="247" spans="1:28" s="618" customFormat="1" ht="15.8" customHeight="1">
      <c r="A247" s="587" t="s">
        <v>1460</v>
      </c>
      <c r="B247" s="587" t="s">
        <v>1461</v>
      </c>
      <c r="C247" s="587"/>
      <c r="D247" s="587" t="s">
        <v>103</v>
      </c>
      <c r="E247" s="587" t="s">
        <v>103</v>
      </c>
      <c r="F247" s="588">
        <v>2875</v>
      </c>
      <c r="G247" s="589"/>
      <c r="H247" s="589" t="s">
        <v>551</v>
      </c>
      <c r="I247" s="589">
        <v>5</v>
      </c>
      <c r="J247" s="588">
        <v>5100</v>
      </c>
      <c r="K247" s="589">
        <v>5</v>
      </c>
      <c r="L247" s="590"/>
      <c r="M247" s="591"/>
      <c r="N247" s="592" t="str">
        <f t="shared" si="18"/>
        <v/>
      </c>
      <c r="O247" s="592" t="str">
        <f t="shared" si="16"/>
        <v/>
      </c>
      <c r="P247" s="593" t="s">
        <v>106</v>
      </c>
      <c r="Q247" s="593" t="s">
        <v>2450</v>
      </c>
      <c r="R247" s="593" t="s">
        <v>2452</v>
      </c>
      <c r="S247" s="589" t="s">
        <v>551</v>
      </c>
      <c r="T247" s="594" t="str">
        <f t="shared" si="17"/>
        <v/>
      </c>
      <c r="U247" s="607"/>
      <c r="V247" s="611"/>
      <c r="W247" s="785"/>
      <c r="X247" s="785"/>
      <c r="Y247" s="785"/>
      <c r="Z247" s="785"/>
      <c r="AA247" s="785"/>
      <c r="AB247" s="785"/>
    </row>
    <row r="248" spans="1:28" ht="15.8" customHeight="1">
      <c r="A248" s="587" t="s">
        <v>1464</v>
      </c>
      <c r="B248" s="587" t="s">
        <v>1465</v>
      </c>
      <c r="C248" s="587"/>
      <c r="D248" s="587" t="s">
        <v>103</v>
      </c>
      <c r="E248" s="587" t="s">
        <v>103</v>
      </c>
      <c r="F248" s="588">
        <v>1724.9999999999998</v>
      </c>
      <c r="G248" s="589"/>
      <c r="H248" s="589" t="s">
        <v>551</v>
      </c>
      <c r="I248" s="589">
        <v>3</v>
      </c>
      <c r="J248" s="588">
        <v>4800</v>
      </c>
      <c r="K248" s="589">
        <v>3</v>
      </c>
      <c r="L248" s="590"/>
      <c r="M248" s="591"/>
      <c r="N248" s="592" t="str">
        <f t="shared" si="18"/>
        <v/>
      </c>
      <c r="O248" s="592" t="str">
        <f t="shared" si="16"/>
        <v/>
      </c>
      <c r="P248" s="593" t="s">
        <v>107</v>
      </c>
      <c r="Q248" s="593" t="s">
        <v>2450</v>
      </c>
      <c r="R248" s="593" t="s">
        <v>2452</v>
      </c>
      <c r="S248" s="589" t="s">
        <v>551</v>
      </c>
      <c r="T248" s="594" t="str">
        <f t="shared" si="17"/>
        <v/>
      </c>
      <c r="U248" s="611"/>
      <c r="V248" s="611"/>
    </row>
    <row r="249" spans="1:28" ht="15.8" customHeight="1">
      <c r="A249" s="587" t="s">
        <v>1462</v>
      </c>
      <c r="B249" s="587" t="s">
        <v>1463</v>
      </c>
      <c r="C249" s="587"/>
      <c r="D249" s="587" t="s">
        <v>103</v>
      </c>
      <c r="E249" s="587" t="s">
        <v>103</v>
      </c>
      <c r="F249" s="588">
        <v>2530</v>
      </c>
      <c r="G249" s="589"/>
      <c r="H249" s="589" t="s">
        <v>551</v>
      </c>
      <c r="I249" s="589">
        <v>3</v>
      </c>
      <c r="J249" s="588">
        <v>4800</v>
      </c>
      <c r="K249" s="589">
        <v>3</v>
      </c>
      <c r="L249" s="590"/>
      <c r="M249" s="591"/>
      <c r="N249" s="592" t="str">
        <f t="shared" si="18"/>
        <v/>
      </c>
      <c r="O249" s="592" t="str">
        <f t="shared" si="16"/>
        <v/>
      </c>
      <c r="P249" s="593" t="s">
        <v>108</v>
      </c>
      <c r="Q249" s="593" t="s">
        <v>2450</v>
      </c>
      <c r="R249" s="593" t="s">
        <v>2452</v>
      </c>
      <c r="S249" s="589" t="s">
        <v>551</v>
      </c>
      <c r="T249" s="594" t="str">
        <f t="shared" si="17"/>
        <v/>
      </c>
      <c r="U249" s="611"/>
      <c r="V249" s="600"/>
    </row>
    <row r="250" spans="1:28" ht="15.8" customHeight="1">
      <c r="A250" s="620" t="s">
        <v>1721</v>
      </c>
      <c r="B250" s="620" t="s">
        <v>806</v>
      </c>
      <c r="C250" s="620"/>
      <c r="D250" s="620" t="s">
        <v>88</v>
      </c>
      <c r="E250" s="620" t="s">
        <v>2736</v>
      </c>
      <c r="F250" s="621">
        <v>9000</v>
      </c>
      <c r="G250" s="622"/>
      <c r="H250" s="622" t="s">
        <v>551</v>
      </c>
      <c r="I250" s="622">
        <v>17</v>
      </c>
      <c r="J250" s="597">
        <v>11300</v>
      </c>
      <c r="K250" s="622">
        <v>17</v>
      </c>
      <c r="L250" s="590"/>
      <c r="M250" s="591"/>
      <c r="N250" s="592" t="str">
        <f t="shared" si="18"/>
        <v/>
      </c>
      <c r="O250" s="592" t="str">
        <f t="shared" si="16"/>
        <v/>
      </c>
      <c r="P250" s="593" t="s">
        <v>2683</v>
      </c>
      <c r="Q250" s="593" t="s">
        <v>2450</v>
      </c>
      <c r="R250" s="593" t="s">
        <v>2452</v>
      </c>
      <c r="S250" s="622" t="s">
        <v>551</v>
      </c>
      <c r="T250" s="594" t="str">
        <f t="shared" si="17"/>
        <v/>
      </c>
      <c r="U250" s="611"/>
      <c r="V250" s="611"/>
    </row>
    <row r="251" spans="1:28" ht="15.8" customHeight="1">
      <c r="A251" s="1385" t="s">
        <v>6045</v>
      </c>
      <c r="B251" s="587" t="s">
        <v>6043</v>
      </c>
      <c r="C251" s="587"/>
      <c r="D251" s="587" t="s">
        <v>553</v>
      </c>
      <c r="E251" s="587"/>
      <c r="F251" s="588">
        <v>6500</v>
      </c>
      <c r="G251" s="589"/>
      <c r="H251" s="589" t="s">
        <v>476</v>
      </c>
      <c r="I251" s="589">
        <v>5</v>
      </c>
      <c r="J251" s="588">
        <v>8600</v>
      </c>
      <c r="K251" s="589">
        <v>5</v>
      </c>
      <c r="L251" s="590"/>
      <c r="M251" s="591"/>
      <c r="N251" s="592" t="str">
        <f t="shared" si="18"/>
        <v/>
      </c>
      <c r="O251" s="592" t="str">
        <f t="shared" si="16"/>
        <v/>
      </c>
      <c r="P251" s="593"/>
      <c r="Q251" s="593"/>
      <c r="R251" s="593" t="s">
        <v>6046</v>
      </c>
      <c r="S251" s="589" t="s">
        <v>476</v>
      </c>
      <c r="T251" s="594" t="str">
        <f t="shared" si="17"/>
        <v/>
      </c>
      <c r="U251" s="611"/>
      <c r="V251" s="607"/>
    </row>
    <row r="252" spans="1:28" ht="15.8" customHeight="1">
      <c r="A252" s="592" t="s">
        <v>1466</v>
      </c>
      <c r="B252" s="592" t="s">
        <v>623</v>
      </c>
      <c r="C252" s="592"/>
      <c r="D252" s="592" t="s">
        <v>103</v>
      </c>
      <c r="E252" s="592" t="s">
        <v>103</v>
      </c>
      <c r="F252" s="598">
        <v>5175</v>
      </c>
      <c r="G252" s="599" t="s">
        <v>1363</v>
      </c>
      <c r="H252" s="599" t="s">
        <v>551</v>
      </c>
      <c r="I252" s="599">
        <v>17</v>
      </c>
      <c r="J252" s="598">
        <v>6700</v>
      </c>
      <c r="K252" s="599">
        <v>17</v>
      </c>
      <c r="L252" s="590"/>
      <c r="M252" s="591"/>
      <c r="N252" s="592" t="str">
        <f t="shared" si="18"/>
        <v/>
      </c>
      <c r="O252" s="592" t="str">
        <f t="shared" si="16"/>
        <v/>
      </c>
      <c r="P252" s="593" t="s">
        <v>109</v>
      </c>
      <c r="Q252" s="593" t="s">
        <v>2450</v>
      </c>
      <c r="R252" s="593" t="s">
        <v>2452</v>
      </c>
      <c r="S252" s="599" t="s">
        <v>551</v>
      </c>
      <c r="T252" s="594" t="str">
        <f t="shared" si="17"/>
        <v/>
      </c>
      <c r="U252" s="600"/>
      <c r="V252" s="611"/>
    </row>
    <row r="253" spans="1:28" ht="15.8" customHeight="1">
      <c r="A253" s="634" t="s">
        <v>1454</v>
      </c>
      <c r="B253" s="634" t="s">
        <v>619</v>
      </c>
      <c r="C253" s="634"/>
      <c r="D253" s="634" t="s">
        <v>553</v>
      </c>
      <c r="E253" s="635" t="s">
        <v>2705</v>
      </c>
      <c r="F253" s="636">
        <v>70000</v>
      </c>
      <c r="G253" s="637"/>
      <c r="H253" s="637" t="s">
        <v>604</v>
      </c>
      <c r="I253" s="637">
        <v>12</v>
      </c>
      <c r="J253" s="636">
        <v>91000</v>
      </c>
      <c r="K253" s="637">
        <v>12</v>
      </c>
      <c r="L253" s="590"/>
      <c r="M253" s="591"/>
      <c r="N253" s="638" t="str">
        <f t="shared" si="18"/>
        <v/>
      </c>
      <c r="O253" s="638" t="str">
        <f t="shared" si="16"/>
        <v/>
      </c>
      <c r="P253" s="639" t="s">
        <v>2595</v>
      </c>
      <c r="Q253" s="639" t="s">
        <v>2465</v>
      </c>
      <c r="R253" s="639" t="s">
        <v>2482</v>
      </c>
      <c r="S253" s="637" t="s">
        <v>604</v>
      </c>
      <c r="T253" s="640" t="str">
        <f t="shared" si="17"/>
        <v/>
      </c>
      <c r="U253" s="611"/>
      <c r="V253" s="611" t="s">
        <v>5990</v>
      </c>
    </row>
    <row r="254" spans="1:28" ht="15.8" customHeight="1">
      <c r="A254" s="813" t="s">
        <v>1715</v>
      </c>
      <c r="B254" s="813" t="s">
        <v>803</v>
      </c>
      <c r="C254" s="813" t="s">
        <v>477</v>
      </c>
      <c r="D254" s="813" t="s">
        <v>550</v>
      </c>
      <c r="E254" s="813" t="s">
        <v>2420</v>
      </c>
      <c r="F254" s="820">
        <v>4900</v>
      </c>
      <c r="G254" s="821" t="s">
        <v>1363</v>
      </c>
      <c r="H254" s="821" t="s">
        <v>575</v>
      </c>
      <c r="I254" s="821">
        <v>3</v>
      </c>
      <c r="J254" s="822">
        <v>6200</v>
      </c>
      <c r="K254" s="821">
        <v>3</v>
      </c>
      <c r="L254" s="601"/>
      <c r="M254" s="602"/>
      <c r="N254" s="813" t="str">
        <f t="shared" si="18"/>
        <v/>
      </c>
      <c r="O254" s="813" t="str">
        <f t="shared" si="16"/>
        <v/>
      </c>
      <c r="P254" s="814" t="s">
        <v>803</v>
      </c>
      <c r="Q254" s="814" t="s">
        <v>897</v>
      </c>
      <c r="R254" s="814" t="s">
        <v>2546</v>
      </c>
      <c r="S254" s="821" t="s">
        <v>575</v>
      </c>
      <c r="T254" s="815" t="str">
        <f t="shared" si="17"/>
        <v/>
      </c>
      <c r="U254" s="611"/>
      <c r="V254" s="611"/>
    </row>
    <row r="255" spans="1:28" ht="15.8" customHeight="1">
      <c r="A255" s="587" t="s">
        <v>1515</v>
      </c>
      <c r="B255" s="587" t="s">
        <v>665</v>
      </c>
      <c r="C255" s="587"/>
      <c r="D255" s="587" t="s">
        <v>88</v>
      </c>
      <c r="E255" s="587" t="s">
        <v>2736</v>
      </c>
      <c r="F255" s="588">
        <v>8395</v>
      </c>
      <c r="G255" s="589"/>
      <c r="H255" s="589" t="s">
        <v>551</v>
      </c>
      <c r="I255" s="589" t="s">
        <v>664</v>
      </c>
      <c r="J255" s="588">
        <v>10950</v>
      </c>
      <c r="K255" s="589" t="s">
        <v>664</v>
      </c>
      <c r="L255" s="590"/>
      <c r="M255" s="591"/>
      <c r="N255" s="592" t="str">
        <f t="shared" si="18"/>
        <v/>
      </c>
      <c r="O255" s="592" t="str">
        <f t="shared" si="16"/>
        <v/>
      </c>
      <c r="P255" s="593" t="s">
        <v>665</v>
      </c>
      <c r="Q255" s="593" t="s">
        <v>2450</v>
      </c>
      <c r="R255" s="593" t="s">
        <v>2452</v>
      </c>
      <c r="S255" s="589" t="s">
        <v>551</v>
      </c>
      <c r="T255" s="594" t="str">
        <f t="shared" si="17"/>
        <v/>
      </c>
      <c r="U255" s="600"/>
      <c r="V255" s="611"/>
    </row>
    <row r="256" spans="1:28" s="618" customFormat="1" ht="15.8" customHeight="1">
      <c r="A256" s="673" t="s">
        <v>1494</v>
      </c>
      <c r="B256" s="673" t="s">
        <v>640</v>
      </c>
      <c r="C256" s="673"/>
      <c r="D256" s="673" t="s">
        <v>553</v>
      </c>
      <c r="E256" s="1299"/>
      <c r="F256" s="1297">
        <v>14000</v>
      </c>
      <c r="G256" s="1298"/>
      <c r="H256" s="1298" t="s">
        <v>604</v>
      </c>
      <c r="I256" s="1298">
        <v>12</v>
      </c>
      <c r="J256" s="1297">
        <v>18200</v>
      </c>
      <c r="K256" s="1298">
        <v>12</v>
      </c>
      <c r="L256" s="676"/>
      <c r="M256" s="670"/>
      <c r="N256" s="674" t="str">
        <f t="shared" si="18"/>
        <v/>
      </c>
      <c r="O256" s="674" t="str">
        <f t="shared" si="16"/>
        <v/>
      </c>
      <c r="P256" s="1299"/>
      <c r="Q256" s="1299"/>
      <c r="R256" s="1299"/>
      <c r="S256" s="1298" t="s">
        <v>604</v>
      </c>
      <c r="T256" s="675" t="str">
        <f t="shared" si="17"/>
        <v/>
      </c>
      <c r="U256" s="790"/>
      <c r="V256" s="790"/>
      <c r="W256" s="785"/>
      <c r="X256" s="785"/>
      <c r="Y256" s="785"/>
      <c r="Z256" s="785"/>
      <c r="AA256" s="785"/>
      <c r="AB256" s="785"/>
    </row>
    <row r="257" spans="1:28" s="618" customFormat="1" ht="15.8" customHeight="1">
      <c r="A257" s="587" t="s">
        <v>2347</v>
      </c>
      <c r="B257" s="587" t="s">
        <v>2348</v>
      </c>
      <c r="C257" s="587"/>
      <c r="D257" s="587" t="s">
        <v>699</v>
      </c>
      <c r="E257" s="587"/>
      <c r="F257" s="588">
        <v>9900</v>
      </c>
      <c r="G257" s="589"/>
      <c r="H257" s="589" t="s">
        <v>1447</v>
      </c>
      <c r="I257" s="589">
        <v>3</v>
      </c>
      <c r="J257" s="588">
        <v>13000</v>
      </c>
      <c r="K257" s="589">
        <v>3</v>
      </c>
      <c r="L257" s="590"/>
      <c r="M257" s="591"/>
      <c r="N257" s="592" t="str">
        <f t="shared" si="18"/>
        <v/>
      </c>
      <c r="O257" s="592" t="str">
        <f t="shared" si="16"/>
        <v/>
      </c>
      <c r="P257" s="593" t="s">
        <v>2606</v>
      </c>
      <c r="Q257" s="593" t="s">
        <v>2500</v>
      </c>
      <c r="R257" s="593" t="s">
        <v>2501</v>
      </c>
      <c r="S257" s="589" t="s">
        <v>1447</v>
      </c>
      <c r="T257" s="594" t="str">
        <f t="shared" si="17"/>
        <v/>
      </c>
      <c r="U257" s="626"/>
      <c r="V257" s="615"/>
      <c r="W257" s="785"/>
      <c r="X257" s="785"/>
      <c r="Y257" s="785"/>
      <c r="Z257" s="785"/>
      <c r="AA257" s="785"/>
      <c r="AB257" s="785"/>
    </row>
    <row r="258" spans="1:28" ht="15.8" customHeight="1">
      <c r="A258" s="620" t="s">
        <v>1770</v>
      </c>
      <c r="B258" s="620" t="s">
        <v>835</v>
      </c>
      <c r="C258" s="620"/>
      <c r="D258" s="620" t="s">
        <v>602</v>
      </c>
      <c r="E258" s="625" t="s">
        <v>2445</v>
      </c>
      <c r="F258" s="621">
        <v>2300</v>
      </c>
      <c r="G258" s="622"/>
      <c r="H258" s="622" t="s">
        <v>551</v>
      </c>
      <c r="I258" s="622">
        <v>5</v>
      </c>
      <c r="J258" s="621">
        <v>5800</v>
      </c>
      <c r="K258" s="622">
        <v>5</v>
      </c>
      <c r="L258" s="590"/>
      <c r="M258" s="591"/>
      <c r="N258" s="592" t="str">
        <f t="shared" si="18"/>
        <v/>
      </c>
      <c r="O258" s="592" t="str">
        <f t="shared" si="16"/>
        <v/>
      </c>
      <c r="P258" s="593" t="s">
        <v>835</v>
      </c>
      <c r="Q258" s="593" t="s">
        <v>2450</v>
      </c>
      <c r="R258" s="593" t="s">
        <v>2452</v>
      </c>
      <c r="S258" s="622" t="s">
        <v>551</v>
      </c>
      <c r="T258" s="594" t="str">
        <f t="shared" si="17"/>
        <v/>
      </c>
      <c r="U258" s="611"/>
      <c r="V258" s="611"/>
    </row>
    <row r="259" spans="1:28" ht="15.8" customHeight="1">
      <c r="A259" s="587" t="s">
        <v>1748</v>
      </c>
      <c r="B259" s="587" t="s">
        <v>823</v>
      </c>
      <c r="C259" s="587"/>
      <c r="D259" s="587" t="s">
        <v>607</v>
      </c>
      <c r="E259" s="587" t="s">
        <v>2741</v>
      </c>
      <c r="F259" s="588">
        <v>8049.9999999999991</v>
      </c>
      <c r="G259" s="589"/>
      <c r="H259" s="589" t="s">
        <v>608</v>
      </c>
      <c r="I259" s="589" t="s">
        <v>824</v>
      </c>
      <c r="J259" s="588">
        <v>10500</v>
      </c>
      <c r="K259" s="589" t="s">
        <v>824</v>
      </c>
      <c r="L259" s="590"/>
      <c r="M259" s="591"/>
      <c r="N259" s="592" t="str">
        <f t="shared" si="18"/>
        <v/>
      </c>
      <c r="O259" s="592" t="str">
        <f t="shared" si="16"/>
        <v/>
      </c>
      <c r="P259" s="593"/>
      <c r="Q259" s="593"/>
      <c r="R259" s="593"/>
      <c r="S259" s="589" t="s">
        <v>608</v>
      </c>
      <c r="T259" s="594" t="str">
        <f t="shared" si="17"/>
        <v/>
      </c>
      <c r="U259" s="600"/>
      <c r="V259" s="615"/>
    </row>
    <row r="260" spans="1:28" ht="15.8" customHeight="1">
      <c r="A260" s="592" t="s">
        <v>1835</v>
      </c>
      <c r="B260" s="592" t="s">
        <v>864</v>
      </c>
      <c r="C260" s="592"/>
      <c r="D260" s="592" t="s">
        <v>550</v>
      </c>
      <c r="E260" s="592" t="s">
        <v>2439</v>
      </c>
      <c r="F260" s="598">
        <v>8049.9999999999991</v>
      </c>
      <c r="G260" s="599" t="s">
        <v>1363</v>
      </c>
      <c r="H260" s="599" t="s">
        <v>527</v>
      </c>
      <c r="I260" s="599">
        <v>19</v>
      </c>
      <c r="J260" s="598">
        <v>10600</v>
      </c>
      <c r="K260" s="599">
        <v>19</v>
      </c>
      <c r="L260" s="590"/>
      <c r="M260" s="591"/>
      <c r="N260" s="592" t="str">
        <f t="shared" si="18"/>
        <v/>
      </c>
      <c r="O260" s="592" t="str">
        <f t="shared" si="16"/>
        <v/>
      </c>
      <c r="P260" s="593" t="s">
        <v>362</v>
      </c>
      <c r="Q260" s="593" t="s">
        <v>2570</v>
      </c>
      <c r="R260" s="593" t="s">
        <v>2571</v>
      </c>
      <c r="S260" s="599" t="s">
        <v>527</v>
      </c>
      <c r="T260" s="594" t="str">
        <f t="shared" si="17"/>
        <v/>
      </c>
      <c r="U260" s="600"/>
      <c r="V260" s="600"/>
    </row>
    <row r="261" spans="1:28" ht="15.8" customHeight="1">
      <c r="A261" s="592" t="s">
        <v>1588</v>
      </c>
      <c r="B261" s="592" t="s">
        <v>5971</v>
      </c>
      <c r="C261" s="592"/>
      <c r="D261" s="592" t="s">
        <v>553</v>
      </c>
      <c r="E261" s="592" t="s">
        <v>2705</v>
      </c>
      <c r="F261" s="598">
        <v>8049.9999999999991</v>
      </c>
      <c r="G261" s="599" t="s">
        <v>1363</v>
      </c>
      <c r="H261" s="599" t="s">
        <v>1447</v>
      </c>
      <c r="I261" s="599">
        <v>1</v>
      </c>
      <c r="J261" s="598">
        <v>14000</v>
      </c>
      <c r="K261" s="599">
        <v>1</v>
      </c>
      <c r="L261" s="601"/>
      <c r="M261" s="602"/>
      <c r="N261" s="592" t="str">
        <f t="shared" si="18"/>
        <v/>
      </c>
      <c r="O261" s="592" t="str">
        <f t="shared" ref="O261:O324" si="19">IF(OR(L261="x", M261="x"), A261 &amp; "     /     ", "")</f>
        <v/>
      </c>
      <c r="P261" s="593" t="s">
        <v>2625</v>
      </c>
      <c r="Q261" s="593" t="s">
        <v>2500</v>
      </c>
      <c r="R261" s="593" t="s">
        <v>2517</v>
      </c>
      <c r="S261" s="599" t="s">
        <v>1447</v>
      </c>
      <c r="T261" s="594" t="str">
        <f t="shared" si="17"/>
        <v/>
      </c>
      <c r="U261" s="600"/>
      <c r="V261" s="611"/>
    </row>
    <row r="262" spans="1:28" ht="15.8" customHeight="1">
      <c r="A262" s="620" t="s">
        <v>1785</v>
      </c>
      <c r="B262" s="620" t="s">
        <v>1786</v>
      </c>
      <c r="C262" s="620"/>
      <c r="D262" s="620" t="s">
        <v>88</v>
      </c>
      <c r="E262" s="620" t="s">
        <v>2737</v>
      </c>
      <c r="F262" s="621">
        <v>28900</v>
      </c>
      <c r="G262" s="622"/>
      <c r="H262" s="622" t="s">
        <v>627</v>
      </c>
      <c r="I262" s="622">
        <v>5</v>
      </c>
      <c r="J262" s="621">
        <v>37570</v>
      </c>
      <c r="K262" s="622">
        <v>5</v>
      </c>
      <c r="L262" s="590"/>
      <c r="M262" s="591"/>
      <c r="N262" s="592" t="str">
        <f t="shared" si="18"/>
        <v/>
      </c>
      <c r="O262" s="592" t="str">
        <f t="shared" si="19"/>
        <v/>
      </c>
      <c r="P262" s="593" t="s">
        <v>230</v>
      </c>
      <c r="Q262" s="593" t="s">
        <v>2474</v>
      </c>
      <c r="R262" s="593" t="s">
        <v>2484</v>
      </c>
      <c r="S262" s="622" t="s">
        <v>627</v>
      </c>
      <c r="T262" s="594" t="str">
        <f t="shared" si="17"/>
        <v/>
      </c>
      <c r="U262" s="600"/>
      <c r="V262" s="611"/>
    </row>
    <row r="263" spans="1:28" ht="15.8" customHeight="1">
      <c r="A263" s="1071" t="s">
        <v>5750</v>
      </c>
      <c r="B263" s="641" t="s">
        <v>5751</v>
      </c>
      <c r="C263" s="1071"/>
      <c r="D263" s="1071" t="s">
        <v>88</v>
      </c>
      <c r="E263" s="1071" t="s">
        <v>88</v>
      </c>
      <c r="F263" s="588">
        <v>4000</v>
      </c>
      <c r="G263" s="595"/>
      <c r="H263" s="768" t="s">
        <v>551</v>
      </c>
      <c r="I263" s="768">
        <v>5</v>
      </c>
      <c r="J263" s="588">
        <v>5200</v>
      </c>
      <c r="K263" s="1150"/>
      <c r="L263" s="655"/>
      <c r="M263" s="656"/>
      <c r="N263" s="592" t="str">
        <f t="shared" si="18"/>
        <v/>
      </c>
      <c r="O263" s="592" t="str">
        <f t="shared" si="19"/>
        <v/>
      </c>
      <c r="P263" s="593"/>
      <c r="Q263" s="593" t="s">
        <v>2450</v>
      </c>
      <c r="R263" s="1121" t="s">
        <v>2452</v>
      </c>
      <c r="S263" s="1150"/>
      <c r="T263" s="594" t="str">
        <f t="shared" si="17"/>
        <v/>
      </c>
      <c r="U263" s="600"/>
      <c r="V263" s="600"/>
    </row>
    <row r="264" spans="1:28" s="618" customFormat="1" ht="15.8" customHeight="1">
      <c r="A264" s="587" t="s">
        <v>576</v>
      </c>
      <c r="B264" s="587" t="s">
        <v>1389</v>
      </c>
      <c r="C264" s="587"/>
      <c r="D264" s="587" t="s">
        <v>103</v>
      </c>
      <c r="E264" s="587" t="s">
        <v>103</v>
      </c>
      <c r="F264" s="588">
        <v>1954.9999999999998</v>
      </c>
      <c r="G264" s="589"/>
      <c r="H264" s="589" t="s">
        <v>551</v>
      </c>
      <c r="I264" s="589">
        <v>1</v>
      </c>
      <c r="J264" s="588">
        <v>2900</v>
      </c>
      <c r="K264" s="589">
        <v>1</v>
      </c>
      <c r="L264" s="590"/>
      <c r="M264" s="591"/>
      <c r="N264" s="592" t="str">
        <f t="shared" si="18"/>
        <v/>
      </c>
      <c r="O264" s="592" t="str">
        <f t="shared" si="19"/>
        <v/>
      </c>
      <c r="P264" s="593" t="s">
        <v>2581</v>
      </c>
      <c r="Q264" s="593" t="s">
        <v>2450</v>
      </c>
      <c r="R264" s="593" t="s">
        <v>2452</v>
      </c>
      <c r="S264" s="589" t="s">
        <v>551</v>
      </c>
      <c r="T264" s="594" t="str">
        <f t="shared" si="17"/>
        <v/>
      </c>
      <c r="U264" s="626"/>
      <c r="V264" s="611"/>
      <c r="W264" s="785"/>
      <c r="X264" s="785"/>
      <c r="Y264" s="785"/>
      <c r="Z264" s="785"/>
      <c r="AA264" s="785"/>
      <c r="AB264" s="785"/>
    </row>
    <row r="265" spans="1:28" ht="15.8" customHeight="1">
      <c r="A265" s="587" t="s">
        <v>1506</v>
      </c>
      <c r="B265" s="587" t="s">
        <v>654</v>
      </c>
      <c r="C265" s="587"/>
      <c r="D265" s="587" t="s">
        <v>567</v>
      </c>
      <c r="E265" s="587" t="s">
        <v>2734</v>
      </c>
      <c r="F265" s="588">
        <v>10000</v>
      </c>
      <c r="G265" s="589"/>
      <c r="H265" s="589" t="s">
        <v>5930</v>
      </c>
      <c r="I265" s="589">
        <v>17</v>
      </c>
      <c r="J265" s="597">
        <v>15800</v>
      </c>
      <c r="K265" s="589">
        <v>17</v>
      </c>
      <c r="L265" s="590"/>
      <c r="M265" s="591"/>
      <c r="N265" s="592" t="str">
        <f t="shared" si="18"/>
        <v/>
      </c>
      <c r="O265" s="592" t="str">
        <f t="shared" si="19"/>
        <v/>
      </c>
      <c r="P265" s="593" t="s">
        <v>654</v>
      </c>
      <c r="Q265" s="593" t="s">
        <v>2450</v>
      </c>
      <c r="R265" s="593" t="s">
        <v>2452</v>
      </c>
      <c r="S265" s="589" t="s">
        <v>5930</v>
      </c>
      <c r="T265" s="594" t="str">
        <f t="shared" si="17"/>
        <v/>
      </c>
      <c r="U265" s="611"/>
      <c r="V265" s="611"/>
    </row>
    <row r="266" spans="1:28" ht="15.8" customHeight="1">
      <c r="A266" s="810" t="s">
        <v>792</v>
      </c>
      <c r="B266" s="810" t="s">
        <v>1703</v>
      </c>
      <c r="C266" s="810" t="s">
        <v>477</v>
      </c>
      <c r="D266" s="810" t="s">
        <v>103</v>
      </c>
      <c r="E266" s="810" t="s">
        <v>103</v>
      </c>
      <c r="F266" s="811">
        <v>8000</v>
      </c>
      <c r="G266" s="812"/>
      <c r="H266" s="880" t="s">
        <v>5814</v>
      </c>
      <c r="I266" s="812">
        <v>7</v>
      </c>
      <c r="J266" s="811">
        <v>8900</v>
      </c>
      <c r="K266" s="812">
        <v>7</v>
      </c>
      <c r="L266" s="601"/>
      <c r="M266" s="602"/>
      <c r="N266" s="813" t="str">
        <f t="shared" si="18"/>
        <v/>
      </c>
      <c r="O266" s="813" t="str">
        <f t="shared" si="19"/>
        <v/>
      </c>
      <c r="P266" s="814" t="s">
        <v>1703</v>
      </c>
      <c r="Q266" s="814" t="s">
        <v>2450</v>
      </c>
      <c r="R266" s="814" t="s">
        <v>2478</v>
      </c>
      <c r="S266" s="880" t="s">
        <v>5814</v>
      </c>
      <c r="T266" s="815" t="str">
        <f t="shared" si="17"/>
        <v/>
      </c>
      <c r="U266" s="600"/>
      <c r="V266" s="614"/>
    </row>
    <row r="267" spans="1:28" ht="15.8" customHeight="1">
      <c r="A267" s="813" t="s">
        <v>1418</v>
      </c>
      <c r="B267" s="813" t="s">
        <v>597</v>
      </c>
      <c r="C267" s="813" t="s">
        <v>477</v>
      </c>
      <c r="D267" s="813" t="s">
        <v>593</v>
      </c>
      <c r="E267" s="813" t="s">
        <v>593</v>
      </c>
      <c r="F267" s="820">
        <v>4000</v>
      </c>
      <c r="G267" s="821" t="s">
        <v>1363</v>
      </c>
      <c r="H267" s="821" t="s">
        <v>595</v>
      </c>
      <c r="I267" s="821">
        <v>7</v>
      </c>
      <c r="J267" s="820">
        <v>5200</v>
      </c>
      <c r="K267" s="821">
        <v>7</v>
      </c>
      <c r="L267" s="590"/>
      <c r="M267" s="591"/>
      <c r="N267" s="813" t="str">
        <f t="shared" si="18"/>
        <v/>
      </c>
      <c r="O267" s="813" t="str">
        <f t="shared" si="19"/>
        <v/>
      </c>
      <c r="P267" s="1411"/>
      <c r="Q267" s="1411" t="s">
        <v>5826</v>
      </c>
      <c r="R267" s="1267" t="s">
        <v>2463</v>
      </c>
      <c r="S267" s="821" t="s">
        <v>595</v>
      </c>
      <c r="T267" s="815" t="str">
        <f t="shared" si="17"/>
        <v/>
      </c>
      <c r="U267" s="615"/>
      <c r="V267" s="600"/>
    </row>
    <row r="268" spans="1:28" ht="15.8" customHeight="1">
      <c r="A268" s="592" t="s">
        <v>1519</v>
      </c>
      <c r="B268" s="592" t="s">
        <v>1520</v>
      </c>
      <c r="C268" s="592"/>
      <c r="D268" s="592" t="s">
        <v>567</v>
      </c>
      <c r="E268" s="587" t="s">
        <v>2734</v>
      </c>
      <c r="F268" s="598">
        <v>39900</v>
      </c>
      <c r="G268" s="599" t="s">
        <v>1363</v>
      </c>
      <c r="H268" s="599" t="s">
        <v>5930</v>
      </c>
      <c r="I268" s="599">
        <v>5</v>
      </c>
      <c r="J268" s="598">
        <v>48900</v>
      </c>
      <c r="K268" s="599">
        <v>5</v>
      </c>
      <c r="L268" s="601"/>
      <c r="M268" s="602"/>
      <c r="N268" s="592" t="str">
        <f t="shared" si="18"/>
        <v/>
      </c>
      <c r="O268" s="592" t="str">
        <f t="shared" si="19"/>
        <v/>
      </c>
      <c r="P268" s="767"/>
      <c r="Q268" s="767" t="s">
        <v>2450</v>
      </c>
      <c r="R268" s="1121" t="s">
        <v>2452</v>
      </c>
      <c r="S268" s="599" t="s">
        <v>5930</v>
      </c>
      <c r="T268" s="594" t="str">
        <f t="shared" si="17"/>
        <v/>
      </c>
      <c r="U268" s="611"/>
      <c r="V268" s="611"/>
    </row>
    <row r="269" spans="1:28" ht="15.8" customHeight="1">
      <c r="A269" s="587" t="s">
        <v>1456</v>
      </c>
      <c r="B269" s="587" t="s">
        <v>621</v>
      </c>
      <c r="C269" s="587" t="s">
        <v>477</v>
      </c>
      <c r="D269" s="587" t="s">
        <v>559</v>
      </c>
      <c r="E269" s="587" t="s">
        <v>559</v>
      </c>
      <c r="F269" s="588">
        <v>4500</v>
      </c>
      <c r="G269" s="589"/>
      <c r="H269" s="589" t="s">
        <v>551</v>
      </c>
      <c r="I269" s="589">
        <v>5</v>
      </c>
      <c r="J269" s="588">
        <v>5850</v>
      </c>
      <c r="K269" s="589">
        <v>5</v>
      </c>
      <c r="L269" s="590"/>
      <c r="M269" s="591"/>
      <c r="N269" s="592" t="str">
        <f t="shared" si="18"/>
        <v/>
      </c>
      <c r="O269" s="592" t="str">
        <f t="shared" si="19"/>
        <v/>
      </c>
      <c r="P269" s="593" t="s">
        <v>621</v>
      </c>
      <c r="Q269" s="593" t="s">
        <v>2450</v>
      </c>
      <c r="R269" s="593" t="s">
        <v>6021</v>
      </c>
      <c r="S269" s="589" t="s">
        <v>551</v>
      </c>
      <c r="T269" s="594" t="str">
        <f t="shared" si="17"/>
        <v/>
      </c>
      <c r="U269" s="611"/>
      <c r="V269" s="614"/>
    </row>
    <row r="270" spans="1:28" ht="15.8" customHeight="1">
      <c r="A270" s="587" t="s">
        <v>1726</v>
      </c>
      <c r="B270" s="587" t="s">
        <v>66</v>
      </c>
      <c r="C270" s="587"/>
      <c r="D270" s="587" t="s">
        <v>559</v>
      </c>
      <c r="E270" s="587" t="s">
        <v>559</v>
      </c>
      <c r="F270" s="588">
        <v>1609.9999999999998</v>
      </c>
      <c r="G270" s="589"/>
      <c r="H270" s="589" t="s">
        <v>551</v>
      </c>
      <c r="I270" s="589">
        <v>1</v>
      </c>
      <c r="J270" s="597">
        <v>2900</v>
      </c>
      <c r="K270" s="624">
        <v>1</v>
      </c>
      <c r="L270" s="590"/>
      <c r="M270" s="591"/>
      <c r="N270" s="592" t="str">
        <f t="shared" si="18"/>
        <v/>
      </c>
      <c r="O270" s="592" t="str">
        <f t="shared" si="19"/>
        <v/>
      </c>
      <c r="P270" s="593" t="s">
        <v>66</v>
      </c>
      <c r="Q270" s="593" t="s">
        <v>2450</v>
      </c>
      <c r="R270" s="593" t="s">
        <v>2452</v>
      </c>
      <c r="S270" s="589" t="s">
        <v>551</v>
      </c>
      <c r="T270" s="594" t="str">
        <f t="shared" si="17"/>
        <v/>
      </c>
      <c r="U270" s="611"/>
      <c r="V270" s="600"/>
    </row>
    <row r="271" spans="1:28" ht="15.8" customHeight="1">
      <c r="A271" s="620" t="s">
        <v>1783</v>
      </c>
      <c r="B271" s="620" t="s">
        <v>1784</v>
      </c>
      <c r="C271" s="620"/>
      <c r="D271" s="620" t="s">
        <v>559</v>
      </c>
      <c r="E271" s="620" t="s">
        <v>559</v>
      </c>
      <c r="F271" s="621">
        <v>1724.9999999999998</v>
      </c>
      <c r="G271" s="622"/>
      <c r="H271" s="622" t="s">
        <v>551</v>
      </c>
      <c r="I271" s="622">
        <v>1</v>
      </c>
      <c r="J271" s="621">
        <v>2300</v>
      </c>
      <c r="K271" s="622">
        <v>1</v>
      </c>
      <c r="L271" s="590"/>
      <c r="M271" s="591"/>
      <c r="N271" s="592" t="str">
        <f t="shared" si="18"/>
        <v/>
      </c>
      <c r="O271" s="592" t="str">
        <f t="shared" si="19"/>
        <v/>
      </c>
      <c r="P271" s="593" t="s">
        <v>1784</v>
      </c>
      <c r="Q271" s="593" t="s">
        <v>2450</v>
      </c>
      <c r="R271" s="593" t="s">
        <v>2452</v>
      </c>
      <c r="S271" s="622" t="s">
        <v>551</v>
      </c>
      <c r="T271" s="594" t="str">
        <f t="shared" si="17"/>
        <v/>
      </c>
      <c r="U271" s="615"/>
      <c r="V271" s="600"/>
    </row>
    <row r="272" spans="1:28" ht="15.8" customHeight="1">
      <c r="A272" s="587" t="s">
        <v>1800</v>
      </c>
      <c r="B272" s="587" t="s">
        <v>1801</v>
      </c>
      <c r="C272" s="587"/>
      <c r="D272" s="587" t="s">
        <v>559</v>
      </c>
      <c r="E272" s="587" t="s">
        <v>559</v>
      </c>
      <c r="F272" s="588">
        <v>6324.9999999999991</v>
      </c>
      <c r="G272" s="589"/>
      <c r="H272" s="589" t="s">
        <v>551</v>
      </c>
      <c r="I272" s="589">
        <v>1</v>
      </c>
      <c r="J272" s="588">
        <v>7700</v>
      </c>
      <c r="K272" s="589">
        <v>1</v>
      </c>
      <c r="L272" s="590"/>
      <c r="M272" s="591"/>
      <c r="N272" s="592" t="str">
        <f t="shared" si="18"/>
        <v/>
      </c>
      <c r="O272" s="592" t="str">
        <f t="shared" si="19"/>
        <v/>
      </c>
      <c r="P272" s="593" t="s">
        <v>1801</v>
      </c>
      <c r="Q272" s="593" t="s">
        <v>2450</v>
      </c>
      <c r="R272" s="593" t="s">
        <v>2452</v>
      </c>
      <c r="S272" s="589" t="s">
        <v>551</v>
      </c>
      <c r="T272" s="594" t="str">
        <f t="shared" si="17"/>
        <v/>
      </c>
      <c r="U272" s="600"/>
      <c r="V272" s="611"/>
    </row>
    <row r="273" spans="1:28" ht="15.8" customHeight="1">
      <c r="A273" s="592" t="s">
        <v>1510</v>
      </c>
      <c r="B273" s="592" t="s">
        <v>657</v>
      </c>
      <c r="C273" s="592"/>
      <c r="D273" s="592" t="s">
        <v>559</v>
      </c>
      <c r="E273" s="592" t="s">
        <v>559</v>
      </c>
      <c r="F273" s="598">
        <v>18400</v>
      </c>
      <c r="G273" s="599" t="s">
        <v>1363</v>
      </c>
      <c r="H273" s="599" t="s">
        <v>551</v>
      </c>
      <c r="I273" s="599">
        <v>17</v>
      </c>
      <c r="J273" s="598">
        <v>22000</v>
      </c>
      <c r="K273" s="599">
        <v>17</v>
      </c>
      <c r="L273" s="601"/>
      <c r="M273" s="602"/>
      <c r="N273" s="592" t="str">
        <f t="shared" si="18"/>
        <v/>
      </c>
      <c r="O273" s="592" t="str">
        <f t="shared" si="19"/>
        <v/>
      </c>
      <c r="P273" s="593" t="s">
        <v>657</v>
      </c>
      <c r="Q273" s="593" t="s">
        <v>2450</v>
      </c>
      <c r="R273" s="593" t="s">
        <v>2499</v>
      </c>
      <c r="S273" s="599" t="s">
        <v>551</v>
      </c>
      <c r="T273" s="594" t="str">
        <f t="shared" si="17"/>
        <v/>
      </c>
      <c r="U273" s="611"/>
      <c r="V273" s="611"/>
    </row>
    <row r="274" spans="1:28" ht="15.8" customHeight="1">
      <c r="A274" s="625" t="s">
        <v>1507</v>
      </c>
      <c r="B274" s="625" t="s">
        <v>1508</v>
      </c>
      <c r="C274" s="625"/>
      <c r="D274" s="625" t="s">
        <v>559</v>
      </c>
      <c r="E274" s="625" t="s">
        <v>559</v>
      </c>
      <c r="F274" s="588">
        <v>1380</v>
      </c>
      <c r="G274" s="594"/>
      <c r="H274" s="594" t="s">
        <v>551</v>
      </c>
      <c r="I274" s="594">
        <v>1</v>
      </c>
      <c r="J274" s="588">
        <v>4500</v>
      </c>
      <c r="K274" s="594">
        <v>1</v>
      </c>
      <c r="L274" s="590"/>
      <c r="M274" s="591"/>
      <c r="N274" s="592" t="str">
        <f t="shared" si="18"/>
        <v/>
      </c>
      <c r="O274" s="592" t="str">
        <f t="shared" si="19"/>
        <v/>
      </c>
      <c r="P274" s="593" t="s">
        <v>1508</v>
      </c>
      <c r="Q274" s="593" t="s">
        <v>2450</v>
      </c>
      <c r="R274" s="593" t="s">
        <v>2452</v>
      </c>
      <c r="S274" s="594" t="s">
        <v>551</v>
      </c>
      <c r="T274" s="594" t="str">
        <f t="shared" si="17"/>
        <v/>
      </c>
      <c r="U274" s="611"/>
      <c r="V274" s="614"/>
    </row>
    <row r="275" spans="1:28" ht="15.8" customHeight="1">
      <c r="A275" s="587" t="s">
        <v>71</v>
      </c>
      <c r="B275" s="587" t="s">
        <v>71</v>
      </c>
      <c r="C275" s="587" t="s">
        <v>2377</v>
      </c>
      <c r="D275" s="587" t="s">
        <v>559</v>
      </c>
      <c r="E275" s="587" t="s">
        <v>559</v>
      </c>
      <c r="F275" s="588">
        <v>2185</v>
      </c>
      <c r="G275" s="589"/>
      <c r="H275" s="589" t="s">
        <v>551</v>
      </c>
      <c r="I275" s="589">
        <v>1</v>
      </c>
      <c r="J275" s="597">
        <v>4900</v>
      </c>
      <c r="K275" s="589">
        <v>1</v>
      </c>
      <c r="L275" s="590"/>
      <c r="M275" s="591"/>
      <c r="N275" s="592" t="str">
        <f t="shared" si="18"/>
        <v/>
      </c>
      <c r="O275" s="592" t="str">
        <f t="shared" si="19"/>
        <v/>
      </c>
      <c r="P275" s="593" t="s">
        <v>71</v>
      </c>
      <c r="Q275" s="593" t="s">
        <v>2450</v>
      </c>
      <c r="R275" s="593" t="s">
        <v>2452</v>
      </c>
      <c r="S275" s="589" t="s">
        <v>551</v>
      </c>
      <c r="T275" s="594" t="str">
        <f t="shared" si="17"/>
        <v/>
      </c>
      <c r="U275" s="611"/>
      <c r="V275" s="615"/>
    </row>
    <row r="276" spans="1:28" ht="15.8" customHeight="1">
      <c r="A276" s="587" t="s">
        <v>1521</v>
      </c>
      <c r="B276" s="587" t="s">
        <v>667</v>
      </c>
      <c r="C276" s="587"/>
      <c r="D276" s="587" t="s">
        <v>88</v>
      </c>
      <c r="E276" s="587" t="s">
        <v>88</v>
      </c>
      <c r="F276" s="588">
        <v>2530</v>
      </c>
      <c r="G276" s="589"/>
      <c r="H276" s="589" t="s">
        <v>551</v>
      </c>
      <c r="I276" s="589">
        <v>5</v>
      </c>
      <c r="J276" s="588">
        <v>3500</v>
      </c>
      <c r="K276" s="589">
        <v>5</v>
      </c>
      <c r="L276" s="590"/>
      <c r="M276" s="591"/>
      <c r="N276" s="592" t="str">
        <f t="shared" si="18"/>
        <v/>
      </c>
      <c r="O276" s="592" t="str">
        <f t="shared" si="19"/>
        <v/>
      </c>
      <c r="P276" s="593" t="s">
        <v>667</v>
      </c>
      <c r="Q276" s="593" t="s">
        <v>2450</v>
      </c>
      <c r="R276" s="593" t="s">
        <v>2461</v>
      </c>
      <c r="S276" s="589" t="s">
        <v>551</v>
      </c>
      <c r="T276" s="594" t="str">
        <f t="shared" si="17"/>
        <v/>
      </c>
      <c r="U276" s="611"/>
      <c r="V276" s="611"/>
    </row>
    <row r="277" spans="1:28" ht="15.8" customHeight="1">
      <c r="A277" s="587" t="s">
        <v>1421</v>
      </c>
      <c r="B277" s="587" t="s">
        <v>187</v>
      </c>
      <c r="C277" s="587"/>
      <c r="D277" s="587" t="s">
        <v>550</v>
      </c>
      <c r="E277" s="587" t="s">
        <v>2438</v>
      </c>
      <c r="F277" s="588">
        <v>5979.9999999999991</v>
      </c>
      <c r="G277" s="589"/>
      <c r="H277" s="589" t="s">
        <v>551</v>
      </c>
      <c r="I277" s="589">
        <v>15</v>
      </c>
      <c r="J277" s="588">
        <v>7800</v>
      </c>
      <c r="K277" s="589">
        <v>15</v>
      </c>
      <c r="L277" s="590"/>
      <c r="M277" s="591"/>
      <c r="N277" s="592" t="str">
        <f t="shared" si="18"/>
        <v/>
      </c>
      <c r="O277" s="592" t="str">
        <f t="shared" si="19"/>
        <v/>
      </c>
      <c r="P277" s="593" t="s">
        <v>187</v>
      </c>
      <c r="Q277" s="593" t="s">
        <v>2450</v>
      </c>
      <c r="R277" s="593" t="s">
        <v>2467</v>
      </c>
      <c r="S277" s="589" t="s">
        <v>551</v>
      </c>
      <c r="T277" s="594" t="str">
        <f t="shared" si="17"/>
        <v/>
      </c>
      <c r="U277" s="611"/>
      <c r="V277" s="611"/>
    </row>
    <row r="278" spans="1:28" ht="15.8" customHeight="1">
      <c r="A278" s="881" t="s">
        <v>1636</v>
      </c>
      <c r="B278" s="881" t="s">
        <v>198</v>
      </c>
      <c r="C278" s="881" t="s">
        <v>477</v>
      </c>
      <c r="D278" s="881" t="s">
        <v>550</v>
      </c>
      <c r="E278" s="881" t="s">
        <v>2438</v>
      </c>
      <c r="F278" s="820">
        <v>6000</v>
      </c>
      <c r="G278" s="882" t="s">
        <v>1363</v>
      </c>
      <c r="H278" s="880" t="s">
        <v>5814</v>
      </c>
      <c r="I278" s="882">
        <v>15</v>
      </c>
      <c r="J278" s="822">
        <v>7700</v>
      </c>
      <c r="K278" s="882">
        <v>15</v>
      </c>
      <c r="L278" s="590"/>
      <c r="M278" s="591"/>
      <c r="N278" s="813" t="str">
        <f t="shared" si="18"/>
        <v/>
      </c>
      <c r="O278" s="813" t="str">
        <f t="shared" si="19"/>
        <v/>
      </c>
      <c r="P278" s="814" t="s">
        <v>198</v>
      </c>
      <c r="Q278" s="814" t="s">
        <v>2450</v>
      </c>
      <c r="R278" s="814" t="s">
        <v>2483</v>
      </c>
      <c r="S278" s="880" t="s">
        <v>5814</v>
      </c>
      <c r="T278" s="815" t="str">
        <f t="shared" si="17"/>
        <v/>
      </c>
      <c r="U278" s="611"/>
      <c r="V278" s="611"/>
    </row>
    <row r="279" spans="1:28" ht="15.8" customHeight="1">
      <c r="A279" s="625" t="s">
        <v>1583</v>
      </c>
      <c r="B279" s="625" t="s">
        <v>92</v>
      </c>
      <c r="C279" s="625"/>
      <c r="D279" s="625" t="s">
        <v>88</v>
      </c>
      <c r="E279" s="587" t="s">
        <v>2735</v>
      </c>
      <c r="F279" s="588">
        <v>1265</v>
      </c>
      <c r="G279" s="594"/>
      <c r="H279" s="594" t="s">
        <v>551</v>
      </c>
      <c r="I279" s="594">
        <v>3</v>
      </c>
      <c r="J279" s="588">
        <v>1700</v>
      </c>
      <c r="K279" s="594">
        <v>3</v>
      </c>
      <c r="L279" s="590"/>
      <c r="M279" s="591"/>
      <c r="N279" s="592" t="str">
        <f t="shared" si="18"/>
        <v/>
      </c>
      <c r="O279" s="592" t="str">
        <f t="shared" si="19"/>
        <v/>
      </c>
      <c r="P279" s="593" t="s">
        <v>92</v>
      </c>
      <c r="Q279" s="593" t="s">
        <v>2450</v>
      </c>
      <c r="R279" s="593" t="s">
        <v>2452</v>
      </c>
      <c r="S279" s="594" t="s">
        <v>551</v>
      </c>
      <c r="T279" s="594" t="str">
        <f t="shared" si="17"/>
        <v/>
      </c>
      <c r="U279" s="611"/>
      <c r="V279" s="611"/>
    </row>
    <row r="280" spans="1:28" ht="15.8" customHeight="1">
      <c r="A280" s="587" t="s">
        <v>1581</v>
      </c>
      <c r="B280" s="587" t="s">
        <v>90</v>
      </c>
      <c r="C280" s="587"/>
      <c r="D280" s="587" t="s">
        <v>88</v>
      </c>
      <c r="E280" s="587" t="s">
        <v>2735</v>
      </c>
      <c r="F280" s="588">
        <v>1265</v>
      </c>
      <c r="G280" s="589"/>
      <c r="H280" s="589" t="s">
        <v>551</v>
      </c>
      <c r="I280" s="589">
        <v>3</v>
      </c>
      <c r="J280" s="588">
        <v>1700</v>
      </c>
      <c r="K280" s="589">
        <v>3</v>
      </c>
      <c r="L280" s="590"/>
      <c r="M280" s="591"/>
      <c r="N280" s="592" t="str">
        <f t="shared" si="18"/>
        <v/>
      </c>
      <c r="O280" s="592" t="str">
        <f t="shared" si="19"/>
        <v/>
      </c>
      <c r="P280" s="593" t="s">
        <v>90</v>
      </c>
      <c r="Q280" s="593" t="s">
        <v>2450</v>
      </c>
      <c r="R280" s="593" t="s">
        <v>2452</v>
      </c>
      <c r="S280" s="589" t="s">
        <v>551</v>
      </c>
      <c r="T280" s="594" t="str">
        <f t="shared" si="17"/>
        <v/>
      </c>
      <c r="U280" s="611"/>
      <c r="V280" s="611"/>
    </row>
    <row r="281" spans="1:28" s="618" customFormat="1" ht="15.8" customHeight="1">
      <c r="A281" s="587" t="s">
        <v>1769</v>
      </c>
      <c r="B281" s="587" t="s">
        <v>203</v>
      </c>
      <c r="C281" s="587"/>
      <c r="D281" s="587" t="s">
        <v>562</v>
      </c>
      <c r="E281" s="587" t="s">
        <v>562</v>
      </c>
      <c r="F281" s="588">
        <v>8200</v>
      </c>
      <c r="G281" s="589"/>
      <c r="H281" s="589" t="s">
        <v>551</v>
      </c>
      <c r="I281" s="589">
        <v>14</v>
      </c>
      <c r="J281" s="597">
        <v>9500</v>
      </c>
      <c r="K281" s="589">
        <v>14</v>
      </c>
      <c r="L281" s="590"/>
      <c r="M281" s="591"/>
      <c r="N281" s="592" t="str">
        <f t="shared" si="18"/>
        <v/>
      </c>
      <c r="O281" s="592" t="str">
        <f t="shared" si="19"/>
        <v/>
      </c>
      <c r="P281" s="593" t="s">
        <v>203</v>
      </c>
      <c r="Q281" s="593" t="s">
        <v>2450</v>
      </c>
      <c r="R281" s="593" t="s">
        <v>2496</v>
      </c>
      <c r="S281" s="589" t="s">
        <v>551</v>
      </c>
      <c r="T281" s="594" t="str">
        <f t="shared" si="17"/>
        <v/>
      </c>
      <c r="U281" s="600"/>
      <c r="V281" s="611"/>
      <c r="W281" s="785"/>
      <c r="X281" s="785"/>
      <c r="Y281" s="785"/>
      <c r="Z281" s="785"/>
      <c r="AA281" s="785"/>
      <c r="AB281" s="785"/>
    </row>
    <row r="282" spans="1:28" ht="15.8" customHeight="1">
      <c r="A282" s="587" t="s">
        <v>1579</v>
      </c>
      <c r="B282" s="587" t="s">
        <v>91</v>
      </c>
      <c r="C282" s="587"/>
      <c r="D282" s="587" t="s">
        <v>88</v>
      </c>
      <c r="E282" s="587" t="s">
        <v>2735</v>
      </c>
      <c r="F282" s="588">
        <v>1265</v>
      </c>
      <c r="G282" s="589"/>
      <c r="H282" s="589" t="s">
        <v>551</v>
      </c>
      <c r="I282" s="589">
        <v>3</v>
      </c>
      <c r="J282" s="588">
        <v>1700</v>
      </c>
      <c r="K282" s="589">
        <v>3</v>
      </c>
      <c r="L282" s="590"/>
      <c r="M282" s="591"/>
      <c r="N282" s="592" t="str">
        <f t="shared" si="18"/>
        <v/>
      </c>
      <c r="O282" s="592" t="str">
        <f t="shared" si="19"/>
        <v/>
      </c>
      <c r="P282" s="593" t="s">
        <v>91</v>
      </c>
      <c r="Q282" s="593" t="s">
        <v>2450</v>
      </c>
      <c r="R282" s="593" t="s">
        <v>2452</v>
      </c>
      <c r="S282" s="589" t="s">
        <v>551</v>
      </c>
      <c r="T282" s="594" t="str">
        <f t="shared" si="17"/>
        <v/>
      </c>
      <c r="U282" s="600"/>
      <c r="V282" s="611"/>
    </row>
    <row r="283" spans="1:28" ht="15.8" customHeight="1">
      <c r="A283" s="587" t="s">
        <v>746</v>
      </c>
      <c r="B283" s="587" t="s">
        <v>746</v>
      </c>
      <c r="C283" s="587"/>
      <c r="D283" s="587" t="s">
        <v>559</v>
      </c>
      <c r="E283" s="587" t="s">
        <v>559</v>
      </c>
      <c r="F283" s="588">
        <v>1609.9999999999998</v>
      </c>
      <c r="G283" s="589"/>
      <c r="H283" s="589" t="s">
        <v>551</v>
      </c>
      <c r="I283" s="589">
        <v>1</v>
      </c>
      <c r="J283" s="588">
        <v>3700</v>
      </c>
      <c r="K283" s="589">
        <v>1</v>
      </c>
      <c r="L283" s="590"/>
      <c r="M283" s="591"/>
      <c r="N283" s="592" t="str">
        <f t="shared" si="18"/>
        <v/>
      </c>
      <c r="O283" s="592" t="str">
        <f t="shared" si="19"/>
        <v/>
      </c>
      <c r="P283" s="593" t="s">
        <v>746</v>
      </c>
      <c r="Q283" s="593" t="s">
        <v>2450</v>
      </c>
      <c r="R283" s="593" t="s">
        <v>2452</v>
      </c>
      <c r="S283" s="589" t="s">
        <v>551</v>
      </c>
      <c r="T283" s="594" t="str">
        <f t="shared" si="17"/>
        <v/>
      </c>
      <c r="U283" s="614"/>
      <c r="V283" s="614"/>
    </row>
    <row r="284" spans="1:28" ht="15.8" customHeight="1">
      <c r="A284" s="625" t="s">
        <v>1419</v>
      </c>
      <c r="B284" s="625" t="s">
        <v>185</v>
      </c>
      <c r="C284" s="625"/>
      <c r="D284" s="625" t="s">
        <v>550</v>
      </c>
      <c r="E284" s="625" t="s">
        <v>2438</v>
      </c>
      <c r="F284" s="588">
        <v>5979.9999999999991</v>
      </c>
      <c r="G284" s="594"/>
      <c r="H284" s="594" t="s">
        <v>551</v>
      </c>
      <c r="I284" s="594">
        <v>15</v>
      </c>
      <c r="J284" s="588">
        <v>7800</v>
      </c>
      <c r="K284" s="594">
        <v>15</v>
      </c>
      <c r="L284" s="590"/>
      <c r="M284" s="591"/>
      <c r="N284" s="592" t="str">
        <f t="shared" si="18"/>
        <v/>
      </c>
      <c r="O284" s="592" t="str">
        <f t="shared" si="19"/>
        <v/>
      </c>
      <c r="P284" s="593" t="s">
        <v>185</v>
      </c>
      <c r="Q284" s="593" t="s">
        <v>2450</v>
      </c>
      <c r="R284" s="593" t="s">
        <v>2467</v>
      </c>
      <c r="S284" s="594" t="s">
        <v>551</v>
      </c>
      <c r="T284" s="594" t="str">
        <f t="shared" si="17"/>
        <v/>
      </c>
      <c r="U284" s="611"/>
      <c r="V284" s="611"/>
    </row>
    <row r="285" spans="1:28" ht="15.8" customHeight="1">
      <c r="A285" s="587" t="s">
        <v>1420</v>
      </c>
      <c r="B285" s="587" t="s">
        <v>186</v>
      </c>
      <c r="C285" s="587"/>
      <c r="D285" s="587" t="s">
        <v>550</v>
      </c>
      <c r="E285" s="587" t="s">
        <v>2438</v>
      </c>
      <c r="F285" s="588">
        <v>5979.9999999999991</v>
      </c>
      <c r="G285" s="589"/>
      <c r="H285" s="589" t="s">
        <v>551</v>
      </c>
      <c r="I285" s="589">
        <v>15</v>
      </c>
      <c r="J285" s="588">
        <v>7800</v>
      </c>
      <c r="K285" s="589">
        <v>15</v>
      </c>
      <c r="L285" s="590"/>
      <c r="M285" s="591"/>
      <c r="N285" s="592" t="str">
        <f t="shared" si="18"/>
        <v/>
      </c>
      <c r="O285" s="592" t="str">
        <f t="shared" si="19"/>
        <v/>
      </c>
      <c r="P285" s="593" t="s">
        <v>186</v>
      </c>
      <c r="Q285" s="593" t="s">
        <v>2450</v>
      </c>
      <c r="R285" s="593" t="s">
        <v>2467</v>
      </c>
      <c r="S285" s="589" t="s">
        <v>551</v>
      </c>
      <c r="T285" s="594" t="str">
        <f t="shared" si="17"/>
        <v/>
      </c>
      <c r="U285" s="611"/>
      <c r="V285" s="611"/>
    </row>
    <row r="286" spans="1:28" ht="15.8" customHeight="1">
      <c r="A286" s="592" t="s">
        <v>1637</v>
      </c>
      <c r="B286" s="592" t="s">
        <v>411</v>
      </c>
      <c r="C286" s="592"/>
      <c r="D286" s="592" t="s">
        <v>550</v>
      </c>
      <c r="E286" s="592" t="s">
        <v>2435</v>
      </c>
      <c r="F286" s="598">
        <v>16900</v>
      </c>
      <c r="G286" s="599" t="s">
        <v>1363</v>
      </c>
      <c r="H286" s="599" t="s">
        <v>551</v>
      </c>
      <c r="I286" s="599">
        <v>5</v>
      </c>
      <c r="J286" s="630">
        <v>24500</v>
      </c>
      <c r="K286" s="599">
        <v>5</v>
      </c>
      <c r="L286" s="601"/>
      <c r="M286" s="602"/>
      <c r="N286" s="592" t="str">
        <f t="shared" si="18"/>
        <v/>
      </c>
      <c r="O286" s="592" t="str">
        <f t="shared" si="19"/>
        <v/>
      </c>
      <c r="P286" s="593" t="s">
        <v>411</v>
      </c>
      <c r="Q286" s="593" t="s">
        <v>2450</v>
      </c>
      <c r="R286" s="593" t="s">
        <v>2452</v>
      </c>
      <c r="S286" s="599" t="s">
        <v>551</v>
      </c>
      <c r="T286" s="594" t="str">
        <f t="shared" si="17"/>
        <v/>
      </c>
      <c r="U286" s="600"/>
      <c r="V286" s="611"/>
    </row>
    <row r="287" spans="1:28" s="618" customFormat="1" ht="15.8" customHeight="1">
      <c r="A287" s="587" t="s">
        <v>1533</v>
      </c>
      <c r="B287" s="587" t="s">
        <v>678</v>
      </c>
      <c r="C287" s="587"/>
      <c r="D287" s="587" t="s">
        <v>88</v>
      </c>
      <c r="E287" s="587" t="s">
        <v>2736</v>
      </c>
      <c r="F287" s="588">
        <v>12189.999999999998</v>
      </c>
      <c r="G287" s="589"/>
      <c r="H287" s="589" t="s">
        <v>551</v>
      </c>
      <c r="I287" s="589">
        <v>17</v>
      </c>
      <c r="J287" s="597">
        <v>15800</v>
      </c>
      <c r="K287" s="589">
        <v>17</v>
      </c>
      <c r="L287" s="590"/>
      <c r="M287" s="591"/>
      <c r="N287" s="592" t="str">
        <f t="shared" si="18"/>
        <v/>
      </c>
      <c r="O287" s="592" t="str">
        <f t="shared" si="19"/>
        <v/>
      </c>
      <c r="P287" s="593" t="s">
        <v>678</v>
      </c>
      <c r="Q287" s="593" t="s">
        <v>2450</v>
      </c>
      <c r="R287" s="593" t="s">
        <v>2452</v>
      </c>
      <c r="S287" s="589" t="s">
        <v>551</v>
      </c>
      <c r="T287" s="594" t="str">
        <f t="shared" si="17"/>
        <v/>
      </c>
      <c r="U287" s="607"/>
      <c r="V287" s="611"/>
      <c r="W287" s="785"/>
      <c r="X287" s="785"/>
      <c r="Y287" s="785"/>
      <c r="Z287" s="785"/>
      <c r="AA287" s="785"/>
      <c r="AB287" s="785"/>
    </row>
    <row r="288" spans="1:28" ht="15.8" customHeight="1">
      <c r="A288" s="1424" t="s">
        <v>1416</v>
      </c>
      <c r="B288" s="1425" t="s">
        <v>590</v>
      </c>
      <c r="C288" s="592" t="s">
        <v>2699</v>
      </c>
      <c r="D288" s="1425" t="s">
        <v>88</v>
      </c>
      <c r="E288" s="1422" t="s">
        <v>2736</v>
      </c>
      <c r="F288" s="598">
        <v>18400</v>
      </c>
      <c r="G288" s="1426" t="s">
        <v>1363</v>
      </c>
      <c r="H288" s="1426" t="s">
        <v>551</v>
      </c>
      <c r="I288" s="1427" t="s">
        <v>1399</v>
      </c>
      <c r="J288" s="598">
        <v>23900</v>
      </c>
      <c r="K288" s="599" t="s">
        <v>1399</v>
      </c>
      <c r="L288" s="590"/>
      <c r="M288" s="591"/>
      <c r="N288" s="592" t="str">
        <f t="shared" si="18"/>
        <v/>
      </c>
      <c r="O288" s="592" t="str">
        <f t="shared" si="19"/>
        <v/>
      </c>
      <c r="P288" s="593" t="s">
        <v>2584</v>
      </c>
      <c r="Q288" s="593" t="s">
        <v>2450</v>
      </c>
      <c r="R288" s="593" t="s">
        <v>2452</v>
      </c>
      <c r="S288" s="599" t="s">
        <v>551</v>
      </c>
      <c r="T288" s="594" t="str">
        <f t="shared" si="17"/>
        <v/>
      </c>
      <c r="U288" s="626"/>
      <c r="V288" s="611"/>
    </row>
    <row r="289" spans="1:42" ht="15.8" customHeight="1">
      <c r="A289" s="587" t="s">
        <v>1692</v>
      </c>
      <c r="B289" s="587" t="s">
        <v>783</v>
      </c>
      <c r="C289" s="587"/>
      <c r="D289" s="587" t="s">
        <v>88</v>
      </c>
      <c r="E289" s="587" t="s">
        <v>2736</v>
      </c>
      <c r="F289" s="588">
        <v>18400</v>
      </c>
      <c r="G289" s="589"/>
      <c r="H289" s="589" t="s">
        <v>551</v>
      </c>
      <c r="I289" s="589">
        <v>17</v>
      </c>
      <c r="J289" s="588">
        <v>22200</v>
      </c>
      <c r="K289" s="589">
        <v>17</v>
      </c>
      <c r="L289" s="590"/>
      <c r="M289" s="591"/>
      <c r="N289" s="592" t="str">
        <f t="shared" si="18"/>
        <v/>
      </c>
      <c r="O289" s="592" t="str">
        <f t="shared" si="19"/>
        <v/>
      </c>
      <c r="P289" s="593" t="s">
        <v>2657</v>
      </c>
      <c r="Q289" s="593" t="s">
        <v>2450</v>
      </c>
      <c r="R289" s="593" t="s">
        <v>2452</v>
      </c>
      <c r="S289" s="589" t="s">
        <v>551</v>
      </c>
      <c r="T289" s="594" t="str">
        <f t="shared" si="17"/>
        <v/>
      </c>
      <c r="U289" s="614"/>
      <c r="V289" s="611"/>
    </row>
    <row r="290" spans="1:42" s="618" customFormat="1" ht="15.8" customHeight="1">
      <c r="A290" s="592" t="s">
        <v>1708</v>
      </c>
      <c r="B290" s="592" t="s">
        <v>1709</v>
      </c>
      <c r="C290" s="592"/>
      <c r="D290" s="592" t="s">
        <v>88</v>
      </c>
      <c r="E290" s="592" t="s">
        <v>2736</v>
      </c>
      <c r="F290" s="598">
        <v>14300</v>
      </c>
      <c r="G290" s="599" t="s">
        <v>1363</v>
      </c>
      <c r="H290" s="599" t="s">
        <v>551</v>
      </c>
      <c r="I290" s="599">
        <v>17</v>
      </c>
      <c r="J290" s="630">
        <v>16300</v>
      </c>
      <c r="K290" s="599">
        <v>17</v>
      </c>
      <c r="L290" s="601"/>
      <c r="M290" s="602"/>
      <c r="N290" s="592" t="str">
        <f t="shared" si="18"/>
        <v/>
      </c>
      <c r="O290" s="592" t="str">
        <f t="shared" si="19"/>
        <v/>
      </c>
      <c r="P290" s="593" t="s">
        <v>2664</v>
      </c>
      <c r="Q290" s="593" t="s">
        <v>2450</v>
      </c>
      <c r="R290" s="593" t="s">
        <v>2452</v>
      </c>
      <c r="S290" s="599" t="s">
        <v>551</v>
      </c>
      <c r="T290" s="594" t="str">
        <f t="shared" si="17"/>
        <v/>
      </c>
      <c r="U290" s="600"/>
      <c r="V290" s="611"/>
      <c r="W290" s="785"/>
      <c r="X290" s="785"/>
      <c r="Y290" s="785"/>
      <c r="Z290" s="785"/>
      <c r="AA290" s="785"/>
      <c r="AB290" s="785"/>
    </row>
    <row r="291" spans="1:42" s="1072" customFormat="1" ht="15.8" customHeight="1">
      <c r="A291" s="587" t="s">
        <v>1587</v>
      </c>
      <c r="B291" s="587" t="s">
        <v>720</v>
      </c>
      <c r="C291" s="587"/>
      <c r="D291" s="587" t="s">
        <v>88</v>
      </c>
      <c r="E291" s="587" t="s">
        <v>2737</v>
      </c>
      <c r="F291" s="588">
        <v>9775</v>
      </c>
      <c r="G291" s="589"/>
      <c r="H291" s="589" t="s">
        <v>551</v>
      </c>
      <c r="I291" s="589">
        <v>15</v>
      </c>
      <c r="J291" s="588">
        <v>12800</v>
      </c>
      <c r="K291" s="589">
        <v>15</v>
      </c>
      <c r="L291" s="590"/>
      <c r="M291" s="591"/>
      <c r="N291" s="592" t="str">
        <f t="shared" si="18"/>
        <v/>
      </c>
      <c r="O291" s="592" t="str">
        <f t="shared" si="19"/>
        <v/>
      </c>
      <c r="P291" s="593" t="s">
        <v>2624</v>
      </c>
      <c r="Q291" s="593" t="s">
        <v>2450</v>
      </c>
      <c r="R291" s="593" t="s">
        <v>2461</v>
      </c>
      <c r="S291" s="589" t="s">
        <v>551</v>
      </c>
      <c r="T291" s="594" t="str">
        <f t="shared" ref="T291:T354" si="20">IF(OR(L291="x", M291="x"), S291,"")</f>
        <v/>
      </c>
      <c r="U291" s="614"/>
      <c r="V291" s="600"/>
      <c r="W291" s="596"/>
      <c r="X291" s="596"/>
      <c r="Y291" s="596"/>
      <c r="Z291" s="596"/>
      <c r="AA291" s="596"/>
      <c r="AB291" s="596"/>
      <c r="AC291" s="596"/>
      <c r="AD291" s="596"/>
      <c r="AE291" s="596"/>
      <c r="AF291" s="596"/>
      <c r="AG291" s="596"/>
      <c r="AH291" s="596"/>
      <c r="AI291" s="596"/>
      <c r="AJ291" s="596"/>
      <c r="AK291" s="596"/>
      <c r="AL291" s="596"/>
      <c r="AM291" s="596"/>
      <c r="AN291" s="596"/>
      <c r="AO291" s="596"/>
      <c r="AP291" s="596"/>
    </row>
    <row r="292" spans="1:42" s="618" customFormat="1" ht="15.8" customHeight="1">
      <c r="A292" s="650" t="s">
        <v>1584</v>
      </c>
      <c r="B292" s="650" t="s">
        <v>719</v>
      </c>
      <c r="C292" s="650" t="s">
        <v>2817</v>
      </c>
      <c r="D292" s="650" t="s">
        <v>553</v>
      </c>
      <c r="E292" s="650" t="s">
        <v>2704</v>
      </c>
      <c r="F292" s="1294">
        <v>11000</v>
      </c>
      <c r="G292" s="1295" t="s">
        <v>1363</v>
      </c>
      <c r="H292" s="1295" t="s">
        <v>604</v>
      </c>
      <c r="I292" s="1295">
        <v>7</v>
      </c>
      <c r="J292" s="1294">
        <v>14300</v>
      </c>
      <c r="K292" s="643">
        <v>7</v>
      </c>
      <c r="L292" s="590"/>
      <c r="M292" s="602"/>
      <c r="N292" s="638" t="str">
        <f t="shared" si="18"/>
        <v/>
      </c>
      <c r="O292" s="638" t="str">
        <f t="shared" si="19"/>
        <v/>
      </c>
      <c r="P292" s="1296" t="s">
        <v>719</v>
      </c>
      <c r="Q292" s="1296" t="s">
        <v>2465</v>
      </c>
      <c r="R292" s="1296" t="s">
        <v>2482</v>
      </c>
      <c r="S292" s="643" t="s">
        <v>604</v>
      </c>
      <c r="T292" s="640" t="str">
        <f t="shared" si="20"/>
        <v/>
      </c>
      <c r="U292" s="614"/>
      <c r="V292" s="611" t="s">
        <v>5990</v>
      </c>
      <c r="W292" s="785"/>
      <c r="X292" s="785"/>
      <c r="Y292" s="785"/>
      <c r="Z292" s="785"/>
      <c r="AA292" s="785"/>
      <c r="AB292" s="785"/>
    </row>
    <row r="293" spans="1:42" s="618" customFormat="1" ht="15.8" customHeight="1">
      <c r="A293" s="587" t="s">
        <v>1728</v>
      </c>
      <c r="B293" s="587" t="s">
        <v>812</v>
      </c>
      <c r="C293" s="587"/>
      <c r="D293" s="587" t="s">
        <v>88</v>
      </c>
      <c r="E293" s="587" t="s">
        <v>2736</v>
      </c>
      <c r="F293" s="588">
        <v>4600</v>
      </c>
      <c r="G293" s="589"/>
      <c r="H293" s="589" t="s">
        <v>551</v>
      </c>
      <c r="I293" s="589">
        <v>7</v>
      </c>
      <c r="J293" s="588">
        <v>6000</v>
      </c>
      <c r="K293" s="589">
        <v>7</v>
      </c>
      <c r="L293" s="590"/>
      <c r="M293" s="591"/>
      <c r="N293" s="592" t="str">
        <f t="shared" si="18"/>
        <v/>
      </c>
      <c r="O293" s="592" t="str">
        <f t="shared" si="19"/>
        <v/>
      </c>
      <c r="P293" s="593" t="s">
        <v>812</v>
      </c>
      <c r="Q293" s="593" t="s">
        <v>2450</v>
      </c>
      <c r="R293" s="593" t="s">
        <v>2452</v>
      </c>
      <c r="S293" s="589" t="s">
        <v>551</v>
      </c>
      <c r="T293" s="594" t="str">
        <f t="shared" si="20"/>
        <v/>
      </c>
      <c r="U293" s="611"/>
      <c r="V293" s="611"/>
      <c r="W293" s="785"/>
      <c r="X293" s="785"/>
      <c r="Y293" s="785"/>
      <c r="Z293" s="785"/>
      <c r="AA293" s="785"/>
      <c r="AB293" s="785"/>
    </row>
    <row r="294" spans="1:42" s="1072" customFormat="1" ht="15.8" customHeight="1">
      <c r="A294" s="813" t="s">
        <v>1727</v>
      </c>
      <c r="B294" s="813" t="s">
        <v>810</v>
      </c>
      <c r="C294" s="813" t="s">
        <v>477</v>
      </c>
      <c r="D294" s="813" t="s">
        <v>593</v>
      </c>
      <c r="E294" s="813" t="s">
        <v>593</v>
      </c>
      <c r="F294" s="820">
        <v>9500</v>
      </c>
      <c r="G294" s="821" t="s">
        <v>1363</v>
      </c>
      <c r="H294" s="821" t="s">
        <v>595</v>
      </c>
      <c r="I294" s="821">
        <v>10</v>
      </c>
      <c r="J294" s="822">
        <v>12300</v>
      </c>
      <c r="K294" s="821">
        <v>10</v>
      </c>
      <c r="L294" s="601"/>
      <c r="M294" s="602"/>
      <c r="N294" s="813" t="str">
        <f t="shared" si="18"/>
        <v/>
      </c>
      <c r="O294" s="813" t="str">
        <f t="shared" si="19"/>
        <v/>
      </c>
      <c r="P294" s="814" t="s">
        <v>810</v>
      </c>
      <c r="Q294" s="814" t="s">
        <v>5825</v>
      </c>
      <c r="R294" s="814" t="s">
        <v>2463</v>
      </c>
      <c r="S294" s="821" t="s">
        <v>595</v>
      </c>
      <c r="T294" s="815" t="str">
        <f t="shared" si="20"/>
        <v/>
      </c>
      <c r="U294" s="611"/>
      <c r="V294" s="611"/>
      <c r="W294" s="596"/>
      <c r="X294" s="596"/>
      <c r="Y294" s="596"/>
      <c r="Z294" s="596"/>
      <c r="AA294" s="596"/>
      <c r="AB294" s="596"/>
      <c r="AC294" s="596"/>
      <c r="AD294" s="596"/>
      <c r="AE294" s="596"/>
      <c r="AF294" s="596"/>
      <c r="AG294" s="596"/>
      <c r="AH294" s="596"/>
      <c r="AI294" s="596"/>
      <c r="AJ294" s="596"/>
      <c r="AK294" s="596"/>
      <c r="AL294" s="596"/>
      <c r="AM294" s="596"/>
      <c r="AN294" s="596"/>
      <c r="AO294" s="596"/>
      <c r="AP294" s="596"/>
    </row>
    <row r="295" spans="1:42" ht="15.8" customHeight="1">
      <c r="A295" s="810" t="s">
        <v>778</v>
      </c>
      <c r="B295" s="810" t="s">
        <v>811</v>
      </c>
      <c r="C295" s="813" t="s">
        <v>477</v>
      </c>
      <c r="D295" s="810" t="s">
        <v>593</v>
      </c>
      <c r="E295" s="810" t="s">
        <v>593</v>
      </c>
      <c r="F295" s="811">
        <v>10900</v>
      </c>
      <c r="G295" s="812"/>
      <c r="H295" s="812" t="s">
        <v>595</v>
      </c>
      <c r="I295" s="812">
        <v>15</v>
      </c>
      <c r="J295" s="1156">
        <v>14200</v>
      </c>
      <c r="K295" s="812">
        <v>15</v>
      </c>
      <c r="L295" s="601"/>
      <c r="M295" s="602"/>
      <c r="N295" s="813" t="str">
        <f t="shared" si="18"/>
        <v/>
      </c>
      <c r="O295" s="813" t="str">
        <f t="shared" si="19"/>
        <v/>
      </c>
      <c r="P295" s="814" t="s">
        <v>811</v>
      </c>
      <c r="Q295" s="814" t="s">
        <v>5825</v>
      </c>
      <c r="R295" s="814" t="s">
        <v>2463</v>
      </c>
      <c r="S295" s="812" t="s">
        <v>595</v>
      </c>
      <c r="T295" s="815" t="str">
        <f t="shared" si="20"/>
        <v/>
      </c>
      <c r="U295" s="611"/>
      <c r="V295" s="611"/>
    </row>
    <row r="296" spans="1:42" s="618" customFormat="1" ht="15.8" customHeight="1">
      <c r="A296" s="625" t="s">
        <v>1426</v>
      </c>
      <c r="B296" s="625" t="s">
        <v>2380</v>
      </c>
      <c r="C296" s="625"/>
      <c r="D296" s="625" t="s">
        <v>562</v>
      </c>
      <c r="E296" s="625" t="s">
        <v>562</v>
      </c>
      <c r="F296" s="588">
        <v>31500</v>
      </c>
      <c r="G296" s="594"/>
      <c r="H296" s="594" t="s">
        <v>604</v>
      </c>
      <c r="I296" s="594">
        <v>17</v>
      </c>
      <c r="J296" s="588">
        <v>37400</v>
      </c>
      <c r="K296" s="594">
        <v>17</v>
      </c>
      <c r="L296" s="590"/>
      <c r="M296" s="591"/>
      <c r="N296" s="592" t="str">
        <f t="shared" si="18"/>
        <v/>
      </c>
      <c r="O296" s="592" t="str">
        <f t="shared" si="19"/>
        <v/>
      </c>
      <c r="P296" s="593" t="s">
        <v>2588</v>
      </c>
      <c r="Q296" s="593" t="s">
        <v>2465</v>
      </c>
      <c r="R296" s="593" t="s">
        <v>2470</v>
      </c>
      <c r="S296" s="594" t="s">
        <v>604</v>
      </c>
      <c r="T296" s="594" t="str">
        <f t="shared" si="20"/>
        <v/>
      </c>
      <c r="U296" s="600"/>
      <c r="V296" s="611"/>
      <c r="W296" s="785"/>
      <c r="X296" s="785"/>
      <c r="Y296" s="785"/>
      <c r="Z296" s="785"/>
      <c r="AA296" s="785"/>
      <c r="AB296" s="785"/>
    </row>
    <row r="297" spans="1:42" s="1073" customFormat="1" ht="15.8" customHeight="1">
      <c r="A297" s="592" t="s">
        <v>1429</v>
      </c>
      <c r="B297" s="592" t="s">
        <v>419</v>
      </c>
      <c r="C297" s="592"/>
      <c r="D297" s="592" t="s">
        <v>88</v>
      </c>
      <c r="E297" s="587" t="s">
        <v>2736</v>
      </c>
      <c r="F297" s="598">
        <v>10350</v>
      </c>
      <c r="G297" s="599" t="s">
        <v>1363</v>
      </c>
      <c r="H297" s="599" t="s">
        <v>551</v>
      </c>
      <c r="I297" s="599">
        <v>5</v>
      </c>
      <c r="J297" s="598">
        <v>13500</v>
      </c>
      <c r="K297" s="599">
        <v>5</v>
      </c>
      <c r="L297" s="601"/>
      <c r="M297" s="602"/>
      <c r="N297" s="592" t="str">
        <f t="shared" si="18"/>
        <v/>
      </c>
      <c r="O297" s="592" t="str">
        <f t="shared" si="19"/>
        <v/>
      </c>
      <c r="P297" s="593" t="s">
        <v>419</v>
      </c>
      <c r="Q297" s="593" t="s">
        <v>2450</v>
      </c>
      <c r="R297" s="593" t="s">
        <v>2452</v>
      </c>
      <c r="S297" s="599" t="s">
        <v>551</v>
      </c>
      <c r="T297" s="594" t="str">
        <f t="shared" si="20"/>
        <v/>
      </c>
      <c r="U297" s="600"/>
      <c r="V297" s="611"/>
      <c r="W297" s="785"/>
      <c r="X297" s="785"/>
      <c r="Y297" s="785"/>
      <c r="Z297" s="785"/>
      <c r="AA297" s="785"/>
      <c r="AB297" s="785"/>
      <c r="AC297" s="618"/>
      <c r="AD297" s="618"/>
      <c r="AE297" s="618"/>
      <c r="AF297" s="618"/>
      <c r="AG297" s="618"/>
      <c r="AH297" s="618"/>
      <c r="AI297" s="618"/>
      <c r="AJ297" s="618"/>
      <c r="AK297" s="618"/>
      <c r="AL297" s="618"/>
      <c r="AM297" s="618"/>
      <c r="AN297" s="618"/>
      <c r="AO297" s="618"/>
      <c r="AP297" s="618"/>
    </row>
    <row r="298" spans="1:42" ht="15.8" customHeight="1">
      <c r="A298" s="587" t="s">
        <v>1425</v>
      </c>
      <c r="B298" s="587" t="s">
        <v>601</v>
      </c>
      <c r="C298" s="587"/>
      <c r="D298" s="587" t="s">
        <v>602</v>
      </c>
      <c r="E298" s="587" t="s">
        <v>2445</v>
      </c>
      <c r="F298" s="588">
        <v>5060</v>
      </c>
      <c r="G298" s="589"/>
      <c r="H298" s="589" t="s">
        <v>551</v>
      </c>
      <c r="I298" s="589">
        <v>17</v>
      </c>
      <c r="J298" s="588">
        <v>6500</v>
      </c>
      <c r="K298" s="589">
        <v>17</v>
      </c>
      <c r="L298" s="590"/>
      <c r="M298" s="591"/>
      <c r="N298" s="592" t="str">
        <f t="shared" si="18"/>
        <v/>
      </c>
      <c r="O298" s="592" t="str">
        <f t="shared" si="19"/>
        <v/>
      </c>
      <c r="P298" s="593" t="s">
        <v>601</v>
      </c>
      <c r="Q298" s="593" t="s">
        <v>2450</v>
      </c>
      <c r="R298" s="593" t="s">
        <v>2452</v>
      </c>
      <c r="S298" s="589" t="s">
        <v>551</v>
      </c>
      <c r="T298" s="594" t="str">
        <f t="shared" si="20"/>
        <v/>
      </c>
      <c r="U298" s="600"/>
      <c r="V298" s="600"/>
    </row>
    <row r="299" spans="1:42" s="1072" customFormat="1" ht="15.8" customHeight="1">
      <c r="A299" s="587" t="s">
        <v>1805</v>
      </c>
      <c r="B299" s="587" t="s">
        <v>849</v>
      </c>
      <c r="C299" s="587"/>
      <c r="D299" s="587" t="s">
        <v>602</v>
      </c>
      <c r="E299" s="625" t="s">
        <v>2445</v>
      </c>
      <c r="F299" s="588">
        <v>4830</v>
      </c>
      <c r="G299" s="589"/>
      <c r="H299" s="589" t="s">
        <v>551</v>
      </c>
      <c r="I299" s="589">
        <v>3</v>
      </c>
      <c r="J299" s="588">
        <v>6500</v>
      </c>
      <c r="K299" s="589">
        <v>3</v>
      </c>
      <c r="L299" s="590"/>
      <c r="M299" s="591"/>
      <c r="N299" s="592" t="str">
        <f t="shared" si="18"/>
        <v/>
      </c>
      <c r="O299" s="592" t="str">
        <f t="shared" si="19"/>
        <v/>
      </c>
      <c r="P299" s="593" t="s">
        <v>849</v>
      </c>
      <c r="Q299" s="593" t="s">
        <v>2450</v>
      </c>
      <c r="R299" s="593" t="s">
        <v>2452</v>
      </c>
      <c r="S299" s="589" t="s">
        <v>551</v>
      </c>
      <c r="T299" s="594" t="str">
        <f t="shared" si="20"/>
        <v/>
      </c>
      <c r="U299" s="611"/>
      <c r="V299" s="600"/>
      <c r="W299" s="596"/>
      <c r="X299" s="596"/>
      <c r="Y299" s="596"/>
      <c r="Z299" s="596"/>
      <c r="AA299" s="596"/>
      <c r="AB299" s="596"/>
      <c r="AC299" s="596"/>
      <c r="AD299" s="596"/>
      <c r="AE299" s="596"/>
      <c r="AF299" s="596"/>
      <c r="AG299" s="596"/>
      <c r="AH299" s="596"/>
      <c r="AI299" s="596"/>
      <c r="AJ299" s="596"/>
      <c r="AK299" s="596"/>
      <c r="AL299" s="596"/>
      <c r="AM299" s="596"/>
      <c r="AN299" s="596"/>
      <c r="AO299" s="596"/>
      <c r="AP299" s="596"/>
    </row>
    <row r="300" spans="1:42" ht="15.8" customHeight="1">
      <c r="A300" s="587" t="s">
        <v>1502</v>
      </c>
      <c r="B300" s="587" t="s">
        <v>651</v>
      </c>
      <c r="C300" s="587"/>
      <c r="D300" s="587" t="s">
        <v>602</v>
      </c>
      <c r="E300" s="587" t="s">
        <v>2445</v>
      </c>
      <c r="F300" s="588">
        <v>4024.9999999999995</v>
      </c>
      <c r="G300" s="589"/>
      <c r="H300" s="589" t="s">
        <v>551</v>
      </c>
      <c r="I300" s="589">
        <v>3</v>
      </c>
      <c r="J300" s="588">
        <v>6800</v>
      </c>
      <c r="K300" s="589">
        <v>3</v>
      </c>
      <c r="L300" s="590"/>
      <c r="M300" s="591"/>
      <c r="N300" s="592" t="str">
        <f t="shared" ref="N300:N363" si="21">IF(OR(L300="x", M300="x"), B300 &amp; "; ", "")</f>
        <v/>
      </c>
      <c r="O300" s="592" t="str">
        <f t="shared" si="19"/>
        <v/>
      </c>
      <c r="P300" s="593" t="s">
        <v>651</v>
      </c>
      <c r="Q300" s="593" t="s">
        <v>2450</v>
      </c>
      <c r="R300" s="593" t="s">
        <v>2452</v>
      </c>
      <c r="S300" s="589" t="s">
        <v>551</v>
      </c>
      <c r="T300" s="594" t="str">
        <f t="shared" si="20"/>
        <v/>
      </c>
      <c r="U300" s="614"/>
      <c r="V300" s="611"/>
    </row>
    <row r="301" spans="1:42" s="1073" customFormat="1" ht="15.8" customHeight="1">
      <c r="A301" s="608" t="s">
        <v>5743</v>
      </c>
      <c r="B301" s="608" t="s">
        <v>615</v>
      </c>
      <c r="C301" s="608"/>
      <c r="D301" s="608" t="s">
        <v>602</v>
      </c>
      <c r="E301" s="608" t="s">
        <v>2445</v>
      </c>
      <c r="F301" s="598">
        <v>12900</v>
      </c>
      <c r="G301" s="629" t="s">
        <v>1363</v>
      </c>
      <c r="H301" s="629" t="s">
        <v>551</v>
      </c>
      <c r="I301" s="629">
        <v>14</v>
      </c>
      <c r="J301" s="598">
        <v>20300</v>
      </c>
      <c r="K301" s="629">
        <v>14</v>
      </c>
      <c r="L301" s="601"/>
      <c r="M301" s="602"/>
      <c r="N301" s="592" t="str">
        <f t="shared" si="21"/>
        <v/>
      </c>
      <c r="O301" s="592" t="str">
        <f t="shared" si="19"/>
        <v/>
      </c>
      <c r="P301" s="593" t="s">
        <v>615</v>
      </c>
      <c r="Q301" s="593" t="s">
        <v>2450</v>
      </c>
      <c r="R301" s="593" t="s">
        <v>2452</v>
      </c>
      <c r="S301" s="629" t="s">
        <v>551</v>
      </c>
      <c r="T301" s="594" t="str">
        <f t="shared" si="20"/>
        <v/>
      </c>
      <c r="U301" s="600"/>
      <c r="V301" s="600"/>
      <c r="W301" s="785"/>
      <c r="X301" s="785"/>
      <c r="Y301" s="785"/>
      <c r="Z301" s="785"/>
      <c r="AA301" s="785"/>
      <c r="AB301" s="785"/>
      <c r="AC301" s="618"/>
      <c r="AD301" s="618"/>
      <c r="AE301" s="618"/>
      <c r="AF301" s="618"/>
      <c r="AG301" s="618"/>
      <c r="AH301" s="618"/>
      <c r="AI301" s="618"/>
      <c r="AJ301" s="618"/>
      <c r="AK301" s="618"/>
      <c r="AL301" s="618"/>
      <c r="AM301" s="618"/>
      <c r="AN301" s="618"/>
      <c r="AO301" s="618"/>
      <c r="AP301" s="618"/>
    </row>
    <row r="302" spans="1:42" s="1072" customFormat="1" ht="15.8" customHeight="1">
      <c r="A302" s="587" t="s">
        <v>1449</v>
      </c>
      <c r="B302" s="587" t="s">
        <v>614</v>
      </c>
      <c r="C302" s="587"/>
      <c r="D302" s="587" t="s">
        <v>602</v>
      </c>
      <c r="E302" s="587" t="s">
        <v>2445</v>
      </c>
      <c r="F302" s="588">
        <v>4600</v>
      </c>
      <c r="G302" s="589"/>
      <c r="H302" s="589" t="s">
        <v>551</v>
      </c>
      <c r="I302" s="589">
        <v>7</v>
      </c>
      <c r="J302" s="588">
        <v>6000</v>
      </c>
      <c r="K302" s="589">
        <v>7</v>
      </c>
      <c r="L302" s="590"/>
      <c r="M302" s="591"/>
      <c r="N302" s="592" t="str">
        <f t="shared" si="21"/>
        <v/>
      </c>
      <c r="O302" s="592" t="str">
        <f t="shared" si="19"/>
        <v/>
      </c>
      <c r="P302" s="593" t="s">
        <v>614</v>
      </c>
      <c r="Q302" s="593" t="s">
        <v>2450</v>
      </c>
      <c r="R302" s="593" t="s">
        <v>2452</v>
      </c>
      <c r="S302" s="589" t="s">
        <v>551</v>
      </c>
      <c r="T302" s="594" t="str">
        <f t="shared" si="20"/>
        <v/>
      </c>
      <c r="U302" s="611"/>
      <c r="V302" s="614"/>
      <c r="W302" s="596"/>
      <c r="X302" s="596"/>
      <c r="Y302" s="596"/>
      <c r="Z302" s="596"/>
      <c r="AA302" s="596"/>
      <c r="AB302" s="596"/>
      <c r="AC302" s="596"/>
      <c r="AD302" s="596"/>
      <c r="AE302" s="596"/>
      <c r="AF302" s="596"/>
      <c r="AG302" s="596"/>
      <c r="AH302" s="596"/>
      <c r="AI302" s="596"/>
      <c r="AJ302" s="596"/>
      <c r="AK302" s="596"/>
      <c r="AL302" s="596"/>
      <c r="AM302" s="596"/>
      <c r="AN302" s="596"/>
      <c r="AO302" s="596"/>
      <c r="AP302" s="596"/>
    </row>
    <row r="303" spans="1:42" s="1072" customFormat="1" ht="15.8" customHeight="1">
      <c r="A303" s="587" t="s">
        <v>1740</v>
      </c>
      <c r="B303" s="587" t="s">
        <v>820</v>
      </c>
      <c r="C303" s="587"/>
      <c r="D303" s="587" t="s">
        <v>602</v>
      </c>
      <c r="E303" s="587" t="s">
        <v>2445</v>
      </c>
      <c r="F303" s="588">
        <v>4024.9999999999995</v>
      </c>
      <c r="G303" s="589"/>
      <c r="H303" s="589" t="s">
        <v>551</v>
      </c>
      <c r="I303" s="589">
        <v>5</v>
      </c>
      <c r="J303" s="588">
        <v>5500</v>
      </c>
      <c r="K303" s="589">
        <v>5</v>
      </c>
      <c r="L303" s="590"/>
      <c r="M303" s="591"/>
      <c r="N303" s="592" t="str">
        <f t="shared" si="21"/>
        <v/>
      </c>
      <c r="O303" s="592" t="str">
        <f t="shared" si="19"/>
        <v/>
      </c>
      <c r="P303" s="593" t="s">
        <v>820</v>
      </c>
      <c r="Q303" s="593" t="s">
        <v>2450</v>
      </c>
      <c r="R303" s="593" t="s">
        <v>2452</v>
      </c>
      <c r="S303" s="589" t="s">
        <v>551</v>
      </c>
      <c r="T303" s="594" t="str">
        <f t="shared" si="20"/>
        <v/>
      </c>
      <c r="U303" s="611"/>
      <c r="V303" s="611"/>
      <c r="W303" s="596"/>
      <c r="X303" s="596"/>
      <c r="Y303" s="596"/>
      <c r="Z303" s="596"/>
      <c r="AA303" s="596"/>
      <c r="AB303" s="596"/>
      <c r="AC303" s="596"/>
      <c r="AD303" s="596"/>
      <c r="AE303" s="596"/>
      <c r="AF303" s="596"/>
      <c r="AG303" s="596"/>
      <c r="AH303" s="596"/>
      <c r="AI303" s="596"/>
      <c r="AJ303" s="596"/>
      <c r="AK303" s="596"/>
      <c r="AL303" s="596"/>
      <c r="AM303" s="596"/>
      <c r="AN303" s="596"/>
      <c r="AO303" s="596"/>
      <c r="AP303" s="596"/>
    </row>
    <row r="304" spans="1:42" ht="15.8" customHeight="1">
      <c r="A304" s="620" t="s">
        <v>1823</v>
      </c>
      <c r="B304" s="620" t="s">
        <v>860</v>
      </c>
      <c r="C304" s="620"/>
      <c r="D304" s="620" t="s">
        <v>602</v>
      </c>
      <c r="E304" s="625" t="s">
        <v>2445</v>
      </c>
      <c r="F304" s="621">
        <v>6324.9999999999991</v>
      </c>
      <c r="G304" s="622"/>
      <c r="H304" s="622" t="s">
        <v>551</v>
      </c>
      <c r="I304" s="622">
        <v>5</v>
      </c>
      <c r="J304" s="621">
        <v>8400</v>
      </c>
      <c r="K304" s="622">
        <v>5</v>
      </c>
      <c r="L304" s="590"/>
      <c r="M304" s="591"/>
      <c r="N304" s="592" t="str">
        <f t="shared" si="21"/>
        <v/>
      </c>
      <c r="O304" s="592" t="str">
        <f t="shared" si="19"/>
        <v/>
      </c>
      <c r="P304" s="593" t="s">
        <v>860</v>
      </c>
      <c r="Q304" s="593" t="s">
        <v>2450</v>
      </c>
      <c r="R304" s="593" t="s">
        <v>2452</v>
      </c>
      <c r="S304" s="622" t="s">
        <v>551</v>
      </c>
      <c r="T304" s="594" t="str">
        <f t="shared" si="20"/>
        <v/>
      </c>
      <c r="U304" s="615"/>
      <c r="V304" s="611"/>
    </row>
    <row r="305" spans="1:28" ht="15.8" customHeight="1">
      <c r="A305" s="587" t="s">
        <v>1526</v>
      </c>
      <c r="B305" s="587" t="s">
        <v>232</v>
      </c>
      <c r="C305" s="587"/>
      <c r="D305" s="587" t="s">
        <v>88</v>
      </c>
      <c r="E305" s="587" t="s">
        <v>2736</v>
      </c>
      <c r="F305" s="588">
        <v>4140</v>
      </c>
      <c r="G305" s="589"/>
      <c r="H305" s="589" t="s">
        <v>551</v>
      </c>
      <c r="I305" s="589">
        <v>7</v>
      </c>
      <c r="J305" s="588">
        <v>5400</v>
      </c>
      <c r="K305" s="589">
        <v>7</v>
      </c>
      <c r="L305" s="590"/>
      <c r="M305" s="591"/>
      <c r="N305" s="592" t="str">
        <f t="shared" si="21"/>
        <v/>
      </c>
      <c r="O305" s="592" t="str">
        <f t="shared" si="19"/>
        <v/>
      </c>
      <c r="P305" s="593" t="s">
        <v>232</v>
      </c>
      <c r="Q305" s="593" t="s">
        <v>2450</v>
      </c>
      <c r="R305" s="593" t="s">
        <v>2452</v>
      </c>
      <c r="S305" s="589" t="s">
        <v>551</v>
      </c>
      <c r="T305" s="594" t="str">
        <f t="shared" si="20"/>
        <v/>
      </c>
      <c r="U305" s="611"/>
      <c r="V305" s="796"/>
    </row>
    <row r="306" spans="1:28" ht="15.8" customHeight="1">
      <c r="A306" s="587" t="s">
        <v>6015</v>
      </c>
      <c r="B306" s="587" t="s">
        <v>6016</v>
      </c>
      <c r="C306" s="587"/>
      <c r="D306" s="587" t="s">
        <v>602</v>
      </c>
      <c r="E306" s="587" t="s">
        <v>2445</v>
      </c>
      <c r="F306" s="588">
        <v>11730</v>
      </c>
      <c r="G306" s="589"/>
      <c r="H306" s="589" t="s">
        <v>551</v>
      </c>
      <c r="I306" s="589">
        <v>17</v>
      </c>
      <c r="J306" s="588">
        <v>15400</v>
      </c>
      <c r="K306" s="589">
        <v>17</v>
      </c>
      <c r="L306" s="590"/>
      <c r="M306" s="591"/>
      <c r="N306" s="592" t="str">
        <f t="shared" si="21"/>
        <v/>
      </c>
      <c r="O306" s="592" t="str">
        <f t="shared" si="19"/>
        <v/>
      </c>
      <c r="P306" s="593"/>
      <c r="Q306" s="593"/>
      <c r="R306" s="593" t="s">
        <v>2452</v>
      </c>
      <c r="S306" s="589" t="s">
        <v>551</v>
      </c>
      <c r="T306" s="594" t="str">
        <f t="shared" si="20"/>
        <v/>
      </c>
      <c r="U306" s="611"/>
      <c r="V306" s="614"/>
    </row>
    <row r="307" spans="1:28" ht="15.8" customHeight="1">
      <c r="A307" s="587" t="s">
        <v>1406</v>
      </c>
      <c r="B307" s="587" t="s">
        <v>225</v>
      </c>
      <c r="C307" s="587"/>
      <c r="D307" s="587" t="s">
        <v>88</v>
      </c>
      <c r="E307" s="587" t="s">
        <v>2736</v>
      </c>
      <c r="F307" s="588">
        <v>3794.9999999999995</v>
      </c>
      <c r="G307" s="589"/>
      <c r="H307" s="589" t="s">
        <v>551</v>
      </c>
      <c r="I307" s="589">
        <v>7</v>
      </c>
      <c r="J307" s="588">
        <v>4900</v>
      </c>
      <c r="K307" s="589">
        <v>7</v>
      </c>
      <c r="L307" s="590"/>
      <c r="M307" s="591"/>
      <c r="N307" s="592" t="str">
        <f t="shared" si="21"/>
        <v/>
      </c>
      <c r="O307" s="592" t="str">
        <f t="shared" si="19"/>
        <v/>
      </c>
      <c r="P307" s="593" t="s">
        <v>225</v>
      </c>
      <c r="Q307" s="593" t="s">
        <v>2450</v>
      </c>
      <c r="R307" s="593" t="s">
        <v>2452</v>
      </c>
      <c r="S307" s="589" t="s">
        <v>551</v>
      </c>
      <c r="T307" s="594" t="str">
        <f t="shared" si="20"/>
        <v/>
      </c>
      <c r="U307" s="611"/>
      <c r="V307" s="611"/>
    </row>
    <row r="308" spans="1:28" ht="15.8" customHeight="1">
      <c r="A308" s="1248" t="s">
        <v>1631</v>
      </c>
      <c r="B308" s="1248" t="s">
        <v>745</v>
      </c>
      <c r="C308" s="1248"/>
      <c r="D308" s="1248" t="s">
        <v>602</v>
      </c>
      <c r="E308" s="1248" t="s">
        <v>2445</v>
      </c>
      <c r="F308" s="1253">
        <v>5865</v>
      </c>
      <c r="G308" s="1254"/>
      <c r="H308" s="1254" t="s">
        <v>551</v>
      </c>
      <c r="I308" s="1254">
        <v>17</v>
      </c>
      <c r="J308" s="1253">
        <v>7700</v>
      </c>
      <c r="K308" s="1254">
        <v>17</v>
      </c>
      <c r="L308" s="1255"/>
      <c r="M308" s="1249"/>
      <c r="N308" s="1256" t="str">
        <f t="shared" si="21"/>
        <v/>
      </c>
      <c r="O308" s="1256" t="str">
        <f t="shared" si="19"/>
        <v/>
      </c>
      <c r="P308" s="1257" t="s">
        <v>745</v>
      </c>
      <c r="Q308" s="1257" t="s">
        <v>2450</v>
      </c>
      <c r="R308" s="1257" t="s">
        <v>2452</v>
      </c>
      <c r="S308" s="1254" t="s">
        <v>551</v>
      </c>
      <c r="T308" s="1258" t="str">
        <f t="shared" si="20"/>
        <v/>
      </c>
      <c r="U308" s="1250"/>
      <c r="V308" s="1251"/>
    </row>
    <row r="309" spans="1:28" ht="15.8" customHeight="1">
      <c r="A309" s="587" t="s">
        <v>1558</v>
      </c>
      <c r="B309" s="587" t="s">
        <v>703</v>
      </c>
      <c r="C309" s="587"/>
      <c r="D309" s="587" t="s">
        <v>602</v>
      </c>
      <c r="E309" s="587" t="s">
        <v>2445</v>
      </c>
      <c r="F309" s="588">
        <v>9200</v>
      </c>
      <c r="G309" s="589"/>
      <c r="H309" s="589" t="s">
        <v>551</v>
      </c>
      <c r="I309" s="589">
        <v>5</v>
      </c>
      <c r="J309" s="588">
        <v>12000</v>
      </c>
      <c r="K309" s="589">
        <v>5</v>
      </c>
      <c r="L309" s="590"/>
      <c r="M309" s="591"/>
      <c r="N309" s="592" t="str">
        <f t="shared" si="21"/>
        <v/>
      </c>
      <c r="O309" s="592" t="str">
        <f t="shared" si="19"/>
        <v/>
      </c>
      <c r="P309" s="593" t="s">
        <v>703</v>
      </c>
      <c r="Q309" s="593" t="s">
        <v>2450</v>
      </c>
      <c r="R309" s="593" t="s">
        <v>2452</v>
      </c>
      <c r="S309" s="589" t="s">
        <v>551</v>
      </c>
      <c r="T309" s="594" t="str">
        <f t="shared" si="20"/>
        <v/>
      </c>
      <c r="U309" s="611"/>
      <c r="V309" s="611"/>
    </row>
    <row r="310" spans="1:28" s="618" customFormat="1" ht="15.8" customHeight="1">
      <c r="A310" s="1157" t="s">
        <v>5790</v>
      </c>
      <c r="B310" s="1158" t="s">
        <v>5791</v>
      </c>
      <c r="C310" s="595"/>
      <c r="D310" s="1157" t="s">
        <v>602</v>
      </c>
      <c r="E310" s="1157" t="s">
        <v>602</v>
      </c>
      <c r="F310" s="598">
        <v>7900</v>
      </c>
      <c r="G310" s="1159" t="s">
        <v>1363</v>
      </c>
      <c r="H310" s="1160" t="s">
        <v>551</v>
      </c>
      <c r="I310" s="1160">
        <v>5</v>
      </c>
      <c r="J310" s="598">
        <v>8900</v>
      </c>
      <c r="K310" s="599"/>
      <c r="L310" s="590"/>
      <c r="M310" s="591"/>
      <c r="N310" s="592" t="str">
        <f t="shared" si="21"/>
        <v/>
      </c>
      <c r="O310" s="592" t="str">
        <f t="shared" si="19"/>
        <v/>
      </c>
      <c r="P310" s="593"/>
      <c r="Q310" s="593" t="s">
        <v>2450</v>
      </c>
      <c r="R310" s="1121" t="s">
        <v>2452</v>
      </c>
      <c r="S310" s="768" t="s">
        <v>551</v>
      </c>
      <c r="T310" s="594" t="str">
        <f t="shared" si="20"/>
        <v/>
      </c>
      <c r="U310" s="611"/>
      <c r="V310" s="797"/>
      <c r="W310" s="785"/>
      <c r="X310" s="785"/>
      <c r="Y310" s="785"/>
      <c r="Z310" s="785"/>
      <c r="AA310" s="785"/>
      <c r="AB310" s="785"/>
    </row>
    <row r="311" spans="1:28" ht="15.8" customHeight="1">
      <c r="A311" s="587" t="s">
        <v>1443</v>
      </c>
      <c r="B311" s="587" t="s">
        <v>1444</v>
      </c>
      <c r="C311" s="587"/>
      <c r="D311" s="587" t="s">
        <v>602</v>
      </c>
      <c r="E311" s="587" t="s">
        <v>2445</v>
      </c>
      <c r="F311" s="588">
        <v>9500</v>
      </c>
      <c r="G311" s="589"/>
      <c r="H311" s="589" t="s">
        <v>551</v>
      </c>
      <c r="I311" s="589">
        <v>2</v>
      </c>
      <c r="J311" s="588">
        <v>11000</v>
      </c>
      <c r="K311" s="589">
        <v>2</v>
      </c>
      <c r="L311" s="590"/>
      <c r="M311" s="591"/>
      <c r="N311" s="592" t="str">
        <f t="shared" si="21"/>
        <v/>
      </c>
      <c r="O311" s="592" t="str">
        <f t="shared" si="19"/>
        <v/>
      </c>
      <c r="P311" s="593" t="s">
        <v>2592</v>
      </c>
      <c r="Q311" s="593" t="s">
        <v>2450</v>
      </c>
      <c r="R311" s="593" t="s">
        <v>2452</v>
      </c>
      <c r="S311" s="589" t="s">
        <v>551</v>
      </c>
      <c r="T311" s="594" t="str">
        <f t="shared" si="20"/>
        <v/>
      </c>
      <c r="U311" s="611"/>
      <c r="V311" s="632"/>
    </row>
    <row r="312" spans="1:28" ht="15.8" customHeight="1">
      <c r="A312" s="592" t="s">
        <v>1544</v>
      </c>
      <c r="B312" s="592" t="s">
        <v>691</v>
      </c>
      <c r="C312" s="592"/>
      <c r="D312" s="592" t="s">
        <v>602</v>
      </c>
      <c r="E312" s="592" t="s">
        <v>2445</v>
      </c>
      <c r="F312" s="598">
        <v>4200</v>
      </c>
      <c r="G312" s="599" t="s">
        <v>1363</v>
      </c>
      <c r="H312" s="599" t="s">
        <v>551</v>
      </c>
      <c r="I312" s="599">
        <v>5</v>
      </c>
      <c r="J312" s="598">
        <v>5460</v>
      </c>
      <c r="K312" s="599">
        <v>5</v>
      </c>
      <c r="L312" s="601"/>
      <c r="M312" s="602"/>
      <c r="N312" s="592" t="str">
        <f t="shared" si="21"/>
        <v/>
      </c>
      <c r="O312" s="592" t="str">
        <f t="shared" si="19"/>
        <v/>
      </c>
      <c r="P312" s="593" t="s">
        <v>691</v>
      </c>
      <c r="Q312" s="593" t="s">
        <v>2450</v>
      </c>
      <c r="R312" s="593" t="s">
        <v>2452</v>
      </c>
      <c r="S312" s="599" t="s">
        <v>551</v>
      </c>
      <c r="T312" s="594" t="str">
        <f t="shared" si="20"/>
        <v/>
      </c>
      <c r="U312" s="793"/>
      <c r="V312" s="614"/>
    </row>
    <row r="313" spans="1:28" ht="15.8" customHeight="1">
      <c r="A313" s="587" t="s">
        <v>1407</v>
      </c>
      <c r="B313" s="587" t="s">
        <v>1408</v>
      </c>
      <c r="C313" s="587"/>
      <c r="D313" s="587" t="s">
        <v>88</v>
      </c>
      <c r="E313" s="587" t="s">
        <v>2736</v>
      </c>
      <c r="F313" s="588">
        <v>8000</v>
      </c>
      <c r="G313" s="589"/>
      <c r="H313" s="589" t="s">
        <v>551</v>
      </c>
      <c r="I313" s="589" t="s">
        <v>664</v>
      </c>
      <c r="J313" s="588">
        <v>10900</v>
      </c>
      <c r="K313" s="589" t="s">
        <v>664</v>
      </c>
      <c r="L313" s="590"/>
      <c r="M313" s="591"/>
      <c r="N313" s="592" t="str">
        <f t="shared" si="21"/>
        <v/>
      </c>
      <c r="O313" s="592" t="str">
        <f t="shared" si="19"/>
        <v/>
      </c>
      <c r="P313" s="1261" t="s">
        <v>2609</v>
      </c>
      <c r="Q313" s="1261" t="s">
        <v>2450</v>
      </c>
      <c r="R313" s="1261" t="s">
        <v>2452</v>
      </c>
      <c r="S313" s="589" t="s">
        <v>551</v>
      </c>
      <c r="T313" s="594" t="str">
        <f t="shared" si="20"/>
        <v/>
      </c>
      <c r="U313" s="611"/>
      <c r="V313" s="600"/>
    </row>
    <row r="314" spans="1:28" ht="15.8" customHeight="1">
      <c r="A314" s="625" t="s">
        <v>1680</v>
      </c>
      <c r="B314" s="625" t="s">
        <v>774</v>
      </c>
      <c r="C314" s="625"/>
      <c r="D314" s="625" t="s">
        <v>602</v>
      </c>
      <c r="E314" s="625" t="s">
        <v>2445</v>
      </c>
      <c r="F314" s="588">
        <v>6400</v>
      </c>
      <c r="G314" s="594"/>
      <c r="H314" s="594" t="s">
        <v>551</v>
      </c>
      <c r="I314" s="594">
        <v>17</v>
      </c>
      <c r="J314" s="588">
        <v>8000</v>
      </c>
      <c r="K314" s="594">
        <v>17</v>
      </c>
      <c r="L314" s="590"/>
      <c r="M314" s="591"/>
      <c r="N314" s="592" t="str">
        <f t="shared" si="21"/>
        <v/>
      </c>
      <c r="O314" s="592" t="str">
        <f t="shared" si="19"/>
        <v/>
      </c>
      <c r="P314" s="593" t="s">
        <v>774</v>
      </c>
      <c r="Q314" s="593" t="s">
        <v>2450</v>
      </c>
      <c r="R314" s="593" t="s">
        <v>2452</v>
      </c>
      <c r="S314" s="594" t="s">
        <v>551</v>
      </c>
      <c r="T314" s="594" t="str">
        <f t="shared" si="20"/>
        <v/>
      </c>
      <c r="U314" s="611"/>
      <c r="V314" s="626"/>
    </row>
    <row r="315" spans="1:28" ht="15.8" customHeight="1">
      <c r="A315" s="592" t="s">
        <v>1582</v>
      </c>
      <c r="B315" s="592" t="s">
        <v>218</v>
      </c>
      <c r="C315" s="592"/>
      <c r="D315" s="592" t="s">
        <v>88</v>
      </c>
      <c r="E315" s="587" t="s">
        <v>2735</v>
      </c>
      <c r="F315" s="598">
        <v>39900</v>
      </c>
      <c r="G315" s="599" t="s">
        <v>1363</v>
      </c>
      <c r="H315" s="599" t="s">
        <v>551</v>
      </c>
      <c r="I315" s="599">
        <v>17</v>
      </c>
      <c r="J315" s="598">
        <v>48200</v>
      </c>
      <c r="K315" s="599">
        <v>17</v>
      </c>
      <c r="L315" s="601"/>
      <c r="M315" s="602"/>
      <c r="N315" s="592" t="str">
        <f t="shared" si="21"/>
        <v/>
      </c>
      <c r="O315" s="592" t="str">
        <f t="shared" si="19"/>
        <v/>
      </c>
      <c r="P315" s="593" t="s">
        <v>218</v>
      </c>
      <c r="Q315" s="593" t="s">
        <v>2450</v>
      </c>
      <c r="R315" s="593" t="s">
        <v>2452</v>
      </c>
      <c r="S315" s="599" t="s">
        <v>551</v>
      </c>
      <c r="T315" s="594" t="str">
        <f t="shared" si="20"/>
        <v/>
      </c>
      <c r="U315" s="614"/>
      <c r="V315" s="611"/>
    </row>
    <row r="316" spans="1:28" ht="15.8" customHeight="1">
      <c r="A316" s="625" t="s">
        <v>1525</v>
      </c>
      <c r="B316" s="625" t="s">
        <v>231</v>
      </c>
      <c r="C316" s="625"/>
      <c r="D316" s="625" t="s">
        <v>88</v>
      </c>
      <c r="E316" s="587" t="s">
        <v>2736</v>
      </c>
      <c r="F316" s="588">
        <v>4140</v>
      </c>
      <c r="G316" s="594"/>
      <c r="H316" s="594" t="s">
        <v>551</v>
      </c>
      <c r="I316" s="594">
        <v>7</v>
      </c>
      <c r="J316" s="588">
        <v>5400</v>
      </c>
      <c r="K316" s="594">
        <v>7</v>
      </c>
      <c r="L316" s="590"/>
      <c r="M316" s="591"/>
      <c r="N316" s="592" t="str">
        <f t="shared" si="21"/>
        <v/>
      </c>
      <c r="O316" s="592" t="str">
        <f t="shared" si="19"/>
        <v/>
      </c>
      <c r="P316" s="593" t="s">
        <v>231</v>
      </c>
      <c r="Q316" s="593" t="s">
        <v>2450</v>
      </c>
      <c r="R316" s="593" t="s">
        <v>2452</v>
      </c>
      <c r="S316" s="594" t="s">
        <v>551</v>
      </c>
      <c r="T316" s="594" t="str">
        <f t="shared" si="20"/>
        <v/>
      </c>
      <c r="U316" s="611"/>
      <c r="V316" s="794"/>
    </row>
    <row r="317" spans="1:28" ht="15.8" customHeight="1">
      <c r="A317" s="587" t="s">
        <v>1405</v>
      </c>
      <c r="B317" s="587" t="s">
        <v>224</v>
      </c>
      <c r="C317" s="587"/>
      <c r="D317" s="587" t="s">
        <v>88</v>
      </c>
      <c r="E317" s="587" t="s">
        <v>2736</v>
      </c>
      <c r="F317" s="588">
        <v>3794.9999999999995</v>
      </c>
      <c r="G317" s="589"/>
      <c r="H317" s="589" t="s">
        <v>551</v>
      </c>
      <c r="I317" s="589">
        <v>7</v>
      </c>
      <c r="J317" s="588">
        <v>4900</v>
      </c>
      <c r="K317" s="589">
        <v>7</v>
      </c>
      <c r="L317" s="590"/>
      <c r="M317" s="591"/>
      <c r="N317" s="592" t="str">
        <f t="shared" si="21"/>
        <v/>
      </c>
      <c r="O317" s="592" t="str">
        <f t="shared" si="19"/>
        <v/>
      </c>
      <c r="P317" s="593" t="s">
        <v>224</v>
      </c>
      <c r="Q317" s="593" t="s">
        <v>2450</v>
      </c>
      <c r="R317" s="593" t="s">
        <v>2452</v>
      </c>
      <c r="S317" s="589" t="s">
        <v>551</v>
      </c>
      <c r="T317" s="594" t="str">
        <f t="shared" si="20"/>
        <v/>
      </c>
      <c r="U317" s="615"/>
      <c r="V317" s="611"/>
    </row>
    <row r="318" spans="1:28" ht="15.8" customHeight="1">
      <c r="A318" s="592" t="s">
        <v>1513</v>
      </c>
      <c r="B318" s="592" t="s">
        <v>661</v>
      </c>
      <c r="C318" s="592"/>
      <c r="D318" s="592" t="s">
        <v>602</v>
      </c>
      <c r="E318" s="592" t="s">
        <v>2445</v>
      </c>
      <c r="F318" s="598">
        <v>25000</v>
      </c>
      <c r="G318" s="599" t="s">
        <v>1363</v>
      </c>
      <c r="H318" s="599" t="s">
        <v>551</v>
      </c>
      <c r="I318" s="599">
        <v>10</v>
      </c>
      <c r="J318" s="598">
        <v>9100</v>
      </c>
      <c r="K318" s="599">
        <v>17</v>
      </c>
      <c r="L318" s="601"/>
      <c r="M318" s="602"/>
      <c r="N318" s="592" t="str">
        <f t="shared" si="21"/>
        <v/>
      </c>
      <c r="O318" s="592" t="str">
        <f t="shared" si="19"/>
        <v/>
      </c>
      <c r="P318" s="767"/>
      <c r="Q318" s="767"/>
      <c r="R318" s="767"/>
      <c r="S318" s="599" t="s">
        <v>551</v>
      </c>
      <c r="T318" s="594" t="str">
        <f t="shared" si="20"/>
        <v/>
      </c>
      <c r="U318" s="611"/>
      <c r="V318" s="611"/>
    </row>
    <row r="319" spans="1:28" ht="15.8" customHeight="1">
      <c r="A319" s="1248" t="s">
        <v>1630</v>
      </c>
      <c r="B319" s="1248" t="s">
        <v>744</v>
      </c>
      <c r="C319" s="1248"/>
      <c r="D319" s="1248" t="s">
        <v>602</v>
      </c>
      <c r="E319" s="1248" t="s">
        <v>2445</v>
      </c>
      <c r="F319" s="1253">
        <v>5865</v>
      </c>
      <c r="G319" s="1254"/>
      <c r="H319" s="1254" t="s">
        <v>551</v>
      </c>
      <c r="I319" s="1254">
        <v>17</v>
      </c>
      <c r="J319" s="1253">
        <v>7700</v>
      </c>
      <c r="K319" s="1254">
        <v>17</v>
      </c>
      <c r="L319" s="1255"/>
      <c r="M319" s="1249"/>
      <c r="N319" s="1256" t="str">
        <f t="shared" si="21"/>
        <v/>
      </c>
      <c r="O319" s="1256" t="str">
        <f t="shared" si="19"/>
        <v/>
      </c>
      <c r="P319" s="1257" t="s">
        <v>744</v>
      </c>
      <c r="Q319" s="1257" t="s">
        <v>2450</v>
      </c>
      <c r="R319" s="1257" t="s">
        <v>2452</v>
      </c>
      <c r="S319" s="1254" t="s">
        <v>551</v>
      </c>
      <c r="T319" s="1258" t="str">
        <f t="shared" si="20"/>
        <v/>
      </c>
      <c r="U319" s="1251"/>
      <c r="V319" s="1251"/>
    </row>
    <row r="320" spans="1:28" ht="15.8" customHeight="1">
      <c r="A320" s="625" t="s">
        <v>1686</v>
      </c>
      <c r="B320" s="625" t="s">
        <v>781</v>
      </c>
      <c r="C320" s="625"/>
      <c r="D320" s="625" t="s">
        <v>602</v>
      </c>
      <c r="E320" s="625" t="s">
        <v>2445</v>
      </c>
      <c r="F320" s="588">
        <v>7000</v>
      </c>
      <c r="G320" s="594"/>
      <c r="H320" s="594" t="s">
        <v>551</v>
      </c>
      <c r="I320" s="594">
        <v>5</v>
      </c>
      <c r="J320" s="588">
        <v>9000</v>
      </c>
      <c r="K320" s="594">
        <v>5</v>
      </c>
      <c r="L320" s="590"/>
      <c r="M320" s="591"/>
      <c r="N320" s="592" t="str">
        <f t="shared" si="21"/>
        <v/>
      </c>
      <c r="O320" s="592" t="str">
        <f t="shared" si="19"/>
        <v/>
      </c>
      <c r="P320" s="593" t="s">
        <v>781</v>
      </c>
      <c r="Q320" s="593" t="s">
        <v>2450</v>
      </c>
      <c r="R320" s="593" t="s">
        <v>2452</v>
      </c>
      <c r="S320" s="594" t="s">
        <v>551</v>
      </c>
      <c r="T320" s="594" t="str">
        <f t="shared" si="20"/>
        <v/>
      </c>
      <c r="U320" s="600"/>
      <c r="V320" s="614"/>
    </row>
    <row r="321" spans="1:28" ht="15.8" customHeight="1">
      <c r="A321" s="587" t="s">
        <v>1723</v>
      </c>
      <c r="B321" s="587" t="s">
        <v>807</v>
      </c>
      <c r="C321" s="587"/>
      <c r="D321" s="587" t="s">
        <v>602</v>
      </c>
      <c r="E321" s="587" t="s">
        <v>2445</v>
      </c>
      <c r="F321" s="588">
        <v>5405</v>
      </c>
      <c r="G321" s="589"/>
      <c r="H321" s="589" t="s">
        <v>551</v>
      </c>
      <c r="I321" s="589">
        <v>5</v>
      </c>
      <c r="J321" s="597">
        <v>7000</v>
      </c>
      <c r="K321" s="589">
        <v>5</v>
      </c>
      <c r="L321" s="590"/>
      <c r="M321" s="591"/>
      <c r="N321" s="592" t="str">
        <f t="shared" si="21"/>
        <v/>
      </c>
      <c r="O321" s="592" t="str">
        <f t="shared" si="19"/>
        <v/>
      </c>
      <c r="P321" s="593" t="s">
        <v>807</v>
      </c>
      <c r="Q321" s="593" t="s">
        <v>2450</v>
      </c>
      <c r="R321" s="593" t="s">
        <v>2452</v>
      </c>
      <c r="S321" s="589" t="s">
        <v>551</v>
      </c>
      <c r="T321" s="594" t="str">
        <f t="shared" si="20"/>
        <v/>
      </c>
      <c r="U321" s="615"/>
      <c r="V321" s="600"/>
    </row>
    <row r="322" spans="1:28" ht="15.8" customHeight="1">
      <c r="A322" s="587" t="s">
        <v>1739</v>
      </c>
      <c r="B322" s="587" t="s">
        <v>365</v>
      </c>
      <c r="C322" s="587"/>
      <c r="D322" s="587" t="s">
        <v>602</v>
      </c>
      <c r="E322" s="587" t="s">
        <v>2445</v>
      </c>
      <c r="F322" s="588">
        <v>4024.9999999999995</v>
      </c>
      <c r="G322" s="589"/>
      <c r="H322" s="589" t="s">
        <v>551</v>
      </c>
      <c r="I322" s="589">
        <v>5</v>
      </c>
      <c r="J322" s="588">
        <v>5000</v>
      </c>
      <c r="K322" s="589">
        <v>5</v>
      </c>
      <c r="L322" s="590"/>
      <c r="M322" s="591"/>
      <c r="N322" s="592" t="str">
        <f t="shared" si="21"/>
        <v/>
      </c>
      <c r="O322" s="592" t="str">
        <f t="shared" si="19"/>
        <v/>
      </c>
      <c r="P322" s="593" t="s">
        <v>365</v>
      </c>
      <c r="Q322" s="593" t="s">
        <v>2450</v>
      </c>
      <c r="R322" s="593" t="s">
        <v>2452</v>
      </c>
      <c r="S322" s="589" t="s">
        <v>551</v>
      </c>
      <c r="T322" s="594" t="str">
        <f t="shared" si="20"/>
        <v/>
      </c>
      <c r="U322" s="614"/>
      <c r="V322" s="611"/>
    </row>
    <row r="323" spans="1:28" ht="15.8" customHeight="1">
      <c r="A323" s="620" t="s">
        <v>1822</v>
      </c>
      <c r="B323" s="620" t="s">
        <v>859</v>
      </c>
      <c r="C323" s="620"/>
      <c r="D323" s="620" t="s">
        <v>602</v>
      </c>
      <c r="E323" s="625" t="s">
        <v>2445</v>
      </c>
      <c r="F323" s="621">
        <v>4485</v>
      </c>
      <c r="G323" s="622"/>
      <c r="H323" s="622" t="s">
        <v>551</v>
      </c>
      <c r="I323" s="622">
        <v>5</v>
      </c>
      <c r="J323" s="621">
        <v>5900</v>
      </c>
      <c r="K323" s="622">
        <v>5</v>
      </c>
      <c r="L323" s="590"/>
      <c r="M323" s="591"/>
      <c r="N323" s="592" t="str">
        <f t="shared" si="21"/>
        <v/>
      </c>
      <c r="O323" s="592" t="str">
        <f t="shared" si="19"/>
        <v/>
      </c>
      <c r="P323" s="593" t="s">
        <v>859</v>
      </c>
      <c r="Q323" s="593" t="s">
        <v>2450</v>
      </c>
      <c r="R323" s="593" t="s">
        <v>2452</v>
      </c>
      <c r="S323" s="622" t="s">
        <v>551</v>
      </c>
      <c r="T323" s="594" t="str">
        <f t="shared" si="20"/>
        <v/>
      </c>
      <c r="U323" s="600"/>
      <c r="V323" s="600"/>
    </row>
    <row r="324" spans="1:28" ht="15.8" customHeight="1">
      <c r="A324" s="634" t="s">
        <v>1685</v>
      </c>
      <c r="B324" s="634" t="s">
        <v>780</v>
      </c>
      <c r="C324" s="634"/>
      <c r="D324" s="634" t="s">
        <v>553</v>
      </c>
      <c r="E324" s="634" t="s">
        <v>2704</v>
      </c>
      <c r="F324" s="636">
        <v>12649.999999999998</v>
      </c>
      <c r="G324" s="637"/>
      <c r="H324" s="637" t="s">
        <v>604</v>
      </c>
      <c r="I324" s="637">
        <v>7</v>
      </c>
      <c r="J324" s="636">
        <v>16450</v>
      </c>
      <c r="K324" s="637">
        <v>7</v>
      </c>
      <c r="L324" s="590"/>
      <c r="M324" s="602"/>
      <c r="N324" s="638" t="str">
        <f t="shared" si="21"/>
        <v/>
      </c>
      <c r="O324" s="638" t="str">
        <f t="shared" si="19"/>
        <v/>
      </c>
      <c r="P324" s="639" t="s">
        <v>780</v>
      </c>
      <c r="Q324" s="639" t="s">
        <v>2465</v>
      </c>
      <c r="R324" s="639" t="s">
        <v>2482</v>
      </c>
      <c r="S324" s="637" t="s">
        <v>604</v>
      </c>
      <c r="T324" s="640" t="str">
        <f t="shared" si="20"/>
        <v/>
      </c>
      <c r="U324" s="600"/>
      <c r="V324" s="611" t="s">
        <v>5990</v>
      </c>
    </row>
    <row r="325" spans="1:28" ht="15.8" customHeight="1">
      <c r="A325" s="587" t="s">
        <v>1733</v>
      </c>
      <c r="B325" s="587" t="s">
        <v>2404</v>
      </c>
      <c r="C325" s="587"/>
      <c r="D325" s="587" t="s">
        <v>759</v>
      </c>
      <c r="E325" s="587" t="s">
        <v>2709</v>
      </c>
      <c r="F325" s="588">
        <v>20240</v>
      </c>
      <c r="G325" s="589"/>
      <c r="H325" s="589" t="s">
        <v>551</v>
      </c>
      <c r="I325" s="589">
        <v>17</v>
      </c>
      <c r="J325" s="588">
        <v>26500</v>
      </c>
      <c r="K325" s="589">
        <v>17</v>
      </c>
      <c r="L325" s="590"/>
      <c r="M325" s="591"/>
      <c r="N325" s="592" t="str">
        <f t="shared" si="21"/>
        <v/>
      </c>
      <c r="O325" s="592" t="str">
        <f t="shared" ref="O325:O388" si="22">IF(OR(L325="x", M325="x"), A325 &amp; "     /     ", "")</f>
        <v/>
      </c>
      <c r="P325" s="593" t="s">
        <v>1733</v>
      </c>
      <c r="Q325" s="593" t="s">
        <v>2450</v>
      </c>
      <c r="R325" s="593" t="s">
        <v>2452</v>
      </c>
      <c r="S325" s="589" t="s">
        <v>551</v>
      </c>
      <c r="T325" s="594" t="str">
        <f t="shared" si="20"/>
        <v/>
      </c>
      <c r="U325" s="611"/>
      <c r="V325" s="600"/>
    </row>
    <row r="326" spans="1:28" ht="15.8" customHeight="1">
      <c r="A326" s="587" t="s">
        <v>2351</v>
      </c>
      <c r="B326" s="587" t="s">
        <v>2352</v>
      </c>
      <c r="C326" s="587" t="s">
        <v>816</v>
      </c>
      <c r="D326" s="587" t="s">
        <v>88</v>
      </c>
      <c r="E326" s="587" t="s">
        <v>2739</v>
      </c>
      <c r="F326" s="588">
        <v>1150</v>
      </c>
      <c r="G326" s="589"/>
      <c r="H326" s="589" t="s">
        <v>551</v>
      </c>
      <c r="I326" s="589">
        <v>1</v>
      </c>
      <c r="J326" s="588">
        <v>2000</v>
      </c>
      <c r="K326" s="589">
        <v>1</v>
      </c>
      <c r="L326" s="590"/>
      <c r="M326" s="591"/>
      <c r="N326" s="592" t="str">
        <f t="shared" si="21"/>
        <v/>
      </c>
      <c r="O326" s="592" t="str">
        <f t="shared" si="22"/>
        <v/>
      </c>
      <c r="P326" s="593" t="s">
        <v>2352</v>
      </c>
      <c r="Q326" s="593" t="s">
        <v>2450</v>
      </c>
      <c r="R326" s="593" t="s">
        <v>2452</v>
      </c>
      <c r="S326" s="589" t="s">
        <v>551</v>
      </c>
      <c r="T326" s="594" t="str">
        <f t="shared" si="20"/>
        <v/>
      </c>
      <c r="U326" s="611"/>
      <c r="V326" s="615"/>
    </row>
    <row r="327" spans="1:28" ht="15.8" customHeight="1">
      <c r="A327" s="592" t="s">
        <v>1638</v>
      </c>
      <c r="B327" s="592" t="s">
        <v>748</v>
      </c>
      <c r="C327" s="592"/>
      <c r="D327" s="592" t="s">
        <v>656</v>
      </c>
      <c r="E327" s="592" t="s">
        <v>742</v>
      </c>
      <c r="F327" s="598">
        <v>1590</v>
      </c>
      <c r="G327" s="599" t="s">
        <v>1363</v>
      </c>
      <c r="H327" s="599" t="s">
        <v>551</v>
      </c>
      <c r="I327" s="599">
        <v>3</v>
      </c>
      <c r="J327" s="598">
        <v>2100</v>
      </c>
      <c r="K327" s="599">
        <v>3</v>
      </c>
      <c r="L327" s="601"/>
      <c r="M327" s="602"/>
      <c r="N327" s="592" t="str">
        <f t="shared" si="21"/>
        <v/>
      </c>
      <c r="O327" s="592" t="str">
        <f t="shared" si="22"/>
        <v/>
      </c>
      <c r="P327" s="593" t="s">
        <v>748</v>
      </c>
      <c r="Q327" s="593" t="s">
        <v>2450</v>
      </c>
      <c r="R327" s="593" t="s">
        <v>2452</v>
      </c>
      <c r="S327" s="599" t="s">
        <v>551</v>
      </c>
      <c r="T327" s="594" t="str">
        <f t="shared" si="20"/>
        <v/>
      </c>
      <c r="U327" s="600"/>
      <c r="V327" s="611"/>
    </row>
    <row r="328" spans="1:28" ht="15.8" customHeight="1">
      <c r="A328" s="587" t="s">
        <v>598</v>
      </c>
      <c r="B328" s="587" t="s">
        <v>598</v>
      </c>
      <c r="C328" s="587"/>
      <c r="D328" s="587" t="s">
        <v>593</v>
      </c>
      <c r="E328" s="587" t="s">
        <v>593</v>
      </c>
      <c r="F328" s="588">
        <v>590</v>
      </c>
      <c r="G328" s="589"/>
      <c r="H328" s="589" t="s">
        <v>599</v>
      </c>
      <c r="I328" s="589">
        <v>1</v>
      </c>
      <c r="J328" s="588">
        <v>800</v>
      </c>
      <c r="K328" s="589">
        <v>1</v>
      </c>
      <c r="L328" s="590"/>
      <c r="M328" s="591"/>
      <c r="N328" s="592" t="str">
        <f t="shared" si="21"/>
        <v/>
      </c>
      <c r="O328" s="592" t="str">
        <f t="shared" si="22"/>
        <v/>
      </c>
      <c r="P328" s="593" t="s">
        <v>598</v>
      </c>
      <c r="Q328" s="593" t="s">
        <v>2468</v>
      </c>
      <c r="R328" s="593" t="s">
        <v>2469</v>
      </c>
      <c r="S328" s="589" t="s">
        <v>599</v>
      </c>
      <c r="T328" s="594" t="str">
        <f t="shared" si="20"/>
        <v/>
      </c>
      <c r="U328" s="614"/>
      <c r="V328" s="611"/>
    </row>
    <row r="329" spans="1:28" ht="15.8" customHeight="1">
      <c r="A329" s="810" t="s">
        <v>1632</v>
      </c>
      <c r="B329" s="810" t="s">
        <v>196</v>
      </c>
      <c r="C329" s="810" t="s">
        <v>477</v>
      </c>
      <c r="D329" s="810" t="s">
        <v>559</v>
      </c>
      <c r="E329" s="810" t="s">
        <v>559</v>
      </c>
      <c r="F329" s="811">
        <v>10925</v>
      </c>
      <c r="G329" s="812"/>
      <c r="H329" s="880" t="s">
        <v>5814</v>
      </c>
      <c r="I329" s="812">
        <v>15</v>
      </c>
      <c r="J329" s="811">
        <v>11600</v>
      </c>
      <c r="K329" s="812">
        <v>15</v>
      </c>
      <c r="L329" s="590"/>
      <c r="M329" s="591"/>
      <c r="N329" s="813" t="str">
        <f t="shared" si="21"/>
        <v/>
      </c>
      <c r="O329" s="813" t="str">
        <f t="shared" si="22"/>
        <v/>
      </c>
      <c r="P329" s="814" t="s">
        <v>196</v>
      </c>
      <c r="Q329" s="814" t="s">
        <v>2450</v>
      </c>
      <c r="R329" s="814" t="s">
        <v>2483</v>
      </c>
      <c r="S329" s="880" t="s">
        <v>5814</v>
      </c>
      <c r="T329" s="815" t="str">
        <f t="shared" si="20"/>
        <v/>
      </c>
      <c r="U329" s="614"/>
      <c r="V329" s="611"/>
    </row>
    <row r="330" spans="1:28" ht="15.8" customHeight="1">
      <c r="A330" s="592" t="s">
        <v>1775</v>
      </c>
      <c r="B330" s="592" t="s">
        <v>1776</v>
      </c>
      <c r="C330" s="592"/>
      <c r="D330" s="592" t="s">
        <v>567</v>
      </c>
      <c r="E330" s="587" t="s">
        <v>2734</v>
      </c>
      <c r="F330" s="598">
        <v>26900</v>
      </c>
      <c r="G330" s="599" t="s">
        <v>1363</v>
      </c>
      <c r="H330" s="599" t="s">
        <v>5930</v>
      </c>
      <c r="I330" s="599">
        <v>3</v>
      </c>
      <c r="J330" s="598">
        <v>35000</v>
      </c>
      <c r="K330" s="599">
        <v>3</v>
      </c>
      <c r="L330" s="590"/>
      <c r="M330" s="591"/>
      <c r="N330" s="592" t="str">
        <f t="shared" si="21"/>
        <v/>
      </c>
      <c r="O330" s="592" t="str">
        <f t="shared" si="22"/>
        <v/>
      </c>
      <c r="P330" s="593" t="s">
        <v>2684</v>
      </c>
      <c r="Q330" s="593" t="s">
        <v>2450</v>
      </c>
      <c r="R330" s="593" t="s">
        <v>2452</v>
      </c>
      <c r="S330" s="599" t="s">
        <v>5930</v>
      </c>
      <c r="T330" s="594" t="str">
        <f t="shared" si="20"/>
        <v/>
      </c>
      <c r="U330" s="611"/>
      <c r="V330" s="615"/>
    </row>
    <row r="331" spans="1:28" s="618" customFormat="1" ht="15.8" customHeight="1">
      <c r="A331" s="592" t="s">
        <v>1777</v>
      </c>
      <c r="B331" s="592" t="s">
        <v>1778</v>
      </c>
      <c r="C331" s="592"/>
      <c r="D331" s="592" t="s">
        <v>567</v>
      </c>
      <c r="E331" s="587" t="s">
        <v>2734</v>
      </c>
      <c r="F331" s="598">
        <v>70000</v>
      </c>
      <c r="G331" s="599" t="s">
        <v>1363</v>
      </c>
      <c r="H331" s="599" t="s">
        <v>5930</v>
      </c>
      <c r="I331" s="599" t="s">
        <v>407</v>
      </c>
      <c r="J331" s="598">
        <v>88000</v>
      </c>
      <c r="K331" s="599" t="s">
        <v>407</v>
      </c>
      <c r="L331" s="601"/>
      <c r="M331" s="602"/>
      <c r="N331" s="592" t="str">
        <f t="shared" si="21"/>
        <v/>
      </c>
      <c r="O331" s="592" t="str">
        <f t="shared" si="22"/>
        <v/>
      </c>
      <c r="P331" s="593" t="s">
        <v>2685</v>
      </c>
      <c r="Q331" s="593" t="s">
        <v>2450</v>
      </c>
      <c r="R331" s="593" t="s">
        <v>2452</v>
      </c>
      <c r="S331" s="599" t="s">
        <v>5930</v>
      </c>
      <c r="T331" s="594" t="str">
        <f t="shared" si="20"/>
        <v/>
      </c>
      <c r="U331" s="607"/>
      <c r="V331" s="600"/>
      <c r="W331" s="785"/>
      <c r="X331" s="785"/>
      <c r="Y331" s="785"/>
      <c r="Z331" s="785"/>
      <c r="AA331" s="785"/>
      <c r="AB331" s="785"/>
    </row>
    <row r="332" spans="1:28" ht="15.8" customHeight="1">
      <c r="A332" s="810" t="s">
        <v>1647</v>
      </c>
      <c r="B332" s="810" t="s">
        <v>753</v>
      </c>
      <c r="C332" s="813" t="s">
        <v>477</v>
      </c>
      <c r="D332" s="810" t="s">
        <v>593</v>
      </c>
      <c r="E332" s="810" t="s">
        <v>593</v>
      </c>
      <c r="F332" s="811">
        <v>8395</v>
      </c>
      <c r="G332" s="812"/>
      <c r="H332" s="812" t="s">
        <v>595</v>
      </c>
      <c r="I332" s="812">
        <v>15</v>
      </c>
      <c r="J332" s="811">
        <v>11000</v>
      </c>
      <c r="K332" s="812">
        <v>15</v>
      </c>
      <c r="L332" s="601"/>
      <c r="M332" s="602"/>
      <c r="N332" s="813" t="str">
        <f t="shared" si="21"/>
        <v/>
      </c>
      <c r="O332" s="813" t="str">
        <f t="shared" si="22"/>
        <v/>
      </c>
      <c r="P332" s="814" t="s">
        <v>753</v>
      </c>
      <c r="Q332" s="814" t="s">
        <v>5825</v>
      </c>
      <c r="R332" s="814" t="s">
        <v>2463</v>
      </c>
      <c r="S332" s="812" t="s">
        <v>595</v>
      </c>
      <c r="T332" s="815" t="str">
        <f t="shared" si="20"/>
        <v/>
      </c>
      <c r="U332" s="611"/>
      <c r="V332" s="611"/>
    </row>
    <row r="333" spans="1:28" ht="15.8" customHeight="1">
      <c r="A333" s="620" t="s">
        <v>1772</v>
      </c>
      <c r="B333" s="620" t="s">
        <v>236</v>
      </c>
      <c r="C333" s="620"/>
      <c r="D333" s="620" t="s">
        <v>88</v>
      </c>
      <c r="E333" s="620" t="s">
        <v>2736</v>
      </c>
      <c r="F333" s="621">
        <v>6324.9999999999991</v>
      </c>
      <c r="G333" s="622"/>
      <c r="H333" s="622" t="s">
        <v>551</v>
      </c>
      <c r="I333" s="622">
        <v>5</v>
      </c>
      <c r="J333" s="621">
        <v>8400</v>
      </c>
      <c r="K333" s="589">
        <v>5</v>
      </c>
      <c r="L333" s="590"/>
      <c r="M333" s="591"/>
      <c r="N333" s="592" t="str">
        <f t="shared" si="21"/>
        <v/>
      </c>
      <c r="O333" s="592" t="str">
        <f t="shared" si="22"/>
        <v/>
      </c>
      <c r="P333" s="593" t="s">
        <v>236</v>
      </c>
      <c r="Q333" s="593" t="s">
        <v>2450</v>
      </c>
      <c r="R333" s="593" t="s">
        <v>2452</v>
      </c>
      <c r="S333" s="622" t="s">
        <v>551</v>
      </c>
      <c r="T333" s="594" t="str">
        <f t="shared" si="20"/>
        <v/>
      </c>
      <c r="U333" s="614"/>
      <c r="V333" s="614"/>
    </row>
    <row r="334" spans="1:28" ht="15.8" customHeight="1">
      <c r="A334" s="587" t="s">
        <v>1654</v>
      </c>
      <c r="B334" s="587" t="s">
        <v>757</v>
      </c>
      <c r="C334" s="587"/>
      <c r="D334" s="587" t="s">
        <v>88</v>
      </c>
      <c r="E334" s="587" t="s">
        <v>2736</v>
      </c>
      <c r="F334" s="588">
        <v>8625</v>
      </c>
      <c r="G334" s="589"/>
      <c r="H334" s="589" t="s">
        <v>551</v>
      </c>
      <c r="I334" s="589">
        <v>17</v>
      </c>
      <c r="J334" s="588">
        <v>11200</v>
      </c>
      <c r="K334" s="589">
        <v>17</v>
      </c>
      <c r="L334" s="590"/>
      <c r="M334" s="591"/>
      <c r="N334" s="592" t="str">
        <f t="shared" si="21"/>
        <v/>
      </c>
      <c r="O334" s="592" t="str">
        <f t="shared" si="22"/>
        <v/>
      </c>
      <c r="P334" s="593" t="s">
        <v>757</v>
      </c>
      <c r="Q334" s="593" t="s">
        <v>2450</v>
      </c>
      <c r="R334" s="593" t="s">
        <v>2452</v>
      </c>
      <c r="S334" s="589" t="s">
        <v>551</v>
      </c>
      <c r="T334" s="594" t="str">
        <f t="shared" si="20"/>
        <v/>
      </c>
      <c r="U334" s="611"/>
      <c r="V334" s="611"/>
    </row>
    <row r="335" spans="1:28" ht="15.8" customHeight="1">
      <c r="A335" s="625" t="s">
        <v>1458</v>
      </c>
      <c r="B335" s="625" t="s">
        <v>226</v>
      </c>
      <c r="C335" s="625"/>
      <c r="D335" s="625" t="s">
        <v>550</v>
      </c>
      <c r="E335" s="625" t="s">
        <v>2426</v>
      </c>
      <c r="F335" s="588">
        <v>1265</v>
      </c>
      <c r="G335" s="594"/>
      <c r="H335" s="594" t="s">
        <v>551</v>
      </c>
      <c r="I335" s="594">
        <v>3</v>
      </c>
      <c r="J335" s="588">
        <v>1600</v>
      </c>
      <c r="K335" s="594">
        <v>3</v>
      </c>
      <c r="L335" s="590"/>
      <c r="M335" s="591"/>
      <c r="N335" s="592" t="str">
        <f t="shared" si="21"/>
        <v/>
      </c>
      <c r="O335" s="592" t="str">
        <f t="shared" si="22"/>
        <v/>
      </c>
      <c r="P335" s="593" t="s">
        <v>226</v>
      </c>
      <c r="Q335" s="593" t="s">
        <v>2450</v>
      </c>
      <c r="R335" s="593" t="s">
        <v>2452</v>
      </c>
      <c r="S335" s="594" t="s">
        <v>551</v>
      </c>
      <c r="T335" s="594" t="str">
        <f t="shared" si="20"/>
        <v/>
      </c>
      <c r="U335" s="611"/>
      <c r="V335" s="611"/>
    </row>
    <row r="336" spans="1:28" ht="15.8" customHeight="1">
      <c r="A336" s="587" t="s">
        <v>1459</v>
      </c>
      <c r="B336" s="587" t="s">
        <v>227</v>
      </c>
      <c r="C336" s="587"/>
      <c r="D336" s="587" t="s">
        <v>550</v>
      </c>
      <c r="E336" s="587" t="s">
        <v>2426</v>
      </c>
      <c r="F336" s="588">
        <v>1265</v>
      </c>
      <c r="G336" s="589"/>
      <c r="H336" s="589" t="s">
        <v>551</v>
      </c>
      <c r="I336" s="589">
        <v>3</v>
      </c>
      <c r="J336" s="588">
        <v>1600</v>
      </c>
      <c r="K336" s="589">
        <v>3</v>
      </c>
      <c r="L336" s="590"/>
      <c r="M336" s="591"/>
      <c r="N336" s="592" t="str">
        <f t="shared" si="21"/>
        <v/>
      </c>
      <c r="O336" s="592" t="str">
        <f t="shared" si="22"/>
        <v/>
      </c>
      <c r="P336" s="593" t="s">
        <v>227</v>
      </c>
      <c r="Q336" s="593" t="s">
        <v>2450</v>
      </c>
      <c r="R336" s="593" t="s">
        <v>2452</v>
      </c>
      <c r="S336" s="589" t="s">
        <v>551</v>
      </c>
      <c r="T336" s="594" t="str">
        <f t="shared" si="20"/>
        <v/>
      </c>
      <c r="U336" s="611"/>
      <c r="V336" s="611"/>
    </row>
    <row r="337" spans="1:49" ht="15.8" customHeight="1">
      <c r="A337" s="810" t="s">
        <v>1585</v>
      </c>
      <c r="B337" s="810" t="s">
        <v>1586</v>
      </c>
      <c r="C337" s="810" t="s">
        <v>477</v>
      </c>
      <c r="D337" s="810" t="s">
        <v>88</v>
      </c>
      <c r="E337" s="810" t="s">
        <v>2738</v>
      </c>
      <c r="F337" s="811">
        <v>11000</v>
      </c>
      <c r="G337" s="812"/>
      <c r="H337" s="880" t="s">
        <v>5814</v>
      </c>
      <c r="I337" s="812">
        <v>17</v>
      </c>
      <c r="J337" s="811">
        <v>14300</v>
      </c>
      <c r="K337" s="812">
        <v>17</v>
      </c>
      <c r="L337" s="601"/>
      <c r="M337" s="602"/>
      <c r="N337" s="813" t="str">
        <f t="shared" si="21"/>
        <v/>
      </c>
      <c r="O337" s="813" t="str">
        <f t="shared" si="22"/>
        <v/>
      </c>
      <c r="P337" s="1194" t="s">
        <v>2623</v>
      </c>
      <c r="Q337" s="1194" t="s">
        <v>2450</v>
      </c>
      <c r="R337" s="1194" t="s">
        <v>2516</v>
      </c>
      <c r="S337" s="880" t="s">
        <v>5814</v>
      </c>
      <c r="T337" s="815" t="str">
        <f t="shared" si="20"/>
        <v/>
      </c>
      <c r="U337" s="611"/>
      <c r="V337" s="607"/>
    </row>
    <row r="338" spans="1:49" ht="15.8" customHeight="1">
      <c r="A338" s="587" t="s">
        <v>1529</v>
      </c>
      <c r="B338" s="587" t="s">
        <v>46</v>
      </c>
      <c r="C338" s="587"/>
      <c r="D338" s="587" t="s">
        <v>550</v>
      </c>
      <c r="E338" s="587" t="s">
        <v>2434</v>
      </c>
      <c r="F338" s="588">
        <v>1699</v>
      </c>
      <c r="G338" s="589"/>
      <c r="H338" s="589" t="s">
        <v>551</v>
      </c>
      <c r="I338" s="589">
        <v>3</v>
      </c>
      <c r="J338" s="588">
        <v>2700</v>
      </c>
      <c r="K338" s="589">
        <v>3</v>
      </c>
      <c r="L338" s="590"/>
      <c r="M338" s="591"/>
      <c r="N338" s="592" t="str">
        <f t="shared" si="21"/>
        <v/>
      </c>
      <c r="O338" s="592" t="str">
        <f t="shared" si="22"/>
        <v/>
      </c>
      <c r="P338" s="593" t="s">
        <v>46</v>
      </c>
      <c r="Q338" s="593" t="s">
        <v>2450</v>
      </c>
      <c r="R338" s="593" t="s">
        <v>2452</v>
      </c>
      <c r="S338" s="589" t="s">
        <v>551</v>
      </c>
      <c r="T338" s="594" t="str">
        <f t="shared" si="20"/>
        <v/>
      </c>
      <c r="U338" s="611"/>
      <c r="V338" s="600"/>
    </row>
    <row r="339" spans="1:49" ht="15.8" customHeight="1">
      <c r="A339" s="587" t="s">
        <v>1470</v>
      </c>
      <c r="B339" s="587" t="s">
        <v>2382</v>
      </c>
      <c r="C339" s="587"/>
      <c r="D339" s="587" t="s">
        <v>88</v>
      </c>
      <c r="E339" s="587" t="s">
        <v>2737</v>
      </c>
      <c r="F339" s="588">
        <v>46805</v>
      </c>
      <c r="G339" s="589"/>
      <c r="H339" s="589" t="s">
        <v>627</v>
      </c>
      <c r="I339" s="589">
        <v>7</v>
      </c>
      <c r="J339" s="588">
        <v>60000</v>
      </c>
      <c r="K339" s="589">
        <v>7</v>
      </c>
      <c r="L339" s="590"/>
      <c r="M339" s="591"/>
      <c r="N339" s="592" t="str">
        <f t="shared" si="21"/>
        <v/>
      </c>
      <c r="O339" s="592" t="str">
        <f t="shared" si="22"/>
        <v/>
      </c>
      <c r="P339" s="593" t="s">
        <v>2599</v>
      </c>
      <c r="Q339" s="593" t="s">
        <v>2474</v>
      </c>
      <c r="R339" s="593" t="s">
        <v>2484</v>
      </c>
      <c r="S339" s="589" t="s">
        <v>627</v>
      </c>
      <c r="T339" s="594" t="str">
        <f t="shared" si="20"/>
        <v/>
      </c>
      <c r="U339" s="611"/>
      <c r="V339" s="611"/>
    </row>
    <row r="340" spans="1:49" ht="15.8" customHeight="1">
      <c r="A340" s="587" t="s">
        <v>1434</v>
      </c>
      <c r="B340" s="587" t="s">
        <v>115</v>
      </c>
      <c r="C340" s="587"/>
      <c r="D340" s="587" t="s">
        <v>103</v>
      </c>
      <c r="E340" s="587" t="s">
        <v>103</v>
      </c>
      <c r="F340" s="588">
        <v>4500</v>
      </c>
      <c r="G340" s="589"/>
      <c r="H340" s="589" t="s">
        <v>551</v>
      </c>
      <c r="I340" s="589">
        <v>3</v>
      </c>
      <c r="J340" s="588">
        <v>7000</v>
      </c>
      <c r="K340" s="589">
        <v>3</v>
      </c>
      <c r="L340" s="590"/>
      <c r="M340" s="591"/>
      <c r="N340" s="592" t="str">
        <f t="shared" si="21"/>
        <v/>
      </c>
      <c r="O340" s="592" t="str">
        <f t="shared" si="22"/>
        <v/>
      </c>
      <c r="P340" s="593" t="s">
        <v>115</v>
      </c>
      <c r="Q340" s="593" t="s">
        <v>2450</v>
      </c>
      <c r="R340" s="593" t="s">
        <v>2452</v>
      </c>
      <c r="S340" s="589" t="s">
        <v>551</v>
      </c>
      <c r="T340" s="594" t="str">
        <f t="shared" si="20"/>
        <v/>
      </c>
      <c r="U340" s="611"/>
      <c r="V340" s="611"/>
    </row>
    <row r="341" spans="1:49" ht="15.8" customHeight="1">
      <c r="A341" s="1262" t="s">
        <v>5753</v>
      </c>
      <c r="B341" s="1263" t="s">
        <v>5754</v>
      </c>
      <c r="C341" s="813" t="s">
        <v>477</v>
      </c>
      <c r="D341" s="1262" t="s">
        <v>593</v>
      </c>
      <c r="E341" s="1262" t="s">
        <v>593</v>
      </c>
      <c r="F341" s="811">
        <v>8000</v>
      </c>
      <c r="G341" s="1264"/>
      <c r="H341" s="1265" t="s">
        <v>595</v>
      </c>
      <c r="I341" s="1265">
        <v>15</v>
      </c>
      <c r="J341" s="811">
        <v>10400</v>
      </c>
      <c r="K341" s="1266"/>
      <c r="L341" s="655"/>
      <c r="M341" s="656"/>
      <c r="N341" s="813" t="str">
        <f t="shared" si="21"/>
        <v/>
      </c>
      <c r="O341" s="813" t="str">
        <f t="shared" si="22"/>
        <v/>
      </c>
      <c r="P341" s="814"/>
      <c r="Q341" s="814" t="s">
        <v>5825</v>
      </c>
      <c r="R341" s="1267" t="s">
        <v>5819</v>
      </c>
      <c r="S341" s="1266" t="s">
        <v>595</v>
      </c>
      <c r="T341" s="815" t="str">
        <f t="shared" si="20"/>
        <v/>
      </c>
      <c r="U341" s="611"/>
      <c r="V341" s="611"/>
    </row>
    <row r="342" spans="1:49" ht="15.8" customHeight="1">
      <c r="A342" s="810" t="s">
        <v>1795</v>
      </c>
      <c r="B342" s="810" t="s">
        <v>1796</v>
      </c>
      <c r="C342" s="810" t="s">
        <v>477</v>
      </c>
      <c r="D342" s="810" t="s">
        <v>88</v>
      </c>
      <c r="E342" s="810" t="s">
        <v>2736</v>
      </c>
      <c r="F342" s="811">
        <v>11000</v>
      </c>
      <c r="G342" s="812"/>
      <c r="H342" s="880" t="s">
        <v>5814</v>
      </c>
      <c r="I342" s="812">
        <v>17</v>
      </c>
      <c r="J342" s="811">
        <v>14300</v>
      </c>
      <c r="K342" s="812">
        <v>17</v>
      </c>
      <c r="L342" s="601"/>
      <c r="M342" s="602"/>
      <c r="N342" s="813" t="str">
        <f t="shared" si="21"/>
        <v/>
      </c>
      <c r="O342" s="813" t="str">
        <f t="shared" si="22"/>
        <v/>
      </c>
      <c r="P342" s="814" t="s">
        <v>1796</v>
      </c>
      <c r="Q342" s="814" t="s">
        <v>2450</v>
      </c>
      <c r="R342" s="814" t="s">
        <v>2516</v>
      </c>
      <c r="S342" s="880" t="s">
        <v>5814</v>
      </c>
      <c r="T342" s="815" t="str">
        <f t="shared" si="20"/>
        <v/>
      </c>
      <c r="U342" s="611"/>
      <c r="V342" s="797"/>
    </row>
    <row r="343" spans="1:49" s="618" customFormat="1" ht="15.8" customHeight="1">
      <c r="A343" s="592" t="s">
        <v>1453</v>
      </c>
      <c r="B343" s="592" t="s">
        <v>618</v>
      </c>
      <c r="C343" s="592"/>
      <c r="D343" s="592" t="s">
        <v>607</v>
      </c>
      <c r="E343" s="592" t="s">
        <v>2741</v>
      </c>
      <c r="F343" s="598">
        <v>6500</v>
      </c>
      <c r="G343" s="599" t="s">
        <v>1363</v>
      </c>
      <c r="H343" s="599" t="s">
        <v>608</v>
      </c>
      <c r="I343" s="599" t="s">
        <v>350</v>
      </c>
      <c r="J343" s="598">
        <v>8400</v>
      </c>
      <c r="K343" s="599" t="s">
        <v>350</v>
      </c>
      <c r="L343" s="601"/>
      <c r="M343" s="602"/>
      <c r="N343" s="592" t="str">
        <f t="shared" si="21"/>
        <v/>
      </c>
      <c r="O343" s="592" t="str">
        <f t="shared" si="22"/>
        <v/>
      </c>
      <c r="P343" s="593" t="s">
        <v>2594</v>
      </c>
      <c r="Q343" s="593" t="s">
        <v>2472</v>
      </c>
      <c r="R343" s="593" t="s">
        <v>2473</v>
      </c>
      <c r="S343" s="599" t="s">
        <v>608</v>
      </c>
      <c r="T343" s="594" t="str">
        <f t="shared" si="20"/>
        <v/>
      </c>
      <c r="U343" s="611"/>
      <c r="V343" s="600"/>
      <c r="W343" s="785"/>
      <c r="X343" s="785"/>
      <c r="Y343" s="785"/>
      <c r="Z343" s="785"/>
      <c r="AA343" s="785"/>
      <c r="AB343" s="785"/>
    </row>
    <row r="344" spans="1:49" s="1074" customFormat="1" ht="15.8" customHeight="1">
      <c r="A344" s="592" t="s">
        <v>1620</v>
      </c>
      <c r="B344" s="592" t="s">
        <v>737</v>
      </c>
      <c r="C344" s="592"/>
      <c r="D344" s="592" t="s">
        <v>607</v>
      </c>
      <c r="E344" s="592" t="s">
        <v>2741</v>
      </c>
      <c r="F344" s="598">
        <v>10000</v>
      </c>
      <c r="G344" s="599" t="s">
        <v>1363</v>
      </c>
      <c r="H344" s="599" t="s">
        <v>738</v>
      </c>
      <c r="I344" s="599">
        <v>21</v>
      </c>
      <c r="J344" s="598">
        <v>13000</v>
      </c>
      <c r="K344" s="599">
        <v>21</v>
      </c>
      <c r="L344" s="601"/>
      <c r="M344" s="602"/>
      <c r="N344" s="592" t="str">
        <f t="shared" si="21"/>
        <v/>
      </c>
      <c r="O344" s="592" t="str">
        <f t="shared" si="22"/>
        <v/>
      </c>
      <c r="P344" s="593" t="s">
        <v>2635</v>
      </c>
      <c r="Q344" s="593" t="s">
        <v>2527</v>
      </c>
      <c r="R344" s="593" t="s">
        <v>2528</v>
      </c>
      <c r="S344" s="599" t="s">
        <v>738</v>
      </c>
      <c r="T344" s="594" t="str">
        <f t="shared" si="20"/>
        <v/>
      </c>
      <c r="U344" s="611"/>
      <c r="V344" s="611"/>
      <c r="W344" s="798"/>
      <c r="X344" s="798"/>
      <c r="Y344" s="798"/>
      <c r="Z344" s="798"/>
      <c r="AA344" s="798"/>
      <c r="AB344" s="798"/>
      <c r="AC344" s="798"/>
      <c r="AD344" s="798"/>
      <c r="AE344" s="798"/>
      <c r="AF344" s="798"/>
      <c r="AG344" s="798"/>
      <c r="AH344" s="798"/>
      <c r="AI344" s="798"/>
      <c r="AJ344" s="798"/>
      <c r="AK344" s="798"/>
      <c r="AL344" s="798"/>
      <c r="AM344" s="798"/>
      <c r="AN344" s="798"/>
      <c r="AO344" s="798"/>
      <c r="AP344" s="798"/>
      <c r="AQ344" s="798"/>
      <c r="AR344" s="798"/>
      <c r="AS344" s="798"/>
      <c r="AT344" s="798"/>
      <c r="AU344" s="798"/>
      <c r="AV344" s="798"/>
      <c r="AW344" s="798"/>
    </row>
    <row r="345" spans="1:49" s="618" customFormat="1" ht="15.8" customHeight="1">
      <c r="A345" s="1385" t="s">
        <v>6044</v>
      </c>
      <c r="B345" s="587" t="s">
        <v>6041</v>
      </c>
      <c r="C345" s="587"/>
      <c r="D345" s="587" t="s">
        <v>553</v>
      </c>
      <c r="E345" s="587"/>
      <c r="F345" s="588">
        <v>13900</v>
      </c>
      <c r="G345" s="589" t="s">
        <v>1363</v>
      </c>
      <c r="H345" s="589" t="s">
        <v>604</v>
      </c>
      <c r="I345" s="589">
        <v>12</v>
      </c>
      <c r="J345" s="588">
        <v>29000</v>
      </c>
      <c r="K345" s="589">
        <v>5</v>
      </c>
      <c r="L345" s="590"/>
      <c r="M345" s="591"/>
      <c r="N345" s="592" t="str">
        <f t="shared" si="21"/>
        <v/>
      </c>
      <c r="O345" s="592" t="str">
        <f t="shared" si="22"/>
        <v/>
      </c>
      <c r="P345" s="593" t="s">
        <v>2620</v>
      </c>
      <c r="Q345" s="593" t="s">
        <v>2486</v>
      </c>
      <c r="R345" s="593" t="s">
        <v>6042</v>
      </c>
      <c r="S345" s="589" t="s">
        <v>604</v>
      </c>
      <c r="T345" s="594" t="str">
        <f t="shared" si="20"/>
        <v/>
      </c>
      <c r="U345" s="611"/>
      <c r="V345" s="607"/>
      <c r="W345" s="785"/>
      <c r="X345" s="785"/>
      <c r="Y345" s="785"/>
      <c r="Z345" s="785"/>
      <c r="AA345" s="785"/>
      <c r="AB345" s="785"/>
    </row>
    <row r="346" spans="1:49" s="618" customFormat="1" ht="15.8" customHeight="1">
      <c r="A346" s="634" t="s">
        <v>1547</v>
      </c>
      <c r="B346" s="634" t="s">
        <v>693</v>
      </c>
      <c r="C346" s="634" t="s">
        <v>2373</v>
      </c>
      <c r="D346" s="634" t="s">
        <v>553</v>
      </c>
      <c r="E346" s="635" t="s">
        <v>2704</v>
      </c>
      <c r="F346" s="636">
        <v>15400</v>
      </c>
      <c r="G346" s="637"/>
      <c r="H346" s="637" t="s">
        <v>604</v>
      </c>
      <c r="I346" s="637">
        <v>12</v>
      </c>
      <c r="J346" s="636">
        <v>20200</v>
      </c>
      <c r="K346" s="637" t="s">
        <v>2444</v>
      </c>
      <c r="L346" s="590"/>
      <c r="M346" s="602"/>
      <c r="N346" s="638" t="str">
        <f t="shared" si="21"/>
        <v/>
      </c>
      <c r="O346" s="638" t="str">
        <f t="shared" si="22"/>
        <v/>
      </c>
      <c r="P346" s="639" t="s">
        <v>693</v>
      </c>
      <c r="Q346" s="639" t="s">
        <v>2465</v>
      </c>
      <c r="R346" s="639" t="s">
        <v>2482</v>
      </c>
      <c r="S346" s="637" t="s">
        <v>604</v>
      </c>
      <c r="T346" s="640" t="str">
        <f t="shared" si="20"/>
        <v/>
      </c>
      <c r="U346" s="611"/>
      <c r="V346" s="611" t="s">
        <v>5990</v>
      </c>
      <c r="W346" s="785"/>
      <c r="X346" s="785"/>
      <c r="Y346" s="785"/>
      <c r="Z346" s="785"/>
      <c r="AA346" s="785"/>
      <c r="AB346" s="785"/>
    </row>
    <row r="347" spans="1:49" s="1075" customFormat="1" ht="15.8" customHeight="1">
      <c r="A347" s="587" t="s">
        <v>1684</v>
      </c>
      <c r="B347" s="587" t="s">
        <v>779</v>
      </c>
      <c r="C347" s="587"/>
      <c r="D347" s="587" t="s">
        <v>553</v>
      </c>
      <c r="E347" s="587" t="s">
        <v>2705</v>
      </c>
      <c r="F347" s="588">
        <v>9200</v>
      </c>
      <c r="G347" s="589"/>
      <c r="H347" s="589" t="s">
        <v>778</v>
      </c>
      <c r="I347" s="589">
        <v>3</v>
      </c>
      <c r="J347" s="588">
        <v>11900</v>
      </c>
      <c r="K347" s="589">
        <v>3</v>
      </c>
      <c r="L347" s="590"/>
      <c r="M347" s="591"/>
      <c r="N347" s="592" t="str">
        <f t="shared" si="21"/>
        <v/>
      </c>
      <c r="O347" s="592" t="str">
        <f t="shared" si="22"/>
        <v/>
      </c>
      <c r="P347" s="593" t="s">
        <v>779</v>
      </c>
      <c r="Q347" s="593" t="s">
        <v>2540</v>
      </c>
      <c r="R347" s="593" t="s">
        <v>2541</v>
      </c>
      <c r="S347" s="589" t="s">
        <v>778</v>
      </c>
      <c r="T347" s="594" t="str">
        <f t="shared" si="20"/>
        <v/>
      </c>
      <c r="U347" s="611"/>
      <c r="V347" s="611"/>
      <c r="W347" s="799"/>
      <c r="X347" s="799"/>
      <c r="Y347" s="799"/>
      <c r="Z347" s="799"/>
      <c r="AA347" s="799"/>
      <c r="AB347" s="799"/>
      <c r="AC347" s="799"/>
      <c r="AD347" s="799"/>
      <c r="AE347" s="799"/>
      <c r="AF347" s="799"/>
      <c r="AG347" s="799"/>
      <c r="AH347" s="799"/>
      <c r="AI347" s="799"/>
      <c r="AJ347" s="799"/>
      <c r="AK347" s="799"/>
      <c r="AL347" s="799"/>
      <c r="AM347" s="799"/>
      <c r="AN347" s="799"/>
      <c r="AO347" s="799"/>
      <c r="AP347" s="799"/>
    </row>
    <row r="348" spans="1:49" ht="15.8" customHeight="1">
      <c r="A348" s="650" t="s">
        <v>1820</v>
      </c>
      <c r="B348" s="650" t="s">
        <v>857</v>
      </c>
      <c r="C348" s="650" t="s">
        <v>2817</v>
      </c>
      <c r="D348" s="650" t="s">
        <v>553</v>
      </c>
      <c r="E348" s="650" t="s">
        <v>2704</v>
      </c>
      <c r="F348" s="1294">
        <v>11900</v>
      </c>
      <c r="G348" s="1295" t="s">
        <v>1363</v>
      </c>
      <c r="H348" s="1295" t="s">
        <v>604</v>
      </c>
      <c r="I348" s="1295">
        <v>7</v>
      </c>
      <c r="J348" s="1294">
        <v>14800</v>
      </c>
      <c r="K348" s="1295">
        <v>7</v>
      </c>
      <c r="L348" s="601"/>
      <c r="M348" s="591"/>
      <c r="N348" s="638" t="str">
        <f t="shared" si="21"/>
        <v/>
      </c>
      <c r="O348" s="638" t="str">
        <f t="shared" si="22"/>
        <v/>
      </c>
      <c r="P348" s="639" t="s">
        <v>2694</v>
      </c>
      <c r="Q348" s="639" t="s">
        <v>2465</v>
      </c>
      <c r="R348" s="639" t="s">
        <v>2482</v>
      </c>
      <c r="S348" s="651" t="s">
        <v>604</v>
      </c>
      <c r="T348" s="640" t="str">
        <f t="shared" si="20"/>
        <v/>
      </c>
      <c r="U348" s="611"/>
      <c r="V348" s="611" t="s">
        <v>5990</v>
      </c>
    </row>
    <row r="349" spans="1:49" ht="15.8" customHeight="1">
      <c r="A349" s="587" t="s">
        <v>1682</v>
      </c>
      <c r="B349" s="587" t="s">
        <v>776</v>
      </c>
      <c r="C349" s="587"/>
      <c r="D349" s="587" t="s">
        <v>607</v>
      </c>
      <c r="E349" s="587" t="s">
        <v>2741</v>
      </c>
      <c r="F349" s="588">
        <v>4500</v>
      </c>
      <c r="G349" s="589"/>
      <c r="H349" s="589" t="s">
        <v>608</v>
      </c>
      <c r="I349" s="589" t="s">
        <v>350</v>
      </c>
      <c r="J349" s="588">
        <v>5850</v>
      </c>
      <c r="K349" s="589" t="s">
        <v>350</v>
      </c>
      <c r="L349" s="590"/>
      <c r="M349" s="591"/>
      <c r="N349" s="592" t="str">
        <f t="shared" si="21"/>
        <v/>
      </c>
      <c r="O349" s="592" t="str">
        <f t="shared" si="22"/>
        <v/>
      </c>
      <c r="P349" s="593" t="s">
        <v>2655</v>
      </c>
      <c r="Q349" s="593" t="s">
        <v>2472</v>
      </c>
      <c r="R349" s="593" t="s">
        <v>2473</v>
      </c>
      <c r="S349" s="589" t="s">
        <v>608</v>
      </c>
      <c r="T349" s="594" t="str">
        <f t="shared" si="20"/>
        <v/>
      </c>
      <c r="U349" s="607"/>
      <c r="V349" s="615"/>
    </row>
    <row r="350" spans="1:49" ht="15.8" customHeight="1">
      <c r="A350" s="592" t="s">
        <v>1860</v>
      </c>
      <c r="B350" s="592" t="s">
        <v>882</v>
      </c>
      <c r="C350" s="592"/>
      <c r="D350" s="592" t="s">
        <v>562</v>
      </c>
      <c r="E350" s="587" t="s">
        <v>562</v>
      </c>
      <c r="F350" s="598">
        <v>28900</v>
      </c>
      <c r="G350" s="599" t="s">
        <v>1363</v>
      </c>
      <c r="H350" s="599" t="s">
        <v>551</v>
      </c>
      <c r="I350" s="599">
        <v>17</v>
      </c>
      <c r="J350" s="630">
        <v>35500</v>
      </c>
      <c r="K350" s="599">
        <v>17</v>
      </c>
      <c r="L350" s="601"/>
      <c r="M350" s="602"/>
      <c r="N350" s="592" t="str">
        <f t="shared" si="21"/>
        <v/>
      </c>
      <c r="O350" s="592" t="str">
        <f t="shared" si="22"/>
        <v/>
      </c>
      <c r="P350" s="593" t="s">
        <v>882</v>
      </c>
      <c r="Q350" s="593" t="s">
        <v>2450</v>
      </c>
      <c r="R350" s="593" t="s">
        <v>2578</v>
      </c>
      <c r="S350" s="599" t="s">
        <v>551</v>
      </c>
      <c r="T350" s="594" t="str">
        <f t="shared" si="20"/>
        <v/>
      </c>
      <c r="U350" s="611"/>
      <c r="V350" s="800"/>
    </row>
    <row r="351" spans="1:49" ht="15.8" customHeight="1">
      <c r="A351" s="587" t="s">
        <v>1445</v>
      </c>
      <c r="B351" s="587" t="s">
        <v>1446</v>
      </c>
      <c r="C351" s="587"/>
      <c r="D351" s="587" t="s">
        <v>553</v>
      </c>
      <c r="E351" s="641" t="s">
        <v>2705</v>
      </c>
      <c r="F351" s="588">
        <v>8000</v>
      </c>
      <c r="G351" s="589"/>
      <c r="H351" s="589" t="s">
        <v>1447</v>
      </c>
      <c r="I351" s="589">
        <v>1</v>
      </c>
      <c r="J351" s="588">
        <v>9900</v>
      </c>
      <c r="K351" s="589">
        <v>1</v>
      </c>
      <c r="L351" s="590"/>
      <c r="M351" s="591"/>
      <c r="N351" s="592" t="str">
        <f t="shared" si="21"/>
        <v/>
      </c>
      <c r="O351" s="592" t="str">
        <f t="shared" si="22"/>
        <v/>
      </c>
      <c r="P351" s="593" t="s">
        <v>1446</v>
      </c>
      <c r="Q351" s="593" t="s">
        <v>2479</v>
      </c>
      <c r="R351" s="593" t="s">
        <v>2480</v>
      </c>
      <c r="S351" s="589" t="s">
        <v>1447</v>
      </c>
      <c r="T351" s="594" t="str">
        <f t="shared" si="20"/>
        <v/>
      </c>
      <c r="U351" s="611"/>
      <c r="V351" s="611"/>
    </row>
    <row r="352" spans="1:49" ht="15.8" customHeight="1">
      <c r="A352" s="1235" t="s">
        <v>1490</v>
      </c>
      <c r="B352" s="1235" t="s">
        <v>5989</v>
      </c>
      <c r="C352" s="1235"/>
      <c r="D352" s="1235" t="s">
        <v>553</v>
      </c>
      <c r="E352" s="1235" t="s">
        <v>2704</v>
      </c>
      <c r="F352" s="1236">
        <v>38000</v>
      </c>
      <c r="G352" s="1237" t="s">
        <v>1363</v>
      </c>
      <c r="H352" s="1237" t="s">
        <v>627</v>
      </c>
      <c r="I352" s="1237" t="s">
        <v>639</v>
      </c>
      <c r="J352" s="1236">
        <v>40200</v>
      </c>
      <c r="K352" s="1234" t="s">
        <v>639</v>
      </c>
      <c r="L352" s="590"/>
      <c r="M352" s="602"/>
      <c r="N352" s="638" t="str">
        <f t="shared" si="21"/>
        <v/>
      </c>
      <c r="O352" s="638" t="str">
        <f t="shared" si="22"/>
        <v/>
      </c>
      <c r="P352" s="639" t="s">
        <v>2602</v>
      </c>
      <c r="Q352" s="639" t="s">
        <v>2474</v>
      </c>
      <c r="R352" s="639" t="s">
        <v>2493</v>
      </c>
      <c r="S352" s="1234" t="s">
        <v>627</v>
      </c>
      <c r="T352" s="640" t="str">
        <f t="shared" si="20"/>
        <v/>
      </c>
      <c r="U352" s="607"/>
      <c r="V352" s="600" t="s">
        <v>5990</v>
      </c>
    </row>
    <row r="353" spans="1:28" ht="15.8" customHeight="1">
      <c r="A353" s="587" t="s">
        <v>2345</v>
      </c>
      <c r="B353" s="587" t="s">
        <v>2384</v>
      </c>
      <c r="C353" s="587"/>
      <c r="D353" s="587" t="s">
        <v>699</v>
      </c>
      <c r="E353" s="587"/>
      <c r="F353" s="588">
        <v>15000</v>
      </c>
      <c r="G353" s="589"/>
      <c r="H353" s="589" t="s">
        <v>1447</v>
      </c>
      <c r="I353" s="589">
        <v>3</v>
      </c>
      <c r="J353" s="588">
        <v>19900</v>
      </c>
      <c r="K353" s="589">
        <v>3</v>
      </c>
      <c r="L353" s="590"/>
      <c r="M353" s="591"/>
      <c r="N353" s="592" t="str">
        <f t="shared" si="21"/>
        <v/>
      </c>
      <c r="O353" s="592" t="str">
        <f t="shared" si="22"/>
        <v/>
      </c>
      <c r="P353" s="593" t="s">
        <v>2633</v>
      </c>
      <c r="Q353" s="593" t="s">
        <v>2500</v>
      </c>
      <c r="R353" s="593" t="s">
        <v>2524</v>
      </c>
      <c r="S353" s="589" t="s">
        <v>1447</v>
      </c>
      <c r="T353" s="594" t="str">
        <f t="shared" si="20"/>
        <v/>
      </c>
      <c r="U353" s="611"/>
      <c r="V353" s="611"/>
    </row>
    <row r="354" spans="1:28" ht="15.8" customHeight="1">
      <c r="A354" s="587" t="s">
        <v>1617</v>
      </c>
      <c r="B354" s="587" t="s">
        <v>2385</v>
      </c>
      <c r="C354" s="587"/>
      <c r="D354" s="587" t="s">
        <v>553</v>
      </c>
      <c r="E354" s="587" t="s">
        <v>2705</v>
      </c>
      <c r="F354" s="588">
        <v>17500</v>
      </c>
      <c r="G354" s="589"/>
      <c r="H354" s="589" t="s">
        <v>1447</v>
      </c>
      <c r="I354" s="589">
        <v>1</v>
      </c>
      <c r="J354" s="588">
        <v>19900</v>
      </c>
      <c r="K354" s="589">
        <v>1</v>
      </c>
      <c r="L354" s="590"/>
      <c r="M354" s="591"/>
      <c r="N354" s="592" t="str">
        <f t="shared" si="21"/>
        <v/>
      </c>
      <c r="O354" s="592" t="str">
        <f t="shared" si="22"/>
        <v/>
      </c>
      <c r="P354" s="593" t="s">
        <v>2634</v>
      </c>
      <c r="Q354" s="593" t="s">
        <v>2500</v>
      </c>
      <c r="R354" s="593" t="s">
        <v>2524</v>
      </c>
      <c r="S354" s="589" t="s">
        <v>1447</v>
      </c>
      <c r="T354" s="594" t="str">
        <f t="shared" si="20"/>
        <v/>
      </c>
      <c r="U354" s="611"/>
      <c r="V354" s="611"/>
    </row>
    <row r="355" spans="1:28" ht="15.8" customHeight="1">
      <c r="A355" s="625" t="s">
        <v>1619</v>
      </c>
      <c r="B355" s="625" t="s">
        <v>735</v>
      </c>
      <c r="C355" s="625"/>
      <c r="D355" s="625" t="s">
        <v>607</v>
      </c>
      <c r="E355" s="625" t="s">
        <v>2741</v>
      </c>
      <c r="F355" s="588">
        <v>5175</v>
      </c>
      <c r="G355" s="594"/>
      <c r="H355" s="594" t="s">
        <v>736</v>
      </c>
      <c r="I355" s="594" t="s">
        <v>350</v>
      </c>
      <c r="J355" s="588">
        <v>8500</v>
      </c>
      <c r="K355" s="589" t="s">
        <v>350</v>
      </c>
      <c r="L355" s="590"/>
      <c r="M355" s="591"/>
      <c r="N355" s="592" t="str">
        <f t="shared" si="21"/>
        <v/>
      </c>
      <c r="O355" s="592" t="str">
        <f t="shared" si="22"/>
        <v/>
      </c>
      <c r="P355" s="593" t="s">
        <v>735</v>
      </c>
      <c r="Q355" s="593" t="s">
        <v>2525</v>
      </c>
      <c r="R355" s="593" t="s">
        <v>2526</v>
      </c>
      <c r="S355" s="594" t="s">
        <v>736</v>
      </c>
      <c r="T355" s="594" t="str">
        <f t="shared" ref="T355:T414" si="23">IF(OR(L355="x", M355="x"), S355,"")</f>
        <v/>
      </c>
      <c r="U355" s="600"/>
      <c r="V355" s="611"/>
    </row>
    <row r="356" spans="1:28" ht="15.8" customHeight="1">
      <c r="A356" s="587" t="s">
        <v>1699</v>
      </c>
      <c r="B356" s="587" t="s">
        <v>2402</v>
      </c>
      <c r="C356" s="587"/>
      <c r="D356" s="587" t="s">
        <v>88</v>
      </c>
      <c r="E356" s="587" t="s">
        <v>2737</v>
      </c>
      <c r="F356" s="588">
        <v>29094.999999999996</v>
      </c>
      <c r="G356" s="589"/>
      <c r="H356" s="589" t="s">
        <v>627</v>
      </c>
      <c r="I356" s="589">
        <v>5</v>
      </c>
      <c r="J356" s="588">
        <v>34000</v>
      </c>
      <c r="K356" s="589">
        <v>5</v>
      </c>
      <c r="L356" s="590"/>
      <c r="M356" s="591"/>
      <c r="N356" s="592" t="str">
        <f t="shared" si="21"/>
        <v/>
      </c>
      <c r="O356" s="592" t="str">
        <f t="shared" si="22"/>
        <v/>
      </c>
      <c r="P356" s="593" t="s">
        <v>2661</v>
      </c>
      <c r="Q356" s="593" t="s">
        <v>2474</v>
      </c>
      <c r="R356" s="593" t="s">
        <v>2484</v>
      </c>
      <c r="S356" s="589" t="s">
        <v>627</v>
      </c>
      <c r="T356" s="594" t="str">
        <f t="shared" si="23"/>
        <v/>
      </c>
      <c r="U356" s="614"/>
      <c r="V356" s="611"/>
    </row>
    <row r="357" spans="1:28" ht="15.8" customHeight="1">
      <c r="A357" s="625" t="s">
        <v>1732</v>
      </c>
      <c r="B357" s="625" t="s">
        <v>814</v>
      </c>
      <c r="C357" s="625"/>
      <c r="D357" s="625" t="s">
        <v>607</v>
      </c>
      <c r="E357" s="625" t="s">
        <v>2741</v>
      </c>
      <c r="F357" s="588">
        <v>7000</v>
      </c>
      <c r="G357" s="594"/>
      <c r="H357" s="594" t="s">
        <v>736</v>
      </c>
      <c r="I357" s="594" t="s">
        <v>350</v>
      </c>
      <c r="J357" s="588">
        <v>9100</v>
      </c>
      <c r="K357" s="589" t="s">
        <v>350</v>
      </c>
      <c r="L357" s="590"/>
      <c r="M357" s="591"/>
      <c r="N357" s="592" t="str">
        <f t="shared" si="21"/>
        <v/>
      </c>
      <c r="O357" s="592" t="str">
        <f t="shared" si="22"/>
        <v/>
      </c>
      <c r="P357" s="595"/>
      <c r="Q357" s="595"/>
      <c r="R357" s="595"/>
      <c r="S357" s="594" t="s">
        <v>736</v>
      </c>
      <c r="T357" s="594" t="str">
        <f t="shared" si="23"/>
        <v/>
      </c>
      <c r="U357" s="611"/>
      <c r="V357" s="600"/>
    </row>
    <row r="358" spans="1:28" ht="15.8" customHeight="1">
      <c r="A358" s="645" t="s">
        <v>1788</v>
      </c>
      <c r="B358" s="634" t="s">
        <v>1789</v>
      </c>
      <c r="C358" s="645" t="s">
        <v>2378</v>
      </c>
      <c r="D358" s="645" t="s">
        <v>553</v>
      </c>
      <c r="E358" s="645" t="s">
        <v>2704</v>
      </c>
      <c r="F358" s="646">
        <v>20500</v>
      </c>
      <c r="G358" s="647"/>
      <c r="H358" s="647" t="s">
        <v>604</v>
      </c>
      <c r="I358" s="647">
        <v>7</v>
      </c>
      <c r="J358" s="648">
        <v>45000</v>
      </c>
      <c r="K358" s="649">
        <v>7</v>
      </c>
      <c r="L358" s="601"/>
      <c r="M358" s="591"/>
      <c r="N358" s="638" t="str">
        <f t="shared" si="21"/>
        <v/>
      </c>
      <c r="O358" s="638" t="str">
        <f t="shared" si="22"/>
        <v/>
      </c>
      <c r="P358" s="639" t="s">
        <v>2689</v>
      </c>
      <c r="Q358" s="639" t="s">
        <v>2492</v>
      </c>
      <c r="R358" s="639" t="s">
        <v>2562</v>
      </c>
      <c r="S358" s="637" t="s">
        <v>604</v>
      </c>
      <c r="T358" s="640" t="str">
        <f t="shared" si="23"/>
        <v/>
      </c>
      <c r="U358" s="600"/>
      <c r="V358" s="611" t="s">
        <v>5990</v>
      </c>
    </row>
    <row r="359" spans="1:28" ht="15.8" customHeight="1">
      <c r="A359" s="1235" t="s">
        <v>5834</v>
      </c>
      <c r="B359" s="1235" t="s">
        <v>1863</v>
      </c>
      <c r="C359" s="1235"/>
      <c r="D359" s="1235" t="s">
        <v>553</v>
      </c>
      <c r="E359" s="1235" t="s">
        <v>2704</v>
      </c>
      <c r="F359" s="1236">
        <v>18900</v>
      </c>
      <c r="G359" s="1237" t="s">
        <v>1363</v>
      </c>
      <c r="H359" s="1237" t="s">
        <v>604</v>
      </c>
      <c r="I359" s="1237">
        <v>12</v>
      </c>
      <c r="J359" s="1236">
        <v>24000</v>
      </c>
      <c r="K359" s="1234">
        <v>12</v>
      </c>
      <c r="L359" s="601"/>
      <c r="M359" s="591"/>
      <c r="N359" s="638" t="str">
        <f t="shared" si="21"/>
        <v/>
      </c>
      <c r="O359" s="638" t="str">
        <f t="shared" si="22"/>
        <v/>
      </c>
      <c r="P359" s="639" t="s">
        <v>1863</v>
      </c>
      <c r="Q359" s="639" t="s">
        <v>2465</v>
      </c>
      <c r="R359" s="639" t="s">
        <v>2482</v>
      </c>
      <c r="S359" s="1234" t="s">
        <v>604</v>
      </c>
      <c r="T359" s="640" t="str">
        <f t="shared" si="23"/>
        <v/>
      </c>
      <c r="U359" s="600"/>
      <c r="V359" s="611" t="s">
        <v>5990</v>
      </c>
    </row>
    <row r="360" spans="1:28" s="618" customFormat="1" ht="15.8" customHeight="1">
      <c r="A360" s="587" t="s">
        <v>1455</v>
      </c>
      <c r="B360" s="587" t="s">
        <v>620</v>
      </c>
      <c r="C360" s="587"/>
      <c r="D360" s="587" t="s">
        <v>607</v>
      </c>
      <c r="E360" s="587" t="s">
        <v>2741</v>
      </c>
      <c r="F360" s="588">
        <v>5175</v>
      </c>
      <c r="G360" s="589"/>
      <c r="H360" s="589" t="s">
        <v>608</v>
      </c>
      <c r="I360" s="589" t="s">
        <v>350</v>
      </c>
      <c r="J360" s="588">
        <v>6700</v>
      </c>
      <c r="K360" s="589" t="s">
        <v>350</v>
      </c>
      <c r="L360" s="590"/>
      <c r="M360" s="591"/>
      <c r="N360" s="592" t="str">
        <f t="shared" si="21"/>
        <v/>
      </c>
      <c r="O360" s="592" t="str">
        <f t="shared" si="22"/>
        <v/>
      </c>
      <c r="P360" s="593" t="s">
        <v>2596</v>
      </c>
      <c r="Q360" s="593" t="s">
        <v>2472</v>
      </c>
      <c r="R360" s="593" t="s">
        <v>2473</v>
      </c>
      <c r="S360" s="589" t="s">
        <v>608</v>
      </c>
      <c r="T360" s="594" t="str">
        <f t="shared" si="23"/>
        <v/>
      </c>
      <c r="U360" s="611"/>
      <c r="V360" s="611"/>
      <c r="W360" s="785"/>
      <c r="X360" s="785"/>
      <c r="Y360" s="785"/>
      <c r="Z360" s="785"/>
      <c r="AA360" s="785"/>
      <c r="AB360" s="785"/>
    </row>
    <row r="361" spans="1:28" s="618" customFormat="1" ht="15.8" customHeight="1">
      <c r="A361" s="587" t="s">
        <v>1501</v>
      </c>
      <c r="B361" s="587" t="s">
        <v>650</v>
      </c>
      <c r="C361" s="587"/>
      <c r="D361" s="587" t="s">
        <v>103</v>
      </c>
      <c r="E361" s="587" t="s">
        <v>103</v>
      </c>
      <c r="F361" s="588">
        <v>9900</v>
      </c>
      <c r="G361" s="589"/>
      <c r="H361" s="589" t="s">
        <v>551</v>
      </c>
      <c r="I361" s="589">
        <v>17</v>
      </c>
      <c r="J361" s="588">
        <v>12000</v>
      </c>
      <c r="K361" s="589">
        <v>17</v>
      </c>
      <c r="L361" s="590"/>
      <c r="M361" s="591"/>
      <c r="N361" s="592" t="str">
        <f t="shared" si="21"/>
        <v/>
      </c>
      <c r="O361" s="592" t="str">
        <f t="shared" si="22"/>
        <v/>
      </c>
      <c r="P361" s="593" t="s">
        <v>2604</v>
      </c>
      <c r="Q361" s="593" t="s">
        <v>2450</v>
      </c>
      <c r="R361" s="593" t="s">
        <v>2452</v>
      </c>
      <c r="S361" s="589" t="s">
        <v>551</v>
      </c>
      <c r="T361" s="594" t="str">
        <f t="shared" si="23"/>
        <v/>
      </c>
      <c r="U361" s="611"/>
      <c r="V361" s="611"/>
      <c r="W361" s="785"/>
      <c r="X361" s="785"/>
      <c r="Y361" s="785"/>
      <c r="Z361" s="785"/>
      <c r="AA361" s="785"/>
      <c r="AB361" s="785"/>
    </row>
    <row r="362" spans="1:28" s="618" customFormat="1" ht="15.8" customHeight="1">
      <c r="A362" s="592" t="s">
        <v>1573</v>
      </c>
      <c r="B362" s="592" t="s">
        <v>1574</v>
      </c>
      <c r="C362" s="592"/>
      <c r="D362" s="592" t="s">
        <v>553</v>
      </c>
      <c r="E362" s="592" t="s">
        <v>2705</v>
      </c>
      <c r="F362" s="598">
        <v>58900</v>
      </c>
      <c r="G362" s="599" t="s">
        <v>1363</v>
      </c>
      <c r="H362" s="599" t="s">
        <v>5845</v>
      </c>
      <c r="I362" s="599">
        <v>30</v>
      </c>
      <c r="J362" s="598">
        <v>68900</v>
      </c>
      <c r="K362" s="599">
        <v>30</v>
      </c>
      <c r="L362" s="601"/>
      <c r="M362" s="602"/>
      <c r="N362" s="592" t="str">
        <f t="shared" si="21"/>
        <v/>
      </c>
      <c r="O362" s="592" t="str">
        <f t="shared" si="22"/>
        <v/>
      </c>
      <c r="P362" s="593" t="s">
        <v>2622</v>
      </c>
      <c r="Q362" s="593" t="s">
        <v>2507</v>
      </c>
      <c r="R362" s="593" t="s">
        <v>2513</v>
      </c>
      <c r="S362" s="599" t="s">
        <v>5845</v>
      </c>
      <c r="T362" s="594" t="str">
        <f t="shared" si="23"/>
        <v/>
      </c>
      <c r="U362" s="611"/>
      <c r="V362" s="600"/>
      <c r="W362" s="785"/>
      <c r="X362" s="785"/>
      <c r="Y362" s="785"/>
      <c r="Z362" s="785"/>
      <c r="AA362" s="785"/>
      <c r="AB362" s="785"/>
    </row>
    <row r="363" spans="1:28" ht="15.8" customHeight="1">
      <c r="A363" s="881" t="s">
        <v>1702</v>
      </c>
      <c r="B363" s="881" t="s">
        <v>791</v>
      </c>
      <c r="C363" s="881" t="s">
        <v>477</v>
      </c>
      <c r="D363" s="881" t="s">
        <v>559</v>
      </c>
      <c r="E363" s="881" t="s">
        <v>559</v>
      </c>
      <c r="F363" s="820">
        <v>4500</v>
      </c>
      <c r="G363" s="882" t="s">
        <v>1363</v>
      </c>
      <c r="H363" s="880" t="s">
        <v>5814</v>
      </c>
      <c r="I363" s="882">
        <v>17</v>
      </c>
      <c r="J363" s="820">
        <v>5850</v>
      </c>
      <c r="K363" s="882">
        <v>17</v>
      </c>
      <c r="L363" s="590"/>
      <c r="M363" s="591"/>
      <c r="N363" s="813" t="str">
        <f t="shared" si="21"/>
        <v/>
      </c>
      <c r="O363" s="813" t="str">
        <f t="shared" si="22"/>
        <v/>
      </c>
      <c r="P363" s="814" t="s">
        <v>791</v>
      </c>
      <c r="Q363" s="814" t="s">
        <v>2450</v>
      </c>
      <c r="R363" s="814" t="s">
        <v>2519</v>
      </c>
      <c r="S363" s="880" t="s">
        <v>5814</v>
      </c>
      <c r="T363" s="815" t="str">
        <f t="shared" si="23"/>
        <v/>
      </c>
      <c r="U363" s="611"/>
      <c r="V363" s="615"/>
    </row>
    <row r="364" spans="1:28" ht="15.8" customHeight="1">
      <c r="A364" s="587" t="s">
        <v>1714</v>
      </c>
      <c r="B364" s="587" t="s">
        <v>802</v>
      </c>
      <c r="C364" s="587"/>
      <c r="D364" s="587" t="s">
        <v>607</v>
      </c>
      <c r="E364" s="587" t="s">
        <v>2741</v>
      </c>
      <c r="F364" s="588">
        <v>4500</v>
      </c>
      <c r="G364" s="589"/>
      <c r="H364" s="589" t="s">
        <v>608</v>
      </c>
      <c r="I364" s="589" t="s">
        <v>350</v>
      </c>
      <c r="J364" s="1286">
        <v>6500</v>
      </c>
      <c r="K364" s="589" t="s">
        <v>350</v>
      </c>
      <c r="L364" s="590"/>
      <c r="M364" s="591"/>
      <c r="N364" s="592" t="str">
        <f t="shared" ref="N364:N427" si="24">IF(OR(L364="x", M364="x"), B364 &amp; "; ", "")</f>
        <v/>
      </c>
      <c r="O364" s="592" t="str">
        <f t="shared" si="22"/>
        <v/>
      </c>
      <c r="P364" s="593" t="s">
        <v>802</v>
      </c>
      <c r="Q364" s="593" t="s">
        <v>2472</v>
      </c>
      <c r="R364" s="593" t="s">
        <v>2473</v>
      </c>
      <c r="S364" s="589" t="s">
        <v>608</v>
      </c>
      <c r="T364" s="594" t="str">
        <f t="shared" si="23"/>
        <v/>
      </c>
      <c r="U364" s="615"/>
      <c r="V364" s="611"/>
    </row>
    <row r="365" spans="1:28" ht="15.8" customHeight="1">
      <c r="A365" s="587" t="s">
        <v>1799</v>
      </c>
      <c r="B365" s="587" t="s">
        <v>844</v>
      </c>
      <c r="C365" s="587"/>
      <c r="D365" s="587" t="s">
        <v>607</v>
      </c>
      <c r="E365" s="587" t="s">
        <v>2741</v>
      </c>
      <c r="F365" s="588">
        <v>4500</v>
      </c>
      <c r="G365" s="589"/>
      <c r="H365" s="589" t="s">
        <v>608</v>
      </c>
      <c r="I365" s="589" t="s">
        <v>350</v>
      </c>
      <c r="J365" s="588">
        <v>5850</v>
      </c>
      <c r="K365" s="589" t="s">
        <v>350</v>
      </c>
      <c r="L365" s="590"/>
      <c r="M365" s="591"/>
      <c r="N365" s="592" t="str">
        <f t="shared" si="24"/>
        <v/>
      </c>
      <c r="O365" s="592" t="str">
        <f t="shared" si="22"/>
        <v/>
      </c>
      <c r="P365" s="593" t="s">
        <v>2691</v>
      </c>
      <c r="Q365" s="593" t="s">
        <v>2472</v>
      </c>
      <c r="R365" s="593" t="s">
        <v>2473</v>
      </c>
      <c r="S365" s="589" t="s">
        <v>608</v>
      </c>
      <c r="T365" s="594" t="str">
        <f t="shared" si="23"/>
        <v/>
      </c>
      <c r="U365" s="611"/>
      <c r="V365" s="614"/>
    </row>
    <row r="366" spans="1:28" s="618" customFormat="1" ht="15.8" customHeight="1">
      <c r="A366" s="587" t="s">
        <v>1386</v>
      </c>
      <c r="B366" s="587" t="s">
        <v>571</v>
      </c>
      <c r="C366" s="587"/>
      <c r="D366" s="587" t="s">
        <v>88</v>
      </c>
      <c r="E366" s="587" t="s">
        <v>2736</v>
      </c>
      <c r="F366" s="588">
        <v>8900</v>
      </c>
      <c r="G366" s="589"/>
      <c r="H366" s="589" t="s">
        <v>551</v>
      </c>
      <c r="I366" s="589">
        <v>17</v>
      </c>
      <c r="J366" s="588">
        <v>19000</v>
      </c>
      <c r="K366" s="589">
        <v>17</v>
      </c>
      <c r="L366" s="590"/>
      <c r="M366" s="591"/>
      <c r="N366" s="592" t="str">
        <f t="shared" si="24"/>
        <v/>
      </c>
      <c r="O366" s="592" t="str">
        <f t="shared" si="22"/>
        <v/>
      </c>
      <c r="P366" s="593" t="s">
        <v>571</v>
      </c>
      <c r="Q366" s="593" t="s">
        <v>2450</v>
      </c>
      <c r="R366" s="593" t="s">
        <v>2452</v>
      </c>
      <c r="S366" s="589" t="s">
        <v>551</v>
      </c>
      <c r="T366" s="594" t="str">
        <f t="shared" si="23"/>
        <v/>
      </c>
      <c r="U366" s="600"/>
      <c r="V366" s="611"/>
      <c r="W366" s="785"/>
      <c r="X366" s="785"/>
      <c r="Y366" s="785"/>
      <c r="Z366" s="785"/>
      <c r="AA366" s="785"/>
      <c r="AB366" s="785"/>
    </row>
    <row r="367" spans="1:28" s="618" customFormat="1" ht="15.8" customHeight="1">
      <c r="A367" s="587" t="s">
        <v>1577</v>
      </c>
      <c r="B367" s="587" t="s">
        <v>716</v>
      </c>
      <c r="C367" s="587"/>
      <c r="D367" s="587" t="s">
        <v>88</v>
      </c>
      <c r="E367" s="587" t="s">
        <v>2736</v>
      </c>
      <c r="F367" s="588">
        <v>8049.9999999999991</v>
      </c>
      <c r="G367" s="589"/>
      <c r="H367" s="589" t="s">
        <v>551</v>
      </c>
      <c r="I367" s="589">
        <v>17</v>
      </c>
      <c r="J367" s="588">
        <v>10500</v>
      </c>
      <c r="K367" s="589">
        <v>17</v>
      </c>
      <c r="L367" s="590"/>
      <c r="M367" s="591"/>
      <c r="N367" s="592" t="str">
        <f t="shared" si="24"/>
        <v/>
      </c>
      <c r="O367" s="592" t="str">
        <f t="shared" si="22"/>
        <v/>
      </c>
      <c r="P367" s="593" t="s">
        <v>716</v>
      </c>
      <c r="Q367" s="593" t="s">
        <v>2450</v>
      </c>
      <c r="R367" s="593" t="s">
        <v>2452</v>
      </c>
      <c r="S367" s="589" t="s">
        <v>551</v>
      </c>
      <c r="T367" s="594" t="str">
        <f t="shared" si="23"/>
        <v/>
      </c>
      <c r="U367" s="600"/>
      <c r="V367" s="600"/>
      <c r="W367" s="785"/>
      <c r="X367" s="785"/>
      <c r="Y367" s="785"/>
      <c r="Z367" s="785"/>
      <c r="AA367" s="785"/>
      <c r="AB367" s="785"/>
    </row>
    <row r="368" spans="1:28" ht="15.8" customHeight="1">
      <c r="A368" s="813" t="s">
        <v>1417</v>
      </c>
      <c r="B368" s="813" t="s">
        <v>592</v>
      </c>
      <c r="C368" s="813" t="s">
        <v>477</v>
      </c>
      <c r="D368" s="813" t="s">
        <v>593</v>
      </c>
      <c r="E368" s="813" t="s">
        <v>593</v>
      </c>
      <c r="F368" s="820">
        <v>4900</v>
      </c>
      <c r="G368" s="821" t="s">
        <v>1363</v>
      </c>
      <c r="H368" s="821" t="s">
        <v>595</v>
      </c>
      <c r="I368" s="821">
        <v>21</v>
      </c>
      <c r="J368" s="820">
        <v>6500</v>
      </c>
      <c r="K368" s="821">
        <v>21</v>
      </c>
      <c r="L368" s="601"/>
      <c r="M368" s="602"/>
      <c r="N368" s="813" t="str">
        <f t="shared" si="24"/>
        <v/>
      </c>
      <c r="O368" s="813" t="str">
        <f t="shared" si="22"/>
        <v/>
      </c>
      <c r="P368" s="814" t="s">
        <v>592</v>
      </c>
      <c r="Q368" s="814" t="s">
        <v>5825</v>
      </c>
      <c r="R368" s="814" t="s">
        <v>2463</v>
      </c>
      <c r="S368" s="821" t="s">
        <v>595</v>
      </c>
      <c r="T368" s="815" t="str">
        <f t="shared" si="23"/>
        <v/>
      </c>
      <c r="U368" s="611"/>
      <c r="V368" s="611"/>
    </row>
    <row r="369" spans="1:28" ht="15.8" customHeight="1">
      <c r="A369" s="587" t="s">
        <v>1422</v>
      </c>
      <c r="B369" s="587" t="s">
        <v>600</v>
      </c>
      <c r="C369" s="587"/>
      <c r="D369" s="587" t="s">
        <v>88</v>
      </c>
      <c r="E369" s="587" t="s">
        <v>2736</v>
      </c>
      <c r="F369" s="588">
        <v>9900</v>
      </c>
      <c r="G369" s="589"/>
      <c r="H369" s="589" t="s">
        <v>551</v>
      </c>
      <c r="I369" s="589">
        <v>17</v>
      </c>
      <c r="J369" s="597">
        <v>12600</v>
      </c>
      <c r="K369" s="589">
        <v>17</v>
      </c>
      <c r="L369" s="590"/>
      <c r="M369" s="591"/>
      <c r="N369" s="592" t="str">
        <f t="shared" si="24"/>
        <v/>
      </c>
      <c r="O369" s="592" t="str">
        <f t="shared" si="22"/>
        <v/>
      </c>
      <c r="P369" s="593" t="s">
        <v>600</v>
      </c>
      <c r="Q369" s="593" t="s">
        <v>2450</v>
      </c>
      <c r="R369" s="593" t="s">
        <v>2452</v>
      </c>
      <c r="S369" s="589" t="s">
        <v>551</v>
      </c>
      <c r="T369" s="594" t="str">
        <f t="shared" si="23"/>
        <v/>
      </c>
      <c r="U369" s="611"/>
      <c r="V369" s="611"/>
    </row>
    <row r="370" spans="1:28" ht="15.8" customHeight="1">
      <c r="A370" s="587" t="s">
        <v>1561</v>
      </c>
      <c r="B370" s="587" t="s">
        <v>1562</v>
      </c>
      <c r="C370" s="587"/>
      <c r="D370" s="587" t="s">
        <v>602</v>
      </c>
      <c r="E370" s="587" t="s">
        <v>2445</v>
      </c>
      <c r="F370" s="588">
        <v>4024.9999999999995</v>
      </c>
      <c r="G370" s="589"/>
      <c r="H370" s="589" t="s">
        <v>551</v>
      </c>
      <c r="I370" s="589">
        <v>3</v>
      </c>
      <c r="J370" s="588">
        <v>5900</v>
      </c>
      <c r="K370" s="589">
        <v>3</v>
      </c>
      <c r="L370" s="590"/>
      <c r="M370" s="591"/>
      <c r="N370" s="592" t="str">
        <f t="shared" si="24"/>
        <v/>
      </c>
      <c r="O370" s="592" t="str">
        <f t="shared" si="22"/>
        <v/>
      </c>
      <c r="P370" s="593" t="s">
        <v>1562</v>
      </c>
      <c r="Q370" s="593" t="s">
        <v>2450</v>
      </c>
      <c r="R370" s="593" t="s">
        <v>2452</v>
      </c>
      <c r="S370" s="589" t="s">
        <v>551</v>
      </c>
      <c r="T370" s="594" t="str">
        <f t="shared" si="23"/>
        <v/>
      </c>
      <c r="U370" s="611"/>
      <c r="V370" s="796"/>
    </row>
    <row r="371" spans="1:28" ht="15.8" customHeight="1">
      <c r="A371" s="587" t="s">
        <v>1752</v>
      </c>
      <c r="B371" s="587" t="s">
        <v>184</v>
      </c>
      <c r="C371" s="587"/>
      <c r="D371" s="587" t="s">
        <v>88</v>
      </c>
      <c r="E371" s="587" t="s">
        <v>2736</v>
      </c>
      <c r="F371" s="588">
        <v>12074.999999999998</v>
      </c>
      <c r="G371" s="589"/>
      <c r="H371" s="589" t="s">
        <v>551</v>
      </c>
      <c r="I371" s="589">
        <v>17</v>
      </c>
      <c r="J371" s="588">
        <v>15800</v>
      </c>
      <c r="K371" s="589">
        <v>17</v>
      </c>
      <c r="L371" s="590"/>
      <c r="M371" s="591"/>
      <c r="N371" s="592" t="str">
        <f t="shared" si="24"/>
        <v/>
      </c>
      <c r="O371" s="592" t="str">
        <f t="shared" si="22"/>
        <v/>
      </c>
      <c r="P371" s="593" t="s">
        <v>184</v>
      </c>
      <c r="Q371" s="593" t="s">
        <v>2450</v>
      </c>
      <c r="R371" s="593" t="s">
        <v>2452</v>
      </c>
      <c r="S371" s="589" t="s">
        <v>551</v>
      </c>
      <c r="T371" s="594" t="str">
        <f t="shared" si="23"/>
        <v/>
      </c>
      <c r="U371" s="600"/>
      <c r="V371" s="611"/>
    </row>
    <row r="372" spans="1:28" ht="15.8" customHeight="1">
      <c r="A372" s="587" t="s">
        <v>1428</v>
      </c>
      <c r="B372" s="587" t="s">
        <v>605</v>
      </c>
      <c r="C372" s="587"/>
      <c r="D372" s="587" t="s">
        <v>88</v>
      </c>
      <c r="E372" s="587" t="s">
        <v>2736</v>
      </c>
      <c r="F372" s="588">
        <v>4024.9999999999995</v>
      </c>
      <c r="G372" s="589"/>
      <c r="H372" s="589" t="s">
        <v>551</v>
      </c>
      <c r="I372" s="589">
        <v>5</v>
      </c>
      <c r="J372" s="588">
        <v>5300</v>
      </c>
      <c r="K372" s="589">
        <v>5</v>
      </c>
      <c r="L372" s="590"/>
      <c r="M372" s="591"/>
      <c r="N372" s="592" t="str">
        <f t="shared" si="24"/>
        <v/>
      </c>
      <c r="O372" s="592" t="str">
        <f t="shared" si="22"/>
        <v/>
      </c>
      <c r="P372" s="593" t="s">
        <v>605</v>
      </c>
      <c r="Q372" s="593" t="s">
        <v>2450</v>
      </c>
      <c r="R372" s="593" t="s">
        <v>2452</v>
      </c>
      <c r="S372" s="589" t="s">
        <v>551</v>
      </c>
      <c r="T372" s="594" t="str">
        <f t="shared" si="23"/>
        <v/>
      </c>
      <c r="U372" s="600"/>
    </row>
    <row r="373" spans="1:28" ht="16.149999999999999" customHeight="1">
      <c r="A373" s="1248" t="s">
        <v>1578</v>
      </c>
      <c r="B373" s="1248" t="s">
        <v>717</v>
      </c>
      <c r="C373" s="1248"/>
      <c r="D373" s="1248" t="s">
        <v>88</v>
      </c>
      <c r="E373" s="1248" t="s">
        <v>2736</v>
      </c>
      <c r="F373" s="1253">
        <v>39100</v>
      </c>
      <c r="G373" s="1254"/>
      <c r="H373" s="1254" t="s">
        <v>551</v>
      </c>
      <c r="I373" s="1254">
        <v>17</v>
      </c>
      <c r="J373" s="1253">
        <v>50850</v>
      </c>
      <c r="K373" s="1254">
        <v>17</v>
      </c>
      <c r="L373" s="1255"/>
      <c r="M373" s="1249"/>
      <c r="N373" s="1256" t="str">
        <f t="shared" si="24"/>
        <v/>
      </c>
      <c r="O373" s="1256" t="str">
        <f t="shared" si="22"/>
        <v/>
      </c>
      <c r="P373" s="1257"/>
      <c r="Q373" s="1257"/>
      <c r="R373" s="1257"/>
      <c r="S373" s="1254" t="s">
        <v>551</v>
      </c>
      <c r="T373" s="1258" t="str">
        <f t="shared" si="23"/>
        <v/>
      </c>
      <c r="U373" s="1250"/>
      <c r="V373" s="1251"/>
    </row>
    <row r="374" spans="1:28" ht="15.8" customHeight="1">
      <c r="A374" s="592" t="s">
        <v>1779</v>
      </c>
      <c r="B374" s="592" t="s">
        <v>2354</v>
      </c>
      <c r="C374" s="592"/>
      <c r="D374" s="592" t="s">
        <v>88</v>
      </c>
      <c r="E374" s="592"/>
      <c r="F374" s="598">
        <v>28000</v>
      </c>
      <c r="G374" s="599" t="s">
        <v>1363</v>
      </c>
      <c r="H374" s="599" t="s">
        <v>627</v>
      </c>
      <c r="I374" s="599">
        <v>7</v>
      </c>
      <c r="J374" s="598">
        <v>30000</v>
      </c>
      <c r="K374" s="599">
        <v>7</v>
      </c>
      <c r="L374" s="601"/>
      <c r="M374" s="602"/>
      <c r="N374" s="592" t="str">
        <f t="shared" si="24"/>
        <v/>
      </c>
      <c r="O374" s="592" t="str">
        <f t="shared" si="22"/>
        <v/>
      </c>
      <c r="P374" s="593" t="s">
        <v>2686</v>
      </c>
      <c r="Q374" s="593" t="s">
        <v>2474</v>
      </c>
      <c r="R374" s="593" t="s">
        <v>2484</v>
      </c>
      <c r="S374" s="599" t="s">
        <v>627</v>
      </c>
      <c r="T374" s="594" t="str">
        <f t="shared" si="23"/>
        <v/>
      </c>
      <c r="U374" s="611"/>
      <c r="V374" s="615"/>
    </row>
    <row r="375" spans="1:28" ht="15.8" customHeight="1">
      <c r="A375" s="587" t="s">
        <v>1378</v>
      </c>
      <c r="B375" s="587" t="s">
        <v>2379</v>
      </c>
      <c r="C375" s="587"/>
      <c r="D375" s="587" t="s">
        <v>567</v>
      </c>
      <c r="E375" s="587" t="s">
        <v>2734</v>
      </c>
      <c r="F375" s="588">
        <v>17200</v>
      </c>
      <c r="G375" s="589"/>
      <c r="H375" s="589" t="s">
        <v>5930</v>
      </c>
      <c r="I375" s="589">
        <v>5</v>
      </c>
      <c r="J375" s="588">
        <v>22400</v>
      </c>
      <c r="K375" s="589">
        <v>5</v>
      </c>
      <c r="L375" s="590"/>
      <c r="M375" s="591"/>
      <c r="N375" s="592" t="str">
        <f t="shared" si="24"/>
        <v/>
      </c>
      <c r="O375" s="592" t="str">
        <f t="shared" si="22"/>
        <v/>
      </c>
      <c r="P375" s="593" t="s">
        <v>2580</v>
      </c>
      <c r="Q375" s="593" t="s">
        <v>2450</v>
      </c>
      <c r="R375" s="593" t="s">
        <v>2452</v>
      </c>
      <c r="S375" s="589" t="s">
        <v>5930</v>
      </c>
      <c r="T375" s="594" t="str">
        <f t="shared" si="23"/>
        <v/>
      </c>
      <c r="U375" s="611"/>
      <c r="V375" s="614"/>
    </row>
    <row r="376" spans="1:28" ht="15.8" customHeight="1">
      <c r="A376" s="587" t="s">
        <v>1509</v>
      </c>
      <c r="B376" s="587" t="s">
        <v>655</v>
      </c>
      <c r="C376" s="587"/>
      <c r="D376" s="587" t="s">
        <v>656</v>
      </c>
      <c r="E376" s="587" t="s">
        <v>742</v>
      </c>
      <c r="F376" s="588">
        <v>5060</v>
      </c>
      <c r="G376" s="589"/>
      <c r="H376" s="589" t="s">
        <v>551</v>
      </c>
      <c r="I376" s="589" t="s">
        <v>361</v>
      </c>
      <c r="J376" s="588">
        <v>6600</v>
      </c>
      <c r="K376" s="589" t="s">
        <v>361</v>
      </c>
      <c r="L376" s="590"/>
      <c r="M376" s="591"/>
      <c r="N376" s="592" t="str">
        <f t="shared" si="24"/>
        <v/>
      </c>
      <c r="O376" s="592" t="str">
        <f t="shared" si="22"/>
        <v/>
      </c>
      <c r="P376" s="593" t="s">
        <v>655</v>
      </c>
      <c r="Q376" s="593" t="s">
        <v>2450</v>
      </c>
      <c r="R376" s="593" t="s">
        <v>2452</v>
      </c>
      <c r="S376" s="589" t="s">
        <v>551</v>
      </c>
      <c r="T376" s="594" t="str">
        <f t="shared" si="23"/>
        <v/>
      </c>
      <c r="U376" s="611"/>
      <c r="V376" s="611"/>
    </row>
    <row r="377" spans="1:28" ht="15.8" customHeight="1">
      <c r="A377" s="587" t="s">
        <v>1790</v>
      </c>
      <c r="B377" s="587" t="s">
        <v>1791</v>
      </c>
      <c r="C377" s="587"/>
      <c r="D377" s="587" t="s">
        <v>103</v>
      </c>
      <c r="E377" s="587" t="s">
        <v>103</v>
      </c>
      <c r="F377" s="588">
        <v>2530</v>
      </c>
      <c r="G377" s="589"/>
      <c r="H377" s="589" t="s">
        <v>551</v>
      </c>
      <c r="I377" s="589">
        <v>5</v>
      </c>
      <c r="J377" s="597">
        <v>4500</v>
      </c>
      <c r="K377" s="589">
        <v>5</v>
      </c>
      <c r="L377" s="590"/>
      <c r="M377" s="591"/>
      <c r="N377" s="592" t="str">
        <f t="shared" si="24"/>
        <v/>
      </c>
      <c r="O377" s="592" t="str">
        <f t="shared" si="22"/>
        <v/>
      </c>
      <c r="P377" s="593" t="s">
        <v>842</v>
      </c>
      <c r="Q377" s="593" t="s">
        <v>2450</v>
      </c>
      <c r="R377" s="593" t="s">
        <v>2452</v>
      </c>
      <c r="S377" s="589" t="s">
        <v>551</v>
      </c>
      <c r="T377" s="594" t="str">
        <f t="shared" si="23"/>
        <v/>
      </c>
      <c r="U377" s="600"/>
      <c r="V377" s="615"/>
    </row>
    <row r="378" spans="1:28" ht="15.8" customHeight="1">
      <c r="A378" s="587" t="s">
        <v>1472</v>
      </c>
      <c r="B378" s="587" t="s">
        <v>2383</v>
      </c>
      <c r="C378" s="587"/>
      <c r="D378" s="587" t="s">
        <v>88</v>
      </c>
      <c r="E378" s="587" t="s">
        <v>2737</v>
      </c>
      <c r="F378" s="588">
        <v>22900</v>
      </c>
      <c r="G378" s="589"/>
      <c r="H378" s="589" t="s">
        <v>627</v>
      </c>
      <c r="I378" s="589">
        <v>7</v>
      </c>
      <c r="J378" s="588">
        <v>29700</v>
      </c>
      <c r="K378" s="589">
        <v>7</v>
      </c>
      <c r="L378" s="590"/>
      <c r="M378" s="591"/>
      <c r="N378" s="592" t="str">
        <f t="shared" si="24"/>
        <v/>
      </c>
      <c r="O378" s="592" t="str">
        <f t="shared" si="22"/>
        <v/>
      </c>
      <c r="P378" s="593" t="s">
        <v>2598</v>
      </c>
      <c r="Q378" s="593" t="s">
        <v>2474</v>
      </c>
      <c r="R378" s="593" t="s">
        <v>2484</v>
      </c>
      <c r="S378" s="589" t="s">
        <v>627</v>
      </c>
      <c r="T378" s="594" t="str">
        <f t="shared" si="23"/>
        <v/>
      </c>
      <c r="U378" s="614"/>
      <c r="V378" s="611"/>
    </row>
    <row r="379" spans="1:28" ht="15.8" customHeight="1">
      <c r="A379" s="620" t="s">
        <v>1368</v>
      </c>
      <c r="B379" s="620" t="s">
        <v>561</v>
      </c>
      <c r="C379" s="620"/>
      <c r="D379" s="620" t="s">
        <v>562</v>
      </c>
      <c r="E379" s="620" t="s">
        <v>562</v>
      </c>
      <c r="F379" s="621">
        <v>11500</v>
      </c>
      <c r="G379" s="622"/>
      <c r="H379" s="622" t="s">
        <v>476</v>
      </c>
      <c r="I379" s="622">
        <v>14</v>
      </c>
      <c r="J379" s="621">
        <v>14500</v>
      </c>
      <c r="K379" s="622">
        <v>14</v>
      </c>
      <c r="L379" s="590"/>
      <c r="M379" s="591"/>
      <c r="N379" s="592" t="str">
        <f t="shared" si="24"/>
        <v/>
      </c>
      <c r="O379" s="592" t="str">
        <f t="shared" si="22"/>
        <v/>
      </c>
      <c r="P379" s="593" t="s">
        <v>561</v>
      </c>
      <c r="Q379" s="593" t="s">
        <v>2454</v>
      </c>
      <c r="R379" s="593" t="s">
        <v>2455</v>
      </c>
      <c r="S379" s="622" t="s">
        <v>476</v>
      </c>
      <c r="T379" s="594" t="str">
        <f t="shared" si="23"/>
        <v/>
      </c>
      <c r="U379" s="600"/>
      <c r="V379" s="611"/>
    </row>
    <row r="380" spans="1:28" ht="15.8" customHeight="1">
      <c r="A380" s="587" t="s">
        <v>1737</v>
      </c>
      <c r="B380" s="587" t="s">
        <v>818</v>
      </c>
      <c r="C380" s="587"/>
      <c r="D380" s="587" t="s">
        <v>562</v>
      </c>
      <c r="E380" s="587" t="s">
        <v>562</v>
      </c>
      <c r="F380" s="588">
        <v>7000</v>
      </c>
      <c r="G380" s="589"/>
      <c r="H380" s="589" t="s">
        <v>551</v>
      </c>
      <c r="I380" s="589">
        <v>10</v>
      </c>
      <c r="J380" s="588">
        <v>9100</v>
      </c>
      <c r="K380" s="589">
        <v>10</v>
      </c>
      <c r="L380" s="590"/>
      <c r="M380" s="591"/>
      <c r="N380" s="592" t="str">
        <f t="shared" si="24"/>
        <v/>
      </c>
      <c r="O380" s="592" t="str">
        <f t="shared" si="22"/>
        <v/>
      </c>
      <c r="P380" s="593" t="s">
        <v>818</v>
      </c>
      <c r="Q380" s="593" t="s">
        <v>2450</v>
      </c>
      <c r="R380" s="593" t="s">
        <v>2452</v>
      </c>
      <c r="S380" s="589" t="s">
        <v>551</v>
      </c>
      <c r="T380" s="594" t="str">
        <f t="shared" si="23"/>
        <v/>
      </c>
      <c r="U380" s="611"/>
      <c r="V380" s="615"/>
    </row>
    <row r="381" spans="1:28" ht="15.8" customHeight="1">
      <c r="A381" s="592" t="s">
        <v>1523</v>
      </c>
      <c r="B381" s="592" t="s">
        <v>9</v>
      </c>
      <c r="C381" s="592"/>
      <c r="D381" s="592" t="s">
        <v>593</v>
      </c>
      <c r="E381" s="592" t="s">
        <v>593</v>
      </c>
      <c r="F381" s="598">
        <v>990</v>
      </c>
      <c r="G381" s="599" t="s">
        <v>1363</v>
      </c>
      <c r="H381" s="599" t="s">
        <v>599</v>
      </c>
      <c r="I381" s="599">
        <v>1</v>
      </c>
      <c r="J381" s="598">
        <v>1300</v>
      </c>
      <c r="K381" s="599">
        <v>1</v>
      </c>
      <c r="L381" s="601"/>
      <c r="M381" s="602"/>
      <c r="N381" s="592" t="str">
        <f t="shared" si="24"/>
        <v/>
      </c>
      <c r="O381" s="592" t="str">
        <f t="shared" si="22"/>
        <v/>
      </c>
      <c r="P381" s="593" t="s">
        <v>9</v>
      </c>
      <c r="Q381" s="593" t="s">
        <v>2468</v>
      </c>
      <c r="R381" s="593" t="s">
        <v>2469</v>
      </c>
      <c r="S381" s="599" t="s">
        <v>599</v>
      </c>
      <c r="T381" s="594" t="str">
        <f t="shared" si="23"/>
        <v/>
      </c>
      <c r="U381" s="611"/>
      <c r="V381" s="611"/>
    </row>
    <row r="382" spans="1:28" ht="15.8" customHeight="1">
      <c r="A382" s="608" t="s">
        <v>1787</v>
      </c>
      <c r="B382" s="608" t="s">
        <v>841</v>
      </c>
      <c r="C382" s="608"/>
      <c r="D382" s="608" t="s">
        <v>593</v>
      </c>
      <c r="E382" s="608" t="s">
        <v>593</v>
      </c>
      <c r="F382" s="598">
        <v>600</v>
      </c>
      <c r="G382" s="629" t="s">
        <v>1363</v>
      </c>
      <c r="H382" s="629" t="s">
        <v>599</v>
      </c>
      <c r="I382" s="629">
        <v>1</v>
      </c>
      <c r="J382" s="598">
        <v>900</v>
      </c>
      <c r="K382" s="629">
        <v>1</v>
      </c>
      <c r="L382" s="601"/>
      <c r="M382" s="602"/>
      <c r="N382" s="592" t="str">
        <f t="shared" si="24"/>
        <v/>
      </c>
      <c r="O382" s="592" t="str">
        <f t="shared" si="22"/>
        <v/>
      </c>
      <c r="P382" s="593" t="s">
        <v>841</v>
      </c>
      <c r="Q382" s="593" t="s">
        <v>2468</v>
      </c>
      <c r="R382" s="593" t="s">
        <v>2469</v>
      </c>
      <c r="S382" s="629" t="s">
        <v>599</v>
      </c>
      <c r="T382" s="594" t="str">
        <f t="shared" si="23"/>
        <v/>
      </c>
      <c r="U382" s="615"/>
      <c r="V382" s="611"/>
    </row>
    <row r="383" spans="1:28" ht="15.8" customHeight="1">
      <c r="A383" s="587" t="s">
        <v>1566</v>
      </c>
      <c r="B383" s="587" t="s">
        <v>48</v>
      </c>
      <c r="C383" s="587"/>
      <c r="D383" s="587" t="s">
        <v>550</v>
      </c>
      <c r="E383" s="587" t="s">
        <v>2435</v>
      </c>
      <c r="F383" s="588">
        <v>8000</v>
      </c>
      <c r="G383" s="589"/>
      <c r="H383" s="589" t="s">
        <v>551</v>
      </c>
      <c r="I383" s="589">
        <v>3</v>
      </c>
      <c r="J383" s="588">
        <v>10200</v>
      </c>
      <c r="K383" s="589">
        <v>3</v>
      </c>
      <c r="L383" s="590"/>
      <c r="M383" s="591"/>
      <c r="N383" s="592" t="str">
        <f t="shared" si="24"/>
        <v/>
      </c>
      <c r="O383" s="592" t="str">
        <f t="shared" si="22"/>
        <v/>
      </c>
      <c r="P383" s="593" t="s">
        <v>48</v>
      </c>
      <c r="Q383" s="593" t="s">
        <v>2450</v>
      </c>
      <c r="R383" s="593" t="s">
        <v>2512</v>
      </c>
      <c r="S383" s="589" t="s">
        <v>551</v>
      </c>
      <c r="T383" s="594" t="str">
        <f t="shared" si="23"/>
        <v/>
      </c>
      <c r="U383" s="600"/>
      <c r="V383" s="611"/>
    </row>
    <row r="384" spans="1:28" s="618" customFormat="1" ht="15.8" customHeight="1">
      <c r="A384" s="634" t="s">
        <v>5982</v>
      </c>
      <c r="B384" s="634" t="s">
        <v>1487</v>
      </c>
      <c r="C384" s="634"/>
      <c r="D384" s="634" t="s">
        <v>553</v>
      </c>
      <c r="E384" s="634"/>
      <c r="F384" s="636">
        <v>60000</v>
      </c>
      <c r="G384" s="637"/>
      <c r="H384" s="637" t="s">
        <v>604</v>
      </c>
      <c r="I384" s="637" t="s">
        <v>1488</v>
      </c>
      <c r="J384" s="636">
        <v>65000</v>
      </c>
      <c r="K384" s="637" t="s">
        <v>1488</v>
      </c>
      <c r="L384" s="590"/>
      <c r="M384" s="591"/>
      <c r="N384" s="638" t="str">
        <f t="shared" si="24"/>
        <v/>
      </c>
      <c r="O384" s="638" t="str">
        <f t="shared" si="22"/>
        <v/>
      </c>
      <c r="P384" s="639" t="s">
        <v>2601</v>
      </c>
      <c r="Q384" s="639" t="s">
        <v>2492</v>
      </c>
      <c r="R384" s="639" t="s">
        <v>2482</v>
      </c>
      <c r="S384" s="637" t="s">
        <v>604</v>
      </c>
      <c r="T384" s="640" t="str">
        <f t="shared" si="23"/>
        <v/>
      </c>
      <c r="V384" s="615" t="s">
        <v>5990</v>
      </c>
      <c r="W384" s="785"/>
      <c r="X384" s="785"/>
      <c r="Y384" s="785"/>
      <c r="Z384" s="785"/>
      <c r="AA384" s="785"/>
      <c r="AB384" s="785"/>
    </row>
    <row r="385" spans="1:28" ht="15.8" customHeight="1">
      <c r="A385" s="625" t="s">
        <v>1651</v>
      </c>
      <c r="B385" s="625" t="s">
        <v>1652</v>
      </c>
      <c r="C385" s="625"/>
      <c r="D385" s="625" t="s">
        <v>550</v>
      </c>
      <c r="E385" s="625" t="s">
        <v>2428</v>
      </c>
      <c r="F385" s="588">
        <v>4500</v>
      </c>
      <c r="G385" s="594"/>
      <c r="H385" s="594" t="s">
        <v>901</v>
      </c>
      <c r="I385" s="594">
        <v>1</v>
      </c>
      <c r="J385" s="588">
        <v>5900</v>
      </c>
      <c r="K385" s="594">
        <v>1</v>
      </c>
      <c r="L385" s="590"/>
      <c r="M385" s="591"/>
      <c r="N385" s="592" t="str">
        <f t="shared" si="24"/>
        <v/>
      </c>
      <c r="O385" s="592" t="str">
        <f t="shared" si="22"/>
        <v/>
      </c>
      <c r="P385" s="593" t="s">
        <v>1652</v>
      </c>
      <c r="Q385" s="593" t="s">
        <v>2535</v>
      </c>
      <c r="R385" s="593" t="s">
        <v>2536</v>
      </c>
      <c r="S385" s="594" t="s">
        <v>901</v>
      </c>
      <c r="T385" s="594" t="str">
        <f t="shared" si="23"/>
        <v/>
      </c>
      <c r="U385" s="600"/>
      <c r="V385" s="611"/>
    </row>
    <row r="386" spans="1:28" ht="15.8" customHeight="1">
      <c r="A386" s="634" t="s">
        <v>5740</v>
      </c>
      <c r="B386" s="634" t="s">
        <v>5579</v>
      </c>
      <c r="C386" s="634"/>
      <c r="D386" s="634" t="s">
        <v>553</v>
      </c>
      <c r="E386" s="634" t="s">
        <v>553</v>
      </c>
      <c r="F386" s="636">
        <v>25000</v>
      </c>
      <c r="G386" s="637"/>
      <c r="H386" s="637" t="s">
        <v>604</v>
      </c>
      <c r="I386" s="637">
        <v>17</v>
      </c>
      <c r="J386" s="636">
        <v>32500</v>
      </c>
      <c r="K386" s="637">
        <v>17</v>
      </c>
      <c r="L386" s="590"/>
      <c r="M386" s="591"/>
      <c r="N386" s="634" t="str">
        <f t="shared" si="24"/>
        <v/>
      </c>
      <c r="O386" s="634" t="str">
        <f t="shared" si="22"/>
        <v/>
      </c>
      <c r="P386" s="1120" t="s">
        <v>2587</v>
      </c>
      <c r="Q386" s="1120" t="s">
        <v>2465</v>
      </c>
      <c r="R386" s="1120" t="s">
        <v>2466</v>
      </c>
      <c r="S386" s="637" t="s">
        <v>604</v>
      </c>
      <c r="T386" s="640" t="str">
        <f t="shared" si="23"/>
        <v/>
      </c>
      <c r="U386" s="611"/>
      <c r="V386" s="611" t="s">
        <v>5990</v>
      </c>
    </row>
    <row r="387" spans="1:28" ht="15.8" customHeight="1">
      <c r="A387" s="587" t="s">
        <v>5981</v>
      </c>
      <c r="B387" s="587" t="s">
        <v>1448</v>
      </c>
      <c r="C387" s="587"/>
      <c r="D387" s="587" t="s">
        <v>553</v>
      </c>
      <c r="E387" s="641" t="s">
        <v>2705</v>
      </c>
      <c r="F387" s="588">
        <v>13000</v>
      </c>
      <c r="G387" s="589"/>
      <c r="H387" s="589" t="s">
        <v>1447</v>
      </c>
      <c r="I387" s="589">
        <v>1</v>
      </c>
      <c r="J387" s="588">
        <v>14900</v>
      </c>
      <c r="K387" s="589">
        <v>1</v>
      </c>
      <c r="L387" s="590"/>
      <c r="M387" s="591"/>
      <c r="N387" s="592" t="str">
        <f t="shared" si="24"/>
        <v/>
      </c>
      <c r="O387" s="592" t="str">
        <f t="shared" si="22"/>
        <v/>
      </c>
      <c r="P387" s="593" t="s">
        <v>2591</v>
      </c>
      <c r="Q387" s="593" t="s">
        <v>2479</v>
      </c>
      <c r="R387" s="593" t="s">
        <v>2480</v>
      </c>
      <c r="S387" s="589" t="s">
        <v>1447</v>
      </c>
      <c r="T387" s="594" t="str">
        <f t="shared" si="23"/>
        <v/>
      </c>
      <c r="V387" s="611"/>
    </row>
    <row r="388" spans="1:28" ht="15.8" customHeight="1">
      <c r="A388" s="625" t="s">
        <v>5802</v>
      </c>
      <c r="B388" s="587" t="s">
        <v>5812</v>
      </c>
      <c r="C388" s="1290"/>
      <c r="D388" s="625" t="s">
        <v>699</v>
      </c>
      <c r="E388" s="625" t="s">
        <v>699</v>
      </c>
      <c r="F388" s="588">
        <v>22080</v>
      </c>
      <c r="G388" s="1290"/>
      <c r="H388" s="589" t="s">
        <v>551</v>
      </c>
      <c r="I388" s="1291" t="s">
        <v>406</v>
      </c>
      <c r="J388" s="588">
        <v>28700</v>
      </c>
      <c r="K388" s="1150"/>
      <c r="L388" s="601"/>
      <c r="M388" s="602"/>
      <c r="N388" s="592" t="str">
        <f t="shared" si="24"/>
        <v/>
      </c>
      <c r="O388" s="592" t="str">
        <f t="shared" si="22"/>
        <v/>
      </c>
      <c r="P388" s="1292"/>
      <c r="Q388" s="1292" t="s">
        <v>2450</v>
      </c>
      <c r="R388" s="1121" t="s">
        <v>2452</v>
      </c>
      <c r="S388" s="589" t="s">
        <v>551</v>
      </c>
      <c r="T388" s="594" t="str">
        <f t="shared" si="23"/>
        <v/>
      </c>
      <c r="U388" s="611"/>
      <c r="V388" s="615"/>
    </row>
    <row r="389" spans="1:28" ht="15.8" customHeight="1">
      <c r="A389" s="634" t="s">
        <v>1467</v>
      </c>
      <c r="B389" s="634" t="s">
        <v>624</v>
      </c>
      <c r="C389" s="634"/>
      <c r="D389" s="634" t="s">
        <v>553</v>
      </c>
      <c r="E389" s="634" t="s">
        <v>2704</v>
      </c>
      <c r="F389" s="636">
        <v>16000</v>
      </c>
      <c r="G389" s="637"/>
      <c r="H389" s="637" t="s">
        <v>604</v>
      </c>
      <c r="I389" s="637">
        <v>12</v>
      </c>
      <c r="J389" s="636">
        <v>20800</v>
      </c>
      <c r="K389" s="637">
        <v>12</v>
      </c>
      <c r="L389" s="590"/>
      <c r="M389" s="602"/>
      <c r="N389" s="638" t="str">
        <f t="shared" si="24"/>
        <v/>
      </c>
      <c r="O389" s="638" t="str">
        <f t="shared" ref="O389:O429" si="25">IF(OR(L389="x", M389="x"), A389 &amp; "     /     ", "")</f>
        <v/>
      </c>
      <c r="P389" s="639" t="s">
        <v>624</v>
      </c>
      <c r="Q389" s="639" t="s">
        <v>2465</v>
      </c>
      <c r="R389" s="639" t="s">
        <v>2482</v>
      </c>
      <c r="S389" s="637" t="s">
        <v>604</v>
      </c>
      <c r="T389" s="640" t="str">
        <f t="shared" si="23"/>
        <v/>
      </c>
      <c r="U389" s="611"/>
      <c r="V389" s="611" t="s">
        <v>5990</v>
      </c>
    </row>
    <row r="390" spans="1:28" ht="15.8" customHeight="1">
      <c r="A390" s="634" t="s">
        <v>1563</v>
      </c>
      <c r="B390" s="634" t="s">
        <v>705</v>
      </c>
      <c r="C390" s="634" t="s">
        <v>2822</v>
      </c>
      <c r="D390" s="634" t="s">
        <v>553</v>
      </c>
      <c r="E390" s="634" t="s">
        <v>2704</v>
      </c>
      <c r="F390" s="636">
        <v>12900</v>
      </c>
      <c r="G390" s="637"/>
      <c r="H390" s="637" t="s">
        <v>604</v>
      </c>
      <c r="I390" s="637">
        <v>7</v>
      </c>
      <c r="J390" s="636">
        <v>16770</v>
      </c>
      <c r="K390" s="637">
        <v>7</v>
      </c>
      <c r="L390" s="590"/>
      <c r="M390" s="602"/>
      <c r="N390" s="638" t="str">
        <f t="shared" si="24"/>
        <v/>
      </c>
      <c r="O390" s="638" t="str">
        <f t="shared" si="25"/>
        <v/>
      </c>
      <c r="P390" s="639" t="s">
        <v>705</v>
      </c>
      <c r="Q390" s="639" t="s">
        <v>2465</v>
      </c>
      <c r="R390" s="1412" t="s">
        <v>2482</v>
      </c>
      <c r="S390" s="637" t="s">
        <v>604</v>
      </c>
      <c r="T390" s="640" t="str">
        <f t="shared" si="23"/>
        <v/>
      </c>
      <c r="U390" s="611"/>
      <c r="V390" s="611" t="s">
        <v>5990</v>
      </c>
    </row>
    <row r="391" spans="1:28" ht="15.8" customHeight="1">
      <c r="A391" s="587" t="s">
        <v>1683</v>
      </c>
      <c r="B391" s="587" t="s">
        <v>777</v>
      </c>
      <c r="C391" s="587"/>
      <c r="D391" s="587" t="s">
        <v>553</v>
      </c>
      <c r="E391" s="587" t="s">
        <v>2705</v>
      </c>
      <c r="F391" s="588">
        <v>9200</v>
      </c>
      <c r="G391" s="589"/>
      <c r="H391" s="589" t="s">
        <v>778</v>
      </c>
      <c r="I391" s="589">
        <v>3</v>
      </c>
      <c r="J391" s="588">
        <v>11900</v>
      </c>
      <c r="K391" s="589">
        <v>3</v>
      </c>
      <c r="L391" s="590"/>
      <c r="M391" s="591"/>
      <c r="N391" s="592" t="str">
        <f t="shared" si="24"/>
        <v/>
      </c>
      <c r="O391" s="592" t="str">
        <f t="shared" si="25"/>
        <v/>
      </c>
      <c r="P391" s="593" t="s">
        <v>777</v>
      </c>
      <c r="Q391" s="593" t="s">
        <v>2538</v>
      </c>
      <c r="R391" s="593" t="s">
        <v>2539</v>
      </c>
      <c r="S391" s="589" t="s">
        <v>778</v>
      </c>
      <c r="T391" s="594" t="str">
        <f t="shared" si="23"/>
        <v/>
      </c>
      <c r="U391" s="611"/>
      <c r="V391" s="611"/>
    </row>
    <row r="392" spans="1:28" ht="15.8" customHeight="1">
      <c r="A392" s="592" t="s">
        <v>1710</v>
      </c>
      <c r="B392" s="592" t="s">
        <v>1711</v>
      </c>
      <c r="C392" s="592"/>
      <c r="D392" s="592" t="s">
        <v>553</v>
      </c>
      <c r="E392" s="592" t="s">
        <v>2705</v>
      </c>
      <c r="F392" s="598">
        <v>16900</v>
      </c>
      <c r="G392" s="599" t="s">
        <v>1363</v>
      </c>
      <c r="H392" s="599" t="s">
        <v>778</v>
      </c>
      <c r="I392" s="599">
        <v>7</v>
      </c>
      <c r="J392" s="598">
        <v>21970</v>
      </c>
      <c r="K392" s="599">
        <v>7</v>
      </c>
      <c r="L392" s="601"/>
      <c r="M392" s="602"/>
      <c r="N392" s="592" t="str">
        <f t="shared" si="24"/>
        <v/>
      </c>
      <c r="O392" s="592" t="str">
        <f t="shared" si="25"/>
        <v/>
      </c>
      <c r="P392" s="593" t="s">
        <v>2665</v>
      </c>
      <c r="Q392" s="593" t="s">
        <v>2543</v>
      </c>
      <c r="R392" s="1408" t="s">
        <v>2544</v>
      </c>
      <c r="S392" s="599" t="s">
        <v>778</v>
      </c>
      <c r="T392" s="594" t="str">
        <f t="shared" si="23"/>
        <v/>
      </c>
      <c r="U392" s="611"/>
      <c r="V392" s="611"/>
    </row>
    <row r="393" spans="1:28" ht="15.8" customHeight="1">
      <c r="A393" s="587" t="s">
        <v>1743</v>
      </c>
      <c r="B393" s="587" t="s">
        <v>5972</v>
      </c>
      <c r="C393" s="587"/>
      <c r="D393" s="587" t="s">
        <v>553</v>
      </c>
      <c r="E393" s="587" t="s">
        <v>2705</v>
      </c>
      <c r="F393" s="588">
        <v>8049.9999999999991</v>
      </c>
      <c r="G393" s="589"/>
      <c r="H393" s="589" t="s">
        <v>1447</v>
      </c>
      <c r="I393" s="589">
        <v>1</v>
      </c>
      <c r="J393" s="588">
        <v>10500</v>
      </c>
      <c r="K393" s="589">
        <v>1</v>
      </c>
      <c r="L393" s="590"/>
      <c r="M393" s="591"/>
      <c r="N393" s="592" t="str">
        <f t="shared" si="24"/>
        <v/>
      </c>
      <c r="O393" s="592" t="str">
        <f t="shared" si="25"/>
        <v/>
      </c>
      <c r="P393" s="593" t="s">
        <v>1744</v>
      </c>
      <c r="Q393" s="1408" t="s">
        <v>2500</v>
      </c>
      <c r="R393" s="1408" t="s">
        <v>2517</v>
      </c>
      <c r="S393" s="589" t="s">
        <v>1447</v>
      </c>
      <c r="T393" s="594" t="str">
        <f t="shared" si="23"/>
        <v/>
      </c>
      <c r="U393" s="611"/>
      <c r="V393" s="614"/>
    </row>
    <row r="394" spans="1:28" ht="15.8" customHeight="1">
      <c r="A394" s="587" t="s">
        <v>1681</v>
      </c>
      <c r="B394" s="587" t="s">
        <v>775</v>
      </c>
      <c r="C394" s="587"/>
      <c r="D394" s="587" t="s">
        <v>607</v>
      </c>
      <c r="E394" s="587" t="s">
        <v>2741</v>
      </c>
      <c r="F394" s="588">
        <v>4500</v>
      </c>
      <c r="G394" s="589"/>
      <c r="H394" s="589" t="s">
        <v>608</v>
      </c>
      <c r="I394" s="589" t="s">
        <v>350</v>
      </c>
      <c r="J394" s="588">
        <v>5850</v>
      </c>
      <c r="K394" s="589" t="s">
        <v>350</v>
      </c>
      <c r="L394" s="590"/>
      <c r="M394" s="591"/>
      <c r="N394" s="592" t="str">
        <f t="shared" si="24"/>
        <v/>
      </c>
      <c r="O394" s="592" t="str">
        <f t="shared" si="25"/>
        <v/>
      </c>
      <c r="P394" s="593" t="s">
        <v>2655</v>
      </c>
      <c r="Q394" s="1408" t="s">
        <v>2472</v>
      </c>
      <c r="R394" s="1408" t="s">
        <v>2473</v>
      </c>
      <c r="S394" s="589" t="s">
        <v>608</v>
      </c>
      <c r="T394" s="594" t="str">
        <f t="shared" si="23"/>
        <v/>
      </c>
      <c r="U394" s="611"/>
      <c r="V394" s="611"/>
    </row>
    <row r="395" spans="1:28" ht="15.8" customHeight="1">
      <c r="A395" s="592" t="s">
        <v>1388</v>
      </c>
      <c r="B395" s="592" t="s">
        <v>573</v>
      </c>
      <c r="C395" s="592"/>
      <c r="D395" s="592" t="s">
        <v>559</v>
      </c>
      <c r="E395" s="592" t="s">
        <v>559</v>
      </c>
      <c r="F395" s="598">
        <v>15000</v>
      </c>
      <c r="G395" s="599" t="s">
        <v>1363</v>
      </c>
      <c r="H395" s="599" t="s">
        <v>551</v>
      </c>
      <c r="I395" s="599">
        <v>17</v>
      </c>
      <c r="J395" s="598">
        <v>19500</v>
      </c>
      <c r="K395" s="599">
        <v>17</v>
      </c>
      <c r="L395" s="590"/>
      <c r="M395" s="591"/>
      <c r="N395" s="592" t="str">
        <f t="shared" si="24"/>
        <v/>
      </c>
      <c r="O395" s="592" t="str">
        <f t="shared" si="25"/>
        <v/>
      </c>
      <c r="P395" s="593" t="s">
        <v>573</v>
      </c>
      <c r="Q395" s="593" t="s">
        <v>2450</v>
      </c>
      <c r="R395" s="1408" t="s">
        <v>2452</v>
      </c>
      <c r="S395" s="599" t="s">
        <v>551</v>
      </c>
      <c r="T395" s="594" t="str">
        <f t="shared" si="23"/>
        <v/>
      </c>
      <c r="U395" s="600"/>
      <c r="V395" s="632"/>
    </row>
    <row r="396" spans="1:28" ht="15.8" customHeight="1">
      <c r="A396" s="587" t="s">
        <v>1497</v>
      </c>
      <c r="B396" s="587" t="s">
        <v>644</v>
      </c>
      <c r="C396" s="587"/>
      <c r="D396" s="587" t="s">
        <v>550</v>
      </c>
      <c r="E396" s="587" t="s">
        <v>2424</v>
      </c>
      <c r="F396" s="588">
        <v>2790</v>
      </c>
      <c r="G396" s="589"/>
      <c r="H396" s="589" t="s">
        <v>551</v>
      </c>
      <c r="I396" s="589">
        <v>17</v>
      </c>
      <c r="J396" s="588">
        <v>3700</v>
      </c>
      <c r="K396" s="589">
        <v>17</v>
      </c>
      <c r="L396" s="590"/>
      <c r="M396" s="591"/>
      <c r="N396" s="592" t="str">
        <f t="shared" si="24"/>
        <v/>
      </c>
      <c r="O396" s="592" t="str">
        <f t="shared" si="25"/>
        <v/>
      </c>
      <c r="P396" s="677" t="s">
        <v>644</v>
      </c>
      <c r="Q396" s="677" t="s">
        <v>2450</v>
      </c>
      <c r="R396" s="677" t="s">
        <v>2452</v>
      </c>
      <c r="S396" s="589" t="s">
        <v>551</v>
      </c>
      <c r="T396" s="594" t="str">
        <f t="shared" si="23"/>
        <v/>
      </c>
      <c r="U396" s="600"/>
      <c r="V396" s="611"/>
    </row>
    <row r="397" spans="1:28" ht="15.8" customHeight="1">
      <c r="A397" s="813" t="s">
        <v>1657</v>
      </c>
      <c r="B397" s="813" t="s">
        <v>1658</v>
      </c>
      <c r="C397" s="813" t="s">
        <v>477</v>
      </c>
      <c r="D397" s="813" t="s">
        <v>559</v>
      </c>
      <c r="E397" s="813" t="s">
        <v>559</v>
      </c>
      <c r="F397" s="820">
        <v>16500</v>
      </c>
      <c r="G397" s="821" t="s">
        <v>1363</v>
      </c>
      <c r="H397" s="821" t="s">
        <v>575</v>
      </c>
      <c r="I397" s="821">
        <v>17</v>
      </c>
      <c r="J397" s="820">
        <v>19400</v>
      </c>
      <c r="K397" s="821">
        <v>17</v>
      </c>
      <c r="L397" s="601"/>
      <c r="M397" s="602"/>
      <c r="N397" s="813" t="str">
        <f t="shared" si="24"/>
        <v/>
      </c>
      <c r="O397" s="813" t="str">
        <f t="shared" si="25"/>
        <v/>
      </c>
      <c r="P397" s="814" t="s">
        <v>2644</v>
      </c>
      <c r="Q397" s="814" t="s">
        <v>897</v>
      </c>
      <c r="R397" s="814" t="s">
        <v>2537</v>
      </c>
      <c r="S397" s="821" t="s">
        <v>575</v>
      </c>
      <c r="T397" s="815" t="str">
        <f t="shared" si="23"/>
        <v/>
      </c>
      <c r="U397" s="611"/>
      <c r="V397" s="611"/>
    </row>
    <row r="398" spans="1:28" ht="15.8" customHeight="1">
      <c r="A398" s="634" t="s">
        <v>1718</v>
      </c>
      <c r="B398" s="634" t="s">
        <v>424</v>
      </c>
      <c r="C398" s="634" t="s">
        <v>2820</v>
      </c>
      <c r="D398" s="634" t="s">
        <v>553</v>
      </c>
      <c r="E398" s="634" t="s">
        <v>2704</v>
      </c>
      <c r="F398" s="636">
        <v>12900</v>
      </c>
      <c r="G398" s="637"/>
      <c r="H398" s="637" t="s">
        <v>604</v>
      </c>
      <c r="I398" s="637">
        <v>17</v>
      </c>
      <c r="J398" s="636">
        <v>15800</v>
      </c>
      <c r="K398" s="637">
        <v>17</v>
      </c>
      <c r="L398" s="601"/>
      <c r="M398" s="591"/>
      <c r="N398" s="638" t="str">
        <f t="shared" si="24"/>
        <v/>
      </c>
      <c r="O398" s="638" t="str">
        <f t="shared" si="25"/>
        <v/>
      </c>
      <c r="P398" s="639" t="s">
        <v>424</v>
      </c>
      <c r="Q398" s="639" t="s">
        <v>2465</v>
      </c>
      <c r="R398" s="639" t="s">
        <v>2482</v>
      </c>
      <c r="S398" s="637" t="s">
        <v>604</v>
      </c>
      <c r="T398" s="640" t="str">
        <f t="shared" si="23"/>
        <v/>
      </c>
      <c r="U398" s="600"/>
      <c r="V398" s="611" t="s">
        <v>5990</v>
      </c>
    </row>
    <row r="399" spans="1:28" ht="15.8" customHeight="1">
      <c r="A399" s="644" t="s">
        <v>5983</v>
      </c>
      <c r="B399" s="644" t="s">
        <v>2353</v>
      </c>
      <c r="C399" s="644"/>
      <c r="D399" s="644" t="s">
        <v>553</v>
      </c>
      <c r="E399" s="644" t="s">
        <v>2704</v>
      </c>
      <c r="F399" s="1170">
        <v>50000</v>
      </c>
      <c r="G399" s="651" t="s">
        <v>1363</v>
      </c>
      <c r="H399" s="651" t="s">
        <v>604</v>
      </c>
      <c r="I399" s="651">
        <v>8</v>
      </c>
      <c r="J399" s="1170">
        <v>55000</v>
      </c>
      <c r="K399" s="1234">
        <v>8</v>
      </c>
      <c r="L399" s="601"/>
      <c r="M399" s="591"/>
      <c r="N399" s="638" t="str">
        <f t="shared" si="24"/>
        <v/>
      </c>
      <c r="O399" s="638" t="str">
        <f t="shared" si="25"/>
        <v/>
      </c>
      <c r="P399" s="639" t="s">
        <v>2703</v>
      </c>
      <c r="Q399" s="639" t="s">
        <v>5828</v>
      </c>
      <c r="R399" s="1412" t="s">
        <v>2553</v>
      </c>
      <c r="S399" s="1234" t="s">
        <v>604</v>
      </c>
      <c r="T399" s="640" t="str">
        <f t="shared" si="23"/>
        <v/>
      </c>
      <c r="V399" s="614" t="s">
        <v>5990</v>
      </c>
    </row>
    <row r="400" spans="1:28" s="618" customFormat="1" ht="15.8" customHeight="1">
      <c r="A400" s="678" t="s">
        <v>1774</v>
      </c>
      <c r="B400" s="678" t="s">
        <v>397</v>
      </c>
      <c r="C400" s="678"/>
      <c r="D400" s="678" t="s">
        <v>562</v>
      </c>
      <c r="E400" s="673" t="s">
        <v>562</v>
      </c>
      <c r="F400" s="679">
        <v>8049.9999999999991</v>
      </c>
      <c r="G400" s="680"/>
      <c r="H400" s="680" t="s">
        <v>604</v>
      </c>
      <c r="I400" s="680">
        <v>17</v>
      </c>
      <c r="J400" s="679">
        <v>10460</v>
      </c>
      <c r="K400" s="680">
        <v>17</v>
      </c>
      <c r="L400" s="676"/>
      <c r="M400" s="670"/>
      <c r="N400" s="674" t="str">
        <f t="shared" si="24"/>
        <v/>
      </c>
      <c r="O400" s="674" t="str">
        <f t="shared" si="25"/>
        <v/>
      </c>
      <c r="P400" s="681" t="s">
        <v>397</v>
      </c>
      <c r="Q400" s="681" t="s">
        <v>2465</v>
      </c>
      <c r="R400" s="1410" t="s">
        <v>2470</v>
      </c>
      <c r="S400" s="680" t="s">
        <v>604</v>
      </c>
      <c r="T400" s="675" t="str">
        <f t="shared" si="23"/>
        <v/>
      </c>
      <c r="U400" s="790"/>
      <c r="V400" s="611" t="s">
        <v>5990</v>
      </c>
      <c r="W400" s="785"/>
      <c r="X400" s="785"/>
      <c r="Y400" s="785"/>
      <c r="Z400" s="785"/>
      <c r="AA400" s="785"/>
      <c r="AB400" s="785"/>
    </row>
    <row r="401" spans="1:28" s="618" customFormat="1" ht="15.8" customHeight="1">
      <c r="A401" s="587" t="s">
        <v>1797</v>
      </c>
      <c r="B401" s="587" t="s">
        <v>2407</v>
      </c>
      <c r="C401" s="587"/>
      <c r="D401" s="587" t="s">
        <v>699</v>
      </c>
      <c r="E401" s="587"/>
      <c r="F401" s="588">
        <v>32065</v>
      </c>
      <c r="G401" s="589"/>
      <c r="H401" s="589" t="s">
        <v>551</v>
      </c>
      <c r="I401" s="589">
        <v>7</v>
      </c>
      <c r="J401" s="588">
        <v>39500</v>
      </c>
      <c r="K401" s="589">
        <v>7</v>
      </c>
      <c r="L401" s="590"/>
      <c r="M401" s="591"/>
      <c r="N401" s="592" t="str">
        <f t="shared" si="24"/>
        <v/>
      </c>
      <c r="O401" s="592" t="str">
        <f t="shared" si="25"/>
        <v/>
      </c>
      <c r="P401" s="595"/>
      <c r="Q401" s="595"/>
      <c r="R401" s="1405" t="s">
        <v>2452</v>
      </c>
      <c r="S401" s="589" t="s">
        <v>551</v>
      </c>
      <c r="T401" s="594" t="str">
        <f t="shared" si="23"/>
        <v/>
      </c>
      <c r="U401" s="611"/>
      <c r="V401" s="614"/>
      <c r="W401" s="785"/>
      <c r="X401" s="785"/>
      <c r="Y401" s="785"/>
      <c r="Z401" s="785"/>
      <c r="AA401" s="785"/>
      <c r="AB401" s="785"/>
    </row>
    <row r="402" spans="1:28" ht="15.8" customHeight="1">
      <c r="A402" s="1154" t="s">
        <v>1393</v>
      </c>
      <c r="B402" s="1154" t="s">
        <v>76</v>
      </c>
      <c r="C402" s="813" t="s">
        <v>477</v>
      </c>
      <c r="D402" s="1154" t="s">
        <v>559</v>
      </c>
      <c r="E402" s="1154" t="s">
        <v>559</v>
      </c>
      <c r="F402" s="1155">
        <v>8800</v>
      </c>
      <c r="G402" s="880"/>
      <c r="H402" s="880" t="s">
        <v>5814</v>
      </c>
      <c r="I402" s="880">
        <v>17</v>
      </c>
      <c r="J402" s="1156">
        <v>10900</v>
      </c>
      <c r="K402" s="880">
        <v>17</v>
      </c>
      <c r="L402" s="590"/>
      <c r="M402" s="602"/>
      <c r="N402" s="813" t="str">
        <f t="shared" si="24"/>
        <v/>
      </c>
      <c r="O402" s="813" t="str">
        <f t="shared" si="25"/>
        <v/>
      </c>
      <c r="P402" s="814" t="s">
        <v>76</v>
      </c>
      <c r="Q402" s="814" t="s">
        <v>2450</v>
      </c>
      <c r="R402" s="1409" t="s">
        <v>2462</v>
      </c>
      <c r="S402" s="880" t="s">
        <v>5814</v>
      </c>
      <c r="T402" s="815" t="str">
        <f t="shared" si="23"/>
        <v/>
      </c>
      <c r="U402" s="611"/>
      <c r="V402" s="632"/>
    </row>
    <row r="403" spans="1:28" ht="15.8" customHeight="1">
      <c r="A403" s="587" t="s">
        <v>1404</v>
      </c>
      <c r="B403" s="587" t="s">
        <v>585</v>
      </c>
      <c r="C403" s="587"/>
      <c r="D403" s="587" t="s">
        <v>586</v>
      </c>
      <c r="E403" s="587" t="s">
        <v>586</v>
      </c>
      <c r="F403" s="588">
        <v>4900</v>
      </c>
      <c r="G403" s="589"/>
      <c r="H403" s="589" t="s">
        <v>548</v>
      </c>
      <c r="I403" s="589">
        <v>3</v>
      </c>
      <c r="J403" s="588">
        <v>5000</v>
      </c>
      <c r="K403" s="589">
        <v>3</v>
      </c>
      <c r="L403" s="590"/>
      <c r="M403" s="591"/>
      <c r="N403" s="592" t="str">
        <f t="shared" si="24"/>
        <v/>
      </c>
      <c r="O403" s="592" t="str">
        <f t="shared" si="25"/>
        <v/>
      </c>
      <c r="P403" s="595"/>
      <c r="Q403" s="595"/>
      <c r="R403" s="1407"/>
      <c r="S403" s="589" t="s">
        <v>548</v>
      </c>
      <c r="T403" s="594" t="str">
        <f t="shared" si="23"/>
        <v/>
      </c>
      <c r="U403" s="611"/>
      <c r="V403" s="611"/>
    </row>
    <row r="404" spans="1:28" ht="16.149999999999999" customHeight="1">
      <c r="A404" s="587" t="s">
        <v>1452</v>
      </c>
      <c r="B404" s="587" t="s">
        <v>617</v>
      </c>
      <c r="C404" s="587"/>
      <c r="D404" s="587" t="s">
        <v>607</v>
      </c>
      <c r="E404" s="587"/>
      <c r="F404" s="588">
        <v>5175</v>
      </c>
      <c r="G404" s="589"/>
      <c r="H404" s="589" t="s">
        <v>608</v>
      </c>
      <c r="I404" s="589">
        <v>3</v>
      </c>
      <c r="J404" s="588">
        <v>6700</v>
      </c>
      <c r="K404" s="589">
        <v>3</v>
      </c>
      <c r="L404" s="590"/>
      <c r="M404" s="591"/>
      <c r="N404" s="592" t="str">
        <f t="shared" si="24"/>
        <v/>
      </c>
      <c r="O404" s="592" t="str">
        <f t="shared" si="25"/>
        <v/>
      </c>
      <c r="P404" s="595"/>
      <c r="Q404" s="1121" t="s">
        <v>2538</v>
      </c>
      <c r="R404" s="1121" t="s">
        <v>5818</v>
      </c>
      <c r="S404" s="589" t="s">
        <v>608</v>
      </c>
      <c r="T404" s="594" t="str">
        <f t="shared" si="23"/>
        <v/>
      </c>
      <c r="U404" s="611"/>
      <c r="V404" s="611"/>
    </row>
    <row r="405" spans="1:28" ht="16.149999999999999" customHeight="1">
      <c r="A405" s="808" t="s">
        <v>391</v>
      </c>
      <c r="B405" s="808" t="s">
        <v>391</v>
      </c>
      <c r="C405" s="808" t="s">
        <v>477</v>
      </c>
      <c r="D405" s="808" t="s">
        <v>88</v>
      </c>
      <c r="E405" s="809" t="s">
        <v>2737</v>
      </c>
      <c r="F405" s="825">
        <v>6000</v>
      </c>
      <c r="G405" s="823" t="s">
        <v>1363</v>
      </c>
      <c r="H405" s="824" t="s">
        <v>5814</v>
      </c>
      <c r="I405" s="823">
        <v>21</v>
      </c>
      <c r="J405" s="825">
        <v>7800</v>
      </c>
      <c r="K405" s="823">
        <v>21</v>
      </c>
      <c r="L405" s="590"/>
      <c r="M405" s="591"/>
      <c r="N405" s="808" t="str">
        <f t="shared" si="24"/>
        <v/>
      </c>
      <c r="O405" s="808" t="str">
        <f t="shared" si="25"/>
        <v/>
      </c>
      <c r="P405" s="818" t="s">
        <v>391</v>
      </c>
      <c r="Q405" s="818" t="s">
        <v>2450</v>
      </c>
      <c r="R405" s="818" t="s">
        <v>2485</v>
      </c>
      <c r="S405" s="824" t="s">
        <v>5814</v>
      </c>
      <c r="T405" s="819" t="str">
        <f t="shared" si="23"/>
        <v/>
      </c>
      <c r="U405" s="611"/>
      <c r="V405" s="611"/>
    </row>
    <row r="406" spans="1:28" ht="16.149999999999999" customHeight="1">
      <c r="A406" s="600" t="s">
        <v>1480</v>
      </c>
      <c r="B406" s="600" t="s">
        <v>635</v>
      </c>
      <c r="C406" s="600"/>
      <c r="D406" s="600" t="s">
        <v>103</v>
      </c>
      <c r="E406" s="600" t="s">
        <v>103</v>
      </c>
      <c r="F406" s="603">
        <v>13914.999999999998</v>
      </c>
      <c r="G406" s="604" t="s">
        <v>1363</v>
      </c>
      <c r="H406" s="604" t="s">
        <v>551</v>
      </c>
      <c r="I406" s="604">
        <v>15</v>
      </c>
      <c r="J406" s="631">
        <v>17200</v>
      </c>
      <c r="K406" s="604">
        <v>15</v>
      </c>
      <c r="L406" s="601"/>
      <c r="M406" s="602"/>
      <c r="N406" s="600" t="str">
        <f t="shared" si="24"/>
        <v/>
      </c>
      <c r="O406" s="600" t="str">
        <f t="shared" si="25"/>
        <v/>
      </c>
      <c r="P406" s="605" t="s">
        <v>635</v>
      </c>
      <c r="Q406" s="605" t="s">
        <v>2450</v>
      </c>
      <c r="R406" s="605" t="s">
        <v>2490</v>
      </c>
      <c r="S406" s="604" t="s">
        <v>551</v>
      </c>
      <c r="T406" s="606" t="str">
        <f t="shared" si="23"/>
        <v/>
      </c>
      <c r="U406" s="611"/>
      <c r="V406" s="611"/>
    </row>
    <row r="407" spans="1:28" ht="16.149999999999999" customHeight="1">
      <c r="A407" s="587" t="s">
        <v>1489</v>
      </c>
      <c r="B407" s="587" t="s">
        <v>297</v>
      </c>
      <c r="C407" s="587"/>
      <c r="D407" s="587" t="s">
        <v>550</v>
      </c>
      <c r="E407" s="587" t="s">
        <v>2439</v>
      </c>
      <c r="F407" s="588">
        <v>5979.9999999999991</v>
      </c>
      <c r="G407" s="589"/>
      <c r="H407" s="589" t="s">
        <v>551</v>
      </c>
      <c r="I407" s="589">
        <v>15</v>
      </c>
      <c r="J407" s="588">
        <v>6900</v>
      </c>
      <c r="K407" s="589">
        <v>15</v>
      </c>
      <c r="L407" s="590"/>
      <c r="M407" s="591"/>
      <c r="N407" s="592" t="str">
        <f t="shared" si="24"/>
        <v/>
      </c>
      <c r="O407" s="592" t="str">
        <f t="shared" si="25"/>
        <v/>
      </c>
      <c r="P407" s="593" t="s">
        <v>297</v>
      </c>
      <c r="Q407" s="593" t="s">
        <v>2450</v>
      </c>
      <c r="R407" s="593" t="s">
        <v>2452</v>
      </c>
      <c r="S407" s="589" t="s">
        <v>551</v>
      </c>
      <c r="T407" s="594" t="str">
        <f t="shared" si="23"/>
        <v/>
      </c>
      <c r="U407" s="611"/>
      <c r="V407" s="611"/>
    </row>
    <row r="408" spans="1:28" ht="16.149999999999999" customHeight="1">
      <c r="A408" s="587" t="s">
        <v>1496</v>
      </c>
      <c r="B408" s="587" t="s">
        <v>643</v>
      </c>
      <c r="C408" s="587"/>
      <c r="D408" s="587" t="s">
        <v>562</v>
      </c>
      <c r="E408" s="587" t="s">
        <v>562</v>
      </c>
      <c r="F408" s="588">
        <v>13000</v>
      </c>
      <c r="G408" s="589"/>
      <c r="H408" s="589" t="s">
        <v>551</v>
      </c>
      <c r="I408" s="589">
        <v>17</v>
      </c>
      <c r="J408" s="588">
        <v>16900</v>
      </c>
      <c r="K408" s="589">
        <v>17</v>
      </c>
      <c r="L408" s="590"/>
      <c r="M408" s="591"/>
      <c r="N408" s="592" t="str">
        <f t="shared" si="24"/>
        <v/>
      </c>
      <c r="O408" s="592" t="str">
        <f t="shared" si="25"/>
        <v/>
      </c>
      <c r="P408" s="593" t="s">
        <v>643</v>
      </c>
      <c r="Q408" s="593" t="s">
        <v>2450</v>
      </c>
      <c r="R408" s="593" t="s">
        <v>2496</v>
      </c>
      <c r="S408" s="589" t="s">
        <v>551</v>
      </c>
      <c r="T408" s="594" t="str">
        <f t="shared" si="23"/>
        <v/>
      </c>
      <c r="U408" s="611"/>
      <c r="V408" s="611"/>
    </row>
    <row r="409" spans="1:28" ht="16.149999999999999" customHeight="1">
      <c r="A409" s="611" t="s">
        <v>1580</v>
      </c>
      <c r="B409" s="611" t="s">
        <v>718</v>
      </c>
      <c r="C409" s="611"/>
      <c r="D409" s="611" t="s">
        <v>88</v>
      </c>
      <c r="E409" s="611" t="s">
        <v>2735</v>
      </c>
      <c r="F409" s="612">
        <v>2530</v>
      </c>
      <c r="G409" s="613"/>
      <c r="H409" s="613" t="s">
        <v>551</v>
      </c>
      <c r="I409" s="613">
        <v>3</v>
      </c>
      <c r="J409" s="612">
        <v>3300</v>
      </c>
      <c r="K409" s="613">
        <v>3</v>
      </c>
      <c r="L409" s="590"/>
      <c r="M409" s="591"/>
      <c r="N409" s="600" t="str">
        <f t="shared" si="24"/>
        <v/>
      </c>
      <c r="O409" s="600" t="str">
        <f t="shared" si="25"/>
        <v/>
      </c>
      <c r="P409" s="605" t="s">
        <v>718</v>
      </c>
      <c r="Q409" s="605" t="s">
        <v>2450</v>
      </c>
      <c r="R409" s="605" t="s">
        <v>2452</v>
      </c>
      <c r="S409" s="613" t="s">
        <v>551</v>
      </c>
      <c r="T409" s="606" t="str">
        <f t="shared" si="23"/>
        <v/>
      </c>
      <c r="U409" s="611"/>
      <c r="V409" s="611"/>
    </row>
    <row r="410" spans="1:28" ht="16.149999999999999" customHeight="1">
      <c r="A410" s="625" t="s">
        <v>1707</v>
      </c>
      <c r="B410" s="625" t="s">
        <v>799</v>
      </c>
      <c r="C410" s="625" t="s">
        <v>2375</v>
      </c>
      <c r="D410" s="625" t="s">
        <v>607</v>
      </c>
      <c r="E410" s="587" t="s">
        <v>2741</v>
      </c>
      <c r="F410" s="588">
        <v>4500</v>
      </c>
      <c r="G410" s="594"/>
      <c r="H410" s="594" t="s">
        <v>736</v>
      </c>
      <c r="I410" s="594" t="s">
        <v>350</v>
      </c>
      <c r="J410" s="588">
        <v>6700</v>
      </c>
      <c r="K410" s="589" t="s">
        <v>350</v>
      </c>
      <c r="L410" s="590"/>
      <c r="M410" s="591"/>
      <c r="N410" s="592" t="str">
        <f t="shared" si="24"/>
        <v/>
      </c>
      <c r="O410" s="592" t="str">
        <f t="shared" si="25"/>
        <v/>
      </c>
      <c r="P410" s="677" t="s">
        <v>799</v>
      </c>
      <c r="Q410" s="677" t="s">
        <v>2525</v>
      </c>
      <c r="R410" s="677" t="s">
        <v>2542</v>
      </c>
      <c r="S410" s="594" t="s">
        <v>736</v>
      </c>
      <c r="T410" s="594" t="str">
        <f t="shared" si="23"/>
        <v/>
      </c>
      <c r="U410" s="611"/>
      <c r="V410" s="611"/>
    </row>
    <row r="411" spans="1:28" ht="16.149999999999999" customHeight="1">
      <c r="A411" s="809" t="s">
        <v>1735</v>
      </c>
      <c r="B411" s="809" t="s">
        <v>78</v>
      </c>
      <c r="C411" s="808" t="s">
        <v>477</v>
      </c>
      <c r="D411" s="809" t="s">
        <v>559</v>
      </c>
      <c r="E411" s="809" t="s">
        <v>559</v>
      </c>
      <c r="F411" s="816">
        <v>9000</v>
      </c>
      <c r="G411" s="817"/>
      <c r="H411" s="817" t="s">
        <v>575</v>
      </c>
      <c r="I411" s="817">
        <v>17</v>
      </c>
      <c r="J411" s="816">
        <v>11700</v>
      </c>
      <c r="K411" s="817">
        <v>17</v>
      </c>
      <c r="L411" s="601"/>
      <c r="M411" s="602"/>
      <c r="N411" s="808" t="str">
        <f t="shared" si="24"/>
        <v/>
      </c>
      <c r="O411" s="808" t="str">
        <f t="shared" si="25"/>
        <v/>
      </c>
      <c r="P411" s="818" t="s">
        <v>78</v>
      </c>
      <c r="Q411" s="818" t="s">
        <v>897</v>
      </c>
      <c r="R411" s="818" t="s">
        <v>2549</v>
      </c>
      <c r="S411" s="817" t="s">
        <v>575</v>
      </c>
      <c r="T411" s="819" t="str">
        <f t="shared" si="23"/>
        <v/>
      </c>
      <c r="U411" s="611"/>
      <c r="V411" s="611"/>
    </row>
    <row r="412" spans="1:28" ht="16.149999999999999" customHeight="1">
      <c r="A412" s="810" t="s">
        <v>1741</v>
      </c>
      <c r="B412" s="810" t="s">
        <v>821</v>
      </c>
      <c r="C412" s="810" t="s">
        <v>477</v>
      </c>
      <c r="D412" s="810" t="s">
        <v>103</v>
      </c>
      <c r="E412" s="810" t="s">
        <v>103</v>
      </c>
      <c r="F412" s="811">
        <v>9200</v>
      </c>
      <c r="G412" s="812"/>
      <c r="H412" s="880" t="s">
        <v>5814</v>
      </c>
      <c r="I412" s="812">
        <v>17</v>
      </c>
      <c r="J412" s="811">
        <v>12000</v>
      </c>
      <c r="K412" s="812">
        <v>17</v>
      </c>
      <c r="L412" s="601"/>
      <c r="M412" s="602"/>
      <c r="N412" s="813" t="str">
        <f t="shared" si="24"/>
        <v/>
      </c>
      <c r="O412" s="813" t="str">
        <f t="shared" si="25"/>
        <v/>
      </c>
      <c r="P412" s="814" t="s">
        <v>2670</v>
      </c>
      <c r="Q412" s="814" t="s">
        <v>2450</v>
      </c>
      <c r="R412" s="814" t="s">
        <v>2516</v>
      </c>
      <c r="S412" s="880" t="s">
        <v>5814</v>
      </c>
      <c r="T412" s="815" t="str">
        <f t="shared" si="23"/>
        <v/>
      </c>
      <c r="U412" s="611"/>
      <c r="V412" s="611"/>
    </row>
    <row r="413" spans="1:28" ht="16.149999999999999" customHeight="1">
      <c r="A413" s="587" t="s">
        <v>1742</v>
      </c>
      <c r="B413" s="587" t="s">
        <v>822</v>
      </c>
      <c r="C413" s="587"/>
      <c r="D413" s="587" t="s">
        <v>607</v>
      </c>
      <c r="E413" s="587" t="s">
        <v>2741</v>
      </c>
      <c r="F413" s="588">
        <v>7000</v>
      </c>
      <c r="G413" s="589"/>
      <c r="H413" s="589" t="s">
        <v>608</v>
      </c>
      <c r="I413" s="589" t="s">
        <v>350</v>
      </c>
      <c r="J413" s="588">
        <v>9100</v>
      </c>
      <c r="K413" s="589" t="s">
        <v>350</v>
      </c>
      <c r="L413" s="590"/>
      <c r="M413" s="591"/>
      <c r="N413" s="592" t="str">
        <f t="shared" si="24"/>
        <v/>
      </c>
      <c r="O413" s="592" t="str">
        <f t="shared" si="25"/>
        <v/>
      </c>
      <c r="P413" s="593" t="s">
        <v>2671</v>
      </c>
      <c r="Q413" s="593" t="s">
        <v>2472</v>
      </c>
      <c r="R413" s="593" t="s">
        <v>2473</v>
      </c>
      <c r="S413" s="589" t="s">
        <v>608</v>
      </c>
      <c r="T413" s="594" t="str">
        <f t="shared" si="23"/>
        <v/>
      </c>
      <c r="U413" s="797"/>
      <c r="V413" s="611"/>
    </row>
    <row r="414" spans="1:28" ht="16.149999999999999" customHeight="1">
      <c r="A414" s="611" t="s">
        <v>1755</v>
      </c>
      <c r="B414" s="611" t="s">
        <v>826</v>
      </c>
      <c r="C414" s="611"/>
      <c r="D414" s="611" t="s">
        <v>586</v>
      </c>
      <c r="E414" s="611" t="s">
        <v>586</v>
      </c>
      <c r="F414" s="612">
        <v>5750</v>
      </c>
      <c r="G414" s="613"/>
      <c r="H414" s="613" t="s">
        <v>548</v>
      </c>
      <c r="I414" s="613" t="s">
        <v>548</v>
      </c>
      <c r="J414" s="612">
        <v>5750</v>
      </c>
      <c r="K414" s="613" t="s">
        <v>548</v>
      </c>
      <c r="L414" s="590"/>
      <c r="M414" s="591"/>
      <c r="N414" s="600" t="str">
        <f t="shared" si="24"/>
        <v/>
      </c>
      <c r="O414" s="600" t="str">
        <f t="shared" si="25"/>
        <v/>
      </c>
      <c r="S414" s="613" t="s">
        <v>548</v>
      </c>
      <c r="T414" s="606" t="str">
        <f t="shared" si="23"/>
        <v/>
      </c>
      <c r="U414" s="600"/>
      <c r="V414" s="611"/>
    </row>
    <row r="415" spans="1:28" s="618" customFormat="1" ht="16.149999999999999" hidden="1" customHeight="1">
      <c r="A415" s="829" t="s">
        <v>1559</v>
      </c>
      <c r="B415" s="1393" t="s">
        <v>1560</v>
      </c>
      <c r="C415" s="1393"/>
      <c r="D415" s="1393" t="s">
        <v>553</v>
      </c>
      <c r="E415" s="1393"/>
      <c r="F415" s="1394">
        <v>4750</v>
      </c>
      <c r="G415" s="1395"/>
      <c r="H415" s="1395" t="s">
        <v>554</v>
      </c>
      <c r="I415" s="1395">
        <v>5</v>
      </c>
      <c r="J415" s="1394"/>
      <c r="K415" s="1395">
        <v>5</v>
      </c>
      <c r="L415" s="1055"/>
      <c r="M415" s="830"/>
      <c r="N415" s="1287" t="str">
        <f t="shared" si="24"/>
        <v/>
      </c>
      <c r="O415" s="1287" t="str">
        <f t="shared" si="25"/>
        <v/>
      </c>
      <c r="P415" s="1388" t="s">
        <v>2618</v>
      </c>
      <c r="Q415" s="1388" t="s">
        <v>2486</v>
      </c>
      <c r="R415" s="1392" t="s">
        <v>2471</v>
      </c>
      <c r="S415" s="1395" t="s">
        <v>554</v>
      </c>
      <c r="T415" s="1389" t="s">
        <v>5816</v>
      </c>
      <c r="U415" s="600"/>
      <c r="V415" s="600"/>
      <c r="W415" s="785"/>
      <c r="X415" s="785"/>
      <c r="Y415" s="785"/>
      <c r="Z415" s="785"/>
      <c r="AA415" s="785"/>
      <c r="AB415" s="785"/>
    </row>
    <row r="416" spans="1:28" ht="16.149999999999999" hidden="1" customHeight="1">
      <c r="A416" s="829" t="s">
        <v>1568</v>
      </c>
      <c r="B416" s="1393" t="s">
        <v>708</v>
      </c>
      <c r="C416" s="1393"/>
      <c r="D416" s="1393" t="s">
        <v>607</v>
      </c>
      <c r="E416" s="1393"/>
      <c r="F416" s="1394">
        <v>4500</v>
      </c>
      <c r="G416" s="1395"/>
      <c r="H416" s="1395" t="s">
        <v>608</v>
      </c>
      <c r="I416" s="1395" t="s">
        <v>350</v>
      </c>
      <c r="J416" s="1394">
        <v>5850</v>
      </c>
      <c r="K416" s="1395" t="s">
        <v>350</v>
      </c>
      <c r="L416" s="1399"/>
      <c r="M416" s="830"/>
      <c r="N416" s="1287" t="str">
        <f t="shared" si="24"/>
        <v/>
      </c>
      <c r="O416" s="1287" t="str">
        <f t="shared" si="25"/>
        <v/>
      </c>
      <c r="P416" s="1388" t="s">
        <v>708</v>
      </c>
      <c r="Q416" s="1388" t="s">
        <v>2472</v>
      </c>
      <c r="R416" s="1388" t="s">
        <v>2473</v>
      </c>
      <c r="S416" s="1395" t="s">
        <v>608</v>
      </c>
      <c r="T416" s="1389" t="s">
        <v>5816</v>
      </c>
      <c r="U416" s="611"/>
      <c r="V416" s="611"/>
    </row>
    <row r="417" spans="1:28" ht="16.149999999999999" hidden="1" customHeight="1">
      <c r="A417" s="829" t="s">
        <v>1575</v>
      </c>
      <c r="B417" s="1393" t="s">
        <v>712</v>
      </c>
      <c r="C417" s="1393"/>
      <c r="D417" s="1393" t="s">
        <v>607</v>
      </c>
      <c r="E417" s="1393"/>
      <c r="F417" s="1394">
        <v>1500</v>
      </c>
      <c r="G417" s="1395"/>
      <c r="H417" s="1395" t="s">
        <v>713</v>
      </c>
      <c r="I417" s="1395">
        <v>1</v>
      </c>
      <c r="J417" s="1394">
        <v>1950</v>
      </c>
      <c r="K417" s="1395">
        <v>1</v>
      </c>
      <c r="L417" s="1055"/>
      <c r="M417" s="830"/>
      <c r="N417" s="1287" t="str">
        <f t="shared" si="24"/>
        <v/>
      </c>
      <c r="O417" s="1287" t="str">
        <f t="shared" si="25"/>
        <v/>
      </c>
      <c r="P417" s="1388" t="s">
        <v>712</v>
      </c>
      <c r="Q417" s="1388" t="s">
        <v>713</v>
      </c>
      <c r="R417" s="1388" t="s">
        <v>2514</v>
      </c>
      <c r="S417" s="1395" t="s">
        <v>713</v>
      </c>
      <c r="T417" s="1389" t="s">
        <v>5816</v>
      </c>
      <c r="U417" s="615"/>
      <c r="V417" s="615"/>
    </row>
    <row r="418" spans="1:28" ht="16.149999999999999" hidden="1" customHeight="1">
      <c r="A418" s="829" t="s">
        <v>1576</v>
      </c>
      <c r="B418" s="1393" t="s">
        <v>714</v>
      </c>
      <c r="C418" s="1393"/>
      <c r="D418" s="1393" t="s">
        <v>607</v>
      </c>
      <c r="E418" s="1393"/>
      <c r="F418" s="1394">
        <v>6500</v>
      </c>
      <c r="G418" s="1395"/>
      <c r="H418" s="1395" t="s">
        <v>715</v>
      </c>
      <c r="I418" s="1395" t="s">
        <v>350</v>
      </c>
      <c r="J418" s="1394">
        <v>8450</v>
      </c>
      <c r="K418" s="1395" t="s">
        <v>350</v>
      </c>
      <c r="L418" s="1055"/>
      <c r="M418" s="830"/>
      <c r="N418" s="1287" t="str">
        <f t="shared" si="24"/>
        <v/>
      </c>
      <c r="O418" s="1287" t="str">
        <f t="shared" si="25"/>
        <v/>
      </c>
      <c r="P418" s="1388" t="s">
        <v>714</v>
      </c>
      <c r="Q418" s="1388" t="s">
        <v>2515</v>
      </c>
      <c r="R418" s="1388" t="s">
        <v>2473</v>
      </c>
      <c r="S418" s="1395" t="s">
        <v>715</v>
      </c>
      <c r="T418" s="1389" t="s">
        <v>5816</v>
      </c>
      <c r="U418" s="611"/>
      <c r="V418" s="611"/>
    </row>
    <row r="419" spans="1:28" ht="16.149999999999999" hidden="1" customHeight="1">
      <c r="A419" s="828" t="s">
        <v>1643</v>
      </c>
      <c r="B419" s="1287" t="s">
        <v>1644</v>
      </c>
      <c r="C419" s="1287"/>
      <c r="D419" s="1287" t="s">
        <v>567</v>
      </c>
      <c r="E419" s="1393" t="s">
        <v>2734</v>
      </c>
      <c r="F419" s="1397">
        <v>57400</v>
      </c>
      <c r="G419" s="1398" t="s">
        <v>1363</v>
      </c>
      <c r="H419" s="1398" t="s">
        <v>750</v>
      </c>
      <c r="I419" s="1398">
        <v>10</v>
      </c>
      <c r="J419" s="1397">
        <v>74600</v>
      </c>
      <c r="K419" s="1398">
        <v>10</v>
      </c>
      <c r="L419" s="1399"/>
      <c r="M419" s="827"/>
      <c r="N419" s="1287" t="str">
        <f t="shared" si="24"/>
        <v/>
      </c>
      <c r="O419" s="1287" t="str">
        <f t="shared" si="25"/>
        <v/>
      </c>
      <c r="P419" s="1400"/>
      <c r="Q419" s="1400"/>
      <c r="R419" s="1401"/>
      <c r="S419" s="1398" t="s">
        <v>750</v>
      </c>
      <c r="T419" s="1389" t="s">
        <v>5816</v>
      </c>
      <c r="U419" s="611"/>
      <c r="V419" s="611"/>
    </row>
    <row r="420" spans="1:28" s="618" customFormat="1" ht="16.149999999999999" hidden="1" customHeight="1">
      <c r="A420" s="831" t="s">
        <v>1648</v>
      </c>
      <c r="B420" s="831" t="s">
        <v>754</v>
      </c>
      <c r="C420" s="831"/>
      <c r="D420" s="831" t="s">
        <v>602</v>
      </c>
      <c r="E420" s="831"/>
      <c r="F420" s="1302">
        <v>9990</v>
      </c>
      <c r="G420" s="1300" t="s">
        <v>1363</v>
      </c>
      <c r="H420" s="1300" t="s">
        <v>554</v>
      </c>
      <c r="I420" s="1300" t="s">
        <v>664</v>
      </c>
      <c r="J420" s="1302">
        <v>12900</v>
      </c>
      <c r="K420" s="1300" t="s">
        <v>664</v>
      </c>
      <c r="L420" s="590"/>
      <c r="M420" s="830"/>
      <c r="N420" s="828" t="str">
        <f t="shared" si="24"/>
        <v/>
      </c>
      <c r="O420" s="828" t="str">
        <f t="shared" si="25"/>
        <v/>
      </c>
      <c r="P420" s="1301"/>
      <c r="Q420" s="1301"/>
      <c r="R420" s="81"/>
      <c r="S420" s="1300" t="s">
        <v>554</v>
      </c>
      <c r="T420" s="1300" t="s">
        <v>5816</v>
      </c>
      <c r="U420" s="600"/>
      <c r="V420" s="600"/>
      <c r="W420" s="785"/>
      <c r="X420" s="785"/>
      <c r="Y420" s="785"/>
      <c r="Z420" s="785"/>
      <c r="AA420" s="785"/>
      <c r="AB420" s="785"/>
    </row>
    <row r="421" spans="1:28" ht="16.149999999999999" hidden="1" customHeight="1">
      <c r="A421" s="829" t="s">
        <v>1653</v>
      </c>
      <c r="B421" s="1393" t="s">
        <v>756</v>
      </c>
      <c r="C421" s="1393"/>
      <c r="D421" s="1393" t="s">
        <v>602</v>
      </c>
      <c r="E421" s="1393"/>
      <c r="F421" s="1394">
        <v>9990</v>
      </c>
      <c r="G421" s="1395" t="s">
        <v>1363</v>
      </c>
      <c r="H421" s="1395" t="s">
        <v>554</v>
      </c>
      <c r="I421" s="1395" t="s">
        <v>664</v>
      </c>
      <c r="J421" s="1394">
        <v>13000</v>
      </c>
      <c r="K421" s="1395" t="s">
        <v>664</v>
      </c>
      <c r="L421" s="1055"/>
      <c r="M421" s="830"/>
      <c r="N421" s="1287" t="str">
        <f t="shared" si="24"/>
        <v/>
      </c>
      <c r="O421" s="1287" t="str">
        <f t="shared" si="25"/>
        <v/>
      </c>
      <c r="P421" s="609"/>
      <c r="Q421" s="609"/>
      <c r="R421" s="609"/>
      <c r="S421" s="1395" t="s">
        <v>554</v>
      </c>
      <c r="T421" s="1389" t="s">
        <v>5816</v>
      </c>
      <c r="U421" s="600"/>
      <c r="V421" s="600"/>
    </row>
    <row r="422" spans="1:28" s="753" customFormat="1" ht="16.149999999999999" hidden="1" customHeight="1">
      <c r="A422" s="829" t="s">
        <v>1687</v>
      </c>
      <c r="B422" s="1393" t="s">
        <v>1688</v>
      </c>
      <c r="C422" s="1393"/>
      <c r="D422" s="1393" t="s">
        <v>553</v>
      </c>
      <c r="E422" s="1393"/>
      <c r="F422" s="1394">
        <v>4600</v>
      </c>
      <c r="G422" s="1395"/>
      <c r="H422" s="1395" t="s">
        <v>554</v>
      </c>
      <c r="I422" s="1395">
        <v>5</v>
      </c>
      <c r="J422" s="1394"/>
      <c r="K422" s="1395">
        <v>5</v>
      </c>
      <c r="L422" s="1055"/>
      <c r="M422" s="830"/>
      <c r="N422" s="1287" t="str">
        <f t="shared" si="24"/>
        <v/>
      </c>
      <c r="O422" s="1287" t="str">
        <f t="shared" si="25"/>
        <v/>
      </c>
      <c r="P422" s="1388" t="s">
        <v>2656</v>
      </c>
      <c r="Q422" s="1388" t="s">
        <v>2486</v>
      </c>
      <c r="R422" s="1392" t="s">
        <v>2471</v>
      </c>
      <c r="S422" s="1395" t="s">
        <v>554</v>
      </c>
      <c r="T422" s="1389" t="s">
        <v>5816</v>
      </c>
      <c r="U422" s="804"/>
      <c r="V422" s="804"/>
    </row>
    <row r="423" spans="1:28" ht="16.149999999999999" hidden="1" customHeight="1">
      <c r="A423" s="829" t="s">
        <v>1689</v>
      </c>
      <c r="B423" s="1393" t="s">
        <v>1690</v>
      </c>
      <c r="C423" s="1393"/>
      <c r="D423" s="1393" t="s">
        <v>553</v>
      </c>
      <c r="E423" s="1393"/>
      <c r="F423" s="1394">
        <v>4600</v>
      </c>
      <c r="G423" s="1395"/>
      <c r="H423" s="1395" t="s">
        <v>554</v>
      </c>
      <c r="I423" s="1395">
        <v>5</v>
      </c>
      <c r="J423" s="1394"/>
      <c r="K423" s="1395">
        <v>5</v>
      </c>
      <c r="L423" s="1055"/>
      <c r="M423" s="830"/>
      <c r="N423" s="1287" t="str">
        <f t="shared" si="24"/>
        <v/>
      </c>
      <c r="O423" s="1287" t="str">
        <f t="shared" si="25"/>
        <v/>
      </c>
      <c r="P423" s="1388" t="s">
        <v>325</v>
      </c>
      <c r="Q423" s="1388" t="s">
        <v>2486</v>
      </c>
      <c r="R423" s="1392" t="s">
        <v>2471</v>
      </c>
      <c r="S423" s="1395" t="s">
        <v>554</v>
      </c>
      <c r="T423" s="1389" t="s">
        <v>5816</v>
      </c>
      <c r="U423" s="614"/>
      <c r="V423" s="614"/>
    </row>
    <row r="424" spans="1:28" ht="16.149999999999999" hidden="1" customHeight="1">
      <c r="A424" s="831" t="s">
        <v>1694</v>
      </c>
      <c r="B424" s="1396" t="s">
        <v>784</v>
      </c>
      <c r="C424" s="1396"/>
      <c r="D424" s="1396" t="s">
        <v>553</v>
      </c>
      <c r="E424" s="1396"/>
      <c r="F424" s="1394">
        <v>4485</v>
      </c>
      <c r="G424" s="1389"/>
      <c r="H424" s="1389" t="s">
        <v>554</v>
      </c>
      <c r="I424" s="1389">
        <v>5</v>
      </c>
      <c r="J424" s="1394">
        <v>5900</v>
      </c>
      <c r="K424" s="1389">
        <v>5</v>
      </c>
      <c r="L424" s="1055"/>
      <c r="M424" s="830"/>
      <c r="N424" s="1287" t="str">
        <f t="shared" si="24"/>
        <v/>
      </c>
      <c r="O424" s="1287" t="str">
        <f t="shared" si="25"/>
        <v/>
      </c>
      <c r="P424" s="1388" t="s">
        <v>784</v>
      </c>
      <c r="Q424" s="1388" t="s">
        <v>2486</v>
      </c>
      <c r="R424" s="1392" t="s">
        <v>2487</v>
      </c>
      <c r="S424" s="1389" t="s">
        <v>554</v>
      </c>
      <c r="T424" s="1389" t="s">
        <v>5816</v>
      </c>
      <c r="U424" s="600"/>
      <c r="V424" s="600"/>
    </row>
    <row r="425" spans="1:28" ht="16.149999999999999" hidden="1" customHeight="1">
      <c r="A425" s="829" t="s">
        <v>1753</v>
      </c>
      <c r="B425" s="1393" t="s">
        <v>2405</v>
      </c>
      <c r="C425" s="1393"/>
      <c r="D425" s="1393" t="s">
        <v>602</v>
      </c>
      <c r="E425" s="1393"/>
      <c r="F425" s="1394">
        <v>14990</v>
      </c>
      <c r="G425" s="1395" t="s">
        <v>1363</v>
      </c>
      <c r="H425" s="1395" t="s">
        <v>554</v>
      </c>
      <c r="I425" s="1395">
        <v>5</v>
      </c>
      <c r="J425" s="1394">
        <v>19700</v>
      </c>
      <c r="K425" s="1395">
        <v>5</v>
      </c>
      <c r="L425" s="1055"/>
      <c r="M425" s="830"/>
      <c r="N425" s="1287" t="str">
        <f t="shared" si="24"/>
        <v/>
      </c>
      <c r="O425" s="1287" t="str">
        <f t="shared" si="25"/>
        <v/>
      </c>
      <c r="P425" s="1388" t="s">
        <v>2675</v>
      </c>
      <c r="Q425" s="1388" t="s">
        <v>2486</v>
      </c>
      <c r="R425" s="1392" t="s">
        <v>2471</v>
      </c>
      <c r="S425" s="1395" t="s">
        <v>554</v>
      </c>
      <c r="T425" s="1389" t="s">
        <v>5816</v>
      </c>
      <c r="U425" s="600"/>
      <c r="V425" s="600"/>
    </row>
    <row r="426" spans="1:28" ht="16.149999999999999" hidden="1" customHeight="1">
      <c r="A426" s="828" t="s">
        <v>1810</v>
      </c>
      <c r="B426" s="1287" t="s">
        <v>1811</v>
      </c>
      <c r="C426" s="1287"/>
      <c r="D426" s="1287" t="s">
        <v>602</v>
      </c>
      <c r="E426" s="1287"/>
      <c r="F426" s="1397">
        <v>6900</v>
      </c>
      <c r="G426" s="1398" t="s">
        <v>1363</v>
      </c>
      <c r="H426" s="1398" t="s">
        <v>554</v>
      </c>
      <c r="I426" s="1398">
        <v>5</v>
      </c>
      <c r="J426" s="1397"/>
      <c r="K426" s="1398">
        <v>5</v>
      </c>
      <c r="L426" s="1055"/>
      <c r="M426" s="830"/>
      <c r="N426" s="1287" t="str">
        <f t="shared" si="24"/>
        <v/>
      </c>
      <c r="O426" s="1287" t="str">
        <f t="shared" si="25"/>
        <v/>
      </c>
      <c r="P426" s="1388" t="s">
        <v>323</v>
      </c>
      <c r="Q426" s="1388" t="s">
        <v>2564</v>
      </c>
      <c r="R426" s="1392" t="s">
        <v>2471</v>
      </c>
      <c r="S426" s="1398" t="s">
        <v>554</v>
      </c>
      <c r="T426" s="1389" t="s">
        <v>5816</v>
      </c>
      <c r="U426" s="615"/>
      <c r="V426" s="615"/>
    </row>
    <row r="427" spans="1:28" ht="16.149999999999999" hidden="1" customHeight="1">
      <c r="A427" s="826" t="s">
        <v>1812</v>
      </c>
      <c r="B427" s="1390" t="s">
        <v>216</v>
      </c>
      <c r="C427" s="1390"/>
      <c r="D427" s="1390" t="s">
        <v>602</v>
      </c>
      <c r="E427" s="1390"/>
      <c r="F427" s="1391">
        <v>4750</v>
      </c>
      <c r="G427" s="1387" t="s">
        <v>1363</v>
      </c>
      <c r="H427" s="1387" t="s">
        <v>554</v>
      </c>
      <c r="I427" s="1387">
        <v>5</v>
      </c>
      <c r="J427" s="1391"/>
      <c r="K427" s="1387">
        <v>5</v>
      </c>
      <c r="L427" s="1055"/>
      <c r="M427" s="830"/>
      <c r="N427" s="1287" t="str">
        <f t="shared" si="24"/>
        <v/>
      </c>
      <c r="O427" s="1287" t="str">
        <f t="shared" si="25"/>
        <v/>
      </c>
      <c r="P427" s="1388" t="s">
        <v>216</v>
      </c>
      <c r="Q427" s="1388" t="s">
        <v>2486</v>
      </c>
      <c r="R427" s="1392" t="s">
        <v>2471</v>
      </c>
      <c r="S427" s="1387" t="s">
        <v>554</v>
      </c>
      <c r="T427" s="1389" t="s">
        <v>5816</v>
      </c>
      <c r="U427" s="600"/>
      <c r="V427" s="600"/>
    </row>
    <row r="428" spans="1:28" ht="16.149999999999999" hidden="1" customHeight="1">
      <c r="A428" s="826" t="s">
        <v>1818</v>
      </c>
      <c r="B428" s="1390" t="s">
        <v>854</v>
      </c>
      <c r="C428" s="1390"/>
      <c r="D428" s="1390" t="s">
        <v>855</v>
      </c>
      <c r="E428" s="1390" t="s">
        <v>855</v>
      </c>
      <c r="F428" s="1391">
        <v>7589.9999999999991</v>
      </c>
      <c r="G428" s="1387"/>
      <c r="H428" s="1387" t="s">
        <v>856</v>
      </c>
      <c r="I428" s="1387">
        <v>1</v>
      </c>
      <c r="J428" s="1391">
        <v>14000</v>
      </c>
      <c r="K428" s="1387">
        <v>1</v>
      </c>
      <c r="L428" s="1055"/>
      <c r="M428" s="830"/>
      <c r="N428" s="1287" t="str">
        <f t="shared" ref="N428:N429" si="26">IF(OR(L428="x", M428="x"), B428 &amp; "; ", "")</f>
        <v/>
      </c>
      <c r="O428" s="1287" t="str">
        <f t="shared" si="25"/>
        <v/>
      </c>
      <c r="P428" s="609"/>
      <c r="Q428" s="609"/>
      <c r="R428" s="609"/>
      <c r="S428" s="1387" t="s">
        <v>856</v>
      </c>
      <c r="T428" s="1389" t="s">
        <v>5816</v>
      </c>
      <c r="U428" s="611"/>
      <c r="V428" s="611"/>
    </row>
    <row r="429" spans="1:28" s="785" customFormat="1" ht="16.149999999999999" hidden="1" customHeight="1">
      <c r="A429" s="832" t="s">
        <v>1819</v>
      </c>
      <c r="B429" s="1402" t="s">
        <v>2357</v>
      </c>
      <c r="C429" s="1402"/>
      <c r="D429" s="1402" t="s">
        <v>553</v>
      </c>
      <c r="E429" s="1402"/>
      <c r="F429" s="1403">
        <v>4485</v>
      </c>
      <c r="G429" s="1404"/>
      <c r="H429" s="1404" t="s">
        <v>554</v>
      </c>
      <c r="I429" s="1404">
        <v>5</v>
      </c>
      <c r="J429" s="1403"/>
      <c r="K429" s="1404">
        <v>5</v>
      </c>
      <c r="L429" s="1055"/>
      <c r="M429" s="830"/>
      <c r="N429" s="1287" t="str">
        <f t="shared" si="26"/>
        <v/>
      </c>
      <c r="O429" s="1287" t="str">
        <f t="shared" si="25"/>
        <v/>
      </c>
      <c r="P429" s="1388" t="s">
        <v>2693</v>
      </c>
      <c r="Q429" s="1388" t="s">
        <v>2566</v>
      </c>
      <c r="R429" s="1388" t="s">
        <v>2567</v>
      </c>
      <c r="S429" s="1398" t="s">
        <v>554</v>
      </c>
      <c r="T429" s="1389" t="s">
        <v>5816</v>
      </c>
      <c r="U429" s="600"/>
      <c r="V429" s="600"/>
    </row>
    <row r="430" spans="1:28" ht="17" customHeight="1">
      <c r="A430" s="1070"/>
      <c r="B430" s="632"/>
      <c r="D430" s="1070"/>
      <c r="E430" s="1070"/>
      <c r="F430" s="612"/>
      <c r="H430" s="758"/>
      <c r="I430" s="758"/>
      <c r="J430" s="612"/>
      <c r="K430" s="613"/>
      <c r="L430" s="590"/>
      <c r="M430" s="591"/>
      <c r="N430" s="600"/>
      <c r="O430" s="600"/>
      <c r="P430" s="605"/>
      <c r="Q430" s="1069"/>
      <c r="R430" s="1069"/>
      <c r="S430" s="759"/>
      <c r="T430" s="606"/>
      <c r="V430" s="800"/>
    </row>
    <row r="431" spans="1:28" ht="15.8" customHeight="1">
      <c r="D431" s="1076"/>
      <c r="E431" s="1076"/>
      <c r="F431" s="1076"/>
      <c r="G431" s="1076"/>
      <c r="H431" s="1077"/>
      <c r="I431" s="1077"/>
      <c r="J431" s="1078"/>
      <c r="K431" s="1079"/>
    </row>
    <row r="432" spans="1:28" ht="15.8" customHeight="1">
      <c r="D432" s="1076"/>
      <c r="E432" s="1076"/>
      <c r="F432" s="1076"/>
      <c r="G432" s="1076"/>
      <c r="H432" s="1077"/>
      <c r="I432" s="1077"/>
      <c r="J432" s="1078"/>
      <c r="K432" s="1079"/>
    </row>
    <row r="433" spans="4:11" ht="15.8" customHeight="1">
      <c r="D433" s="1076"/>
      <c r="E433" s="1076"/>
      <c r="F433" s="1076"/>
      <c r="G433" s="1076"/>
      <c r="H433" s="1077"/>
      <c r="I433" s="1077"/>
      <c r="J433" s="1078"/>
      <c r="K433" s="1079"/>
    </row>
    <row r="434" spans="4:11" ht="15.8" customHeight="1">
      <c r="D434" s="1076"/>
      <c r="E434" s="1076"/>
      <c r="F434" s="1076"/>
      <c r="G434" s="1076"/>
      <c r="H434" s="1077"/>
      <c r="I434" s="1077"/>
      <c r="J434" s="1078"/>
      <c r="K434" s="1079"/>
    </row>
    <row r="435" spans="4:11" ht="15.8" customHeight="1">
      <c r="D435" s="1076"/>
      <c r="E435" s="1076"/>
      <c r="F435" s="1076"/>
      <c r="G435" s="1076"/>
      <c r="H435" s="1077"/>
      <c r="I435" s="1077"/>
      <c r="J435" s="1078"/>
      <c r="K435" s="1079"/>
    </row>
    <row r="436" spans="4:11" ht="15.8" customHeight="1">
      <c r="D436" s="1076"/>
      <c r="E436" s="1076"/>
      <c r="F436" s="1076"/>
      <c r="G436" s="1076"/>
      <c r="H436" s="1077"/>
      <c r="I436" s="1077"/>
      <c r="J436" s="1078"/>
      <c r="K436" s="1079"/>
    </row>
    <row r="437" spans="4:11" ht="15.8" customHeight="1">
      <c r="D437" s="1076"/>
      <c r="E437" s="1076"/>
      <c r="F437" s="1076"/>
      <c r="G437" s="1076"/>
      <c r="H437" s="1077"/>
      <c r="I437" s="1077"/>
      <c r="J437" s="1078"/>
      <c r="K437" s="1079"/>
    </row>
    <row r="438" spans="4:11" ht="15.8" customHeight="1">
      <c r="D438" s="1076"/>
      <c r="E438" s="1076"/>
      <c r="F438" s="1076"/>
      <c r="G438" s="1076"/>
      <c r="H438" s="1077"/>
      <c r="I438" s="1077"/>
      <c r="J438" s="1078"/>
      <c r="K438" s="1079"/>
    </row>
    <row r="439" spans="4:11" ht="15.8" customHeight="1">
      <c r="D439" s="1076"/>
      <c r="E439" s="1076"/>
      <c r="F439" s="1076"/>
      <c r="G439" s="1076"/>
      <c r="H439" s="1077"/>
      <c r="I439" s="1077"/>
      <c r="J439" s="1078"/>
      <c r="K439" s="1079"/>
    </row>
    <row r="440" spans="4:11" ht="15.8" customHeight="1">
      <c r="D440" s="1076"/>
      <c r="E440" s="1076"/>
      <c r="F440" s="1076"/>
      <c r="G440" s="1076"/>
      <c r="H440" s="1077"/>
      <c r="I440" s="1077"/>
      <c r="J440" s="1078"/>
      <c r="K440" s="1079"/>
    </row>
    <row r="441" spans="4:11" ht="15.8" customHeight="1">
      <c r="D441" s="1076"/>
      <c r="E441" s="1076"/>
      <c r="F441" s="1076"/>
      <c r="G441" s="1076"/>
      <c r="H441" s="1077"/>
      <c r="I441" s="1077"/>
      <c r="J441" s="1078"/>
      <c r="K441" s="1079"/>
    </row>
    <row r="442" spans="4:11" ht="15.8" customHeight="1">
      <c r="D442" s="1076"/>
      <c r="E442" s="1076"/>
      <c r="F442" s="1076"/>
      <c r="G442" s="1076"/>
      <c r="H442" s="1077"/>
      <c r="I442" s="1077"/>
      <c r="J442" s="1078"/>
      <c r="K442" s="1079"/>
    </row>
    <row r="443" spans="4:11" ht="15.8" customHeight="1">
      <c r="D443" s="1076"/>
      <c r="E443" s="1076"/>
      <c r="F443" s="1076"/>
      <c r="G443" s="1076"/>
      <c r="H443" s="1077"/>
      <c r="I443" s="1077"/>
      <c r="J443" s="1078"/>
      <c r="K443" s="1079"/>
    </row>
    <row r="444" spans="4:11" ht="15.8" customHeight="1">
      <c r="D444" s="1076"/>
      <c r="E444" s="1076"/>
      <c r="F444" s="1076"/>
      <c r="G444" s="1076"/>
      <c r="H444" s="1077"/>
      <c r="I444" s="1077"/>
      <c r="J444" s="1078"/>
      <c r="K444" s="1079"/>
    </row>
    <row r="445" spans="4:11" ht="15.8" customHeight="1">
      <c r="D445" s="1076"/>
      <c r="E445" s="1076"/>
      <c r="F445" s="1076"/>
      <c r="G445" s="1076"/>
      <c r="H445" s="1077"/>
      <c r="I445" s="1077"/>
      <c r="J445" s="1078"/>
      <c r="K445" s="1079"/>
    </row>
    <row r="446" spans="4:11" ht="15.8" customHeight="1">
      <c r="D446" s="1076"/>
      <c r="E446" s="1076"/>
      <c r="F446" s="1076"/>
      <c r="G446" s="1076"/>
      <c r="H446" s="1077"/>
      <c r="I446" s="1077"/>
      <c r="J446" s="1078"/>
      <c r="K446" s="1079"/>
    </row>
    <row r="447" spans="4:11" ht="15.8" customHeight="1">
      <c r="D447" s="1076"/>
      <c r="E447" s="1076"/>
      <c r="F447" s="1076"/>
      <c r="G447" s="1076"/>
      <c r="H447" s="1077"/>
      <c r="I447" s="1077"/>
      <c r="J447" s="1078"/>
      <c r="K447" s="1079"/>
    </row>
    <row r="448" spans="4:11" ht="15.8" customHeight="1">
      <c r="D448" s="1076"/>
      <c r="E448" s="1076"/>
      <c r="F448" s="1076"/>
      <c r="G448" s="1076"/>
      <c r="H448" s="1077"/>
      <c r="I448" s="1077"/>
      <c r="J448" s="1078"/>
      <c r="K448" s="1079"/>
    </row>
    <row r="449" spans="4:11" ht="15.8" customHeight="1">
      <c r="D449" s="1076"/>
      <c r="E449" s="1076"/>
      <c r="F449" s="1076"/>
      <c r="G449" s="1076"/>
      <c r="H449" s="1077"/>
      <c r="I449" s="1077"/>
      <c r="J449" s="1078"/>
      <c r="K449" s="1079"/>
    </row>
    <row r="450" spans="4:11" ht="15.8" customHeight="1">
      <c r="D450" s="1076"/>
      <c r="E450" s="1076"/>
      <c r="F450" s="1076"/>
      <c r="G450" s="1076"/>
      <c r="H450" s="1077"/>
      <c r="I450" s="1077"/>
      <c r="J450" s="1078"/>
      <c r="K450" s="1079"/>
    </row>
    <row r="451" spans="4:11" ht="15.8" customHeight="1">
      <c r="D451" s="1076"/>
      <c r="E451" s="1076"/>
      <c r="F451" s="1076"/>
      <c r="G451" s="1076"/>
      <c r="H451" s="1077"/>
      <c r="I451" s="1077"/>
      <c r="J451" s="1078"/>
      <c r="K451" s="1079"/>
    </row>
    <row r="452" spans="4:11" ht="15.8" customHeight="1">
      <c r="D452" s="1076"/>
      <c r="E452" s="1076"/>
      <c r="F452" s="1076"/>
      <c r="G452" s="1076"/>
      <c r="H452" s="1077"/>
      <c r="I452" s="1077"/>
      <c r="J452" s="1078"/>
      <c r="K452" s="1079"/>
    </row>
    <row r="453" spans="4:11" ht="15.8" customHeight="1">
      <c r="D453" s="1076"/>
      <c r="E453" s="1076"/>
      <c r="F453" s="1076"/>
      <c r="G453" s="1076"/>
      <c r="H453" s="1077"/>
      <c r="I453" s="1077"/>
      <c r="J453" s="1078"/>
      <c r="K453" s="1079"/>
    </row>
    <row r="454" spans="4:11" ht="15.8" customHeight="1">
      <c r="D454" s="1076"/>
      <c r="E454" s="1076"/>
      <c r="F454" s="1076"/>
      <c r="G454" s="1076"/>
      <c r="H454" s="1077"/>
      <c r="I454" s="1077"/>
      <c r="J454" s="1078"/>
      <c r="K454" s="1079"/>
    </row>
    <row r="455" spans="4:11" ht="15.8" customHeight="1">
      <c r="D455" s="1076"/>
      <c r="E455" s="1076"/>
      <c r="F455" s="1076"/>
      <c r="G455" s="1076"/>
      <c r="H455" s="1077"/>
      <c r="I455" s="1077"/>
      <c r="J455" s="1078"/>
      <c r="K455" s="1079"/>
    </row>
    <row r="456" spans="4:11" ht="15.8" customHeight="1">
      <c r="D456" s="1076"/>
      <c r="E456" s="1076"/>
      <c r="F456" s="1076"/>
      <c r="G456" s="1076"/>
      <c r="H456" s="1077"/>
      <c r="I456" s="1077"/>
      <c r="J456" s="1078"/>
      <c r="K456" s="1079"/>
    </row>
    <row r="457" spans="4:11" ht="15.8" customHeight="1">
      <c r="D457" s="1076"/>
      <c r="E457" s="1076"/>
      <c r="F457" s="1076"/>
      <c r="G457" s="1076"/>
      <c r="H457" s="1077"/>
      <c r="I457" s="1077"/>
      <c r="J457" s="1078"/>
      <c r="K457" s="1079"/>
    </row>
    <row r="458" spans="4:11" ht="15.8" customHeight="1">
      <c r="D458" s="1076"/>
      <c r="E458" s="1076"/>
      <c r="F458" s="1076"/>
      <c r="G458" s="1076"/>
      <c r="H458" s="1077"/>
      <c r="I458" s="1077"/>
      <c r="J458" s="1078"/>
      <c r="K458" s="1079"/>
    </row>
    <row r="459" spans="4:11" ht="15.8" customHeight="1">
      <c r="D459" s="1076"/>
      <c r="E459" s="1076"/>
      <c r="F459" s="1076"/>
      <c r="G459" s="1076"/>
      <c r="H459" s="1077"/>
      <c r="I459" s="1077"/>
      <c r="J459" s="1078"/>
      <c r="K459" s="1079"/>
    </row>
    <row r="460" spans="4:11" ht="15.8" customHeight="1">
      <c r="D460" s="1076"/>
      <c r="E460" s="1076"/>
      <c r="F460" s="1076"/>
      <c r="G460" s="1076"/>
      <c r="H460" s="1077"/>
      <c r="I460" s="1077"/>
      <c r="J460" s="1078"/>
      <c r="K460" s="1079"/>
    </row>
    <row r="461" spans="4:11" ht="15.8" customHeight="1">
      <c r="D461" s="1076"/>
      <c r="E461" s="1076"/>
      <c r="F461" s="1076"/>
      <c r="G461" s="1076"/>
      <c r="H461" s="1077"/>
      <c r="I461" s="1077"/>
      <c r="J461" s="1078"/>
      <c r="K461" s="1079"/>
    </row>
    <row r="462" spans="4:11" ht="15.8" customHeight="1">
      <c r="D462" s="1076"/>
      <c r="E462" s="1076"/>
      <c r="F462" s="1076"/>
      <c r="G462" s="1076"/>
      <c r="H462" s="1077"/>
      <c r="I462" s="1077"/>
      <c r="J462" s="1078"/>
      <c r="K462" s="1079"/>
    </row>
    <row r="463" spans="4:11" ht="15.8" customHeight="1">
      <c r="D463" s="1076"/>
      <c r="E463" s="1076"/>
      <c r="F463" s="1076"/>
      <c r="G463" s="1076"/>
      <c r="H463" s="1077"/>
      <c r="I463" s="1077"/>
      <c r="J463" s="1078"/>
      <c r="K463" s="1079"/>
    </row>
    <row r="464" spans="4:11" ht="15.8" customHeight="1">
      <c r="D464" s="1076"/>
      <c r="E464" s="1076"/>
      <c r="F464" s="1076"/>
      <c r="G464" s="1076"/>
      <c r="H464" s="1077"/>
      <c r="I464" s="1077"/>
      <c r="J464" s="1078"/>
      <c r="K464" s="1079"/>
    </row>
    <row r="465" spans="1:26" ht="15.8" customHeight="1">
      <c r="D465" s="1076"/>
      <c r="E465" s="1076"/>
      <c r="F465" s="1076"/>
      <c r="G465" s="1076"/>
      <c r="H465" s="1077"/>
      <c r="I465" s="1077"/>
      <c r="J465" s="1078"/>
      <c r="K465" s="1079"/>
    </row>
    <row r="466" spans="1:26" ht="15.8" customHeight="1">
      <c r="B466" s="1076"/>
      <c r="C466" s="1076"/>
      <c r="D466" s="1076"/>
      <c r="E466" s="1076"/>
      <c r="F466" s="1076"/>
      <c r="G466" s="1076"/>
      <c r="H466" s="1077"/>
      <c r="I466" s="1077"/>
      <c r="J466" s="1080"/>
      <c r="K466" s="1079"/>
      <c r="S466" s="1081"/>
    </row>
    <row r="467" spans="1:26" ht="15.8" customHeight="1">
      <c r="D467" s="1076"/>
      <c r="E467" s="1076"/>
      <c r="F467" s="1076"/>
      <c r="G467" s="1076"/>
      <c r="H467" s="1077"/>
      <c r="I467" s="1077"/>
      <c r="J467" s="1078"/>
      <c r="K467" s="1079"/>
      <c r="N467" s="596" t="str">
        <f>IF(L467="x",CONCATENATE(B467,"; "),"")</f>
        <v/>
      </c>
    </row>
    <row r="468" spans="1:26" ht="15.8" customHeight="1">
      <c r="B468" s="609" t="s">
        <v>2415</v>
      </c>
      <c r="C468" s="609"/>
      <c r="D468" s="609" t="s">
        <v>445</v>
      </c>
      <c r="E468" s="609"/>
      <c r="F468" s="609"/>
      <c r="G468" s="609"/>
      <c r="H468" s="659"/>
      <c r="I468" s="659"/>
      <c r="J468" s="1087">
        <v>3500</v>
      </c>
      <c r="K468" s="1088"/>
      <c r="L468" s="1055"/>
      <c r="M468" s="1086"/>
      <c r="N468" s="609" t="str">
        <f>IF(L468="x",CONCATENATE(B468,"; "),"")</f>
        <v/>
      </c>
      <c r="O468" s="609"/>
      <c r="P468" s="609"/>
      <c r="Q468" s="609"/>
      <c r="R468" s="609"/>
      <c r="S468" s="659"/>
      <c r="T468" s="659"/>
    </row>
    <row r="469" spans="1:26" ht="15.8" customHeight="1">
      <c r="B469" s="609" t="s">
        <v>2416</v>
      </c>
      <c r="C469" s="609"/>
      <c r="D469" s="609" t="s">
        <v>502</v>
      </c>
      <c r="E469" s="609"/>
      <c r="F469" s="609"/>
      <c r="G469" s="609"/>
      <c r="H469" s="659"/>
      <c r="I469" s="659"/>
      <c r="J469" s="1087">
        <v>6000</v>
      </c>
      <c r="K469" s="1088"/>
      <c r="L469" s="1055"/>
      <c r="M469" s="1086"/>
      <c r="N469" s="609" t="str">
        <f>IF(L469="x",CONCATENATE(B469,"; "),"")</f>
        <v/>
      </c>
      <c r="O469" s="609"/>
      <c r="P469" s="609"/>
      <c r="Q469" s="609"/>
      <c r="R469" s="609"/>
      <c r="S469" s="659"/>
      <c r="T469" s="659"/>
    </row>
    <row r="470" spans="1:26" ht="15.8" customHeight="1">
      <c r="B470" s="609" t="s">
        <v>2417</v>
      </c>
      <c r="C470" s="609"/>
      <c r="D470" s="609" t="s">
        <v>447</v>
      </c>
      <c r="E470" s="609"/>
      <c r="F470" s="609"/>
      <c r="G470" s="609"/>
      <c r="H470" s="659"/>
      <c r="I470" s="659"/>
      <c r="J470" s="1087">
        <v>7000</v>
      </c>
      <c r="K470" s="1088"/>
      <c r="L470" s="1055"/>
      <c r="M470" s="1086"/>
      <c r="N470" s="609" t="str">
        <f>IF(L470="x",CONCATENATE(B470,"; "),"")</f>
        <v/>
      </c>
      <c r="O470" s="609"/>
      <c r="P470" s="609"/>
      <c r="Q470" s="609"/>
      <c r="R470" s="609"/>
      <c r="S470" s="659"/>
      <c r="T470" s="659" t="e">
        <f>IF(OR(#REF!="x",#REF!="x"),#REF!,"")</f>
        <v>#REF!</v>
      </c>
    </row>
    <row r="471" spans="1:26" ht="15.8" customHeight="1">
      <c r="B471" s="1082"/>
      <c r="C471" s="1082"/>
      <c r="D471" s="1082"/>
      <c r="E471" s="1082"/>
      <c r="F471" s="1082"/>
      <c r="G471" s="1082"/>
      <c r="H471" s="1083"/>
      <c r="I471" s="1083"/>
      <c r="J471" s="1084"/>
      <c r="K471" s="1085"/>
      <c r="L471" s="1083"/>
      <c r="M471" s="1083"/>
      <c r="N471" s="596" t="str">
        <f>IF(L471="x",CONCATENATE(B471,"; "),"")</f>
        <v/>
      </c>
      <c r="T471" s="585" t="e">
        <f>IF(OR(#REF!="x",#REF!="x"),#REF!,"")</f>
        <v>#REF!</v>
      </c>
    </row>
    <row r="472" spans="1:26" ht="15.8" customHeight="1">
      <c r="B472" s="609" t="s">
        <v>2414</v>
      </c>
      <c r="C472" s="609"/>
      <c r="D472" s="609" t="s">
        <v>445</v>
      </c>
      <c r="E472" s="609"/>
      <c r="F472" s="609"/>
      <c r="G472" s="609"/>
      <c r="H472" s="659"/>
      <c r="I472" s="659"/>
      <c r="J472" s="1087">
        <v>2000</v>
      </c>
      <c r="K472" s="1088"/>
      <c r="L472" s="1055"/>
      <c r="M472" s="1086"/>
      <c r="N472" s="609" t="str">
        <f>IF(L472="x",CONCATENATE(B472,"  "),"")</f>
        <v/>
      </c>
      <c r="O472" s="609"/>
      <c r="P472" s="609"/>
      <c r="Q472" s="609"/>
      <c r="R472" s="609"/>
      <c r="S472" s="659"/>
      <c r="T472" s="659" t="e">
        <f>IF(OR(#REF!="x",#REF!="x"),#REF!,"")</f>
        <v>#REF!</v>
      </c>
    </row>
    <row r="473" spans="1:26" ht="15.8" customHeight="1">
      <c r="J473" s="596"/>
    </row>
    <row r="474" spans="1:26" ht="15.8" customHeight="1">
      <c r="J474" s="1078"/>
      <c r="K474" s="1079"/>
    </row>
    <row r="475" spans="1:26" ht="15.8" customHeight="1">
      <c r="B475" s="1090" t="s">
        <v>450</v>
      </c>
      <c r="C475" s="1090"/>
      <c r="J475" s="1078"/>
      <c r="K475" s="1079"/>
    </row>
    <row r="476" spans="1:26" ht="15.8" customHeight="1">
      <c r="A476" s="609"/>
      <c r="B476" s="1559" t="str">
        <f>IF(N5&amp;N6&amp;N7&amp;N8&amp;N9&amp;N10&amp;N11&amp;N12&amp;N13&amp;N14&amp;N15&amp;N16&amp;N17&amp;N18&amp;N19&amp;N20&amp;N21&amp;N22&amp;N23&amp;N24&amp;N25&amp;N26&amp;N27&amp;N28&amp;N29&amp;N30&amp;N31&amp;N32&amp;N33&amp;N34&amp;N35&amp;N36&amp;N37&amp;N38&amp;N39&amp;N40&amp;N41&amp;N42&amp;N43&amp;N44&amp;N45&amp;N46&amp;N47&amp;N48&amp;N49&amp;N50&amp;N51&amp;N52&amp;N53&amp;N54&amp;N55&amp;N56&amp;N57&amp;N58&amp;N59&amp;N60&amp;N61&amp;N62&amp;N63&amp;N64&amp;N65&amp;N66&amp;N67&amp;N68&amp;N69&amp;N70&amp;N71&amp;N72&amp;N73&amp;N74&amp;N75&amp;N76&amp;N77&amp;N78&amp;N79&amp;N80&amp;N81&amp;N82&amp;N83&amp;N84&amp;N85&amp;N86&amp;N87&amp;N88&amp;N89&amp;N90&amp;N91&amp;N92&amp;N93&amp;N94&amp;N95&amp;N96&amp;N97&amp;N98&amp;N99&amp;N100&amp;N101&amp;N102&amp;N103&amp;N104&amp;N105&amp;N106&amp;N107&amp;N108&amp;N109&amp;N110&amp;N111&amp;N112&amp;N113&amp;N114&amp;N115&amp;N116&amp;N117&amp;N118&amp;N119&amp;N120&amp;N121&amp;N122&amp;N123&amp;N124&amp;N125&amp;N126&amp;N127&amp;N128&amp;N129&amp;N130&amp;N131&amp;N132&amp;N133&amp;N134&amp;N135&amp;N136&amp;N137&amp;N138&amp;N139&amp;N140&amp;N141&amp;N142&amp;N143&amp;N144&amp;N145&amp;N146&amp;N147&amp;N148&amp;N149&amp;N150&amp;N151&amp;N152&amp;N153&amp;N154&amp;N155&amp;N156&amp;N157&amp;N158&amp;N159&amp;N160&amp;N161&amp;N162&amp;N163&amp;N164&amp;N165&amp;N166&amp;N167&amp;N168&amp;N169&amp;N170&amp;N171&amp;N172&amp;N173&amp;N174&amp;N175&amp;N176&amp;N177&amp;N178&amp;N179&amp;N180&amp;N181&amp;N182&amp;N183&amp;N184&amp;N185&amp;N186&amp;N187&amp;N188&amp;N189&amp;N190&amp;N191&amp;N192&amp;N193&amp;N194&amp;N195&amp;N196&amp;N197&amp;N198&amp;N199&amp;N200&amp;N201&amp;N202&amp;N203&amp;N204&amp;N205&amp;N206&amp;N207&amp;N208&amp;N209&amp;N210&amp;N211&amp;N212&amp;N213&amp;N214&amp;N215&amp;N216&amp;N217&amp;N218&amp;N219&amp;N220&amp;N221&amp;N222&amp;N223&amp;N224&amp;N225&amp;N226&amp;N227&amp;N228&amp;N229&amp;N230&amp;N231&amp;N232&amp;N233&amp;N234&amp;N235&amp;N236&amp;N237&amp;N238&amp;N239&amp;N240&amp;N241&amp;N242&amp;N243&amp;N244&amp;N245&amp;N246&amp;N247&amp;N248&amp;N249&amp;N250&amp;N251&amp;N252&amp;N253&amp;N254&amp;N255&amp;N256&amp;N257&amp;N258&amp;N259&amp;N260&amp;N261&amp;N262&amp;N263&amp;N264&amp;N265&amp;N266&amp;N267&amp;N268&amp;N269&amp;N270&amp;N271&amp;N272&amp;N273&amp;N274&amp;N275&amp;N276&amp;N277&amp;N278&amp;N279&amp;N280&amp;N281&amp;N282&amp;N283&amp;N284&amp;N285&amp;N286&amp;N287&amp;N288&amp;N289&amp;N290&amp;N291&amp;N292&amp;N293&amp;N294&amp;N295&amp;N296&amp;N297&amp;N298&amp;N299&amp;N300&amp;N301&amp;N302&amp;N303&amp;N304&amp;N305&amp;N306&amp;N307&amp;N308&amp;N309&amp;N310&amp;N311&amp;N312&amp;N313&amp;N314&amp;N315&amp;N316&amp;N317&amp;N318&amp;N319&amp;N320&amp;N321&amp;N322&amp;N323&amp;N324&amp;N325&amp;N326&amp;N327&amp;N328&amp;N329&amp;N330&amp;N331&amp;N332&amp;N333&amp;N334&amp;N335&amp;N336&amp;N337&amp;N338&amp;N339&amp;N340&amp;N341&amp;N342&amp;N343&amp;N344&amp;N345&amp;N346&amp;N347&amp;N348&amp;N349&amp;N350&amp;N351&amp;N352&amp;N353&amp;N354&amp;N355&amp;N356&amp;N357&amp;N358&amp;N359&amp;N360&amp;N361&amp;N362&amp;N363&amp;N364&amp;N365&amp;N366&amp;N367&amp;N368&amp;N369&amp;N370&amp;N371&amp;N372&amp;N373&amp;N374&amp;N375&amp;N376&amp;N377&amp;N378&amp;N379&amp;N380&amp;N381&amp;N382&amp;N383&amp;N384&amp;N385&amp;N386&amp;N387&amp;N388&amp;N389&amp;N390&amp;N391&amp;N392&amp;N393&amp;N394&amp;N395&amp;N396&amp;N397&amp;N398&amp;N399&amp;N400&amp;N401&amp;N402&amp;N403&amp;N404&amp;N405&amp;N406&amp;N407&amp;N408&amp;N409&amp;N410&amp;N411&amp;N412&amp;N413&amp;N414&amp;N415&amp;N416&amp;N417&amp;N418&amp;N419&amp;N420&amp;N421&amp;N422&amp;N423&amp;N424&amp;N425&amp;N426&amp;N427&amp;N428&amp;N429&amp;N430="","",N5&amp;N6&amp;N7&amp;N8&amp;N9&amp;N10&amp;N11&amp;N12&amp;N13&amp;N14&amp;N15&amp;N16&amp;N17&amp;N18&amp;N19&amp;N20&amp;N21&amp;N22&amp;N23&amp;N24&amp;N25&amp;N26&amp;N27&amp;N28&amp;N29&amp;N30&amp;N31&amp;N32&amp;N33&amp;N34&amp;N35&amp;N36&amp;N37&amp;N38&amp;N39&amp;N40&amp;N41&amp;N42&amp;N43&amp;N44&amp;N45&amp;N46&amp;N47&amp;N48&amp;N49&amp;N50&amp;N51&amp;N52&amp;N53&amp;N54&amp;N55&amp;N56&amp;N57&amp;N58&amp;N59&amp;N60&amp;N61&amp;N62&amp;N63&amp;N64&amp;N65&amp;N66&amp;N67&amp;N68&amp;N69&amp;N70&amp;N71&amp;N72&amp;N73&amp;N74&amp;N75&amp;N76&amp;N77&amp;N78&amp;N79&amp;N80&amp;N81&amp;N82&amp;N83&amp;N84&amp;N85&amp;N86&amp;N87&amp;N88&amp;N89&amp;N90&amp;N91&amp;N92&amp;N93&amp;N94&amp;N95&amp;N96&amp;N97&amp;N98&amp;N99&amp;N100&amp;N101&amp;N102&amp;N103&amp;N104&amp;N105&amp;N106&amp;N107&amp;N108&amp;N109&amp;N110&amp;N111&amp;N112&amp;N113&amp;N114&amp;N115&amp;N116&amp;N117&amp;N118&amp;N119&amp;N120&amp;N121&amp;N122&amp;N123&amp;N124&amp;N125&amp;N126&amp;N127&amp;N128&amp;N129&amp;N130&amp;N131&amp;N132&amp;N133&amp;N134&amp;N135&amp;N136&amp;N137&amp;N138&amp;N139&amp;N140&amp;N141&amp;N142&amp;N143&amp;N144&amp;N145&amp;N146&amp;N147&amp;N148&amp;N149&amp;N150&amp;N151&amp;N152&amp;N153&amp;N154&amp;N155&amp;N156&amp;N157&amp;N158&amp;N159&amp;N160&amp;N161&amp;N162&amp;N163&amp;N164&amp;N165&amp;N166&amp;N167&amp;N168&amp;N169&amp;N170&amp;N171&amp;N172&amp;N173&amp;N174&amp;N175&amp;N176&amp;N177&amp;N178&amp;N179&amp;N180&amp;N181&amp;N182&amp;N183&amp;N184&amp;N185&amp;N186&amp;N187&amp;N188&amp;N189&amp;N190&amp;N191&amp;N192&amp;N193&amp;N194&amp;N195&amp;N196&amp;N197&amp;N198&amp;N199&amp;N200&amp;N201&amp;N202&amp;N203&amp;N204&amp;N205&amp;N206&amp;N207&amp;N208&amp;N209&amp;N210&amp;N211&amp;N212&amp;N213&amp;N214&amp;N215&amp;N216&amp;N217&amp;N218&amp;N219&amp;N220&amp;N221&amp;N222&amp;N223&amp;N224&amp;N225&amp;N226&amp;N227&amp;N228&amp;N229&amp;N230&amp;N231&amp;N232&amp;N233&amp;N234&amp;N235&amp;N236&amp;N237&amp;N238&amp;N239&amp;N240&amp;N241&amp;N242&amp;N243&amp;N244&amp;N245&amp;N246&amp;N247&amp;N248&amp;N249&amp;N250&amp;N251&amp;N252&amp;N253&amp;N254&amp;N255&amp;N256&amp;N257&amp;N258&amp;N259&amp;N260&amp;N261&amp;N262&amp;N263&amp;N264&amp;N265&amp;N266&amp;N267&amp;N268&amp;N269&amp;N270&amp;N271&amp;N272&amp;N273&amp;N274&amp;N275&amp;N276&amp;N277&amp;N278&amp;N279&amp;N280&amp;N281&amp;N282&amp;N283&amp;N284&amp;N285&amp;N286&amp;N287&amp;N288&amp;N289&amp;N290&amp;N291&amp;N292&amp;N293&amp;N294&amp;N295&amp;N296&amp;N297&amp;N298&amp;N299&amp;N300&amp;N301&amp;N302&amp;N303&amp;N304&amp;N305&amp;N306&amp;N307&amp;N308&amp;N309&amp;N310&amp;N311&amp;N312&amp;N313&amp;N314&amp;N315&amp;N316&amp;N317&amp;N318&amp;N319&amp;N320&amp;N321&amp;N322&amp;N323&amp;N324&amp;N325&amp;N326&amp;N327&amp;N328&amp;N329&amp;N330&amp;N331&amp;N332&amp;N333&amp;N334&amp;N335&amp;N336&amp;N337&amp;N338&amp;N339&amp;N340&amp;N341&amp;N342&amp;N343&amp;N344&amp;N345&amp;N346&amp;N347&amp;N348&amp;N349&amp;N350&amp;N351&amp;N352&amp;N353&amp;N354&amp;N355&amp;N356&amp;N357&amp;N358&amp;N359&amp;N360&amp;N361&amp;N362&amp;N363&amp;N364&amp;N365&amp;N366&amp;N367&amp;N368&amp;N369&amp;N370&amp;N371&amp;N372&amp;N373&amp;N374&amp;N375&amp;N376&amp;N377&amp;N378&amp;N379&amp;N380&amp;N381&amp;N382&amp;N383&amp;N384&amp;N385&amp;N386&amp;N387&amp;N388&amp;N389&amp;N390&amp;N391&amp;N392&amp;N393&amp;N394&amp;N395&amp;N396&amp;N397&amp;N398&amp;N399&amp;N400&amp;N401&amp;N402&amp;N403&amp;N404&amp;N405&amp;N406&amp;N407&amp;N408&amp;N409&amp;N410&amp;N411&amp;N412&amp;N413&amp;N414&amp;N415&amp;N416&amp;N417&amp;N418&amp;N419&amp;N420&amp;N421&amp;N422&amp;N423&amp;N424&amp;N425&amp;N426&amp;N427&amp;N428&amp;N429&amp;N430)</f>
        <v/>
      </c>
      <c r="C476" s="1559"/>
      <c r="D476" s="1559"/>
      <c r="E476" s="1559"/>
      <c r="F476" s="1559"/>
      <c r="G476" s="1559"/>
      <c r="H476" s="1559"/>
      <c r="I476" s="1559"/>
      <c r="J476" s="1559"/>
      <c r="K476" s="1559"/>
      <c r="L476" s="1559"/>
      <c r="M476" s="1091"/>
      <c r="N476" s="1092" t="s">
        <v>1246</v>
      </c>
      <c r="O476" s="1092"/>
      <c r="P476" s="1093"/>
      <c r="Q476" s="1093"/>
      <c r="R476" s="1093"/>
      <c r="S476" s="657">
        <f>COUNTIF(T5:T472,"BST")</f>
        <v>0</v>
      </c>
      <c r="T476" s="1094" t="s">
        <v>880</v>
      </c>
      <c r="U476" s="1095" t="s">
        <v>5988</v>
      </c>
      <c r="V476" s="609"/>
      <c r="W476" s="609"/>
      <c r="X476" s="609"/>
      <c r="Y476" s="609"/>
      <c r="Z476" s="609"/>
    </row>
    <row r="477" spans="1:26" ht="15.8" customHeight="1">
      <c r="B477" s="1560"/>
      <c r="C477" s="1560"/>
      <c r="D477" s="1560"/>
      <c r="E477" s="1560"/>
      <c r="F477" s="1560"/>
      <c r="G477" s="1560"/>
      <c r="H477" s="1560"/>
      <c r="I477" s="1560"/>
      <c r="J477" s="1560"/>
      <c r="K477" s="1560"/>
      <c r="L477" s="1560"/>
      <c r="M477" s="1091"/>
      <c r="N477" s="1096" t="s">
        <v>1247</v>
      </c>
      <c r="O477" s="1096"/>
      <c r="P477" s="1097"/>
      <c r="Q477" s="1097"/>
      <c r="R477" s="1098"/>
      <c r="S477" s="657">
        <f>COUNTIF(T5:T472,"C")</f>
        <v>0</v>
      </c>
      <c r="T477" s="657" t="s">
        <v>599</v>
      </c>
      <c r="U477" s="658" t="s">
        <v>886</v>
      </c>
    </row>
    <row r="478" spans="1:26" ht="15.8" customHeight="1">
      <c r="B478" s="1560"/>
      <c r="C478" s="1560"/>
      <c r="D478" s="1560"/>
      <c r="E478" s="1560"/>
      <c r="F478" s="1560"/>
      <c r="G478" s="1560"/>
      <c r="H478" s="1560"/>
      <c r="I478" s="1560"/>
      <c r="J478" s="1560"/>
      <c r="K478" s="1560"/>
      <c r="L478" s="1560"/>
      <c r="M478" s="1091"/>
      <c r="N478" s="1096" t="s">
        <v>1248</v>
      </c>
      <c r="O478" s="1096"/>
      <c r="P478" s="1097"/>
      <c r="Q478" s="1097"/>
      <c r="R478" s="1098"/>
      <c r="S478" s="657">
        <f>COUNTIF(T5:T472,"CP")</f>
        <v>0</v>
      </c>
      <c r="T478" s="657" t="s">
        <v>595</v>
      </c>
      <c r="U478" s="658" t="s">
        <v>922</v>
      </c>
    </row>
    <row r="479" spans="1:26" ht="15.8" customHeight="1">
      <c r="B479" s="1560"/>
      <c r="C479" s="1560"/>
      <c r="D479" s="1560"/>
      <c r="E479" s="1560"/>
      <c r="F479" s="1560"/>
      <c r="G479" s="1560"/>
      <c r="H479" s="1560"/>
      <c r="I479" s="1560"/>
      <c r="J479" s="1560"/>
      <c r="K479" s="1560"/>
      <c r="L479" s="1560"/>
      <c r="M479" s="1091"/>
      <c r="N479" s="1096" t="s">
        <v>1226</v>
      </c>
      <c r="O479" s="1096"/>
      <c r="P479" s="1097"/>
      <c r="Q479" s="1097"/>
      <c r="R479" s="1098"/>
      <c r="S479" s="657">
        <f>COUNTIF(T5:T472,"E")</f>
        <v>0</v>
      </c>
      <c r="T479" s="657" t="s">
        <v>604</v>
      </c>
      <c r="U479" s="658" t="s">
        <v>890</v>
      </c>
    </row>
    <row r="480" spans="1:26" ht="15.8" customHeight="1">
      <c r="B480" s="1560"/>
      <c r="C480" s="1560"/>
      <c r="D480" s="1560"/>
      <c r="E480" s="1560"/>
      <c r="F480" s="1560"/>
      <c r="G480" s="1560"/>
      <c r="H480" s="1560"/>
      <c r="I480" s="1560"/>
      <c r="J480" s="1560"/>
      <c r="K480" s="1560"/>
      <c r="L480" s="1560"/>
      <c r="M480" s="1091"/>
      <c r="N480" s="1096" t="s">
        <v>1227</v>
      </c>
      <c r="O480" s="1096"/>
      <c r="P480" s="1097"/>
      <c r="Q480" s="1097"/>
      <c r="R480" s="1098"/>
      <c r="S480" s="657">
        <f>COUNTIF(T5:T472,"E6")</f>
        <v>0</v>
      </c>
      <c r="T480" s="1094" t="s">
        <v>856</v>
      </c>
      <c r="U480" s="1095" t="s">
        <v>892</v>
      </c>
    </row>
    <row r="481" spans="2:31" ht="15.8" customHeight="1">
      <c r="B481" s="1560"/>
      <c r="C481" s="1560"/>
      <c r="D481" s="1560"/>
      <c r="E481" s="1560"/>
      <c r="F481" s="1560"/>
      <c r="G481" s="1560"/>
      <c r="H481" s="1560"/>
      <c r="I481" s="1560"/>
      <c r="J481" s="1560"/>
      <c r="K481" s="1560"/>
      <c r="L481" s="1560"/>
      <c r="M481" s="1091"/>
      <c r="N481" s="1096" t="s">
        <v>1228</v>
      </c>
      <c r="O481" s="1096"/>
      <c r="P481" s="1097"/>
      <c r="Q481" s="1097"/>
      <c r="R481" s="1098"/>
      <c r="S481" s="657">
        <f>COUNTIF(T5:T472,"E9")</f>
        <v>0</v>
      </c>
      <c r="T481" s="1094" t="s">
        <v>894</v>
      </c>
      <c r="U481" s="1095" t="s">
        <v>895</v>
      </c>
    </row>
    <row r="482" spans="2:31" ht="15.8" customHeight="1">
      <c r="B482" s="1560"/>
      <c r="C482" s="1560"/>
      <c r="D482" s="1560"/>
      <c r="E482" s="1560"/>
      <c r="F482" s="1560"/>
      <c r="G482" s="1560"/>
      <c r="H482" s="1560"/>
      <c r="I482" s="1560"/>
      <c r="J482" s="1560"/>
      <c r="K482" s="1560"/>
      <c r="L482" s="1560"/>
      <c r="M482" s="1091"/>
      <c r="N482" s="1096" t="s">
        <v>1229</v>
      </c>
      <c r="O482" s="1096"/>
      <c r="P482" s="1097"/>
      <c r="Q482" s="1097"/>
      <c r="R482" s="1098"/>
      <c r="S482" s="657">
        <f>COUNTIF(T5:T472,"EP")</f>
        <v>0</v>
      </c>
      <c r="T482" s="1094" t="s">
        <v>575</v>
      </c>
      <c r="U482" s="1095" t="s">
        <v>897</v>
      </c>
    </row>
    <row r="483" spans="2:31" ht="15.8" customHeight="1">
      <c r="B483" s="1560"/>
      <c r="C483" s="1560"/>
      <c r="D483" s="1560"/>
      <c r="E483" s="1560"/>
      <c r="F483" s="1560"/>
      <c r="G483" s="1560"/>
      <c r="H483" s="1560"/>
      <c r="I483" s="1560"/>
      <c r="J483" s="1560"/>
      <c r="K483" s="1560"/>
      <c r="L483" s="1560"/>
      <c r="M483" s="1091"/>
      <c r="N483" s="1096" t="s">
        <v>1230</v>
      </c>
      <c r="O483" s="1096"/>
      <c r="P483" s="1097"/>
      <c r="Q483" s="1097"/>
      <c r="R483" s="1098"/>
      <c r="S483" s="657">
        <f>COUNTIF(T5:T472,"G")</f>
        <v>0</v>
      </c>
      <c r="T483" s="1094" t="s">
        <v>551</v>
      </c>
      <c r="U483" s="1095" t="s">
        <v>2712</v>
      </c>
      <c r="Z483" s="1099" t="s">
        <v>880</v>
      </c>
      <c r="AA483" s="1099"/>
      <c r="AB483" s="1099" t="s">
        <v>884</v>
      </c>
      <c r="AC483" s="1099" t="s">
        <v>788</v>
      </c>
      <c r="AD483" s="1099"/>
      <c r="AE483" s="1099" t="s">
        <v>885</v>
      </c>
    </row>
    <row r="484" spans="2:31" ht="15.8" customHeight="1">
      <c r="B484" s="1560"/>
      <c r="C484" s="1560"/>
      <c r="D484" s="1560"/>
      <c r="E484" s="1560"/>
      <c r="F484" s="1560"/>
      <c r="G484" s="1560"/>
      <c r="H484" s="1560"/>
      <c r="I484" s="1560"/>
      <c r="J484" s="1560"/>
      <c r="K484" s="1560"/>
      <c r="L484" s="1560"/>
      <c r="M484" s="1091"/>
      <c r="N484" s="1100" t="s">
        <v>1231</v>
      </c>
      <c r="O484" s="1100"/>
      <c r="P484" s="1098"/>
      <c r="Q484" s="1098"/>
      <c r="R484" s="1098"/>
      <c r="S484" s="657">
        <f>COUNTIF(T5:T472,"G+E")</f>
        <v>0</v>
      </c>
      <c r="T484" s="1094" t="s">
        <v>901</v>
      </c>
      <c r="U484" s="1095" t="s">
        <v>902</v>
      </c>
      <c r="Z484" s="1099" t="s">
        <v>599</v>
      </c>
      <c r="AA484" s="1099"/>
      <c r="AB484" s="1099" t="s">
        <v>886</v>
      </c>
      <c r="AC484" s="1099" t="s">
        <v>722</v>
      </c>
      <c r="AD484" s="1099"/>
      <c r="AE484" s="1099" t="s">
        <v>887</v>
      </c>
    </row>
    <row r="485" spans="2:31" ht="15.8" customHeight="1">
      <c r="B485" s="1560"/>
      <c r="C485" s="1560"/>
      <c r="D485" s="1560"/>
      <c r="E485" s="1560"/>
      <c r="F485" s="1560"/>
      <c r="G485" s="1560"/>
      <c r="H485" s="1560"/>
      <c r="I485" s="1560"/>
      <c r="J485" s="1560"/>
      <c r="K485" s="1560"/>
      <c r="L485" s="1560"/>
      <c r="M485" s="1091"/>
      <c r="N485" s="1100" t="s">
        <v>1232</v>
      </c>
      <c r="O485" s="1100"/>
      <c r="P485" s="1098"/>
      <c r="Q485" s="1098"/>
      <c r="R485" s="1098"/>
      <c r="S485" s="657">
        <f>COUNTIF(T5:T472,"NaE")</f>
        <v>0</v>
      </c>
      <c r="T485" s="1094" t="s">
        <v>683</v>
      </c>
      <c r="U485" s="1095" t="s">
        <v>2713</v>
      </c>
      <c r="Z485" s="1099" t="s">
        <v>595</v>
      </c>
      <c r="AA485" s="1099"/>
      <c r="AB485" s="1099" t="s">
        <v>888</v>
      </c>
      <c r="AC485" s="1099" t="s">
        <v>608</v>
      </c>
      <c r="AD485" s="1099"/>
      <c r="AE485" s="1099" t="s">
        <v>889</v>
      </c>
    </row>
    <row r="486" spans="2:31" ht="15.8" customHeight="1">
      <c r="B486" s="1560"/>
      <c r="C486" s="1560"/>
      <c r="D486" s="1560"/>
      <c r="E486" s="1560"/>
      <c r="F486" s="1560"/>
      <c r="G486" s="1560"/>
      <c r="H486" s="1560"/>
      <c r="I486" s="1560"/>
      <c r="J486" s="1560"/>
      <c r="K486" s="1560"/>
      <c r="L486" s="1560"/>
      <c r="M486" s="1091"/>
      <c r="N486" s="1096" t="s">
        <v>1233</v>
      </c>
      <c r="O486" s="1096"/>
      <c r="P486" s="1097"/>
      <c r="Q486" s="1097"/>
      <c r="R486" s="1098"/>
      <c r="S486" s="657">
        <f>COUNTIF(T5:T472,"GM")</f>
        <v>0</v>
      </c>
      <c r="T486" s="1094" t="s">
        <v>554</v>
      </c>
      <c r="U486" s="1095" t="s">
        <v>906</v>
      </c>
      <c r="Z486" s="1099" t="s">
        <v>604</v>
      </c>
      <c r="AA486" s="1099"/>
      <c r="AB486" s="1099" t="s">
        <v>890</v>
      </c>
      <c r="AC486" s="1099" t="s">
        <v>736</v>
      </c>
      <c r="AD486" s="1099"/>
      <c r="AE486" s="1099" t="s">
        <v>891</v>
      </c>
    </row>
    <row r="487" spans="2:31" ht="15.8" customHeight="1">
      <c r="B487" s="1560"/>
      <c r="C487" s="1560"/>
      <c r="D487" s="1560"/>
      <c r="E487" s="1560"/>
      <c r="F487" s="1560"/>
      <c r="G487" s="1560"/>
      <c r="H487" s="1560"/>
      <c r="I487" s="1560"/>
      <c r="J487" s="1560"/>
      <c r="K487" s="1560"/>
      <c r="L487" s="1560"/>
      <c r="M487" s="1091"/>
      <c r="N487" s="1100" t="s">
        <v>1234</v>
      </c>
      <c r="O487" s="1100"/>
      <c r="P487" s="1098"/>
      <c r="Q487" s="1098"/>
      <c r="R487" s="1098"/>
      <c r="S487" s="657">
        <f>COUNTIF(T5:T472,"H")</f>
        <v>0</v>
      </c>
      <c r="T487" s="1094" t="s">
        <v>627</v>
      </c>
      <c r="U487" s="1095" t="s">
        <v>908</v>
      </c>
      <c r="Z487" s="1099" t="s">
        <v>856</v>
      </c>
      <c r="AA487" s="1099"/>
      <c r="AB487" s="1099" t="s">
        <v>892</v>
      </c>
      <c r="AC487" s="1099" t="s">
        <v>642</v>
      </c>
      <c r="AD487" s="1099"/>
      <c r="AE487" s="1099" t="s">
        <v>893</v>
      </c>
    </row>
    <row r="488" spans="2:31" ht="15.8" customHeight="1">
      <c r="B488" s="1560"/>
      <c r="C488" s="1560"/>
      <c r="D488" s="1560"/>
      <c r="E488" s="1560"/>
      <c r="F488" s="1560"/>
      <c r="G488" s="1560"/>
      <c r="H488" s="1560"/>
      <c r="I488" s="1560"/>
      <c r="J488" s="1560"/>
      <c r="K488" s="1560"/>
      <c r="L488" s="1560"/>
      <c r="M488" s="1091"/>
      <c r="N488" s="1100" t="s">
        <v>1235</v>
      </c>
      <c r="O488" s="1100"/>
      <c r="P488" s="1098"/>
      <c r="Q488" s="1098"/>
      <c r="R488" s="1098"/>
      <c r="S488" s="657">
        <f>COUNTIF(T5:T472,"KK")</f>
        <v>0</v>
      </c>
      <c r="T488" s="1094" t="s">
        <v>738</v>
      </c>
      <c r="U488" s="1259" t="s">
        <v>911</v>
      </c>
      <c r="Z488" s="1099" t="s">
        <v>894</v>
      </c>
      <c r="AA488" s="1099"/>
      <c r="AB488" s="1099" t="s">
        <v>895</v>
      </c>
      <c r="AC488" s="1099" t="s">
        <v>690</v>
      </c>
      <c r="AD488" s="1099"/>
      <c r="AE488" s="1099" t="s">
        <v>896</v>
      </c>
    </row>
    <row r="489" spans="2:31" ht="15.8" customHeight="1">
      <c r="B489" s="1560"/>
      <c r="C489" s="1560"/>
      <c r="D489" s="1560"/>
      <c r="E489" s="1560"/>
      <c r="F489" s="1560"/>
      <c r="G489" s="1560"/>
      <c r="H489" s="1560"/>
      <c r="I489" s="1560"/>
      <c r="J489" s="1560"/>
      <c r="K489" s="1560"/>
      <c r="L489" s="1560"/>
      <c r="M489" s="1091"/>
      <c r="N489" s="1101" t="s">
        <v>1236</v>
      </c>
      <c r="O489" s="1101"/>
      <c r="P489" s="1102"/>
      <c r="Q489" s="1102"/>
      <c r="R489" s="1098"/>
      <c r="S489" s="657">
        <f>COUNTIF(T5:T472,"SGY")</f>
        <v>0</v>
      </c>
      <c r="T489" s="1094" t="s">
        <v>731</v>
      </c>
      <c r="U489" s="1095" t="s">
        <v>914</v>
      </c>
      <c r="W489" s="1099"/>
      <c r="X489" s="1099"/>
      <c r="Z489" s="1099" t="s">
        <v>575</v>
      </c>
      <c r="AA489" s="1099"/>
      <c r="AB489" s="1099" t="s">
        <v>897</v>
      </c>
      <c r="AC489" s="1099" t="s">
        <v>528</v>
      </c>
      <c r="AD489" s="1099"/>
      <c r="AE489" s="1099" t="s">
        <v>898</v>
      </c>
    </row>
    <row r="490" spans="2:31" ht="15.8" customHeight="1">
      <c r="J490" s="596"/>
      <c r="N490" s="1100" t="s">
        <v>1237</v>
      </c>
      <c r="O490" s="1100"/>
      <c r="P490" s="1098"/>
      <c r="Q490" s="1098"/>
      <c r="R490" s="1098"/>
      <c r="S490" s="657">
        <f>COUNTIF(T5:T472,"SP1")</f>
        <v>0</v>
      </c>
      <c r="T490" s="1094" t="s">
        <v>788</v>
      </c>
      <c r="U490" s="1095" t="s">
        <v>885</v>
      </c>
      <c r="W490" s="1099"/>
      <c r="X490" s="1099"/>
      <c r="Z490" s="1099" t="s">
        <v>551</v>
      </c>
      <c r="AA490" s="1099"/>
      <c r="AB490" s="1099" t="s">
        <v>899</v>
      </c>
      <c r="AC490" s="1099" t="s">
        <v>476</v>
      </c>
      <c r="AD490" s="1099"/>
      <c r="AE490" s="1099" t="s">
        <v>900</v>
      </c>
    </row>
    <row r="491" spans="2:31" ht="15.8" customHeight="1">
      <c r="B491" s="1103" t="str">
        <f>IF(N468&amp;N469&amp;N470&amp;N472="","",N468&amp;N469&amp;N470&amp;N472)</f>
        <v/>
      </c>
      <c r="J491" s="596"/>
      <c r="S491" s="657">
        <f>COUNTIF(T5:T472,"SP2")</f>
        <v>0</v>
      </c>
      <c r="T491" s="1094" t="s">
        <v>722</v>
      </c>
      <c r="U491" s="1259" t="s">
        <v>887</v>
      </c>
      <c r="W491" s="1099"/>
      <c r="X491" s="1099"/>
      <c r="Z491" s="1099" t="s">
        <v>901</v>
      </c>
      <c r="AA491" s="1099"/>
      <c r="AB491" s="1099" t="s">
        <v>902</v>
      </c>
      <c r="AC491" s="1099" t="s">
        <v>527</v>
      </c>
      <c r="AD491" s="1099"/>
      <c r="AE491" s="1099" t="s">
        <v>903</v>
      </c>
    </row>
    <row r="492" spans="2:31" ht="15.8" customHeight="1">
      <c r="J492" s="596"/>
      <c r="S492" s="657">
        <f>COUNTIF(T5:T472,"SP4")</f>
        <v>0</v>
      </c>
      <c r="T492" s="1094" t="s">
        <v>608</v>
      </c>
      <c r="U492" s="1095" t="s">
        <v>889</v>
      </c>
      <c r="W492" s="1099"/>
      <c r="X492" s="1099"/>
      <c r="Z492" s="1099" t="s">
        <v>683</v>
      </c>
      <c r="AA492" s="1099"/>
      <c r="AB492" s="1099" t="s">
        <v>904</v>
      </c>
      <c r="AC492" s="1099" t="s">
        <v>778</v>
      </c>
      <c r="AD492" s="1099"/>
      <c r="AE492" s="1099" t="s">
        <v>905</v>
      </c>
    </row>
    <row r="493" spans="2:31" ht="15.8" customHeight="1">
      <c r="J493" s="596"/>
      <c r="S493" s="657">
        <f>COUNTIF(T5:T472,"ST")</f>
        <v>0</v>
      </c>
      <c r="T493" s="1094" t="s">
        <v>736</v>
      </c>
      <c r="U493" s="1095" t="s">
        <v>891</v>
      </c>
      <c r="W493" s="1099"/>
      <c r="X493" s="1099"/>
      <c r="Z493" s="1099" t="s">
        <v>554</v>
      </c>
      <c r="AA493" s="1099"/>
      <c r="AB493" s="1099" t="s">
        <v>906</v>
      </c>
      <c r="AC493" s="1099" t="s">
        <v>634</v>
      </c>
      <c r="AD493" s="1099"/>
      <c r="AE493" s="1099" t="s">
        <v>907</v>
      </c>
    </row>
    <row r="494" spans="2:31" ht="15.8" customHeight="1">
      <c r="J494" s="596"/>
      <c r="S494" s="657">
        <f>COUNTIF(T5:T472,"SZM")</f>
        <v>0</v>
      </c>
      <c r="T494" s="1094" t="s">
        <v>642</v>
      </c>
      <c r="U494" s="1095" t="s">
        <v>893</v>
      </c>
      <c r="W494" s="1099"/>
      <c r="X494" s="1099"/>
      <c r="Z494" s="1099" t="s">
        <v>627</v>
      </c>
      <c r="AA494" s="1099"/>
      <c r="AB494" s="1099" t="s">
        <v>908</v>
      </c>
      <c r="AC494" s="1099" t="s">
        <v>909</v>
      </c>
      <c r="AD494" s="1099"/>
      <c r="AE494" s="1099" t="s">
        <v>910</v>
      </c>
    </row>
    <row r="495" spans="2:31" ht="15.8" customHeight="1">
      <c r="J495" s="596"/>
      <c r="S495" s="657">
        <f>COUNTIF(T5:T472,"SZS")</f>
        <v>0</v>
      </c>
      <c r="T495" s="1094" t="s">
        <v>690</v>
      </c>
      <c r="U495" s="1095" t="s">
        <v>896</v>
      </c>
      <c r="W495" s="1099"/>
      <c r="X495" s="1099"/>
      <c r="Z495" s="1099" t="s">
        <v>738</v>
      </c>
      <c r="AA495" s="1099"/>
      <c r="AB495" s="1099" t="s">
        <v>911</v>
      </c>
      <c r="AC495" s="1099" t="s">
        <v>912</v>
      </c>
      <c r="AD495" s="1099"/>
      <c r="AE495" s="1099" t="s">
        <v>913</v>
      </c>
    </row>
    <row r="496" spans="2:31" ht="15.8" customHeight="1">
      <c r="J496" s="596"/>
      <c r="S496" s="657">
        <f>COUNTIF(T5:T472,"SZT")</f>
        <v>0</v>
      </c>
      <c r="T496" s="1094" t="s">
        <v>528</v>
      </c>
      <c r="U496" s="1095" t="s">
        <v>898</v>
      </c>
      <c r="W496" s="1099"/>
      <c r="X496" s="1099"/>
      <c r="Z496" s="1099" t="s">
        <v>731</v>
      </c>
      <c r="AA496" s="1099"/>
      <c r="AB496" s="1099" t="s">
        <v>914</v>
      </c>
      <c r="AC496" s="1104"/>
      <c r="AD496" s="1104"/>
      <c r="AE496" s="1104"/>
    </row>
    <row r="497" spans="2:26" ht="15.8" customHeight="1">
      <c r="J497" s="596"/>
      <c r="S497" s="657">
        <f>COUNTIF(T5:T472,"V")</f>
        <v>0</v>
      </c>
      <c r="T497" s="1094" t="s">
        <v>476</v>
      </c>
      <c r="U497" s="1095" t="s">
        <v>900</v>
      </c>
      <c r="W497" s="1099"/>
      <c r="X497" s="1099"/>
    </row>
    <row r="498" spans="2:26" ht="15.8" customHeight="1">
      <c r="J498" s="596"/>
      <c r="S498" s="657">
        <f>COUNTIF(T5:T472,"SZS_z")</f>
        <v>0</v>
      </c>
      <c r="T498" s="613" t="s">
        <v>5849</v>
      </c>
      <c r="U498" s="1259" t="s">
        <v>5855</v>
      </c>
      <c r="W498" s="1099"/>
      <c r="X498" s="1099"/>
    </row>
    <row r="499" spans="2:26" ht="15.8" customHeight="1">
      <c r="J499" s="596"/>
      <c r="S499" s="657">
        <f>COUNTIF(T5:T472,"CW")</f>
        <v>0</v>
      </c>
      <c r="T499" s="1094" t="s">
        <v>1751</v>
      </c>
      <c r="U499" s="1095" t="s">
        <v>2710</v>
      </c>
      <c r="W499" s="1099"/>
      <c r="X499" s="1099"/>
    </row>
    <row r="500" spans="2:26" ht="15.8" customHeight="1">
      <c r="J500" s="596"/>
      <c r="S500" s="657">
        <f>COUNTIF(T5:T472,"2E")</f>
        <v>0</v>
      </c>
      <c r="T500" s="1094" t="s">
        <v>848</v>
      </c>
      <c r="U500" s="1095" t="s">
        <v>2711</v>
      </c>
      <c r="W500" s="1099"/>
      <c r="X500" s="1099"/>
    </row>
    <row r="501" spans="2:26" ht="15.8" customHeight="1">
      <c r="J501" s="596"/>
      <c r="S501" s="657">
        <f>COUNTIF(T5:T472,"STF")</f>
        <v>0</v>
      </c>
      <c r="T501" s="1094" t="s">
        <v>1447</v>
      </c>
      <c r="U501" s="1095" t="s">
        <v>2714</v>
      </c>
      <c r="W501" s="1099"/>
      <c r="X501" s="613" t="s">
        <v>5849</v>
      </c>
      <c r="Z501" s="606" t="str">
        <f t="shared" ref="Z501:Z507" si="27">IF(OR(R501="x", S501="x"), Y501,"")</f>
        <v/>
      </c>
    </row>
    <row r="502" spans="2:26" ht="15.8" customHeight="1">
      <c r="B502" s="1090"/>
      <c r="C502" s="1090"/>
      <c r="J502" s="1078"/>
      <c r="K502" s="1079"/>
      <c r="S502" s="657">
        <f>COUNTIF(T5:T472,"VK")</f>
        <v>0</v>
      </c>
      <c r="T502" s="1094" t="s">
        <v>527</v>
      </c>
      <c r="U502" s="1095" t="s">
        <v>903</v>
      </c>
      <c r="W502" s="1099"/>
      <c r="X502" s="589" t="s">
        <v>5850</v>
      </c>
      <c r="Z502" s="594" t="str">
        <f t="shared" si="27"/>
        <v/>
      </c>
    </row>
    <row r="503" spans="2:26" ht="15.8" customHeight="1">
      <c r="J503" s="1078"/>
      <c r="K503" s="1079"/>
      <c r="S503" s="657">
        <f>COUNTIF(T5:T472,"PS")</f>
        <v>0</v>
      </c>
      <c r="T503" s="1094" t="s">
        <v>778</v>
      </c>
      <c r="U503" s="1095" t="s">
        <v>905</v>
      </c>
      <c r="W503" s="1099"/>
      <c r="X503" s="617" t="s">
        <v>5851</v>
      </c>
      <c r="Z503" s="606" t="str">
        <f t="shared" si="27"/>
        <v/>
      </c>
    </row>
    <row r="504" spans="2:26" ht="15.8" customHeight="1">
      <c r="B504" s="1151" t="s">
        <v>451</v>
      </c>
      <c r="C504" s="609"/>
      <c r="D504" s="1151"/>
      <c r="E504" s="1151"/>
      <c r="F504" s="1151"/>
      <c r="G504" s="1151"/>
      <c r="H504" s="1152"/>
      <c r="I504" s="1152"/>
      <c r="J504" s="1153">
        <f>SUMIF(L5:L472,"x",J5:J472)</f>
        <v>0</v>
      </c>
      <c r="K504" s="1117"/>
      <c r="L504" s="659"/>
      <c r="N504" s="609"/>
      <c r="O504" s="609"/>
      <c r="P504" s="609"/>
      <c r="Q504" s="609"/>
      <c r="R504" s="609"/>
      <c r="S504" s="657">
        <f>COUNTIF(T5:T472,"V1")</f>
        <v>0</v>
      </c>
      <c r="T504" s="1094" t="s">
        <v>2810</v>
      </c>
      <c r="U504" s="1095" t="s">
        <v>907</v>
      </c>
      <c r="W504" s="1099"/>
      <c r="X504" s="604" t="s">
        <v>5852</v>
      </c>
      <c r="Z504" s="606" t="str">
        <f t="shared" si="27"/>
        <v/>
      </c>
    </row>
    <row r="505" spans="2:26" ht="15.8" customHeight="1">
      <c r="J505" s="1078"/>
      <c r="K505" s="1079"/>
      <c r="S505" s="657">
        <f>COUNTIF(T5:T472,"V2")</f>
        <v>0</v>
      </c>
      <c r="T505" s="1094" t="s">
        <v>2811</v>
      </c>
      <c r="U505" s="1095" t="s">
        <v>910</v>
      </c>
      <c r="W505" s="1099"/>
      <c r="X505" s="613" t="s">
        <v>5853</v>
      </c>
      <c r="Z505" s="606" t="str">
        <f t="shared" si="27"/>
        <v/>
      </c>
    </row>
    <row r="506" spans="2:26" ht="15.8" customHeight="1">
      <c r="B506" s="1090" t="s">
        <v>492</v>
      </c>
      <c r="C506" s="1090"/>
      <c r="J506" s="1078"/>
      <c r="K506" s="1079"/>
      <c r="S506" s="657">
        <f>COUNTIF($T$5:$T$472,"2LH+G")</f>
        <v>0</v>
      </c>
      <c r="T506" s="1094" t="s">
        <v>912</v>
      </c>
      <c r="U506" s="1259" t="s">
        <v>913</v>
      </c>
      <c r="X506" s="599" t="s">
        <v>5854</v>
      </c>
      <c r="Z506" s="594" t="str">
        <f t="shared" si="27"/>
        <v/>
      </c>
    </row>
    <row r="507" spans="2:26" ht="15.8" customHeight="1">
      <c r="B507" s="596">
        <f>COUNTIF(S527,"&lt;&gt;0")</f>
        <v>0</v>
      </c>
      <c r="D507" s="596" t="s">
        <v>5908</v>
      </c>
      <c r="S507" s="657">
        <f>COUNTIF($T$5:$T$472,"SZS_b")</f>
        <v>0</v>
      </c>
      <c r="T507" s="589" t="s">
        <v>5850</v>
      </c>
      <c r="U507" s="1259" t="s">
        <v>5856</v>
      </c>
      <c r="W507" s="1099"/>
      <c r="X507" s="1099"/>
      <c r="Z507" s="594" t="str">
        <f t="shared" si="27"/>
        <v/>
      </c>
    </row>
    <row r="508" spans="2:26" ht="15.8" customHeight="1">
      <c r="B508" s="596">
        <f>COUNTIF(S528,"&lt;&gt;0")</f>
        <v>0</v>
      </c>
      <c r="D508" s="596" t="s">
        <v>5909</v>
      </c>
      <c r="S508" s="657">
        <f>COUNTIF($T$5:$T$472,"SZS_k")</f>
        <v>0</v>
      </c>
      <c r="T508" s="617" t="s">
        <v>5851</v>
      </c>
      <c r="U508" s="1259" t="s">
        <v>5857</v>
      </c>
      <c r="W508" s="1099"/>
      <c r="X508" s="1099"/>
    </row>
    <row r="509" spans="2:26" ht="15.8" customHeight="1">
      <c r="B509" s="596">
        <f t="shared" ref="B509:B530" si="28">COUNTIF(S476,"&lt;&gt;0")</f>
        <v>0</v>
      </c>
      <c r="D509" s="800" t="s">
        <v>917</v>
      </c>
      <c r="E509" s="800"/>
      <c r="F509" s="800"/>
      <c r="G509" s="800"/>
      <c r="H509" s="800" t="s">
        <v>917</v>
      </c>
      <c r="I509" s="800"/>
      <c r="K509" s="800"/>
      <c r="L509" s="1105"/>
      <c r="M509" s="1105"/>
      <c r="S509" s="657">
        <f>COUNTIF(T5:T472,"*8")</f>
        <v>0</v>
      </c>
      <c r="T509" s="1081" t="s">
        <v>687</v>
      </c>
      <c r="U509" s="596" t="s">
        <v>1217</v>
      </c>
      <c r="W509" s="1099"/>
      <c r="X509" s="1099"/>
    </row>
    <row r="510" spans="2:26" ht="15.8" customHeight="1">
      <c r="B510" s="596">
        <f t="shared" si="28"/>
        <v>0</v>
      </c>
      <c r="D510" s="1106" t="s">
        <v>915</v>
      </c>
      <c r="E510" s="1107"/>
      <c r="F510" s="1107"/>
      <c r="G510" s="1107"/>
      <c r="H510" s="1107"/>
      <c r="I510" s="1107"/>
      <c r="J510" s="1107"/>
      <c r="K510" s="1108"/>
      <c r="L510" s="1105"/>
      <c r="M510" s="1105"/>
      <c r="S510" s="657">
        <f>COUNTIF(T5:T472,"Kenet")</f>
        <v>0</v>
      </c>
      <c r="T510" s="1081" t="s">
        <v>713</v>
      </c>
      <c r="U510" s="596" t="s">
        <v>1217</v>
      </c>
      <c r="W510" s="1099"/>
      <c r="X510" s="1099"/>
    </row>
    <row r="511" spans="2:26" ht="15.8" customHeight="1">
      <c r="B511" s="1109">
        <f>S478</f>
        <v>0</v>
      </c>
      <c r="C511" s="1109"/>
      <c r="D511" s="1110" t="s">
        <v>918</v>
      </c>
      <c r="E511" s="1107" t="s">
        <v>5837</v>
      </c>
      <c r="F511" s="1107"/>
      <c r="G511" s="1107"/>
      <c r="H511" s="1107"/>
      <c r="I511" s="1107"/>
      <c r="J511" s="1107"/>
      <c r="K511" s="1108"/>
      <c r="L511" s="1105"/>
      <c r="M511" s="1105"/>
      <c r="S511" s="657">
        <f>COUNTIF(T5:T472,"SP4+kenet")</f>
        <v>0</v>
      </c>
      <c r="T511" s="1081" t="s">
        <v>715</v>
      </c>
      <c r="U511" s="596" t="s">
        <v>1217</v>
      </c>
      <c r="W511" s="1099"/>
      <c r="X511" s="1099"/>
    </row>
    <row r="512" spans="2:26" ht="15.8" customHeight="1">
      <c r="B512" s="596">
        <f t="shared" si="28"/>
        <v>0</v>
      </c>
      <c r="D512" s="1106" t="s">
        <v>2764</v>
      </c>
      <c r="E512" s="1107"/>
      <c r="F512" s="1107"/>
      <c r="G512" s="1107"/>
      <c r="H512" s="1107"/>
      <c r="I512" s="1107"/>
      <c r="J512" s="1107"/>
      <c r="K512" s="1108"/>
      <c r="L512" s="1105"/>
      <c r="M512" s="1105"/>
      <c r="S512" s="657">
        <f>COUNTIF(T5:T472,"E/SZT")</f>
        <v>0</v>
      </c>
      <c r="T512" s="1081" t="s">
        <v>740</v>
      </c>
      <c r="U512" s="596" t="s">
        <v>1217</v>
      </c>
      <c r="W512" s="1099"/>
      <c r="X512" s="1099"/>
    </row>
    <row r="513" spans="2:56" ht="15.8" customHeight="1">
      <c r="B513" s="596">
        <f t="shared" si="28"/>
        <v>0</v>
      </c>
      <c r="D513" s="1106" t="s">
        <v>916</v>
      </c>
      <c r="E513" s="1107"/>
      <c r="F513" s="1107"/>
      <c r="G513" s="1107"/>
      <c r="H513" s="1107"/>
      <c r="I513" s="1107"/>
      <c r="J513" s="1107"/>
      <c r="K513" s="1108"/>
      <c r="L513" s="1105"/>
      <c r="M513" s="1105"/>
      <c r="S513" s="657">
        <f>COUNTIF(T5:T472,"*3")</f>
        <v>0</v>
      </c>
      <c r="T513" s="1081" t="s">
        <v>750</v>
      </c>
      <c r="U513" s="596" t="s">
        <v>1217</v>
      </c>
    </row>
    <row r="514" spans="2:56" ht="15.8" customHeight="1">
      <c r="B514" s="596">
        <f t="shared" si="28"/>
        <v>0</v>
      </c>
      <c r="D514" s="1106" t="s">
        <v>919</v>
      </c>
      <c r="E514" s="1107"/>
      <c r="F514" s="1107"/>
      <c r="G514" s="1107"/>
      <c r="H514" s="1107"/>
      <c r="I514" s="1107"/>
      <c r="J514" s="1107"/>
      <c r="K514" s="1108"/>
      <c r="L514" s="1105"/>
      <c r="M514" s="1105"/>
      <c r="S514" s="657">
        <f>COUNTIF(T5:T472,"E-O")</f>
        <v>0</v>
      </c>
      <c r="T514" s="1081" t="s">
        <v>5822</v>
      </c>
      <c r="U514" s="596" t="s">
        <v>5840</v>
      </c>
      <c r="W514" s="1099"/>
      <c r="X514" s="1099"/>
    </row>
    <row r="515" spans="2:56" ht="15.8" customHeight="1">
      <c r="B515" s="1109">
        <f>S482</f>
        <v>0</v>
      </c>
      <c r="C515" s="1109"/>
      <c r="D515" s="1110" t="s">
        <v>920</v>
      </c>
      <c r="E515" s="1107" t="s">
        <v>5842</v>
      </c>
      <c r="F515" s="1107"/>
      <c r="G515" s="1107"/>
      <c r="H515" s="1107"/>
      <c r="I515" s="1107"/>
      <c r="J515" s="1107"/>
      <c r="K515" s="1108"/>
      <c r="L515" s="1105"/>
      <c r="M515" s="1105"/>
      <c r="S515" s="657">
        <f>COUNTIF(T5:T472,"HM")</f>
        <v>0</v>
      </c>
      <c r="T515" s="585" t="s">
        <v>5845</v>
      </c>
      <c r="U515" s="596" t="s">
        <v>5861</v>
      </c>
      <c r="W515" s="1099"/>
      <c r="X515" s="1099"/>
    </row>
    <row r="516" spans="2:56" ht="15.8" customHeight="1">
      <c r="B516" s="596">
        <f>COUNTIF(S483, "&lt;&gt;0") + IF(AND(S483&gt;35, S483&lt;70), 1, IF(S483&gt;=70, 2, 0))</f>
        <v>0</v>
      </c>
      <c r="D516" s="1106" t="s">
        <v>2765</v>
      </c>
      <c r="E516" s="1107" t="s">
        <v>5912</v>
      </c>
      <c r="F516" s="1107"/>
      <c r="G516" s="1107"/>
      <c r="H516" s="1107"/>
      <c r="I516" s="661">
        <f>IF(OR(S527&lt;&gt;0,S528&lt;&gt;0,S529&lt;&gt;0),IF(B516&lt;&gt;0,B516-1,0),B516)</f>
        <v>0</v>
      </c>
      <c r="J516" s="1107"/>
      <c r="K516" s="1108"/>
      <c r="L516" s="1105"/>
      <c r="M516" s="1105"/>
      <c r="S516" s="657">
        <f>COUNTIF(T5:T472,"2E+G")</f>
        <v>0</v>
      </c>
      <c r="T516" s="1081" t="s">
        <v>6019</v>
      </c>
      <c r="U516" s="596" t="s">
        <v>6024</v>
      </c>
    </row>
    <row r="517" spans="2:56" ht="15.8" customHeight="1">
      <c r="B517" s="596">
        <f t="shared" si="28"/>
        <v>0</v>
      </c>
      <c r="D517" s="1106" t="s">
        <v>5843</v>
      </c>
      <c r="E517" s="1107"/>
      <c r="F517" s="1107"/>
      <c r="G517" s="1107"/>
      <c r="H517" s="1107"/>
      <c r="I517" s="1107"/>
      <c r="J517" s="1107"/>
      <c r="K517" s="1108"/>
      <c r="L517" s="1105"/>
      <c r="M517" s="1105"/>
      <c r="S517" s="1111" t="s">
        <v>1209</v>
      </c>
      <c r="U517" s="1555"/>
      <c r="V517" s="1555"/>
    </row>
    <row r="518" spans="2:56" ht="15.8" customHeight="1">
      <c r="B518" s="596">
        <f t="shared" si="28"/>
        <v>0</v>
      </c>
      <c r="D518" s="1106" t="s">
        <v>2766</v>
      </c>
      <c r="E518" s="1107"/>
      <c r="F518" s="1107"/>
      <c r="G518" s="1107"/>
      <c r="H518" s="1107"/>
      <c r="I518" s="1107"/>
      <c r="J518" s="1107"/>
      <c r="K518" s="1108"/>
      <c r="L518" s="1105"/>
      <c r="M518" s="1105"/>
      <c r="S518" s="1556" t="str">
        <f>IF(Kémia!B507&lt;&gt;0,CONCATENATE("egy"," ",CONCATENATE(Kémia!D507,""),CONCATENATE("; ")),"")&amp;IF(Kémia!B508&lt;&gt;0,CONCATENATE("egy"," ",CONCATENATE(Kémia!D508,""),CONCATENATE("; ")),"")&amp;IF(Kémia!B509&lt;&gt;0,CONCATENATE(Kémia!B509," ",CONCATENATE(Kémia!D509,""),CONCATENATE("; ")),"")&amp;IF(Kémia!B510&lt;&gt;0,CONCATENATE(Kémia!B510," ",CONCATENATE(Kémia!D510,""),CONCATENATE("; ")),"")&amp;IF(Kémia!B511&lt;&gt;0,CONCATENATE(Kémia!B511," ",CONCATENATE(Kémia!D511,""),CONCATENATE("; ")),"")&amp;IF(Kémia!B512&lt;&gt;0,CONCATENATE(Kémia!B512," ",CONCATENATE(Kémia!D512,""),CONCATENATE("; ")),"")&amp;IF(Kémia!B513&lt;&gt;0,CONCATENATE(Kémia!B513," ",CONCATENATE(Kémia!D513,""),CONCATENATE("; ")),"")&amp;IF(Kémia!B514&lt;&gt;0,CONCATENATE(Kémia!B514," ",CONCATENATE(Kémia!D514,""),CONCATENATE("; ")),"")&amp;IF(Kémia!B515&lt;&gt;0,CONCATENATE(Kémia!B515," ",CONCATENATE(Kémia!D515,""),CONCATENATE("; ")),"")&amp;IF(Kémia!I516&lt;&gt;0,CONCATENATE(Kémia!I516," ",CONCATENATE(Kémia!D516,""),CONCATENATE("; ")),"")&amp;IF(Kémia!B517&lt;&gt;0,CONCATENATE(Kémia!B517," ",CONCATENATE(Kémia!D517,""),CONCATENATE("; ")),"")&amp;IF(Kémia!B518&lt;&gt;0,CONCATENATE(Kémia!B518," ",CONCATENATE(Kémia!D518,""),CONCATENATE("; ")),"")&amp;IF(Kémia!B519&lt;&gt;0,CONCATENATE(Kémia!B519," ",CONCATENATE(Kémia!D519,""),CONCATENATE("; ")),"")&amp;IF(Kémia!B520&lt;&gt;0,CONCATENATE(Kémia!B520," ",CONCATENATE(Kémia!D520,""),CONCATENATE("; ")),"")&amp;IF(Kémia!B521&lt;&gt;0,CONCATENATE(Kémia!B521," ",CONCATENATE(Kémia!D521,""),CONCATENATE("; ")),"")&amp;IF(Kémia!B522&lt;&gt;0,CONCATENATE(Kémia!B522," ",CONCATENATE(Kémia!D522,""),CONCATENATE("; ")),"")&amp;IF(Kémia!B523&lt;&gt;0,CONCATENATE(Kémia!B523," ",CONCATENATE(Kémia!D523,""),CONCATENATE("; ")),"")&amp;IF(Kémia!B524&lt;&gt;0,CONCATENATE(Kémia!B524," ",CONCATENATE(Kémia!D524,""),CONCATENATE("; ")),"")&amp;IF(Kémia!B525&lt;&gt;0,CONCATENATE(Kémia!B525," ",CONCATENATE(Kémia!D525,""),CONCATENATE("; ")),"")&amp;IF(Kémia!B526&lt;&gt;0,CONCATENATE(Kémia!B526," ",CONCATENATE(Kémia!D526,""),CONCATENATE("; ")),"")&amp;IF(Kémia!B527&lt;&gt;0,CONCATENATE(Kémia!B527," ",CONCATENATE(Kémia!D527,""),CONCATENATE("; ")),"")&amp;IF(Kémia!B528&lt;&gt;0,CONCATENATE(Kémia!B528," ",CONCATENATE(Kémia!D528,""),CONCATENATE("; ")),"")&amp;IF(Kémia!B529&lt;&gt;0,CONCATENATE(Kémia!B529," ",CONCATENATE(Kémia!D529,""),CONCATENATE("; ")),"")&amp;IF(Kémia!B530&lt;&gt;0,CONCATENATE(Kémia!B530," ",CONCATENATE(Kémia!D530,""),CONCATENATE("; ")),"")&amp;IF(Kémia!B531&lt;&gt;0,CONCATENATE(Kémia!B531," ",CONCATENATE(Kémia!D531,""),CONCATENATE("; ")),"")&amp;IF(Kémia!B532&lt;&gt;0,CONCATENATE(Kémia!B532," ",CONCATENATE(Kémia!D532,""),CONCATENATE("; ")),"")&amp;IF(Kémia!B533&lt;&gt;0,CONCATENATE("egy"," ",CONCATENATE(Kémia!D533,""),CONCATENATE("; ")),"")&amp;IF(Kémia!B534&lt;&gt;0,CONCATENATE(Kémia!B534," ",CONCATENATE(Kémia!D534,""),CONCATENATE("; ")),"")&amp;IF(Kémia!B535&lt;&gt;0,CONCATENATE(Kémia!B535," ",CONCATENATE(Kémia!D535,""),CONCATENATE("; ")),"")&amp;IF(Kémia!B536&lt;&gt;0,CONCATENATE(Kémia!B536," ",CONCATENATE(Kémia!D536,""),CONCATENATE("; ")),"")&amp;IF(Kémia!B537&lt;&gt;0,CONCATENATE(Kémia!B537," ",CONCATENATE(Kémia!D537,""),CONCATENATE("; ")),"")&amp;IF(Kémia!B538&lt;&gt;0,CONCATENATE(Kémia!B538," ",CONCATENATE(Kémia!D538,""),CONCATENATE("; ")),"")&amp;IF(Kémia!B539&lt;&gt;0,CONCATENATE(Kémia!B539," ",CONCATENATE(Kémia!D539,""),CONCATENATE("; ")),"")&amp;IF(Kémia!B540&lt;&gt;0,CONCATENATE(Kémia!B540," ",CONCATENATE(Kémia!D540,""),CONCATENATE("; ")),"")&amp;IF(Kémia!B541&lt;&gt;0,CONCATENATE(Kémia!B541," ",CONCATENATE(Kémia!D541,""),CONCATENATE("; ")),"")&amp;IF(Kémia!B542&lt;&gt;0,CONCATENATE(Kémia!B542," ",CONCATENATE(Kémia!D542,""),CONCATENATE("; ")),"")&amp;IF(Kémia!B543&lt;&gt;0,CONCATENATE(Kémia!B543," ",CONCATENATE(Kémia!D543,""),CONCATENATE("; ")),"")&amp;IF(Kémia!B544&lt;&gt;0,CONCATENATE(Kémia!B544," ",CONCATENATE(Kémia!D544,""),CONCATENATE("; ")),"")&amp;IF(Kémia!B545&lt;&gt;0,CONCATENATE(Kémia!B545," ",CONCATENATE(Kémia!D545,""),CONCATENATE("; ")),"")&amp;IF(Kémia!B546&lt;&gt;0,CONCATENATE(Kémia!B546," ",CONCATENATE(Kémia!D546,""),CONCATENATE("; ")),"")&amp;IF(Kémia!B547&lt;&gt;0,CONCATENATE(Kémia!B547," ",CONCATENATE(Kémia!D547,""),CONCATENATE("; ")),"")&amp;IF(Kémia!B548&lt;&gt;0,CONCATENATE(Kémia!B548," ",CONCATENATE(Kémia!D548,""),CONCATENATE("; ")),"")&amp;IF(Kémia!B549&lt;&gt;0,CONCATENATE(Kémia!B549," ",CONCATENATE(Kémia!D549,""),CONCATENATE("; ")),"")&amp;IF(Kémia!B550&lt;&gt;0,CONCATENATE(Kémia!B550," ",CONCATENATE(Kémia!D550,""),CONCATENATE("; ")),"")&amp;IF(Kémia!B551&lt;&gt;0,CONCATENATE(Kémia!B551," ",CONCATENATE(Kémia!D551,""),CONCATENATE("; ")),"")&amp;IF(Kémia!B552&lt;&gt;0,CONCATENATE(Kémia!B552," ",CONCATENATE(Kémia!D552,""),CONCATENATE("; ")),"")&amp;IF(Kémia!B553&lt;&gt;0,CONCATENATE(Kémia!B553," ",CONCATENATE(Kémia!D553,""),CONCATENATE("; ")),"")&amp;IF(Kémia!B554&lt;&gt;0,CONCATENATE(Kémia!B554," ",CONCATENATE(Kémia!D554,""),CONCATENATE("; ")),"")&amp;IF(Kémia!B555&lt;&gt;0,CONCATENATE("egy"," ",CONCATENATE(Kémia!D555,""),CONCATENATE("; ")),"")</f>
        <v/>
      </c>
      <c r="T518" s="1556"/>
      <c r="U518" s="1556"/>
      <c r="V518" s="1556"/>
      <c r="W518" s="1556"/>
      <c r="X518" s="1556"/>
      <c r="Y518" s="1556"/>
      <c r="Z518" s="1556"/>
      <c r="AA518" s="1556"/>
      <c r="AB518" s="1556"/>
      <c r="AC518" s="1556"/>
      <c r="AD518" s="1556"/>
      <c r="AE518" s="1556"/>
      <c r="AF518" s="1556"/>
      <c r="AG518" s="1556"/>
      <c r="AH518" s="1556"/>
      <c r="AI518" s="1556"/>
      <c r="AJ518" s="1556"/>
      <c r="AK518" s="1556"/>
      <c r="AL518" s="1556"/>
      <c r="AM518" s="1556"/>
      <c r="AN518" s="1556"/>
      <c r="AO518" s="1556"/>
      <c r="AP518" s="1556"/>
      <c r="AQ518" s="1556"/>
      <c r="AR518" s="1556"/>
      <c r="AS518" s="1556"/>
      <c r="AT518" s="1556"/>
      <c r="AU518" s="1556"/>
      <c r="AV518" s="1556"/>
      <c r="AW518" s="1556"/>
      <c r="AX518" s="1556"/>
      <c r="AY518" s="1556"/>
      <c r="AZ518" s="1556"/>
      <c r="BA518" s="1556"/>
      <c r="BB518" s="1556"/>
      <c r="BC518" s="1556"/>
      <c r="BD518" s="1556"/>
    </row>
    <row r="519" spans="2:56" ht="15.8" customHeight="1">
      <c r="B519" s="596">
        <f t="shared" si="28"/>
        <v>0</v>
      </c>
      <c r="D519" s="1106" t="s">
        <v>925</v>
      </c>
      <c r="E519" s="1107"/>
      <c r="F519" s="1107"/>
      <c r="G519" s="1107"/>
      <c r="H519" s="1107"/>
      <c r="I519" s="1107"/>
      <c r="J519" s="1107"/>
      <c r="K519" s="1108"/>
      <c r="L519" s="1105"/>
      <c r="M519" s="1105"/>
      <c r="S519" s="1112"/>
    </row>
    <row r="520" spans="2:56" ht="15.8" customHeight="1">
      <c r="B520" s="596">
        <f t="shared" si="28"/>
        <v>0</v>
      </c>
      <c r="D520" s="1106" t="s">
        <v>926</v>
      </c>
      <c r="E520" s="1107"/>
      <c r="F520" s="1107"/>
      <c r="G520" s="1107"/>
      <c r="H520" s="1107"/>
      <c r="I520" s="1107"/>
      <c r="J520" s="1107"/>
      <c r="K520" s="1108"/>
      <c r="L520" s="1105"/>
      <c r="M520" s="1105"/>
      <c r="S520" s="1113"/>
      <c r="T520" s="1114"/>
      <c r="U520" s="1099"/>
    </row>
    <row r="521" spans="2:56" ht="15.8" customHeight="1">
      <c r="B521" s="596">
        <f t="shared" si="28"/>
        <v>0</v>
      </c>
      <c r="D521" s="1106" t="s">
        <v>927</v>
      </c>
      <c r="E521" s="1107"/>
      <c r="F521" s="1107"/>
      <c r="G521" s="1107"/>
      <c r="H521" s="1107"/>
      <c r="I521" s="1107"/>
      <c r="J521" s="1107"/>
      <c r="K521" s="1108"/>
      <c r="L521" s="1105"/>
      <c r="M521" s="1105"/>
      <c r="S521" s="1113"/>
      <c r="T521" s="1114"/>
      <c r="U521" s="1099"/>
    </row>
    <row r="522" spans="2:56" ht="15.8" customHeight="1">
      <c r="B522" s="596">
        <f t="shared" si="28"/>
        <v>0</v>
      </c>
      <c r="D522" s="1106" t="s">
        <v>928</v>
      </c>
      <c r="E522" s="1107"/>
      <c r="F522" s="1107"/>
      <c r="G522" s="1107"/>
      <c r="H522" s="1107"/>
      <c r="I522" s="1107"/>
      <c r="J522" s="1107"/>
      <c r="K522" s="1108"/>
      <c r="L522" s="1105"/>
      <c r="M522" s="1105"/>
      <c r="S522" s="1113"/>
      <c r="T522" s="1114"/>
      <c r="U522" s="1099"/>
    </row>
    <row r="523" spans="2:56" ht="15.8" customHeight="1">
      <c r="B523" s="596">
        <f t="shared" si="28"/>
        <v>0</v>
      </c>
      <c r="D523" s="660" t="s">
        <v>5847</v>
      </c>
      <c r="E523" s="661"/>
      <c r="F523" s="661"/>
      <c r="G523" s="661"/>
      <c r="H523" s="661"/>
      <c r="I523" s="661"/>
      <c r="J523" s="661"/>
      <c r="K523" s="662"/>
      <c r="S523" s="657">
        <f>COUNTIF($T$5:$T$472,"SZS_m")</f>
        <v>0</v>
      </c>
      <c r="T523" s="604" t="s">
        <v>5852</v>
      </c>
      <c r="U523" s="1259" t="s">
        <v>5858</v>
      </c>
    </row>
    <row r="524" spans="2:56" ht="15.8" customHeight="1">
      <c r="B524" s="596">
        <f t="shared" si="28"/>
        <v>0</v>
      </c>
      <c r="D524" s="660" t="s">
        <v>930</v>
      </c>
      <c r="E524" s="661"/>
      <c r="F524" s="661"/>
      <c r="G524" s="661"/>
      <c r="H524" s="661"/>
      <c r="I524" s="661"/>
      <c r="J524" s="661"/>
      <c r="K524" s="662"/>
      <c r="S524" s="657">
        <f>COUNTIF($T$5:$T$472,"SZS_2pm")</f>
        <v>0</v>
      </c>
      <c r="T524" s="613" t="s">
        <v>5853</v>
      </c>
      <c r="U524" s="1259" t="s">
        <v>5859</v>
      </c>
    </row>
    <row r="525" spans="2:56" ht="15.8" customHeight="1">
      <c r="B525" s="596">
        <f>S492</f>
        <v>0</v>
      </c>
      <c r="D525" s="596" t="s">
        <v>931</v>
      </c>
      <c r="J525" s="1078"/>
      <c r="K525" s="1079"/>
      <c r="S525" s="657">
        <f>COUNTIF($T$5:$T$472,"SZS_mik")</f>
        <v>0</v>
      </c>
      <c r="T525" s="599" t="s">
        <v>5854</v>
      </c>
      <c r="U525" s="1259" t="s">
        <v>5860</v>
      </c>
      <c r="V525" s="1091"/>
    </row>
    <row r="526" spans="2:56" ht="15.8" customHeight="1">
      <c r="B526" s="596">
        <f>S493</f>
        <v>0</v>
      </c>
      <c r="D526" s="596" t="s">
        <v>932</v>
      </c>
      <c r="J526" s="1078"/>
      <c r="K526" s="1079"/>
      <c r="S526" s="657">
        <f>COUNTIF($T$5:$T$472,"GF")</f>
        <v>0</v>
      </c>
      <c r="T526" s="1113" t="s">
        <v>5814</v>
      </c>
      <c r="U526" s="1259" t="s">
        <v>5872</v>
      </c>
      <c r="V526" s="1091"/>
    </row>
    <row r="527" spans="2:56" ht="15.8" customHeight="1">
      <c r="B527" s="596">
        <f t="shared" si="28"/>
        <v>0</v>
      </c>
      <c r="D527" s="596" t="s">
        <v>933</v>
      </c>
      <c r="J527" s="1078"/>
      <c r="K527" s="1079"/>
      <c r="S527" s="657">
        <f>COUNTIF($T$5:$T$472,"2G")</f>
        <v>0</v>
      </c>
      <c r="T527" s="1113" t="s">
        <v>5902</v>
      </c>
      <c r="U527" s="628" t="s">
        <v>5907</v>
      </c>
      <c r="V527" s="1091"/>
    </row>
    <row r="528" spans="2:56" ht="15.8" customHeight="1">
      <c r="B528" s="596">
        <f t="shared" si="28"/>
        <v>0</v>
      </c>
      <c r="D528" s="596" t="s">
        <v>5868</v>
      </c>
      <c r="J528" s="1078"/>
      <c r="K528" s="1079"/>
      <c r="S528" s="657">
        <f>COUNTIF($T$5:$T$472,"3G")</f>
        <v>0</v>
      </c>
      <c r="T528" s="1113" t="s">
        <v>5903</v>
      </c>
      <c r="U528" s="628" t="s">
        <v>5906</v>
      </c>
      <c r="V528" s="1091"/>
    </row>
    <row r="529" spans="2:22" ht="15.8" customHeight="1">
      <c r="B529" s="596">
        <f t="shared" si="28"/>
        <v>0</v>
      </c>
      <c r="D529" s="596" t="s">
        <v>935</v>
      </c>
      <c r="J529" s="1078"/>
      <c r="K529" s="1079"/>
      <c r="S529" s="657">
        <f>COUNTIF($T$5:$T$472,"5G")</f>
        <v>0</v>
      </c>
      <c r="T529" s="1113" t="s">
        <v>5904</v>
      </c>
      <c r="U529" s="628" t="s">
        <v>5905</v>
      </c>
      <c r="V529" s="1091"/>
    </row>
    <row r="530" spans="2:22" ht="15.8" customHeight="1">
      <c r="B530" s="596">
        <f t="shared" si="28"/>
        <v>0</v>
      </c>
      <c r="D530" s="596" t="s">
        <v>2767</v>
      </c>
      <c r="J530" s="1078"/>
      <c r="K530" s="1079"/>
      <c r="S530" s="657">
        <f>COUNTIF($T$5:$T$472,"GA")</f>
        <v>0</v>
      </c>
      <c r="T530" s="1113" t="s">
        <v>5930</v>
      </c>
      <c r="U530" s="628" t="s">
        <v>5931</v>
      </c>
      <c r="V530" s="1091"/>
    </row>
    <row r="531" spans="2:22" ht="15.8" customHeight="1">
      <c r="B531" s="596">
        <f>S526</f>
        <v>0</v>
      </c>
      <c r="D531" s="596" t="s">
        <v>5871</v>
      </c>
      <c r="J531" s="1078"/>
      <c r="K531" s="1079"/>
      <c r="T531" s="1113"/>
      <c r="U531" s="1091"/>
      <c r="V531" s="1091"/>
    </row>
    <row r="532" spans="2:22" ht="15.8" customHeight="1">
      <c r="B532" s="596">
        <f>COUNTIF(S499,"&lt;&gt;0")</f>
        <v>0</v>
      </c>
      <c r="D532" s="596" t="s">
        <v>2815</v>
      </c>
      <c r="J532" s="1078"/>
      <c r="K532" s="1079"/>
      <c r="T532" s="1113"/>
      <c r="U532" s="1091"/>
      <c r="V532" s="1091"/>
    </row>
    <row r="533" spans="2:22" ht="15.8" customHeight="1">
      <c r="B533" s="1109">
        <f>COUNTIF(S500,"&lt;&gt;0")</f>
        <v>0</v>
      </c>
      <c r="C533" s="1109"/>
      <c r="D533" s="1109" t="s">
        <v>5836</v>
      </c>
      <c r="J533" s="1078"/>
      <c r="K533" s="1079"/>
      <c r="T533" s="1113"/>
      <c r="U533" s="1091"/>
      <c r="V533" s="1091"/>
    </row>
    <row r="534" spans="2:22" ht="15.8" customHeight="1">
      <c r="B534" s="596">
        <f>COUNTIF(S501,"&lt;&gt;0")</f>
        <v>0</v>
      </c>
      <c r="D534" s="596" t="s">
        <v>2816</v>
      </c>
      <c r="J534" s="1078"/>
      <c r="K534" s="1079"/>
      <c r="T534" s="1113"/>
      <c r="U534" s="1091"/>
      <c r="V534" s="1091"/>
    </row>
    <row r="535" spans="2:22" ht="15.8" customHeight="1">
      <c r="B535" s="596">
        <f>COUNTIF(S502,"&lt;&gt;0")</f>
        <v>0</v>
      </c>
      <c r="D535" s="596" t="s">
        <v>936</v>
      </c>
      <c r="J535" s="1078"/>
      <c r="K535" s="1079"/>
      <c r="T535" s="1113"/>
      <c r="U535" s="1091"/>
      <c r="V535" s="1091"/>
    </row>
    <row r="536" spans="2:22" ht="15.8" customHeight="1">
      <c r="B536" s="596">
        <f>S503</f>
        <v>0</v>
      </c>
      <c r="D536" s="596" t="s">
        <v>937</v>
      </c>
      <c r="J536" s="1078"/>
      <c r="K536" s="1079"/>
      <c r="T536" s="1113"/>
      <c r="U536" s="1091"/>
      <c r="V536" s="1091"/>
    </row>
    <row r="537" spans="2:22" ht="15.8" customHeight="1">
      <c r="B537" s="596">
        <f>COUNTIF(S504,"&lt;&gt;0")</f>
        <v>0</v>
      </c>
      <c r="D537" s="596" t="s">
        <v>938</v>
      </c>
      <c r="J537" s="1078"/>
      <c r="K537" s="1079"/>
    </row>
    <row r="538" spans="2:22" ht="15.8" customHeight="1">
      <c r="B538" s="596">
        <f>COUNTIF(S505,"&lt;&gt;0")</f>
        <v>0</v>
      </c>
      <c r="D538" s="596" t="s">
        <v>939</v>
      </c>
      <c r="J538" s="1078"/>
      <c r="K538" s="1079"/>
    </row>
    <row r="539" spans="2:22" ht="15.8" customHeight="1">
      <c r="B539" s="596">
        <f>COUNTIF(S506,"&lt;&gt;0")</f>
        <v>0</v>
      </c>
      <c r="D539" s="596" t="s">
        <v>940</v>
      </c>
      <c r="J539" s="1078"/>
      <c r="K539" s="1079"/>
    </row>
    <row r="540" spans="2:22" ht="15.8" customHeight="1">
      <c r="B540" s="596">
        <f>COUNTIF(S498,"&lt;&gt;0")</f>
        <v>0</v>
      </c>
      <c r="D540" s="596" t="s">
        <v>5867</v>
      </c>
      <c r="J540" s="1078"/>
      <c r="K540" s="1079"/>
    </row>
    <row r="541" spans="2:22" ht="15.8" customHeight="1">
      <c r="B541" s="596">
        <f>COUNTIF(S509,"&lt;&gt;0")</f>
        <v>0</v>
      </c>
      <c r="D541" s="1115" t="s">
        <v>1210</v>
      </c>
      <c r="E541" s="1115"/>
      <c r="F541" s="1115"/>
      <c r="G541" s="1115"/>
      <c r="H541" s="1081"/>
      <c r="I541" s="1081"/>
      <c r="J541" s="1078"/>
      <c r="K541" s="1079"/>
    </row>
    <row r="542" spans="2:22" ht="15.8" customHeight="1">
      <c r="B542" s="596">
        <f t="shared" ref="B542:B547" si="29">COUNTIF(S510,"&lt;&gt;0")</f>
        <v>0</v>
      </c>
      <c r="D542" s="1115" t="s">
        <v>1211</v>
      </c>
      <c r="E542" s="1115"/>
      <c r="F542" s="1115"/>
      <c r="G542" s="1115"/>
      <c r="H542" s="1081"/>
      <c r="I542" s="1081"/>
      <c r="J542" s="1078"/>
      <c r="K542" s="1079"/>
    </row>
    <row r="543" spans="2:22" ht="15.8" customHeight="1">
      <c r="B543" s="596">
        <f t="shared" si="29"/>
        <v>0</v>
      </c>
      <c r="D543" s="1115" t="s">
        <v>1212</v>
      </c>
      <c r="E543" s="1115"/>
      <c r="F543" s="1115"/>
      <c r="G543" s="1115"/>
      <c r="H543" s="1081"/>
      <c r="I543" s="1081"/>
      <c r="J543" s="1078"/>
      <c r="K543" s="1079"/>
    </row>
    <row r="544" spans="2:22" ht="15.8" customHeight="1">
      <c r="B544" s="596">
        <f t="shared" si="29"/>
        <v>0</v>
      </c>
      <c r="D544" s="1115" t="s">
        <v>5839</v>
      </c>
      <c r="E544" s="1115"/>
      <c r="F544" s="1115"/>
      <c r="G544" s="1115"/>
      <c r="H544" s="1081"/>
      <c r="I544" s="1081"/>
      <c r="J544" s="1078"/>
      <c r="K544" s="1079"/>
    </row>
    <row r="545" spans="1:26" ht="15.8" customHeight="1">
      <c r="B545" s="596">
        <f t="shared" si="29"/>
        <v>0</v>
      </c>
      <c r="D545" s="1115" t="s">
        <v>1214</v>
      </c>
      <c r="E545" s="1115"/>
      <c r="F545" s="1115"/>
      <c r="G545" s="1115"/>
      <c r="H545" s="1081"/>
      <c r="I545" s="1081"/>
      <c r="J545" s="1078"/>
      <c r="K545" s="1079"/>
    </row>
    <row r="546" spans="1:26" ht="15.8" customHeight="1">
      <c r="B546" s="596">
        <f t="shared" si="29"/>
        <v>0</v>
      </c>
      <c r="D546" s="1115" t="s">
        <v>5841</v>
      </c>
      <c r="E546" s="1115"/>
      <c r="F546" s="1115"/>
      <c r="G546" s="1115"/>
      <c r="H546" s="1081"/>
      <c r="I546" s="1081"/>
      <c r="J546" s="1078"/>
      <c r="K546" s="1079"/>
    </row>
    <row r="547" spans="1:26" ht="15.8" customHeight="1">
      <c r="B547" s="596">
        <f t="shared" si="29"/>
        <v>0</v>
      </c>
      <c r="D547" s="596" t="s">
        <v>5846</v>
      </c>
      <c r="J547" s="1078"/>
      <c r="K547" s="1079"/>
    </row>
    <row r="548" spans="1:26" ht="15.8" customHeight="1">
      <c r="B548" s="596">
        <f>COUNTIF(S507,"&lt;&gt;0")</f>
        <v>0</v>
      </c>
      <c r="D548" s="1115" t="s">
        <v>5862</v>
      </c>
      <c r="J548" s="1078"/>
      <c r="K548" s="1079"/>
    </row>
    <row r="549" spans="1:26" ht="15.8" customHeight="1">
      <c r="B549" s="596">
        <f>COUNTIF(S508,"&lt;&gt;0")</f>
        <v>0</v>
      </c>
      <c r="D549" s="1115" t="s">
        <v>5863</v>
      </c>
      <c r="J549" s="1078"/>
      <c r="K549" s="1079"/>
    </row>
    <row r="550" spans="1:26" ht="15.8" customHeight="1">
      <c r="B550" s="596">
        <f>COUNTIF(S523,"&lt;&gt;0")</f>
        <v>0</v>
      </c>
      <c r="D550" s="1115" t="s">
        <v>5864</v>
      </c>
      <c r="J550" s="1078"/>
      <c r="K550" s="1079"/>
    </row>
    <row r="551" spans="1:26" ht="15.8" customHeight="1">
      <c r="B551" s="596">
        <f>COUNTIF(S524,"&lt;&gt;0")</f>
        <v>0</v>
      </c>
      <c r="D551" s="1115" t="s">
        <v>5865</v>
      </c>
      <c r="J551" s="1078"/>
      <c r="K551" s="1079"/>
    </row>
    <row r="552" spans="1:26" ht="15.8" customHeight="1">
      <c r="B552" s="596">
        <f>COUNTIF(S530,"&lt;&gt;0")</f>
        <v>0</v>
      </c>
      <c r="D552" s="1115" t="s">
        <v>5932</v>
      </c>
      <c r="J552" s="1078"/>
      <c r="K552" s="1079"/>
    </row>
    <row r="553" spans="1:26" ht="15.65" customHeight="1">
      <c r="B553" s="596">
        <f>COUNTIF(S525,"&lt;&gt;0")</f>
        <v>0</v>
      </c>
      <c r="D553" s="1115" t="s">
        <v>5866</v>
      </c>
      <c r="J553" s="1078"/>
      <c r="K553" s="1079"/>
    </row>
    <row r="554" spans="1:26" ht="15.65" customHeight="1">
      <c r="B554" s="596">
        <f>COUNTIF(S516,"&lt;&gt;0")</f>
        <v>0</v>
      </c>
      <c r="D554" s="1115" t="s">
        <v>6025</v>
      </c>
      <c r="J554" s="1078"/>
      <c r="K554" s="1079"/>
    </row>
    <row r="555" spans="1:26" ht="15.8" customHeight="1">
      <c r="B555" s="596">
        <f>COUNTIF(S529,"&lt;&gt;0")</f>
        <v>0</v>
      </c>
      <c r="D555" s="596" t="s">
        <v>5910</v>
      </c>
      <c r="J555" s="1078"/>
      <c r="K555" s="1079"/>
    </row>
    <row r="556" spans="1:26" ht="15.8" customHeight="1">
      <c r="A556" s="609"/>
      <c r="B556" s="1557" t="str">
        <f>IF(O5&amp;O6&amp;O7&amp;O8&amp;O9&amp;O10&amp;O11&amp;O12&amp;O13&amp;O14&amp;O15&amp;O16&amp;O17&amp;O18&amp;O19&amp;O20&amp;O21&amp;O22&amp;O23&amp;O24&amp;O25&amp;O26&amp;O27&amp;O28&amp;O29&amp;O30&amp;O31&amp;O32&amp;O33&amp;O34&amp;O35&amp;O36&amp;O37&amp;O38&amp;O39&amp;O40&amp;O41&amp;O42&amp;O43&amp;O44&amp;O45&amp;O46&amp;O47&amp;O48&amp;O49&amp;O50&amp;O51&amp;O52&amp;O53&amp;O54&amp;O55&amp;O56&amp;O57&amp;O58&amp;O59&amp;O60&amp;O61&amp;O62&amp;O63&amp;O64&amp;O65&amp;O66&amp;O67&amp;O68&amp;O69&amp;O70&amp;O71&amp;O72&amp;O73&amp;O74&amp;O75&amp;O76&amp;O77&amp;O78&amp;O79&amp;O80&amp;O81&amp;O82&amp;O83&amp;O84&amp;O85&amp;O86&amp;O87&amp;O88&amp;O89&amp;O90&amp;O91&amp;O92&amp;O93&amp;O94&amp;O95&amp;O96&amp;O97&amp;O98&amp;O99&amp;O100&amp;O101&amp;O102&amp;O103&amp;O104&amp;O105&amp;O106&amp;O107&amp;O108&amp;O109&amp;O110&amp;O111&amp;O112&amp;O113&amp;O114&amp;O115&amp;O116&amp;O117&amp;O118&amp;O119&amp;O120&amp;O121&amp;O122&amp;O123&amp;O124&amp;O125&amp;O126&amp;O127&amp;O128&amp;O129&amp;O130&amp;O131&amp;O132&amp;O133&amp;O134&amp;O135&amp;O136&amp;O137&amp;O138&amp;O139&amp;O140&amp;O141&amp;O142&amp;O143&amp;O144&amp;O145&amp;O146&amp;O147&amp;O148&amp;O149&amp;O150&amp;O151&amp;O152&amp;O153&amp;O154&amp;O155&amp;O156&amp;O157&amp;O158&amp;O159&amp;O160&amp;O161&amp;O162&amp;O163&amp;O164&amp;O165&amp;O166&amp;O167&amp;O168&amp;O169&amp;O170&amp;O171&amp;O172&amp;O173&amp;O174&amp;O175&amp;O176&amp;O177&amp;O178&amp;O179&amp;O180&amp;O181&amp;O182&amp;O183&amp;O184&amp;O185&amp;O186&amp;O187&amp;O188&amp;O189&amp;O190&amp;O191&amp;O192&amp;O193&amp;O194&amp;O195&amp;O196&amp;O197&amp;O198&amp;O199&amp;O200&amp;O201&amp;O202&amp;O203&amp;O204&amp;O205&amp;O206&amp;O207&amp;O208&amp;O209&amp;O210&amp;O211&amp;O212&amp;O213&amp;O214&amp;O215&amp;O216&amp;O217&amp;O218&amp;O219&amp;O220&amp;O221&amp;O222&amp;O223&amp;O224&amp;O225&amp;O226&amp;O227&amp;O228&amp;O229&amp;O230&amp;O231&amp;O232&amp;O233&amp;O234&amp;O235&amp;O236&amp;O237&amp;O238&amp;O239&amp;O240&amp;O241&amp;O242&amp;O243&amp;O244&amp;O245&amp;O246&amp;O247&amp;O248&amp;O249&amp;O250&amp;O251&amp;O252&amp;O253&amp;O254&amp;O255&amp;O256&amp;O257&amp;O258&amp;O259&amp;O260&amp;O261&amp;O262&amp;O263&amp;O264&amp;O265&amp;O266&amp;O267&amp;O268&amp;O269&amp;O270&amp;O271&amp;O272&amp;O273&amp;O274&amp;O275&amp;O276&amp;O277&amp;O278&amp;O279&amp;O280&amp;O281&amp;O282&amp;O283&amp;O284&amp;O285&amp;O286&amp;O287&amp;O288&amp;O289&amp;O290&amp;O291&amp;O292&amp;O293&amp;O294&amp;O295&amp;O296&amp;O297&amp;O298&amp;O299&amp;O300&amp;O301&amp;O302&amp;O303&amp;O304&amp;O305&amp;O306&amp;O307&amp;O308&amp;O309&amp;O310&amp;O311&amp;O312&amp;O313&amp;O314&amp;O315&amp;O316&amp;O317&amp;O318&amp;O319&amp;O320&amp;O321&amp;O322&amp;O323&amp;O324&amp;O325&amp;O326&amp;O327&amp;O328&amp;O329&amp;O330&amp;O331&amp;O332&amp;O333&amp;O334&amp;O335&amp;O336&amp;O337&amp;O338&amp;O339&amp;O340&amp;O341&amp;O342&amp;O343&amp;O344&amp;O345&amp;O346&amp;O347&amp;O348&amp;O349&amp;O350&amp;O351&amp;O352&amp;O353&amp;O354&amp;O355&amp;O356&amp;O357&amp;O358&amp;O359&amp;O360&amp;O361&amp;O362&amp;O363&amp;O364&amp;O365&amp;O366&amp;O367&amp;O368&amp;O369&amp;O370&amp;O371&amp;O372&amp;O373&amp;O374&amp;O375&amp;O376&amp;O377&amp;O378&amp;O379&amp;O380&amp;O381&amp;O382&amp;O383&amp;O384&amp;O385&amp;O386&amp;O387&amp;O388&amp;O389&amp;O390&amp;O391&amp;O392&amp;O393&amp;O394&amp;O395&amp;O396&amp;O397&amp;O398&amp;O399&amp;O400&amp;O401&amp;O402&amp;O403&amp;O404&amp;O405&amp;O406&amp;O407&amp;O408&amp;O409&amp;O410&amp;O411&amp;O412&amp;O413&amp;O414&amp;O415&amp;O416&amp;O417&amp;O418&amp;O419&amp;O420&amp;O421&amp;O422&amp;O423&amp;O424&amp;O425&amp;O426&amp;O427&amp;O428&amp;O429&amp;O430="","",O5&amp;O6&amp;O7&amp;O8&amp;O9&amp;O10&amp;O11&amp;O12&amp;O13&amp;O14&amp;O15&amp;O16&amp;O17&amp;O18&amp;O19&amp;O20&amp;O21&amp;O22&amp;O23&amp;O24&amp;O25&amp;O26&amp;O27&amp;O28&amp;O29&amp;O30&amp;O31&amp;O32&amp;O33&amp;O34&amp;O35&amp;O36&amp;O37&amp;O38&amp;O39&amp;O40&amp;O41&amp;O42&amp;O43&amp;O44&amp;O45&amp;O46&amp;O47&amp;O48&amp;O49&amp;O50&amp;O51&amp;O52&amp;O53&amp;O54&amp;O55&amp;O56&amp;O57&amp;O58&amp;O59&amp;O60&amp;O61&amp;O62&amp;O63&amp;O64&amp;O65&amp;O66&amp;O67&amp;O68&amp;O69&amp;O70&amp;O71&amp;O72&amp;O73&amp;O74&amp;O75&amp;O76&amp;O77&amp;O78&amp;O79&amp;O80&amp;O81&amp;O82&amp;O83&amp;O84&amp;O85&amp;O86&amp;O87&amp;O88&amp;O89&amp;O90&amp;O91&amp;O92&amp;O93&amp;O94&amp;O95&amp;O96&amp;O97&amp;O98&amp;O99&amp;O100&amp;O101&amp;O102&amp;O103&amp;O104&amp;O105&amp;O106&amp;O107&amp;O108&amp;O109&amp;O110&amp;O111&amp;O112&amp;O113&amp;O114&amp;O115&amp;O116&amp;O117&amp;O118&amp;O119&amp;O120&amp;O121&amp;O122&amp;O123&amp;O124&amp;O125&amp;O126&amp;O127&amp;O128&amp;O129&amp;O130&amp;O131&amp;O132&amp;O133&amp;O134&amp;O135&amp;O136&amp;O137&amp;O138&amp;O139&amp;O140&amp;O141&amp;O142&amp;O143&amp;O144&amp;O145&amp;O146&amp;O147&amp;O148&amp;O149&amp;O150&amp;O151&amp;O152&amp;O153&amp;O154&amp;O155&amp;O156&amp;O157&amp;O158&amp;O159&amp;O160&amp;O161&amp;O162&amp;O163&amp;O164&amp;O165&amp;O166&amp;O167&amp;O168&amp;O169&amp;O170&amp;O171&amp;O172&amp;O173&amp;O174&amp;O175&amp;O176&amp;O177&amp;O178&amp;O179&amp;O180&amp;O181&amp;O182&amp;O183&amp;O184&amp;O185&amp;O186&amp;O187&amp;O188&amp;O189&amp;O190&amp;O191&amp;O192&amp;O193&amp;O194&amp;O195&amp;O196&amp;O197&amp;O198&amp;O199&amp;O200&amp;O201&amp;O202&amp;O203&amp;O204&amp;O205&amp;O206&amp;O207&amp;O208&amp;O209&amp;O210&amp;O211&amp;O212&amp;O213&amp;O214&amp;O215&amp;O216&amp;O217&amp;O218&amp;O219&amp;O220&amp;O221&amp;O222&amp;O223&amp;O224&amp;O225&amp;O226&amp;O227&amp;O228&amp;O229&amp;O230&amp;O231&amp;O232&amp;O233&amp;O234&amp;O235&amp;O236&amp;O237&amp;O238&amp;O239&amp;O240&amp;O241&amp;O242&amp;O243&amp;O244&amp;O245&amp;O246&amp;O247&amp;O248&amp;O249&amp;O250&amp;O251&amp;O252&amp;O253&amp;O254&amp;O255&amp;O256&amp;O257&amp;O258&amp;O259&amp;O260&amp;O261&amp;O262&amp;O263&amp;O264&amp;O265&amp;O266&amp;O267&amp;O268&amp;O269&amp;O270&amp;O271&amp;O272&amp;O273&amp;O274&amp;O275&amp;O276&amp;O277&amp;O278&amp;O279&amp;O280&amp;O281&amp;O282&amp;O283&amp;O284&amp;O285&amp;O286&amp;O287&amp;O288&amp;O289&amp;O290&amp;O291&amp;O292&amp;O293&amp;O294&amp;O295&amp;O296&amp;O297&amp;O298&amp;O299&amp;O300&amp;O301&amp;O302&amp;O303&amp;O304&amp;O305&amp;O306&amp;O307&amp;O308&amp;O309&amp;O310&amp;O311&amp;O312&amp;O313&amp;O314&amp;O315&amp;O316&amp;O317&amp;O318&amp;O319&amp;O320&amp;O321&amp;O322&amp;O323&amp;O324&amp;O325&amp;O326&amp;O327&amp;O328&amp;O329&amp;O330&amp;O331&amp;O332&amp;O333&amp;O334&amp;O335&amp;O336&amp;O337&amp;O338&amp;O339&amp;O340&amp;O341&amp;O342&amp;O343&amp;O344&amp;O345&amp;O346&amp;O347&amp;O348&amp;O349&amp;O350&amp;O351&amp;O352&amp;O353&amp;O354&amp;O355&amp;O356&amp;O357&amp;O358&amp;O359&amp;O360&amp;O361&amp;O362&amp;O363&amp;O364&amp;O365&amp;O366&amp;O367&amp;O368&amp;O369&amp;O370&amp;O371&amp;O372&amp;O373&amp;O374&amp;O375&amp;O376&amp;O377&amp;O378&amp;O379&amp;O380&amp;O381&amp;O382&amp;O383&amp;O384&amp;O385&amp;O386&amp;O387&amp;O388&amp;O389&amp;O390&amp;O391&amp;O392&amp;O393&amp;O394&amp;O395&amp;O396&amp;O397&amp;O398&amp;O399&amp;O400&amp;O401&amp;O402&amp;O403&amp;O404&amp;O405&amp;O406&amp;O407&amp;O408&amp;O409&amp;O410&amp;O411&amp;O412&amp;O413&amp;O414&amp;O415&amp;O416&amp;O417&amp;O418&amp;O419&amp;O420&amp;O421&amp;O422&amp;O423&amp;O424&amp;O425&amp;O426&amp;O427&amp;O428&amp;O429&amp;O430)</f>
        <v/>
      </c>
      <c r="C556" s="609"/>
      <c r="D556" s="609"/>
      <c r="E556" s="609"/>
      <c r="F556" s="609"/>
      <c r="G556" s="609"/>
      <c r="H556" s="659"/>
      <c r="I556" s="659"/>
      <c r="J556" s="1116"/>
      <c r="K556" s="1117"/>
      <c r="L556" s="659"/>
      <c r="M556" s="659"/>
      <c r="N556" s="609"/>
      <c r="O556" s="609"/>
      <c r="P556" s="609"/>
      <c r="Q556" s="609"/>
      <c r="R556" s="609"/>
      <c r="S556" s="659"/>
      <c r="T556" s="659"/>
      <c r="U556" s="609"/>
      <c r="V556" s="609"/>
      <c r="W556" s="609"/>
      <c r="X556" s="609"/>
      <c r="Y556" s="609"/>
      <c r="Z556" s="609"/>
    </row>
    <row r="557" spans="1:26" ht="15.8" customHeight="1">
      <c r="B557" s="1558"/>
      <c r="J557" s="1078"/>
      <c r="K557" s="1079"/>
    </row>
    <row r="558" spans="1:26" ht="15.8" customHeight="1">
      <c r="B558" s="1558"/>
      <c r="J558" s="1078"/>
      <c r="K558" s="1079"/>
    </row>
    <row r="559" spans="1:26" ht="15.8" customHeight="1">
      <c r="B559" s="1558"/>
      <c r="J559" s="1078"/>
      <c r="K559" s="1079"/>
    </row>
    <row r="560" spans="1:26" ht="15.8" customHeight="1">
      <c r="B560" s="1558"/>
      <c r="J560" s="1078"/>
      <c r="K560" s="1079"/>
    </row>
    <row r="561" spans="2:11" ht="15.8" customHeight="1">
      <c r="B561" s="1558"/>
      <c r="J561" s="1078"/>
      <c r="K561" s="1079"/>
    </row>
    <row r="562" spans="2:11" ht="15.8" customHeight="1">
      <c r="B562" s="1558"/>
      <c r="J562" s="1078"/>
      <c r="K562" s="1079"/>
    </row>
    <row r="563" spans="2:11" ht="15.8" customHeight="1">
      <c r="B563" s="1558"/>
      <c r="J563" s="1078"/>
      <c r="K563" s="1079"/>
    </row>
    <row r="564" spans="2:11" ht="15.8" customHeight="1">
      <c r="B564" s="1558"/>
      <c r="J564" s="1078"/>
      <c r="K564" s="1079"/>
    </row>
    <row r="565" spans="2:11" ht="15.8" customHeight="1">
      <c r="B565" s="1558"/>
      <c r="J565" s="1078"/>
      <c r="K565" s="1079"/>
    </row>
    <row r="566" spans="2:11" ht="15.8" customHeight="1">
      <c r="B566" s="1558"/>
      <c r="J566" s="1078"/>
      <c r="K566" s="1079"/>
    </row>
    <row r="567" spans="2:11" ht="15.8" customHeight="1">
      <c r="B567" s="1558"/>
      <c r="J567" s="1078"/>
      <c r="K567" s="1079"/>
    </row>
    <row r="568" spans="2:11" ht="15.8" customHeight="1">
      <c r="B568" s="1558"/>
      <c r="J568" s="1078"/>
      <c r="K568" s="1079"/>
    </row>
    <row r="569" spans="2:11" ht="15.8" customHeight="1">
      <c r="B569" s="1558"/>
      <c r="J569" s="1078"/>
      <c r="K569" s="1079"/>
    </row>
    <row r="570" spans="2:11" ht="15.8" customHeight="1">
      <c r="B570" s="1558"/>
      <c r="J570" s="1078"/>
      <c r="K570" s="1079"/>
    </row>
    <row r="571" spans="2:11" ht="15.8" customHeight="1">
      <c r="B571" s="1558"/>
      <c r="J571" s="1078"/>
      <c r="K571" s="1079"/>
    </row>
    <row r="572" spans="2:11" ht="15.8" customHeight="1">
      <c r="B572" s="1558"/>
      <c r="J572" s="1078"/>
      <c r="K572" s="1079"/>
    </row>
    <row r="573" spans="2:11" ht="15.8" customHeight="1">
      <c r="B573" s="1558"/>
      <c r="J573" s="1078"/>
      <c r="K573" s="1079"/>
    </row>
    <row r="574" spans="2:11" ht="15.8" customHeight="1">
      <c r="B574" s="1558"/>
      <c r="J574" s="1078"/>
      <c r="K574" s="1079"/>
    </row>
    <row r="575" spans="2:11" ht="15.8" customHeight="1">
      <c r="B575" s="1558"/>
      <c r="J575" s="1078"/>
      <c r="K575" s="1079"/>
    </row>
    <row r="576" spans="2:11" ht="15.8" customHeight="1">
      <c r="B576" s="1558"/>
      <c r="J576" s="1078"/>
      <c r="K576" s="1079"/>
    </row>
    <row r="577" spans="2:11" ht="15.8" customHeight="1">
      <c r="B577" s="1558"/>
      <c r="J577" s="1078"/>
      <c r="K577" s="1079"/>
    </row>
    <row r="578" spans="2:11" ht="15.8" customHeight="1">
      <c r="B578" s="1558"/>
      <c r="J578" s="1078"/>
      <c r="K578" s="1079"/>
    </row>
    <row r="579" spans="2:11" ht="15.8" customHeight="1">
      <c r="B579" s="1558"/>
      <c r="J579" s="1078"/>
      <c r="K579" s="1079"/>
    </row>
    <row r="580" spans="2:11" ht="15.8" customHeight="1">
      <c r="B580" s="1558"/>
      <c r="J580" s="1078"/>
      <c r="K580" s="1079"/>
    </row>
    <row r="581" spans="2:11" ht="15.8" customHeight="1">
      <c r="B581" s="1558"/>
      <c r="J581" s="1078"/>
      <c r="K581" s="1079"/>
    </row>
    <row r="582" spans="2:11" ht="15.8" customHeight="1">
      <c r="B582" s="1558"/>
      <c r="J582" s="1078"/>
      <c r="K582" s="1079"/>
    </row>
    <row r="583" spans="2:11" ht="15.8" customHeight="1">
      <c r="B583" s="1558"/>
      <c r="J583" s="1078"/>
      <c r="K583" s="1079"/>
    </row>
    <row r="584" spans="2:11" ht="15.8" customHeight="1">
      <c r="B584" s="1558"/>
      <c r="J584" s="1078"/>
      <c r="K584" s="1079"/>
    </row>
    <row r="585" spans="2:11" ht="15.8" customHeight="1">
      <c r="B585" s="1558"/>
      <c r="J585" s="1078"/>
      <c r="K585" s="1079"/>
    </row>
    <row r="586" spans="2:11" ht="15.8" customHeight="1">
      <c r="B586" s="1558"/>
      <c r="J586" s="1078"/>
      <c r="K586" s="1079"/>
    </row>
    <row r="587" spans="2:11" ht="15.8" customHeight="1">
      <c r="B587" s="1558"/>
      <c r="J587" s="1078"/>
      <c r="K587" s="1079"/>
    </row>
    <row r="588" spans="2:11" ht="15.8" customHeight="1">
      <c r="B588" s="1558"/>
      <c r="J588" s="1078"/>
      <c r="K588" s="1079"/>
    </row>
    <row r="589" spans="2:11" ht="15.8" customHeight="1">
      <c r="B589" s="1558"/>
      <c r="J589" s="1078"/>
      <c r="K589" s="1079"/>
    </row>
    <row r="590" spans="2:11" ht="15.8" customHeight="1">
      <c r="B590" s="1558"/>
      <c r="J590" s="1078"/>
      <c r="K590" s="1079"/>
    </row>
    <row r="591" spans="2:11" ht="15.8" customHeight="1">
      <c r="B591" s="1558"/>
      <c r="J591" s="1078"/>
      <c r="K591" s="1079"/>
    </row>
    <row r="592" spans="2:11" ht="15.8" customHeight="1">
      <c r="B592" s="1558"/>
      <c r="J592" s="1078"/>
      <c r="K592" s="1079"/>
    </row>
    <row r="593" spans="2:11" ht="15.8" customHeight="1">
      <c r="B593" s="1558"/>
      <c r="J593" s="1078"/>
      <c r="K593" s="1079"/>
    </row>
    <row r="594" spans="2:11" ht="15.8" customHeight="1">
      <c r="B594" s="1558"/>
      <c r="J594" s="1078"/>
      <c r="K594" s="1079"/>
    </row>
    <row r="595" spans="2:11" ht="15.8" customHeight="1">
      <c r="B595" s="1558"/>
      <c r="J595" s="1078"/>
      <c r="K595" s="1079"/>
    </row>
    <row r="596" spans="2:11" ht="15.8" customHeight="1">
      <c r="B596" s="1558"/>
      <c r="J596" s="1078"/>
      <c r="K596" s="1079"/>
    </row>
    <row r="597" spans="2:11" ht="15.8" customHeight="1">
      <c r="B597" s="1558"/>
      <c r="J597" s="1078"/>
      <c r="K597" s="1079"/>
    </row>
    <row r="598" spans="2:11" ht="15.8" customHeight="1">
      <c r="B598" s="1558"/>
      <c r="J598" s="1078"/>
      <c r="K598" s="1079"/>
    </row>
    <row r="599" spans="2:11" ht="15.8" customHeight="1">
      <c r="B599" s="1558"/>
      <c r="J599" s="1078"/>
      <c r="K599" s="1079"/>
    </row>
    <row r="600" spans="2:11" ht="15.8" customHeight="1">
      <c r="B600" s="1558"/>
      <c r="J600" s="1078"/>
      <c r="K600" s="1079"/>
    </row>
    <row r="601" spans="2:11" ht="15.8" customHeight="1">
      <c r="B601" s="1558"/>
      <c r="J601" s="1078"/>
      <c r="K601" s="1079"/>
    </row>
    <row r="602" spans="2:11" ht="15.8" customHeight="1">
      <c r="B602" s="1558"/>
      <c r="J602" s="1078"/>
      <c r="K602" s="1079"/>
    </row>
    <row r="603" spans="2:11" ht="15.8" customHeight="1">
      <c r="B603" s="1558"/>
      <c r="J603" s="1078"/>
      <c r="K603" s="1079"/>
    </row>
    <row r="604" spans="2:11" ht="15.8" customHeight="1">
      <c r="B604" s="1558"/>
      <c r="J604" s="1078"/>
      <c r="K604" s="1079"/>
    </row>
    <row r="605" spans="2:11" ht="15.8" customHeight="1">
      <c r="B605" s="1558"/>
      <c r="J605" s="1078"/>
      <c r="K605" s="1079"/>
    </row>
    <row r="606" spans="2:11" ht="15.8" customHeight="1">
      <c r="B606" s="1558"/>
      <c r="J606" s="1078"/>
      <c r="K606" s="1079"/>
    </row>
    <row r="607" spans="2:11" ht="15.8" customHeight="1">
      <c r="B607" s="1558"/>
      <c r="J607" s="1078"/>
      <c r="K607" s="1079"/>
    </row>
    <row r="608" spans="2:11" ht="15.8" customHeight="1">
      <c r="B608" s="1558"/>
      <c r="J608" s="1078"/>
      <c r="K608" s="1079"/>
    </row>
    <row r="609" spans="2:11" ht="15.8" customHeight="1">
      <c r="B609" s="1558"/>
      <c r="J609" s="1078"/>
      <c r="K609" s="1079"/>
    </row>
    <row r="610" spans="2:11" ht="15.8" customHeight="1">
      <c r="B610" s="1558"/>
      <c r="J610" s="1078"/>
      <c r="K610" s="1079"/>
    </row>
    <row r="611" spans="2:11" ht="15.8" customHeight="1">
      <c r="B611" s="1558"/>
      <c r="J611" s="1078"/>
      <c r="K611" s="1079"/>
    </row>
    <row r="612" spans="2:11" ht="15.8" customHeight="1">
      <c r="B612" s="1558"/>
      <c r="J612" s="1078"/>
      <c r="K612" s="1079"/>
    </row>
    <row r="613" spans="2:11" ht="15.8" customHeight="1">
      <c r="B613" s="1558"/>
      <c r="J613" s="1078"/>
      <c r="K613" s="1079"/>
    </row>
    <row r="614" spans="2:11" ht="15.8" customHeight="1">
      <c r="B614" s="1558"/>
      <c r="J614" s="1078"/>
      <c r="K614" s="1079"/>
    </row>
    <row r="615" spans="2:11" ht="15.8" customHeight="1">
      <c r="B615" s="1558"/>
      <c r="J615" s="1078"/>
      <c r="K615" s="1079"/>
    </row>
    <row r="616" spans="2:11" ht="15.8" customHeight="1">
      <c r="B616" s="1558"/>
      <c r="J616" s="1078"/>
      <c r="K616" s="1079"/>
    </row>
    <row r="617" spans="2:11" ht="15.8" customHeight="1">
      <c r="B617" s="1558"/>
      <c r="J617" s="1078"/>
      <c r="K617" s="1079"/>
    </row>
    <row r="618" spans="2:11" ht="15.8" customHeight="1">
      <c r="B618" s="1558"/>
      <c r="J618" s="1078"/>
      <c r="K618" s="1079"/>
    </row>
    <row r="619" spans="2:11" ht="15.8" customHeight="1">
      <c r="B619" s="1558"/>
      <c r="J619" s="1078"/>
      <c r="K619" s="1079"/>
    </row>
    <row r="620" spans="2:11" ht="15.8" customHeight="1">
      <c r="B620" s="1558"/>
      <c r="J620" s="1078"/>
      <c r="K620" s="1079"/>
    </row>
    <row r="621" spans="2:11" ht="15.8" customHeight="1">
      <c r="B621" s="1558"/>
      <c r="J621" s="1078"/>
      <c r="K621" s="1079"/>
    </row>
    <row r="622" spans="2:11" ht="15.8" customHeight="1">
      <c r="B622" s="1558"/>
      <c r="J622" s="1078"/>
      <c r="K622" s="1079"/>
    </row>
    <row r="623" spans="2:11" ht="15.8" customHeight="1">
      <c r="B623" s="1558"/>
      <c r="J623" s="1078"/>
      <c r="K623" s="1079"/>
    </row>
    <row r="624" spans="2:11" ht="15.8" customHeight="1">
      <c r="J624" s="1078"/>
      <c r="K624" s="1079"/>
    </row>
    <row r="625" spans="10:11" ht="15.8" customHeight="1">
      <c r="J625" s="1078"/>
      <c r="K625" s="1079"/>
    </row>
    <row r="626" spans="10:11" ht="15.8" customHeight="1">
      <c r="J626" s="1078"/>
      <c r="K626" s="1079"/>
    </row>
    <row r="627" spans="10:11" ht="15.8" customHeight="1">
      <c r="J627" s="1078"/>
      <c r="K627" s="1079"/>
    </row>
    <row r="628" spans="10:11" ht="15.8" customHeight="1">
      <c r="J628" s="1078"/>
      <c r="K628" s="1079"/>
    </row>
    <row r="629" spans="10:11" ht="15.8" customHeight="1">
      <c r="J629" s="1078"/>
      <c r="K629" s="1079"/>
    </row>
    <row r="630" spans="10:11" ht="15.8" customHeight="1">
      <c r="J630" s="1078"/>
      <c r="K630" s="1079"/>
    </row>
    <row r="631" spans="10:11" ht="15.8" customHeight="1">
      <c r="J631" s="1078"/>
      <c r="K631" s="1079"/>
    </row>
    <row r="632" spans="10:11" ht="15.8" customHeight="1">
      <c r="J632" s="1078"/>
      <c r="K632" s="1079"/>
    </row>
    <row r="633" spans="10:11" ht="15.8" customHeight="1">
      <c r="J633" s="1078"/>
      <c r="K633" s="1079"/>
    </row>
    <row r="634" spans="10:11" ht="15.8" customHeight="1">
      <c r="J634" s="1078"/>
      <c r="K634" s="1079"/>
    </row>
    <row r="635" spans="10:11" ht="15.8" customHeight="1">
      <c r="J635" s="1078"/>
      <c r="K635" s="1079"/>
    </row>
    <row r="636" spans="10:11" ht="15.8" customHeight="1">
      <c r="J636" s="1078"/>
      <c r="K636" s="1079"/>
    </row>
    <row r="637" spans="10:11" ht="15.8" customHeight="1">
      <c r="J637" s="1078"/>
      <c r="K637" s="1079"/>
    </row>
    <row r="638" spans="10:11" ht="15.8" customHeight="1">
      <c r="J638" s="1078"/>
      <c r="K638" s="1079"/>
    </row>
    <row r="639" spans="10:11" ht="15.8" customHeight="1">
      <c r="J639" s="1078"/>
      <c r="K639" s="1079"/>
    </row>
    <row r="640" spans="10:11" ht="15.8" customHeight="1">
      <c r="J640" s="1078"/>
      <c r="K640" s="1079"/>
    </row>
    <row r="641" spans="10:11" ht="15.8" customHeight="1">
      <c r="J641" s="1078"/>
      <c r="K641" s="1079"/>
    </row>
    <row r="642" spans="10:11" ht="15.8" customHeight="1">
      <c r="J642" s="1078"/>
      <c r="K642" s="1079"/>
    </row>
    <row r="643" spans="10:11" ht="15.8" customHeight="1">
      <c r="J643" s="1078"/>
      <c r="K643" s="1079"/>
    </row>
    <row r="644" spans="10:11" ht="15.8" customHeight="1">
      <c r="J644" s="1078"/>
      <c r="K644" s="1079"/>
    </row>
    <row r="645" spans="10:11" ht="15.8" customHeight="1">
      <c r="J645" s="1078"/>
      <c r="K645" s="1079"/>
    </row>
    <row r="646" spans="10:11" ht="15.8" customHeight="1">
      <c r="J646" s="1078"/>
      <c r="K646" s="1079"/>
    </row>
    <row r="647" spans="10:11" ht="15.8" customHeight="1">
      <c r="J647" s="1078"/>
      <c r="K647" s="1079"/>
    </row>
    <row r="648" spans="10:11" ht="15.8" customHeight="1">
      <c r="J648" s="1078"/>
      <c r="K648" s="1079"/>
    </row>
    <row r="649" spans="10:11" ht="15.8" customHeight="1">
      <c r="J649" s="1078"/>
      <c r="K649" s="1079"/>
    </row>
    <row r="650" spans="10:11" ht="15.8" customHeight="1">
      <c r="J650" s="1078"/>
      <c r="K650" s="1079"/>
    </row>
    <row r="651" spans="10:11" ht="15.8" customHeight="1">
      <c r="J651" s="1078"/>
      <c r="K651" s="1079"/>
    </row>
    <row r="652" spans="10:11" ht="15.8" customHeight="1">
      <c r="J652" s="1078"/>
      <c r="K652" s="1079"/>
    </row>
    <row r="653" spans="10:11" ht="15.8" customHeight="1">
      <c r="J653" s="1078"/>
      <c r="K653" s="1079"/>
    </row>
    <row r="654" spans="10:11" ht="15.8" customHeight="1">
      <c r="J654" s="1078"/>
      <c r="K654" s="1079"/>
    </row>
    <row r="655" spans="10:11" ht="15.8" customHeight="1">
      <c r="J655" s="1078"/>
      <c r="K655" s="1079"/>
    </row>
    <row r="656" spans="10:11" ht="15.8" customHeight="1">
      <c r="J656" s="1078"/>
      <c r="K656" s="1079"/>
    </row>
    <row r="657" spans="10:11" ht="15.8" customHeight="1">
      <c r="J657" s="1078"/>
      <c r="K657" s="1079"/>
    </row>
    <row r="658" spans="10:11" ht="15.8" customHeight="1">
      <c r="J658" s="1078"/>
      <c r="K658" s="1079"/>
    </row>
    <row r="659" spans="10:11" ht="15.8" customHeight="1">
      <c r="J659" s="1078"/>
      <c r="K659" s="1079"/>
    </row>
    <row r="660" spans="10:11" ht="15.8" customHeight="1">
      <c r="J660" s="1078"/>
      <c r="K660" s="1079"/>
    </row>
    <row r="661" spans="10:11" ht="15.8" customHeight="1">
      <c r="J661" s="1078"/>
      <c r="K661" s="1079"/>
    </row>
    <row r="662" spans="10:11" ht="15.8" customHeight="1">
      <c r="J662" s="1078"/>
      <c r="K662" s="1079"/>
    </row>
    <row r="663" spans="10:11" ht="15.8" customHeight="1">
      <c r="J663" s="1078"/>
      <c r="K663" s="1079"/>
    </row>
    <row r="664" spans="10:11" ht="15.8" customHeight="1">
      <c r="J664" s="1078"/>
      <c r="K664" s="1079"/>
    </row>
    <row r="665" spans="10:11" ht="15.8" customHeight="1">
      <c r="J665" s="1078"/>
      <c r="K665" s="1079"/>
    </row>
    <row r="666" spans="10:11" ht="15.8" customHeight="1">
      <c r="J666" s="1078"/>
      <c r="K666" s="1079"/>
    </row>
    <row r="667" spans="10:11" ht="15.8" customHeight="1">
      <c r="J667" s="1078"/>
      <c r="K667" s="1079"/>
    </row>
    <row r="668" spans="10:11" ht="15.8" customHeight="1">
      <c r="J668" s="1078"/>
      <c r="K668" s="1079"/>
    </row>
    <row r="669" spans="10:11" ht="15.8" customHeight="1">
      <c r="J669" s="1078"/>
      <c r="K669" s="1079"/>
    </row>
    <row r="670" spans="10:11" ht="15.8" customHeight="1">
      <c r="J670" s="1078"/>
      <c r="K670" s="1079"/>
    </row>
    <row r="671" spans="10:11" ht="15.8" customHeight="1">
      <c r="J671" s="1078"/>
      <c r="K671" s="1079"/>
    </row>
    <row r="672" spans="10:11" ht="15.8" customHeight="1">
      <c r="J672" s="1078"/>
      <c r="K672" s="1079"/>
    </row>
    <row r="673" spans="10:11" ht="15.8" customHeight="1">
      <c r="J673" s="1078"/>
      <c r="K673" s="1079"/>
    </row>
    <row r="674" spans="10:11" ht="15.8" customHeight="1">
      <c r="J674" s="1078"/>
      <c r="K674" s="1079"/>
    </row>
    <row r="675" spans="10:11" ht="15.8" customHeight="1">
      <c r="J675" s="1078"/>
      <c r="K675" s="1079"/>
    </row>
    <row r="676" spans="10:11" ht="15.8" customHeight="1">
      <c r="J676" s="1078"/>
      <c r="K676" s="1079"/>
    </row>
    <row r="677" spans="10:11" ht="15.8" customHeight="1">
      <c r="J677" s="1078"/>
      <c r="K677" s="1079"/>
    </row>
    <row r="678" spans="10:11" ht="15.8" customHeight="1">
      <c r="J678" s="1078"/>
      <c r="K678" s="1079"/>
    </row>
    <row r="679" spans="10:11" ht="15.8" customHeight="1">
      <c r="J679" s="1078"/>
      <c r="K679" s="1079"/>
    </row>
    <row r="680" spans="10:11" ht="15.8" customHeight="1">
      <c r="J680" s="1078"/>
      <c r="K680" s="1079"/>
    </row>
    <row r="681" spans="10:11" ht="15.8" customHeight="1">
      <c r="J681" s="1078"/>
      <c r="K681" s="1079"/>
    </row>
    <row r="682" spans="10:11" ht="15.8" customHeight="1">
      <c r="J682" s="1078"/>
      <c r="K682" s="1079"/>
    </row>
    <row r="683" spans="10:11" ht="15.8" customHeight="1">
      <c r="J683" s="1078"/>
      <c r="K683" s="1079"/>
    </row>
    <row r="684" spans="10:11" ht="15.8" customHeight="1">
      <c r="J684" s="1078"/>
      <c r="K684" s="1079"/>
    </row>
    <row r="685" spans="10:11" ht="15.8" customHeight="1">
      <c r="J685" s="1078"/>
      <c r="K685" s="1079"/>
    </row>
    <row r="686" spans="10:11" ht="15.8" customHeight="1">
      <c r="J686" s="1078"/>
      <c r="K686" s="1079"/>
    </row>
    <row r="687" spans="10:11" ht="15.8" customHeight="1">
      <c r="J687" s="1078"/>
      <c r="K687" s="1079"/>
    </row>
    <row r="688" spans="10:11" ht="15.8" customHeight="1">
      <c r="J688" s="1078"/>
      <c r="K688" s="1079"/>
    </row>
    <row r="689" spans="10:11" ht="15.8" customHeight="1">
      <c r="J689" s="1078"/>
      <c r="K689" s="1079"/>
    </row>
    <row r="690" spans="10:11" ht="15.8" customHeight="1">
      <c r="J690" s="1078"/>
      <c r="K690" s="1079"/>
    </row>
    <row r="691" spans="10:11" ht="15.8" customHeight="1">
      <c r="J691" s="1078"/>
      <c r="K691" s="1079"/>
    </row>
    <row r="692" spans="10:11" ht="15.8" customHeight="1">
      <c r="J692" s="1078"/>
      <c r="K692" s="1079"/>
    </row>
    <row r="693" spans="10:11" ht="15.8" customHeight="1">
      <c r="J693" s="1078"/>
      <c r="K693" s="1079"/>
    </row>
    <row r="694" spans="10:11" ht="15.8" customHeight="1">
      <c r="J694" s="1078"/>
      <c r="K694" s="1079"/>
    </row>
    <row r="695" spans="10:11" ht="15.8" customHeight="1">
      <c r="J695" s="1078"/>
      <c r="K695" s="1079"/>
    </row>
    <row r="696" spans="10:11" ht="15.8" customHeight="1">
      <c r="J696" s="1078"/>
      <c r="K696" s="1079"/>
    </row>
    <row r="697" spans="10:11" ht="15.8" customHeight="1">
      <c r="J697" s="1078"/>
      <c r="K697" s="1079"/>
    </row>
    <row r="698" spans="10:11" ht="15.8" customHeight="1">
      <c r="J698" s="1078"/>
      <c r="K698" s="1079"/>
    </row>
    <row r="699" spans="10:11" ht="15.8" customHeight="1">
      <c r="J699" s="1078"/>
      <c r="K699" s="1079"/>
    </row>
    <row r="700" spans="10:11" ht="15.8" customHeight="1">
      <c r="J700" s="1078"/>
      <c r="K700" s="1079"/>
    </row>
    <row r="701" spans="10:11" ht="15.8" customHeight="1">
      <c r="J701" s="1078"/>
      <c r="K701" s="1079"/>
    </row>
    <row r="702" spans="10:11" ht="15.8" customHeight="1">
      <c r="J702" s="1078"/>
      <c r="K702" s="1079"/>
    </row>
    <row r="703" spans="10:11" ht="15.8" customHeight="1">
      <c r="J703" s="1078"/>
      <c r="K703" s="1079"/>
    </row>
    <row r="704" spans="10:11" ht="15.8" customHeight="1">
      <c r="J704" s="1078"/>
      <c r="K704" s="1079"/>
    </row>
    <row r="705" spans="10:11" ht="15.8" customHeight="1">
      <c r="J705" s="1078"/>
      <c r="K705" s="1079"/>
    </row>
    <row r="706" spans="10:11" ht="15.8" customHeight="1">
      <c r="J706" s="1078"/>
      <c r="K706" s="1079"/>
    </row>
    <row r="707" spans="10:11" ht="15.8" customHeight="1">
      <c r="J707" s="1078"/>
      <c r="K707" s="1079"/>
    </row>
    <row r="708" spans="10:11" ht="15.8" customHeight="1">
      <c r="J708" s="1078"/>
      <c r="K708" s="1079"/>
    </row>
    <row r="709" spans="10:11" ht="15.8" customHeight="1">
      <c r="J709" s="1078"/>
      <c r="K709" s="1079"/>
    </row>
    <row r="710" spans="10:11" ht="15.8" customHeight="1">
      <c r="J710" s="1078"/>
      <c r="K710" s="1079"/>
    </row>
    <row r="711" spans="10:11" ht="15.8" customHeight="1">
      <c r="J711" s="1078"/>
      <c r="K711" s="1079"/>
    </row>
    <row r="712" spans="10:11" ht="15.8" customHeight="1">
      <c r="J712" s="1078"/>
      <c r="K712" s="1079"/>
    </row>
    <row r="713" spans="10:11" ht="15.8" customHeight="1">
      <c r="J713" s="1078"/>
      <c r="K713" s="1079"/>
    </row>
    <row r="714" spans="10:11" ht="15.8" customHeight="1">
      <c r="J714" s="1078"/>
      <c r="K714" s="1079"/>
    </row>
    <row r="715" spans="10:11" ht="15.8" customHeight="1">
      <c r="J715" s="1078"/>
      <c r="K715" s="1079"/>
    </row>
    <row r="716" spans="10:11" ht="15.8" customHeight="1">
      <c r="J716" s="1078"/>
      <c r="K716" s="1079"/>
    </row>
    <row r="717" spans="10:11" ht="15.8" customHeight="1">
      <c r="J717" s="1078"/>
      <c r="K717" s="1079"/>
    </row>
    <row r="718" spans="10:11" ht="15.8" customHeight="1">
      <c r="J718" s="1078"/>
      <c r="K718" s="1079"/>
    </row>
    <row r="719" spans="10:11" ht="15.8" customHeight="1">
      <c r="J719" s="1078"/>
      <c r="K719" s="1079"/>
    </row>
    <row r="720" spans="10:11" ht="15.8" customHeight="1">
      <c r="J720" s="1078"/>
      <c r="K720" s="1079"/>
    </row>
    <row r="721" spans="10:11" ht="15.8" customHeight="1">
      <c r="J721" s="1078"/>
      <c r="K721" s="1079"/>
    </row>
    <row r="722" spans="10:11" ht="15.8" customHeight="1">
      <c r="J722" s="1078"/>
      <c r="K722" s="1079"/>
    </row>
    <row r="723" spans="10:11" ht="15.8" customHeight="1">
      <c r="J723" s="1078"/>
      <c r="K723" s="1079"/>
    </row>
    <row r="724" spans="10:11" ht="15.8" customHeight="1">
      <c r="J724" s="1078"/>
      <c r="K724" s="1079"/>
    </row>
    <row r="725" spans="10:11" ht="15.8" customHeight="1">
      <c r="J725" s="1078"/>
      <c r="K725" s="1079"/>
    </row>
    <row r="726" spans="10:11" ht="15.8" customHeight="1">
      <c r="J726" s="1078"/>
      <c r="K726" s="1079"/>
    </row>
    <row r="727" spans="10:11" ht="15.8" customHeight="1">
      <c r="J727" s="1078"/>
      <c r="K727" s="1079"/>
    </row>
    <row r="728" spans="10:11" ht="15.8" customHeight="1">
      <c r="J728" s="1078"/>
      <c r="K728" s="1079"/>
    </row>
    <row r="729" spans="10:11" ht="15.8" customHeight="1">
      <c r="J729" s="1078"/>
      <c r="K729" s="1079"/>
    </row>
    <row r="730" spans="10:11" ht="15.8" customHeight="1">
      <c r="J730" s="1078"/>
      <c r="K730" s="1079"/>
    </row>
    <row r="731" spans="10:11" ht="15.8" customHeight="1">
      <c r="J731" s="1078"/>
      <c r="K731" s="1079"/>
    </row>
    <row r="732" spans="10:11" ht="15.8" customHeight="1">
      <c r="J732" s="1078"/>
      <c r="K732" s="1079"/>
    </row>
    <row r="733" spans="10:11" ht="15.8" customHeight="1">
      <c r="J733" s="1078"/>
      <c r="K733" s="1079"/>
    </row>
    <row r="734" spans="10:11" ht="15.8" customHeight="1">
      <c r="J734" s="1078"/>
      <c r="K734" s="1079"/>
    </row>
    <row r="735" spans="10:11" ht="15.8" customHeight="1">
      <c r="J735" s="1078"/>
      <c r="K735" s="1079"/>
    </row>
    <row r="736" spans="10:11" ht="15.8" customHeight="1">
      <c r="J736" s="1078"/>
      <c r="K736" s="1079"/>
    </row>
    <row r="737" spans="10:11" ht="15.8" customHeight="1">
      <c r="J737" s="1078"/>
      <c r="K737" s="1079"/>
    </row>
    <row r="738" spans="10:11" ht="15.8" customHeight="1">
      <c r="J738" s="1078"/>
      <c r="K738" s="1079"/>
    </row>
    <row r="739" spans="10:11" ht="15.8" customHeight="1">
      <c r="J739" s="1078"/>
      <c r="K739" s="1079"/>
    </row>
    <row r="740" spans="10:11" ht="15.8" customHeight="1">
      <c r="J740" s="1078"/>
      <c r="K740" s="1079"/>
    </row>
    <row r="741" spans="10:11" ht="15.8" customHeight="1">
      <c r="J741" s="1078"/>
      <c r="K741" s="1079"/>
    </row>
    <row r="742" spans="10:11" ht="15.8" customHeight="1">
      <c r="J742" s="1078"/>
      <c r="K742" s="1079"/>
    </row>
    <row r="743" spans="10:11" ht="15.8" customHeight="1">
      <c r="J743" s="1078"/>
      <c r="K743" s="1079"/>
    </row>
    <row r="744" spans="10:11" ht="15.8" customHeight="1">
      <c r="J744" s="1078"/>
      <c r="K744" s="1079"/>
    </row>
    <row r="745" spans="10:11" ht="15.8" customHeight="1">
      <c r="J745" s="1078"/>
      <c r="K745" s="1079"/>
    </row>
    <row r="746" spans="10:11" ht="15.8" customHeight="1">
      <c r="J746" s="1078"/>
      <c r="K746" s="1079"/>
    </row>
    <row r="747" spans="10:11" ht="15.8" customHeight="1">
      <c r="J747" s="1078"/>
      <c r="K747" s="1079"/>
    </row>
    <row r="748" spans="10:11" ht="15.8" customHeight="1">
      <c r="J748" s="1078"/>
      <c r="K748" s="1079"/>
    </row>
    <row r="749" spans="10:11" ht="15.8" customHeight="1">
      <c r="J749" s="1078"/>
      <c r="K749" s="1079"/>
    </row>
    <row r="750" spans="10:11" ht="15.8" customHeight="1">
      <c r="J750" s="1078"/>
      <c r="K750" s="1079"/>
    </row>
    <row r="751" spans="10:11" ht="15.8" customHeight="1">
      <c r="J751" s="1078"/>
      <c r="K751" s="1079"/>
    </row>
    <row r="752" spans="10:11" ht="15.8" customHeight="1">
      <c r="J752" s="1078"/>
      <c r="K752" s="1079"/>
    </row>
    <row r="753" spans="10:11" ht="15.8" customHeight="1">
      <c r="J753" s="1078"/>
      <c r="K753" s="1079"/>
    </row>
    <row r="754" spans="10:11" ht="15.8" customHeight="1">
      <c r="J754" s="1078"/>
      <c r="K754" s="1079"/>
    </row>
    <row r="755" spans="10:11" ht="15.8" customHeight="1">
      <c r="J755" s="1078"/>
      <c r="K755" s="1079"/>
    </row>
    <row r="756" spans="10:11" ht="15.8" customHeight="1">
      <c r="J756" s="1078"/>
      <c r="K756" s="1079"/>
    </row>
    <row r="757" spans="10:11" ht="15.8" customHeight="1">
      <c r="J757" s="1078"/>
      <c r="K757" s="1079"/>
    </row>
    <row r="758" spans="10:11" ht="15.8" customHeight="1">
      <c r="J758" s="1078"/>
      <c r="K758" s="1079"/>
    </row>
    <row r="759" spans="10:11" ht="15.8" customHeight="1">
      <c r="J759" s="1078"/>
      <c r="K759" s="1079"/>
    </row>
    <row r="760" spans="10:11" ht="15.8" customHeight="1">
      <c r="J760" s="1078"/>
      <c r="K760" s="1079"/>
    </row>
    <row r="761" spans="10:11" ht="15.8" customHeight="1">
      <c r="J761" s="1078"/>
      <c r="K761" s="1079"/>
    </row>
    <row r="762" spans="10:11" ht="15.8" customHeight="1">
      <c r="J762" s="1078"/>
      <c r="K762" s="1079"/>
    </row>
    <row r="763" spans="10:11" ht="15.8" customHeight="1">
      <c r="J763" s="1078"/>
      <c r="K763" s="1079"/>
    </row>
    <row r="764" spans="10:11" ht="15.8" customHeight="1">
      <c r="J764" s="1078"/>
      <c r="K764" s="1079"/>
    </row>
    <row r="765" spans="10:11" ht="15.8" customHeight="1">
      <c r="J765" s="1078"/>
      <c r="K765" s="1079"/>
    </row>
    <row r="766" spans="10:11" ht="15.8" customHeight="1">
      <c r="J766" s="1078"/>
      <c r="K766" s="1079"/>
    </row>
    <row r="767" spans="10:11" ht="15.8" customHeight="1">
      <c r="J767" s="1078"/>
      <c r="K767" s="1079"/>
    </row>
    <row r="768" spans="10:11" ht="15.8" customHeight="1">
      <c r="J768" s="1078"/>
      <c r="K768" s="1079"/>
    </row>
    <row r="769" spans="10:11" ht="15.8" customHeight="1">
      <c r="J769" s="1078"/>
      <c r="K769" s="1079"/>
    </row>
    <row r="770" spans="10:11" ht="15.8" customHeight="1">
      <c r="J770" s="1078"/>
      <c r="K770" s="1079"/>
    </row>
    <row r="771" spans="10:11" ht="15.8" customHeight="1">
      <c r="J771" s="1078"/>
      <c r="K771" s="1079"/>
    </row>
    <row r="772" spans="10:11" ht="15.8" customHeight="1">
      <c r="J772" s="1078"/>
      <c r="K772" s="1079"/>
    </row>
    <row r="773" spans="10:11" ht="15.8" customHeight="1">
      <c r="J773" s="1078"/>
      <c r="K773" s="1079"/>
    </row>
    <row r="774" spans="10:11" ht="15.8" customHeight="1">
      <c r="J774" s="1078"/>
      <c r="K774" s="1079"/>
    </row>
    <row r="775" spans="10:11" ht="15.8" customHeight="1">
      <c r="J775" s="1078"/>
      <c r="K775" s="1079"/>
    </row>
    <row r="776" spans="10:11" ht="15.8" customHeight="1">
      <c r="J776" s="1078"/>
      <c r="K776" s="1079"/>
    </row>
    <row r="777" spans="10:11" ht="15.8" customHeight="1">
      <c r="J777" s="1078"/>
      <c r="K777" s="1079"/>
    </row>
    <row r="778" spans="10:11" ht="15.8" customHeight="1">
      <c r="J778" s="1078"/>
      <c r="K778" s="1079"/>
    </row>
    <row r="779" spans="10:11" ht="15.8" customHeight="1">
      <c r="J779" s="1078"/>
      <c r="K779" s="1079"/>
    </row>
    <row r="780" spans="10:11" ht="15.8" customHeight="1">
      <c r="J780" s="1078"/>
      <c r="K780" s="1079"/>
    </row>
    <row r="781" spans="10:11" ht="15.8" customHeight="1">
      <c r="J781" s="1078"/>
      <c r="K781" s="1079"/>
    </row>
    <row r="782" spans="10:11" ht="15.8" customHeight="1">
      <c r="J782" s="1078"/>
      <c r="K782" s="1079"/>
    </row>
    <row r="783" spans="10:11" ht="15.8" customHeight="1">
      <c r="J783" s="1078"/>
      <c r="K783" s="1079"/>
    </row>
    <row r="784" spans="10:11" ht="15.8" customHeight="1">
      <c r="J784" s="1078"/>
      <c r="K784" s="1079"/>
    </row>
    <row r="785" spans="10:11" ht="15.8" customHeight="1">
      <c r="J785" s="1078"/>
      <c r="K785" s="1079"/>
    </row>
    <row r="786" spans="10:11" ht="15.8" customHeight="1">
      <c r="J786" s="1078"/>
      <c r="K786" s="1079"/>
    </row>
    <row r="787" spans="10:11" ht="15.8" customHeight="1">
      <c r="J787" s="1078"/>
      <c r="K787" s="1079"/>
    </row>
    <row r="788" spans="10:11" ht="15.8" customHeight="1">
      <c r="J788" s="1078"/>
      <c r="K788" s="1079"/>
    </row>
    <row r="789" spans="10:11" ht="15.8" customHeight="1">
      <c r="J789" s="1078"/>
      <c r="K789" s="1079"/>
    </row>
    <row r="790" spans="10:11" ht="15.8" customHeight="1">
      <c r="J790" s="1078"/>
      <c r="K790" s="1079"/>
    </row>
    <row r="791" spans="10:11" ht="15.8" customHeight="1">
      <c r="J791" s="1078"/>
      <c r="K791" s="1079"/>
    </row>
    <row r="792" spans="10:11" ht="15.8" customHeight="1">
      <c r="J792" s="1078"/>
      <c r="K792" s="1079"/>
    </row>
    <row r="793" spans="10:11" ht="15.8" customHeight="1">
      <c r="J793" s="1078"/>
      <c r="K793" s="1079"/>
    </row>
    <row r="794" spans="10:11" ht="15.8" customHeight="1">
      <c r="J794" s="1078"/>
      <c r="K794" s="1079"/>
    </row>
    <row r="795" spans="10:11" ht="15.8" customHeight="1">
      <c r="J795" s="1078"/>
      <c r="K795" s="1079"/>
    </row>
    <row r="796" spans="10:11" ht="15.8" customHeight="1">
      <c r="J796" s="1078"/>
      <c r="K796" s="1079"/>
    </row>
    <row r="797" spans="10:11" ht="15.8" customHeight="1">
      <c r="J797" s="1078"/>
      <c r="K797" s="1079"/>
    </row>
    <row r="798" spans="10:11" ht="15.8" customHeight="1">
      <c r="J798" s="1078"/>
      <c r="K798" s="1079"/>
    </row>
    <row r="799" spans="10:11" ht="15.8" customHeight="1">
      <c r="J799" s="1078"/>
      <c r="K799" s="1079"/>
    </row>
    <row r="800" spans="10:11" ht="15.8" customHeight="1">
      <c r="J800" s="1078"/>
      <c r="K800" s="1079"/>
    </row>
    <row r="801" spans="10:11" ht="15.8" customHeight="1">
      <c r="J801" s="1078"/>
      <c r="K801" s="1079"/>
    </row>
    <row r="802" spans="10:11" ht="15.8" customHeight="1">
      <c r="J802" s="1078"/>
      <c r="K802" s="1079"/>
    </row>
    <row r="803" spans="10:11" ht="15.8" customHeight="1">
      <c r="J803" s="1078"/>
      <c r="K803" s="1079"/>
    </row>
    <row r="804" spans="10:11" ht="15.8" customHeight="1">
      <c r="J804" s="1078"/>
      <c r="K804" s="1079"/>
    </row>
    <row r="805" spans="10:11" ht="15.8" customHeight="1">
      <c r="J805" s="1078"/>
      <c r="K805" s="1079"/>
    </row>
    <row r="806" spans="10:11" ht="15.8" customHeight="1">
      <c r="J806" s="1078"/>
      <c r="K806" s="1079"/>
    </row>
    <row r="807" spans="10:11" ht="15.8" customHeight="1">
      <c r="J807" s="1078"/>
      <c r="K807" s="1079"/>
    </row>
    <row r="808" spans="10:11" ht="15.8" customHeight="1">
      <c r="J808" s="1078"/>
      <c r="K808" s="1079"/>
    </row>
    <row r="809" spans="10:11" ht="15.8" customHeight="1">
      <c r="J809" s="1078"/>
      <c r="K809" s="1079"/>
    </row>
    <row r="810" spans="10:11" ht="15.8" customHeight="1">
      <c r="J810" s="1078"/>
      <c r="K810" s="1079"/>
    </row>
    <row r="811" spans="10:11" ht="15.8" customHeight="1">
      <c r="J811" s="1078"/>
      <c r="K811" s="1079"/>
    </row>
    <row r="812" spans="10:11" ht="15.8" customHeight="1">
      <c r="J812" s="1078"/>
      <c r="K812" s="1079"/>
    </row>
    <row r="813" spans="10:11" ht="15.8" customHeight="1">
      <c r="J813" s="1078"/>
      <c r="K813" s="1079"/>
    </row>
    <row r="814" spans="10:11" ht="15.8" customHeight="1">
      <c r="J814" s="1078"/>
      <c r="K814" s="1079"/>
    </row>
    <row r="815" spans="10:11" ht="15.8" customHeight="1">
      <c r="J815" s="1078"/>
      <c r="K815" s="1079"/>
    </row>
    <row r="816" spans="10:11" ht="15.8" customHeight="1">
      <c r="J816" s="1078"/>
      <c r="K816" s="1079"/>
    </row>
    <row r="817" spans="10:11" ht="15.8" customHeight="1">
      <c r="J817" s="1078"/>
      <c r="K817" s="1079"/>
    </row>
    <row r="818" spans="10:11" ht="15.8" customHeight="1">
      <c r="J818" s="1078"/>
      <c r="K818" s="1079"/>
    </row>
    <row r="819" spans="10:11" ht="15.8" customHeight="1">
      <c r="J819" s="1078"/>
      <c r="K819" s="1079"/>
    </row>
    <row r="820" spans="10:11" ht="15.8" customHeight="1">
      <c r="J820" s="1078"/>
      <c r="K820" s="1079"/>
    </row>
    <row r="821" spans="10:11" ht="15.8" customHeight="1">
      <c r="J821" s="1078"/>
      <c r="K821" s="1079"/>
    </row>
    <row r="822" spans="10:11" ht="15.8" customHeight="1">
      <c r="J822" s="1078"/>
      <c r="K822" s="1079"/>
    </row>
    <row r="823" spans="10:11" ht="15.8" customHeight="1">
      <c r="J823" s="1078"/>
      <c r="K823" s="1079"/>
    </row>
    <row r="824" spans="10:11" ht="15.8" customHeight="1">
      <c r="J824" s="1078"/>
      <c r="K824" s="1079"/>
    </row>
    <row r="825" spans="10:11" ht="15.8" customHeight="1">
      <c r="J825" s="1078"/>
      <c r="K825" s="1079"/>
    </row>
    <row r="826" spans="10:11" ht="15.8" customHeight="1">
      <c r="J826" s="1078"/>
      <c r="K826" s="1079"/>
    </row>
    <row r="827" spans="10:11" ht="15.8" customHeight="1">
      <c r="J827" s="1078"/>
      <c r="K827" s="1079"/>
    </row>
    <row r="828" spans="10:11" ht="15.8" customHeight="1">
      <c r="J828" s="1078"/>
      <c r="K828" s="1079"/>
    </row>
    <row r="829" spans="10:11" ht="15.8" customHeight="1">
      <c r="J829" s="1078"/>
      <c r="K829" s="1079"/>
    </row>
    <row r="830" spans="10:11" ht="15.8" customHeight="1">
      <c r="J830" s="1078"/>
      <c r="K830" s="1079"/>
    </row>
    <row r="831" spans="10:11" ht="15.8" customHeight="1">
      <c r="J831" s="1078"/>
      <c r="K831" s="1079"/>
    </row>
    <row r="832" spans="10:11" ht="15.8" customHeight="1">
      <c r="J832" s="1078"/>
      <c r="K832" s="1079"/>
    </row>
    <row r="833" spans="10:11" ht="15.8" customHeight="1">
      <c r="J833" s="1078"/>
      <c r="K833" s="1079"/>
    </row>
    <row r="834" spans="10:11" ht="15.8" customHeight="1">
      <c r="J834" s="1078"/>
      <c r="K834" s="1079"/>
    </row>
    <row r="835" spans="10:11" ht="15.8" customHeight="1">
      <c r="J835" s="1078"/>
      <c r="K835" s="1079"/>
    </row>
    <row r="836" spans="10:11" ht="15.8" customHeight="1">
      <c r="J836" s="1078"/>
      <c r="K836" s="1079"/>
    </row>
    <row r="837" spans="10:11" ht="15.8" customHeight="1">
      <c r="J837" s="1078"/>
      <c r="K837" s="1079"/>
    </row>
    <row r="838" spans="10:11" ht="15.8" customHeight="1">
      <c r="J838" s="1078"/>
      <c r="K838" s="1079"/>
    </row>
    <row r="839" spans="10:11" ht="15.8" customHeight="1">
      <c r="J839" s="1078"/>
      <c r="K839" s="1079"/>
    </row>
    <row r="840" spans="10:11" ht="15.8" customHeight="1">
      <c r="J840" s="1078"/>
      <c r="K840" s="1079"/>
    </row>
    <row r="841" spans="10:11" ht="15.8" customHeight="1">
      <c r="J841" s="1078"/>
      <c r="K841" s="1079"/>
    </row>
    <row r="842" spans="10:11" ht="15.8" customHeight="1">
      <c r="J842" s="1078"/>
      <c r="K842" s="1079"/>
    </row>
    <row r="843" spans="10:11" ht="15.8" customHeight="1">
      <c r="J843" s="1078"/>
      <c r="K843" s="1079"/>
    </row>
    <row r="844" spans="10:11" ht="15.8" customHeight="1">
      <c r="J844" s="1078"/>
      <c r="K844" s="1079"/>
    </row>
    <row r="845" spans="10:11" ht="15.8" customHeight="1">
      <c r="J845" s="1078"/>
      <c r="K845" s="1079"/>
    </row>
    <row r="846" spans="10:11" ht="15.8" customHeight="1">
      <c r="J846" s="1078"/>
      <c r="K846" s="1079"/>
    </row>
    <row r="847" spans="10:11" ht="15.8" customHeight="1">
      <c r="J847" s="1078"/>
      <c r="K847" s="1079"/>
    </row>
    <row r="848" spans="10:11" ht="15.8" customHeight="1">
      <c r="J848" s="1078"/>
      <c r="K848" s="1079"/>
    </row>
    <row r="849" spans="10:11" ht="15.8" customHeight="1">
      <c r="J849" s="1078"/>
      <c r="K849" s="1079"/>
    </row>
    <row r="850" spans="10:11" ht="15.8" customHeight="1">
      <c r="J850" s="1078"/>
      <c r="K850" s="1079"/>
    </row>
    <row r="851" spans="10:11" ht="15.8" customHeight="1">
      <c r="J851" s="1078"/>
      <c r="K851" s="1079"/>
    </row>
    <row r="852" spans="10:11" ht="15.8" customHeight="1">
      <c r="J852" s="1078"/>
      <c r="K852" s="1079"/>
    </row>
    <row r="853" spans="10:11" ht="15.8" customHeight="1">
      <c r="J853" s="1078"/>
      <c r="K853" s="1079"/>
    </row>
    <row r="854" spans="10:11" ht="15.8" customHeight="1">
      <c r="J854" s="1078"/>
      <c r="K854" s="1079"/>
    </row>
    <row r="855" spans="10:11" ht="15.8" customHeight="1">
      <c r="J855" s="1078"/>
      <c r="K855" s="1079"/>
    </row>
    <row r="856" spans="10:11" ht="15.8" customHeight="1">
      <c r="J856" s="1078"/>
      <c r="K856" s="1079"/>
    </row>
    <row r="857" spans="10:11" ht="15.8" customHeight="1">
      <c r="J857" s="1078"/>
      <c r="K857" s="1079"/>
    </row>
    <row r="858" spans="10:11" ht="15.8" customHeight="1">
      <c r="J858" s="1078"/>
      <c r="K858" s="1079"/>
    </row>
    <row r="859" spans="10:11" ht="15.8" customHeight="1">
      <c r="J859" s="1078"/>
      <c r="K859" s="1079"/>
    </row>
    <row r="860" spans="10:11" ht="15.8" customHeight="1">
      <c r="J860" s="1078"/>
      <c r="K860" s="1079"/>
    </row>
    <row r="861" spans="10:11" ht="15.8" customHeight="1">
      <c r="J861" s="1078"/>
      <c r="K861" s="1079"/>
    </row>
    <row r="862" spans="10:11" ht="15.8" customHeight="1">
      <c r="J862" s="1078"/>
      <c r="K862" s="1079"/>
    </row>
    <row r="863" spans="10:11" ht="15.8" customHeight="1">
      <c r="J863" s="1078"/>
      <c r="K863" s="1079"/>
    </row>
    <row r="864" spans="10:11" ht="15.8" customHeight="1">
      <c r="J864" s="1078"/>
      <c r="K864" s="1079"/>
    </row>
    <row r="865" spans="10:11" ht="15.8" customHeight="1">
      <c r="J865" s="1078"/>
      <c r="K865" s="1079"/>
    </row>
    <row r="866" spans="10:11" ht="15.8" customHeight="1">
      <c r="J866" s="1078"/>
      <c r="K866" s="1079"/>
    </row>
    <row r="867" spans="10:11" ht="15.8" customHeight="1">
      <c r="J867" s="1078"/>
      <c r="K867" s="1079"/>
    </row>
    <row r="868" spans="10:11" ht="15.8" customHeight="1">
      <c r="J868" s="1078"/>
      <c r="K868" s="1079"/>
    </row>
    <row r="869" spans="10:11" ht="15.8" customHeight="1">
      <c r="J869" s="1078"/>
      <c r="K869" s="1079"/>
    </row>
    <row r="870" spans="10:11" ht="15.8" customHeight="1">
      <c r="J870" s="1078"/>
      <c r="K870" s="1079"/>
    </row>
    <row r="871" spans="10:11" ht="15.8" customHeight="1">
      <c r="J871" s="1078"/>
      <c r="K871" s="1079"/>
    </row>
    <row r="872" spans="10:11" ht="15.8" customHeight="1">
      <c r="J872" s="1078"/>
      <c r="K872" s="1079"/>
    </row>
    <row r="873" spans="10:11" ht="15.8" customHeight="1">
      <c r="J873" s="1078"/>
      <c r="K873" s="1079"/>
    </row>
    <row r="874" spans="10:11" ht="15.8" customHeight="1">
      <c r="J874" s="1078"/>
      <c r="K874" s="1079"/>
    </row>
    <row r="875" spans="10:11" ht="15.8" customHeight="1">
      <c r="J875" s="1078"/>
      <c r="K875" s="1079"/>
    </row>
    <row r="876" spans="10:11" ht="15.8" customHeight="1">
      <c r="J876" s="1078"/>
      <c r="K876" s="1079"/>
    </row>
    <row r="877" spans="10:11" ht="15.8" customHeight="1">
      <c r="J877" s="1078"/>
      <c r="K877" s="1079"/>
    </row>
    <row r="878" spans="10:11" ht="15.8" customHeight="1">
      <c r="J878" s="1078"/>
      <c r="K878" s="1079"/>
    </row>
    <row r="879" spans="10:11" ht="15.8" customHeight="1">
      <c r="J879" s="1078"/>
      <c r="K879" s="1079"/>
    </row>
    <row r="880" spans="10:11" ht="15.8" customHeight="1">
      <c r="J880" s="1078"/>
      <c r="K880" s="1079"/>
    </row>
    <row r="881" spans="10:11" ht="15.8" customHeight="1">
      <c r="J881" s="1078"/>
      <c r="K881" s="1079"/>
    </row>
    <row r="882" spans="10:11" ht="15.8" customHeight="1">
      <c r="J882" s="1078"/>
      <c r="K882" s="1079"/>
    </row>
    <row r="883" spans="10:11" ht="15.8" customHeight="1">
      <c r="J883" s="1078"/>
      <c r="K883" s="1079"/>
    </row>
    <row r="884" spans="10:11" ht="15.8" customHeight="1">
      <c r="J884" s="1078"/>
      <c r="K884" s="1079"/>
    </row>
    <row r="885" spans="10:11" ht="15.8" customHeight="1">
      <c r="J885" s="1078"/>
      <c r="K885" s="1079"/>
    </row>
    <row r="886" spans="10:11" ht="15.8" customHeight="1">
      <c r="J886" s="1078"/>
      <c r="K886" s="1079"/>
    </row>
    <row r="887" spans="10:11" ht="15.8" customHeight="1">
      <c r="J887" s="1078"/>
      <c r="K887" s="1079"/>
    </row>
    <row r="888" spans="10:11" ht="15.8" customHeight="1">
      <c r="J888" s="1078"/>
      <c r="K888" s="1079"/>
    </row>
    <row r="889" spans="10:11" ht="15.8" customHeight="1">
      <c r="J889" s="1078"/>
      <c r="K889" s="1079"/>
    </row>
    <row r="890" spans="10:11" ht="15.8" customHeight="1">
      <c r="J890" s="1078"/>
      <c r="K890" s="1079"/>
    </row>
    <row r="891" spans="10:11" ht="15.8" customHeight="1">
      <c r="J891" s="1078"/>
      <c r="K891" s="1079"/>
    </row>
    <row r="892" spans="10:11" ht="15.8" customHeight="1">
      <c r="J892" s="1078"/>
      <c r="K892" s="1079"/>
    </row>
    <row r="893" spans="10:11" ht="15.8" customHeight="1">
      <c r="J893" s="1078"/>
      <c r="K893" s="1079"/>
    </row>
    <row r="894" spans="10:11" ht="15.8" customHeight="1">
      <c r="J894" s="1078"/>
      <c r="K894" s="1079"/>
    </row>
    <row r="895" spans="10:11" ht="15.8" customHeight="1">
      <c r="J895" s="1078"/>
      <c r="K895" s="1079"/>
    </row>
    <row r="896" spans="10:11" ht="15.8" customHeight="1">
      <c r="J896" s="1078"/>
      <c r="K896" s="1079"/>
    </row>
    <row r="897" spans="10:11" ht="15.8" customHeight="1">
      <c r="J897" s="1078"/>
      <c r="K897" s="1079"/>
    </row>
    <row r="898" spans="10:11" ht="15.8" customHeight="1">
      <c r="J898" s="1078"/>
      <c r="K898" s="1079"/>
    </row>
    <row r="899" spans="10:11" ht="15.8" customHeight="1">
      <c r="J899" s="1078"/>
      <c r="K899" s="1079"/>
    </row>
    <row r="900" spans="10:11" ht="15.8" customHeight="1">
      <c r="J900" s="1078"/>
      <c r="K900" s="1079"/>
    </row>
    <row r="901" spans="10:11" ht="15.8" customHeight="1">
      <c r="J901" s="1078"/>
      <c r="K901" s="1079"/>
    </row>
    <row r="902" spans="10:11" ht="15.8" customHeight="1">
      <c r="J902" s="1078"/>
      <c r="K902" s="1079"/>
    </row>
    <row r="903" spans="10:11" ht="15.8" customHeight="1">
      <c r="J903" s="1078"/>
      <c r="K903" s="1079"/>
    </row>
    <row r="904" spans="10:11" ht="15.8" customHeight="1">
      <c r="J904" s="1078"/>
      <c r="K904" s="1079"/>
    </row>
    <row r="905" spans="10:11" ht="15.8" customHeight="1">
      <c r="J905" s="1078"/>
      <c r="K905" s="1079"/>
    </row>
    <row r="906" spans="10:11" ht="15.8" customHeight="1">
      <c r="J906" s="1078"/>
      <c r="K906" s="1079"/>
    </row>
    <row r="907" spans="10:11" ht="15.8" customHeight="1">
      <c r="J907" s="1078"/>
      <c r="K907" s="1079"/>
    </row>
    <row r="908" spans="10:11" ht="15.8" customHeight="1">
      <c r="J908" s="1078"/>
      <c r="K908" s="1079"/>
    </row>
    <row r="909" spans="10:11" ht="15.8" customHeight="1">
      <c r="J909" s="1078"/>
      <c r="K909" s="1079"/>
    </row>
    <row r="910" spans="10:11" ht="15.8" customHeight="1">
      <c r="J910" s="1078"/>
      <c r="K910" s="1079"/>
    </row>
    <row r="911" spans="10:11" ht="15.8" customHeight="1">
      <c r="J911" s="1078"/>
      <c r="K911" s="1079"/>
    </row>
    <row r="912" spans="10:11" ht="15.8" customHeight="1">
      <c r="J912" s="1078"/>
      <c r="K912" s="1079"/>
    </row>
    <row r="913" spans="10:11" ht="15.8" customHeight="1">
      <c r="J913" s="1078"/>
      <c r="K913" s="1079"/>
    </row>
    <row r="914" spans="10:11" ht="15.8" customHeight="1">
      <c r="J914" s="1078"/>
      <c r="K914" s="1079"/>
    </row>
    <row r="915" spans="10:11" ht="15.8" customHeight="1">
      <c r="J915" s="1078"/>
      <c r="K915" s="1079"/>
    </row>
    <row r="916" spans="10:11" ht="15.8" customHeight="1">
      <c r="J916" s="1078"/>
      <c r="K916" s="1079"/>
    </row>
    <row r="917" spans="10:11" ht="15.8" customHeight="1">
      <c r="J917" s="1078"/>
      <c r="K917" s="1079"/>
    </row>
    <row r="918" spans="10:11" ht="15.8" customHeight="1">
      <c r="J918" s="1078"/>
      <c r="K918" s="1079"/>
    </row>
    <row r="919" spans="10:11" ht="15.8" customHeight="1">
      <c r="J919" s="1078"/>
      <c r="K919" s="1079"/>
    </row>
    <row r="920" spans="10:11" ht="15.8" customHeight="1">
      <c r="J920" s="1078"/>
      <c r="K920" s="1079"/>
    </row>
    <row r="921" spans="10:11" ht="15.8" customHeight="1">
      <c r="J921" s="1078"/>
      <c r="K921" s="1079"/>
    </row>
    <row r="922" spans="10:11" ht="15.8" customHeight="1">
      <c r="J922" s="1078"/>
      <c r="K922" s="1079"/>
    </row>
    <row r="923" spans="10:11" ht="15.8" customHeight="1">
      <c r="J923" s="1078"/>
      <c r="K923" s="1079"/>
    </row>
    <row r="924" spans="10:11" ht="15.8" customHeight="1">
      <c r="J924" s="1078"/>
      <c r="K924" s="1079"/>
    </row>
    <row r="925" spans="10:11" ht="15.8" customHeight="1">
      <c r="J925" s="1078"/>
      <c r="K925" s="1079"/>
    </row>
    <row r="926" spans="10:11" ht="15.8" customHeight="1">
      <c r="J926" s="1078"/>
      <c r="K926" s="1079"/>
    </row>
    <row r="927" spans="10:11" ht="15.8" customHeight="1">
      <c r="J927" s="1078"/>
      <c r="K927" s="1079"/>
    </row>
    <row r="928" spans="10:11" ht="15.8" customHeight="1">
      <c r="J928" s="1078"/>
      <c r="K928" s="1079"/>
    </row>
    <row r="929" spans="10:11" ht="15.8" customHeight="1">
      <c r="J929" s="1078"/>
      <c r="K929" s="1079"/>
    </row>
    <row r="930" spans="10:11" ht="15.8" customHeight="1">
      <c r="J930" s="1078"/>
      <c r="K930" s="1079"/>
    </row>
    <row r="931" spans="10:11" ht="15.8" customHeight="1">
      <c r="J931" s="1078"/>
      <c r="K931" s="1079"/>
    </row>
    <row r="932" spans="10:11" ht="15.8" customHeight="1">
      <c r="J932" s="1078"/>
      <c r="K932" s="1079"/>
    </row>
    <row r="933" spans="10:11" ht="15.8" customHeight="1">
      <c r="J933" s="1078"/>
      <c r="K933" s="1079"/>
    </row>
    <row r="934" spans="10:11" ht="15.8" customHeight="1">
      <c r="J934" s="1078"/>
      <c r="K934" s="1079"/>
    </row>
    <row r="935" spans="10:11" ht="15.8" customHeight="1">
      <c r="J935" s="1078"/>
      <c r="K935" s="1079"/>
    </row>
    <row r="936" spans="10:11" ht="15.8" customHeight="1">
      <c r="J936" s="1078"/>
      <c r="K936" s="1079"/>
    </row>
    <row r="937" spans="10:11" ht="15.8" customHeight="1">
      <c r="J937" s="1078"/>
      <c r="K937" s="1079"/>
    </row>
    <row r="938" spans="10:11" ht="15.8" customHeight="1">
      <c r="J938" s="1078"/>
      <c r="K938" s="1079"/>
    </row>
    <row r="939" spans="10:11" ht="15.8" customHeight="1">
      <c r="J939" s="1078"/>
      <c r="K939" s="1079"/>
    </row>
    <row r="940" spans="10:11" ht="15.8" customHeight="1">
      <c r="J940" s="1078"/>
      <c r="K940" s="1079"/>
    </row>
    <row r="941" spans="10:11" ht="15.8" customHeight="1">
      <c r="J941" s="1078"/>
      <c r="K941" s="1079"/>
    </row>
    <row r="942" spans="10:11" ht="15.8" customHeight="1">
      <c r="J942" s="1078"/>
      <c r="K942" s="1079"/>
    </row>
    <row r="943" spans="10:11" ht="15.8" customHeight="1">
      <c r="J943" s="1078"/>
      <c r="K943" s="1079"/>
    </row>
    <row r="944" spans="10:11" ht="15.8" customHeight="1">
      <c r="J944" s="1078"/>
      <c r="K944" s="1079"/>
    </row>
    <row r="945" spans="10:11" ht="15.8" customHeight="1">
      <c r="J945" s="1078"/>
      <c r="K945" s="1079"/>
    </row>
    <row r="946" spans="10:11" ht="15.8" customHeight="1">
      <c r="J946" s="1078"/>
      <c r="K946" s="1079"/>
    </row>
    <row r="947" spans="10:11" ht="15.8" customHeight="1">
      <c r="J947" s="1078"/>
      <c r="K947" s="1079"/>
    </row>
    <row r="948" spans="10:11" ht="15.8" customHeight="1">
      <c r="J948" s="1078"/>
      <c r="K948" s="1079"/>
    </row>
    <row r="949" spans="10:11" ht="15.8" customHeight="1">
      <c r="J949" s="1078"/>
      <c r="K949" s="1079"/>
    </row>
    <row r="950" spans="10:11" ht="15.8" customHeight="1">
      <c r="J950" s="1078"/>
      <c r="K950" s="1079"/>
    </row>
    <row r="951" spans="10:11" ht="15.8" customHeight="1">
      <c r="J951" s="1078"/>
      <c r="K951" s="1079"/>
    </row>
    <row r="952" spans="10:11" ht="15.8" customHeight="1">
      <c r="J952" s="1078"/>
      <c r="K952" s="1079"/>
    </row>
    <row r="953" spans="10:11" ht="15.8" customHeight="1">
      <c r="J953" s="1078"/>
      <c r="K953" s="1079"/>
    </row>
    <row r="954" spans="10:11" ht="15.8" customHeight="1">
      <c r="J954" s="1078"/>
      <c r="K954" s="1079"/>
    </row>
    <row r="955" spans="10:11" ht="15.8" customHeight="1">
      <c r="J955" s="1078"/>
      <c r="K955" s="1079"/>
    </row>
    <row r="956" spans="10:11" ht="15.8" customHeight="1">
      <c r="J956" s="1078"/>
      <c r="K956" s="1079"/>
    </row>
    <row r="957" spans="10:11" ht="15.8" customHeight="1">
      <c r="J957" s="1078"/>
      <c r="K957" s="1079"/>
    </row>
    <row r="958" spans="10:11" ht="15.8" customHeight="1">
      <c r="J958" s="1078"/>
      <c r="K958" s="1079"/>
    </row>
    <row r="959" spans="10:11" ht="15.8" customHeight="1">
      <c r="J959" s="1078"/>
      <c r="K959" s="1079"/>
    </row>
    <row r="960" spans="10:11" ht="15.8" customHeight="1">
      <c r="J960" s="1078"/>
      <c r="K960" s="1079"/>
    </row>
    <row r="961" spans="10:11" ht="15.8" customHeight="1">
      <c r="J961" s="1078"/>
      <c r="K961" s="1079"/>
    </row>
    <row r="962" spans="10:11" ht="15.8" customHeight="1">
      <c r="J962" s="1078"/>
      <c r="K962" s="1079"/>
    </row>
    <row r="963" spans="10:11" ht="15.8" customHeight="1">
      <c r="J963" s="1078"/>
      <c r="K963" s="1079"/>
    </row>
    <row r="964" spans="10:11" ht="15.8" customHeight="1">
      <c r="J964" s="1078"/>
      <c r="K964" s="1079"/>
    </row>
    <row r="965" spans="10:11" ht="15.8" customHeight="1">
      <c r="J965" s="1078"/>
      <c r="K965" s="1079"/>
    </row>
    <row r="966" spans="10:11" ht="15.8" customHeight="1">
      <c r="J966" s="1078"/>
      <c r="K966" s="1079"/>
    </row>
    <row r="967" spans="10:11" ht="15.8" customHeight="1">
      <c r="J967" s="1078"/>
      <c r="K967" s="1079"/>
    </row>
    <row r="968" spans="10:11" ht="15.8" customHeight="1">
      <c r="J968" s="1078"/>
      <c r="K968" s="1079"/>
    </row>
    <row r="969" spans="10:11" ht="15.8" customHeight="1">
      <c r="J969" s="1078"/>
      <c r="K969" s="1079"/>
    </row>
    <row r="970" spans="10:11" ht="15.8" customHeight="1">
      <c r="J970" s="1078"/>
      <c r="K970" s="1079"/>
    </row>
    <row r="971" spans="10:11" ht="15.8" customHeight="1">
      <c r="J971" s="1078"/>
      <c r="K971" s="1079"/>
    </row>
    <row r="972" spans="10:11" ht="15.8" customHeight="1">
      <c r="J972" s="1078"/>
      <c r="K972" s="1079"/>
    </row>
    <row r="973" spans="10:11" ht="15.8" customHeight="1">
      <c r="J973" s="1078"/>
      <c r="K973" s="1079"/>
    </row>
    <row r="974" spans="10:11" ht="15.8" customHeight="1">
      <c r="J974" s="1078"/>
      <c r="K974" s="1079"/>
    </row>
    <row r="975" spans="10:11" ht="15.8" customHeight="1">
      <c r="J975" s="1078"/>
      <c r="K975" s="1079"/>
    </row>
    <row r="976" spans="10:11" ht="15.8" customHeight="1">
      <c r="J976" s="1078"/>
      <c r="K976" s="1079"/>
    </row>
    <row r="977" spans="10:11" ht="15.8" customHeight="1">
      <c r="J977" s="1078"/>
      <c r="K977" s="1079"/>
    </row>
    <row r="978" spans="10:11" ht="15.8" customHeight="1">
      <c r="J978" s="1078"/>
      <c r="K978" s="1079"/>
    </row>
    <row r="979" spans="10:11" ht="15.8" customHeight="1">
      <c r="J979" s="1078"/>
      <c r="K979" s="1079"/>
    </row>
    <row r="980" spans="10:11" ht="15.8" customHeight="1">
      <c r="J980" s="1078"/>
      <c r="K980" s="1079"/>
    </row>
    <row r="981" spans="10:11" ht="15.8" customHeight="1">
      <c r="J981" s="1078"/>
      <c r="K981" s="1079"/>
    </row>
    <row r="982" spans="10:11" ht="15.8" customHeight="1">
      <c r="J982" s="1078"/>
      <c r="K982" s="1079"/>
    </row>
    <row r="983" spans="10:11" ht="15.8" customHeight="1">
      <c r="J983" s="1078"/>
      <c r="K983" s="1079"/>
    </row>
    <row r="984" spans="10:11" ht="15.8" customHeight="1">
      <c r="J984" s="1078"/>
      <c r="K984" s="1079"/>
    </row>
    <row r="985" spans="10:11" ht="15.8" customHeight="1">
      <c r="J985" s="1078"/>
      <c r="K985" s="1079"/>
    </row>
    <row r="986" spans="10:11" ht="15.8" customHeight="1">
      <c r="J986" s="1078"/>
      <c r="K986" s="1079"/>
    </row>
    <row r="987" spans="10:11" ht="15.8" customHeight="1">
      <c r="J987" s="1078"/>
      <c r="K987" s="1079"/>
    </row>
    <row r="988" spans="10:11" ht="15.8" customHeight="1">
      <c r="J988" s="1078"/>
      <c r="K988" s="1079"/>
    </row>
    <row r="989" spans="10:11" ht="15.8" customHeight="1">
      <c r="J989" s="1078"/>
      <c r="K989" s="1079"/>
    </row>
    <row r="990" spans="10:11" ht="15.8" customHeight="1">
      <c r="J990" s="1078"/>
      <c r="K990" s="1079"/>
    </row>
    <row r="991" spans="10:11" ht="15.8" customHeight="1">
      <c r="J991" s="1078"/>
      <c r="K991" s="1079"/>
    </row>
    <row r="992" spans="10:11" ht="15.8" customHeight="1">
      <c r="J992" s="1078"/>
      <c r="K992" s="1079"/>
    </row>
    <row r="993" spans="10:11" ht="15.8" customHeight="1">
      <c r="J993" s="1078"/>
      <c r="K993" s="1079"/>
    </row>
    <row r="994" spans="10:11" ht="15.8" customHeight="1">
      <c r="J994" s="1078"/>
      <c r="K994" s="1079"/>
    </row>
    <row r="995" spans="10:11" ht="15.8" customHeight="1">
      <c r="J995" s="1078"/>
      <c r="K995" s="1079"/>
    </row>
    <row r="996" spans="10:11" ht="15.8" customHeight="1">
      <c r="J996" s="1078"/>
      <c r="K996" s="1079"/>
    </row>
    <row r="997" spans="10:11" ht="15.8" customHeight="1">
      <c r="J997" s="1078"/>
      <c r="K997" s="1079"/>
    </row>
    <row r="998" spans="10:11" ht="15.8" customHeight="1">
      <c r="J998" s="1078"/>
      <c r="K998" s="1079"/>
    </row>
    <row r="999" spans="10:11" ht="15.8" customHeight="1">
      <c r="J999" s="1078"/>
      <c r="K999" s="1079"/>
    </row>
    <row r="1000" spans="10:11" ht="15.8" customHeight="1">
      <c r="J1000" s="1078"/>
      <c r="K1000" s="1079"/>
    </row>
    <row r="1001" spans="10:11" ht="15.8" customHeight="1">
      <c r="J1001" s="1078"/>
      <c r="K1001" s="1079"/>
    </row>
    <row r="1002" spans="10:11" ht="15.8" customHeight="1">
      <c r="J1002" s="1078"/>
      <c r="K1002" s="1079"/>
    </row>
    <row r="1003" spans="10:11" ht="15.8" customHeight="1">
      <c r="J1003" s="1078"/>
      <c r="K1003" s="1079"/>
    </row>
    <row r="1004" spans="10:11" ht="15.8" customHeight="1">
      <c r="J1004" s="1078"/>
      <c r="K1004" s="1079"/>
    </row>
    <row r="1005" spans="10:11" ht="15.8" customHeight="1">
      <c r="J1005" s="1078"/>
      <c r="K1005" s="1079"/>
    </row>
    <row r="1006" spans="10:11" ht="15.8" customHeight="1">
      <c r="J1006" s="1078"/>
      <c r="K1006" s="1079"/>
    </row>
    <row r="1007" spans="10:11" ht="15.8" customHeight="1"/>
    <row r="1008" spans="10:11" ht="15.8" customHeight="1"/>
    <row r="1009" ht="15.8" customHeight="1"/>
    <row r="1010" ht="15.8" customHeight="1"/>
    <row r="1011" ht="15.8" customHeight="1"/>
    <row r="1012" ht="15.8" customHeight="1"/>
    <row r="1013" ht="15.8" customHeight="1"/>
    <row r="1014" ht="13.6"/>
    <row r="1015" ht="13.6"/>
    <row r="1016" ht="13.6"/>
    <row r="1017" ht="13.6"/>
    <row r="1018" ht="13.6"/>
    <row r="1019" ht="13.6"/>
    <row r="1020" ht="13.6"/>
    <row r="1021" ht="13.6"/>
    <row r="1022" ht="13.6"/>
    <row r="1023" ht="13.6"/>
    <row r="1024" ht="13.6"/>
    <row r="1025" ht="13.6"/>
    <row r="1026" ht="13.6"/>
    <row r="1027" ht="13.6"/>
    <row r="1028" ht="13.6"/>
    <row r="1029" ht="13.6"/>
    <row r="1030" ht="13.6"/>
    <row r="1031" ht="13.6"/>
    <row r="1032" ht="13.6"/>
    <row r="1033" ht="13.6"/>
    <row r="1034" ht="13.6"/>
    <row r="1035" ht="13.6"/>
    <row r="1036" ht="13.6"/>
    <row r="1037" ht="13.6"/>
    <row r="1038" ht="13.6"/>
    <row r="1039" ht="13.6"/>
    <row r="1040" ht="13.6"/>
    <row r="1041" ht="13.6"/>
    <row r="1042" ht="13.6"/>
    <row r="1043" ht="13.6"/>
    <row r="1044" ht="13.6"/>
    <row r="1045" ht="13.6"/>
    <row r="1046" ht="13.6"/>
    <row r="1047" ht="13.6"/>
    <row r="1048" ht="13.6"/>
    <row r="1049" ht="13.6"/>
    <row r="1050" ht="13.6"/>
    <row r="1051" ht="13.6"/>
    <row r="1052" ht="13.6"/>
    <row r="1053" ht="13.6"/>
    <row r="1054" ht="13.6"/>
    <row r="1055" ht="13.6"/>
    <row r="1056" ht="13.6"/>
    <row r="1057" ht="13.6"/>
    <row r="1058" ht="13.6"/>
    <row r="1059" ht="13.6"/>
    <row r="1060" ht="13.6"/>
    <row r="1061" ht="13.6"/>
    <row r="1062" ht="13.6"/>
    <row r="1063" ht="13.6"/>
    <row r="1064" ht="13.6"/>
    <row r="1065" ht="13.6"/>
    <row r="1066" ht="13.6"/>
    <row r="1067" ht="13.6"/>
    <row r="1068" ht="13.6"/>
    <row r="1069" ht="13.6"/>
    <row r="1070" ht="13.6"/>
    <row r="1071" ht="13.6"/>
    <row r="1072" ht="13.6"/>
    <row r="1073" ht="13.6"/>
    <row r="1074" ht="13.6"/>
    <row r="1075" ht="13.6"/>
    <row r="1076" ht="13.6"/>
    <row r="1077" ht="13.6"/>
    <row r="1078" ht="13.6"/>
    <row r="1079" ht="13.6"/>
    <row r="1080" ht="13.6"/>
    <row r="1081" ht="13.6"/>
    <row r="1082" ht="13.6"/>
    <row r="1083" ht="13.6"/>
    <row r="1084" ht="13.6"/>
    <row r="1085" ht="13.6"/>
    <row r="1086" ht="13.6"/>
    <row r="1087" ht="13.6"/>
    <row r="1088" ht="13.6"/>
    <row r="1089" ht="13.6"/>
    <row r="1090" ht="13.6"/>
    <row r="1091" ht="13.6"/>
    <row r="1092" ht="13.6"/>
    <row r="1093" ht="13.6"/>
    <row r="1094" ht="13.6"/>
    <row r="1095" ht="13.6"/>
    <row r="1096" ht="13.6"/>
    <row r="1097" ht="13.6"/>
    <row r="1098" ht="13.6"/>
    <row r="1099" ht="13.6"/>
    <row r="1100" ht="13.6"/>
    <row r="1101" ht="13.6"/>
    <row r="1102" ht="13.6"/>
    <row r="1103" ht="13.6"/>
    <row r="1104" ht="13.6"/>
    <row r="1105" ht="13.6"/>
    <row r="1106" ht="13.6"/>
    <row r="1107" ht="13.6"/>
    <row r="1108" ht="13.6"/>
    <row r="1109" ht="13.6"/>
    <row r="1110" ht="13.6"/>
    <row r="1111" ht="13.6"/>
    <row r="1112" ht="13.6"/>
    <row r="1113" ht="13.6"/>
    <row r="1114" ht="13.6"/>
    <row r="1115" ht="13.6"/>
    <row r="1116" ht="13.6"/>
    <row r="1117" ht="13.6"/>
    <row r="1118" ht="13.6"/>
    <row r="1119" ht="13.6"/>
    <row r="1120" ht="13.6"/>
    <row r="1121" ht="13.6"/>
    <row r="1122" ht="13.6"/>
    <row r="1123" ht="13.6"/>
    <row r="1124" ht="13.6"/>
    <row r="1125" ht="13.6"/>
    <row r="1126" ht="13.6"/>
    <row r="1127" ht="13.6"/>
    <row r="1128" ht="13.6"/>
    <row r="1129" ht="13.6"/>
    <row r="1130" ht="13.6"/>
    <row r="1131" ht="13.6"/>
    <row r="1132" ht="13.6"/>
    <row r="1133" ht="13.6"/>
    <row r="1134" ht="13.6"/>
    <row r="1135" ht="13.6"/>
    <row r="1136" ht="13.6"/>
    <row r="1137" ht="13.6"/>
    <row r="1138" ht="13.6"/>
    <row r="1139" ht="13.6"/>
    <row r="1140" ht="13.6"/>
    <row r="1141" ht="13.6"/>
    <row r="1142" ht="13.6"/>
    <row r="1143" ht="13.6"/>
    <row r="1144" ht="13.6"/>
    <row r="1145" ht="13.6"/>
    <row r="1146" ht="13.6"/>
    <row r="1147" ht="13.6"/>
    <row r="1148" ht="13.6"/>
    <row r="1149" ht="13.6"/>
    <row r="1150" ht="13.6"/>
    <row r="1151" ht="13.6"/>
    <row r="1152" ht="13.6"/>
  </sheetData>
  <autoFilter ref="A4:V430" xr:uid="{E7898B22-13B5-EA4D-839D-0A0E075A3101}">
    <sortState xmlns:xlrd2="http://schemas.microsoft.com/office/spreadsheetml/2017/richdata2" ref="A5:V430">
      <sortCondition ref="L4:L430"/>
    </sortState>
  </autoFilter>
  <sortState xmlns:xlrd2="http://schemas.microsoft.com/office/spreadsheetml/2017/richdata2" ref="A5:V430">
    <sortCondition ref="U4:U430"/>
  </sortState>
  <mergeCells count="4">
    <mergeCell ref="U517:V517"/>
    <mergeCell ref="S518:BD518"/>
    <mergeCell ref="B556:B623"/>
    <mergeCell ref="B476:L489"/>
  </mergeCells>
  <conditionalFormatting sqref="C173:C174">
    <cfRule type="duplicateValues" dxfId="565" priority="730"/>
  </conditionalFormatting>
  <conditionalFormatting sqref="C175">
    <cfRule type="duplicateValues" dxfId="564" priority="729"/>
  </conditionalFormatting>
  <conditionalFormatting sqref="K175">
    <cfRule type="duplicateValues" dxfId="563" priority="644"/>
  </conditionalFormatting>
  <conditionalFormatting sqref="P328:R328">
    <cfRule type="duplicateValues" dxfId="562" priority="578"/>
  </conditionalFormatting>
  <conditionalFormatting sqref="P374:R374">
    <cfRule type="duplicateValues" dxfId="561" priority="570"/>
  </conditionalFormatting>
  <conditionalFormatting sqref="C249">
    <cfRule type="duplicateValues" dxfId="560" priority="491"/>
  </conditionalFormatting>
  <conditionalFormatting sqref="C250">
    <cfRule type="duplicateValues" dxfId="559" priority="489"/>
  </conditionalFormatting>
  <conditionalFormatting sqref="C249:C250">
    <cfRule type="duplicateValues" dxfId="558" priority="486"/>
  </conditionalFormatting>
  <conditionalFormatting sqref="C249">
    <cfRule type="duplicateValues" dxfId="557" priority="481"/>
  </conditionalFormatting>
  <conditionalFormatting sqref="C291">
    <cfRule type="duplicateValues" dxfId="556" priority="451"/>
  </conditionalFormatting>
  <conditionalFormatting sqref="C291">
    <cfRule type="duplicateValues" dxfId="555" priority="445"/>
  </conditionalFormatting>
  <conditionalFormatting sqref="C290">
    <cfRule type="duplicateValues" dxfId="554" priority="441"/>
  </conditionalFormatting>
  <conditionalFormatting sqref="C290">
    <cfRule type="duplicateValues" dxfId="553" priority="438"/>
  </conditionalFormatting>
  <conditionalFormatting sqref="C303">
    <cfRule type="duplicateValues" dxfId="552" priority="437"/>
  </conditionalFormatting>
  <conditionalFormatting sqref="C297">
    <cfRule type="duplicateValues" dxfId="551" priority="435"/>
  </conditionalFormatting>
  <conditionalFormatting sqref="C298">
    <cfRule type="duplicateValues" dxfId="550" priority="433"/>
  </conditionalFormatting>
  <conditionalFormatting sqref="C295:C298">
    <cfRule type="duplicateValues" dxfId="549" priority="430"/>
  </conditionalFormatting>
  <conditionalFormatting sqref="C303">
    <cfRule type="duplicateValues" dxfId="548" priority="431"/>
  </conditionalFormatting>
  <conditionalFormatting sqref="C302">
    <cfRule type="duplicateValues" dxfId="547" priority="427"/>
  </conditionalFormatting>
  <conditionalFormatting sqref="C296">
    <cfRule type="duplicateValues" dxfId="546" priority="426"/>
  </conditionalFormatting>
  <conditionalFormatting sqref="C297">
    <cfRule type="duplicateValues" dxfId="545" priority="425"/>
  </conditionalFormatting>
  <conditionalFormatting sqref="C302">
    <cfRule type="duplicateValues" dxfId="544" priority="424"/>
  </conditionalFormatting>
  <conditionalFormatting sqref="C316">
    <cfRule type="duplicateValues" dxfId="543" priority="423"/>
  </conditionalFormatting>
  <conditionalFormatting sqref="K315:K316">
    <cfRule type="duplicateValues" dxfId="542" priority="422"/>
  </conditionalFormatting>
  <conditionalFormatting sqref="C310">
    <cfRule type="duplicateValues" dxfId="541" priority="421"/>
  </conditionalFormatting>
  <conditionalFormatting sqref="C311">
    <cfRule type="duplicateValues" dxfId="540" priority="419"/>
  </conditionalFormatting>
  <conditionalFormatting sqref="C308:C311">
    <cfRule type="duplicateValues" dxfId="539" priority="416"/>
  </conditionalFormatting>
  <conditionalFormatting sqref="C316">
    <cfRule type="duplicateValues" dxfId="538" priority="417"/>
  </conditionalFormatting>
  <conditionalFormatting sqref="K315:K316">
    <cfRule type="duplicateValues" dxfId="537" priority="415"/>
  </conditionalFormatting>
  <conditionalFormatting sqref="C315">
    <cfRule type="duplicateValues" dxfId="536" priority="413"/>
  </conditionalFormatting>
  <conditionalFormatting sqref="C309">
    <cfRule type="duplicateValues" dxfId="535" priority="412"/>
  </conditionalFormatting>
  <conditionalFormatting sqref="C310">
    <cfRule type="duplicateValues" dxfId="534" priority="411"/>
  </conditionalFormatting>
  <conditionalFormatting sqref="C315">
    <cfRule type="duplicateValues" dxfId="533" priority="410"/>
  </conditionalFormatting>
  <conditionalFormatting sqref="C329">
    <cfRule type="duplicateValues" dxfId="532" priority="409"/>
  </conditionalFormatting>
  <conditionalFormatting sqref="C323">
    <cfRule type="duplicateValues" dxfId="531" priority="407"/>
  </conditionalFormatting>
  <conditionalFormatting sqref="K322">
    <cfRule type="duplicateValues" dxfId="530" priority="406"/>
  </conditionalFormatting>
  <conditionalFormatting sqref="C324">
    <cfRule type="duplicateValues" dxfId="529" priority="405"/>
  </conditionalFormatting>
  <conditionalFormatting sqref="C321:C324">
    <cfRule type="duplicateValues" dxfId="528" priority="402"/>
  </conditionalFormatting>
  <conditionalFormatting sqref="C329">
    <cfRule type="duplicateValues" dxfId="527" priority="403"/>
  </conditionalFormatting>
  <conditionalFormatting sqref="K322">
    <cfRule type="duplicateValues" dxfId="526" priority="400"/>
  </conditionalFormatting>
  <conditionalFormatting sqref="C328">
    <cfRule type="duplicateValues" dxfId="525" priority="399"/>
  </conditionalFormatting>
  <conditionalFormatting sqref="C322">
    <cfRule type="duplicateValues" dxfId="524" priority="398"/>
  </conditionalFormatting>
  <conditionalFormatting sqref="C323">
    <cfRule type="duplicateValues" dxfId="523" priority="397"/>
  </conditionalFormatting>
  <conditionalFormatting sqref="C328">
    <cfRule type="duplicateValues" dxfId="522" priority="396"/>
  </conditionalFormatting>
  <conditionalFormatting sqref="C344">
    <cfRule type="duplicateValues" dxfId="521" priority="395"/>
  </conditionalFormatting>
  <conditionalFormatting sqref="K344">
    <cfRule type="duplicateValues" dxfId="520" priority="394"/>
  </conditionalFormatting>
  <conditionalFormatting sqref="C336">
    <cfRule type="duplicateValues" dxfId="519" priority="393"/>
  </conditionalFormatting>
  <conditionalFormatting sqref="K336">
    <cfRule type="duplicateValues" dxfId="518" priority="392"/>
  </conditionalFormatting>
  <conditionalFormatting sqref="K336">
    <cfRule type="duplicateValues" dxfId="517" priority="390"/>
  </conditionalFormatting>
  <conditionalFormatting sqref="C344">
    <cfRule type="duplicateValues" dxfId="516" priority="389"/>
  </conditionalFormatting>
  <conditionalFormatting sqref="K336">
    <cfRule type="duplicateValues" dxfId="515" priority="386"/>
  </conditionalFormatting>
  <conditionalFormatting sqref="K344">
    <cfRule type="duplicateValues" dxfId="514" priority="387"/>
  </conditionalFormatting>
  <conditionalFormatting sqref="C335">
    <cfRule type="duplicateValues" dxfId="513" priority="384"/>
  </conditionalFormatting>
  <conditionalFormatting sqref="C336">
    <cfRule type="duplicateValues" dxfId="512" priority="383"/>
  </conditionalFormatting>
  <conditionalFormatting sqref="C359">
    <cfRule type="duplicateValues" dxfId="511" priority="381"/>
  </conditionalFormatting>
  <conditionalFormatting sqref="K359">
    <cfRule type="duplicateValues" dxfId="510" priority="380"/>
  </conditionalFormatting>
  <conditionalFormatting sqref="C352">
    <cfRule type="duplicateValues" dxfId="509" priority="379"/>
  </conditionalFormatting>
  <conditionalFormatting sqref="K351:K352">
    <cfRule type="duplicateValues" dxfId="508" priority="378"/>
  </conditionalFormatting>
  <conditionalFormatting sqref="C353:C354">
    <cfRule type="duplicateValues" dxfId="507" priority="377"/>
  </conditionalFormatting>
  <conditionalFormatting sqref="K352:K354">
    <cfRule type="duplicateValues" dxfId="506" priority="376"/>
  </conditionalFormatting>
  <conditionalFormatting sqref="C350:C354">
    <cfRule type="duplicateValues" dxfId="505" priority="374"/>
  </conditionalFormatting>
  <conditionalFormatting sqref="C359">
    <cfRule type="duplicateValues" dxfId="504" priority="375"/>
  </conditionalFormatting>
  <conditionalFormatting sqref="K351:K354">
    <cfRule type="duplicateValues" dxfId="503" priority="372"/>
  </conditionalFormatting>
  <conditionalFormatting sqref="K359">
    <cfRule type="duplicateValues" dxfId="502" priority="373"/>
  </conditionalFormatting>
  <conditionalFormatting sqref="C358">
    <cfRule type="duplicateValues" dxfId="501" priority="371"/>
  </conditionalFormatting>
  <conditionalFormatting sqref="C351">
    <cfRule type="duplicateValues" dxfId="500" priority="370"/>
  </conditionalFormatting>
  <conditionalFormatting sqref="C352">
    <cfRule type="duplicateValues" dxfId="499" priority="369"/>
  </conditionalFormatting>
  <conditionalFormatting sqref="C358">
    <cfRule type="duplicateValues" dxfId="498" priority="368"/>
  </conditionalFormatting>
  <conditionalFormatting sqref="C350">
    <cfRule type="duplicateValues" dxfId="497" priority="356"/>
  </conditionalFormatting>
  <conditionalFormatting sqref="K350">
    <cfRule type="duplicateValues" dxfId="496" priority="355"/>
  </conditionalFormatting>
  <conditionalFormatting sqref="C350">
    <cfRule type="duplicateValues" dxfId="495" priority="354"/>
  </conditionalFormatting>
  <conditionalFormatting sqref="K350">
    <cfRule type="duplicateValues" dxfId="494" priority="353"/>
  </conditionalFormatting>
  <conditionalFormatting sqref="C357">
    <cfRule type="duplicateValues" dxfId="493" priority="352"/>
  </conditionalFormatting>
  <conditionalFormatting sqref="K356">
    <cfRule type="duplicateValues" dxfId="492" priority="351"/>
  </conditionalFormatting>
  <conditionalFormatting sqref="C358">
    <cfRule type="duplicateValues" dxfId="491" priority="350"/>
  </conditionalFormatting>
  <conditionalFormatting sqref="C355:C358">
    <cfRule type="duplicateValues" dxfId="490" priority="348"/>
  </conditionalFormatting>
  <conditionalFormatting sqref="K356">
    <cfRule type="duplicateValues" dxfId="489" priority="347"/>
  </conditionalFormatting>
  <conditionalFormatting sqref="C356">
    <cfRule type="duplicateValues" dxfId="488" priority="346"/>
  </conditionalFormatting>
  <conditionalFormatting sqref="C357">
    <cfRule type="duplicateValues" dxfId="487" priority="345"/>
  </conditionalFormatting>
  <conditionalFormatting sqref="C355">
    <cfRule type="duplicateValues" dxfId="486" priority="344"/>
  </conditionalFormatting>
  <conditionalFormatting sqref="K355">
    <cfRule type="duplicateValues" dxfId="485" priority="343"/>
  </conditionalFormatting>
  <conditionalFormatting sqref="C355">
    <cfRule type="duplicateValues" dxfId="484" priority="342"/>
  </conditionalFormatting>
  <conditionalFormatting sqref="K355">
    <cfRule type="duplicateValues" dxfId="483" priority="341"/>
  </conditionalFormatting>
  <conditionalFormatting sqref="C358">
    <cfRule type="duplicateValues" dxfId="482" priority="339"/>
  </conditionalFormatting>
  <conditionalFormatting sqref="C358">
    <cfRule type="duplicateValues" dxfId="481" priority="337"/>
  </conditionalFormatting>
  <conditionalFormatting sqref="C362">
    <cfRule type="duplicateValues" dxfId="480" priority="334"/>
  </conditionalFormatting>
  <conditionalFormatting sqref="C362">
    <cfRule type="duplicateValues" dxfId="479" priority="333"/>
  </conditionalFormatting>
  <conditionalFormatting sqref="C361">
    <cfRule type="duplicateValues" dxfId="478" priority="332"/>
  </conditionalFormatting>
  <conditionalFormatting sqref="C362">
    <cfRule type="duplicateValues" dxfId="477" priority="330"/>
  </conditionalFormatting>
  <conditionalFormatting sqref="C359:C362">
    <cfRule type="duplicateValues" dxfId="476" priority="328"/>
  </conditionalFormatting>
  <conditionalFormatting sqref="C360">
    <cfRule type="duplicateValues" dxfId="475" priority="326"/>
  </conditionalFormatting>
  <conditionalFormatting sqref="C361">
    <cfRule type="duplicateValues" dxfId="474" priority="325"/>
  </conditionalFormatting>
  <conditionalFormatting sqref="C359">
    <cfRule type="duplicateValues" dxfId="473" priority="324"/>
  </conditionalFormatting>
  <conditionalFormatting sqref="K359">
    <cfRule type="duplicateValues" dxfId="472" priority="323"/>
  </conditionalFormatting>
  <conditionalFormatting sqref="C359">
    <cfRule type="duplicateValues" dxfId="471" priority="322"/>
  </conditionalFormatting>
  <conditionalFormatting sqref="K359">
    <cfRule type="duplicateValues" dxfId="470" priority="321"/>
  </conditionalFormatting>
  <conditionalFormatting sqref="C363">
    <cfRule type="duplicateValues" dxfId="469" priority="320"/>
  </conditionalFormatting>
  <conditionalFormatting sqref="C363">
    <cfRule type="duplicateValues" dxfId="468" priority="318"/>
  </conditionalFormatting>
  <conditionalFormatting sqref="C362">
    <cfRule type="duplicateValues" dxfId="467" priority="316"/>
  </conditionalFormatting>
  <conditionalFormatting sqref="C362">
    <cfRule type="duplicateValues" dxfId="466" priority="315"/>
  </conditionalFormatting>
  <conditionalFormatting sqref="C362">
    <cfRule type="duplicateValues" dxfId="465" priority="314"/>
  </conditionalFormatting>
  <conditionalFormatting sqref="C362">
    <cfRule type="duplicateValues" dxfId="464" priority="312"/>
  </conditionalFormatting>
  <conditionalFormatting sqref="C362">
    <cfRule type="duplicateValues" dxfId="463" priority="309"/>
  </conditionalFormatting>
  <conditionalFormatting sqref="C362">
    <cfRule type="duplicateValues" dxfId="462" priority="307"/>
  </conditionalFormatting>
  <conditionalFormatting sqref="C366:C367">
    <cfRule type="duplicateValues" dxfId="461" priority="304"/>
  </conditionalFormatting>
  <conditionalFormatting sqref="C366:C367">
    <cfRule type="duplicateValues" dxfId="460" priority="303"/>
  </conditionalFormatting>
  <conditionalFormatting sqref="C365">
    <cfRule type="duplicateValues" dxfId="459" priority="302"/>
  </conditionalFormatting>
  <conditionalFormatting sqref="C366:C367">
    <cfRule type="duplicateValues" dxfId="458" priority="300"/>
  </conditionalFormatting>
  <conditionalFormatting sqref="C363:C367">
    <cfRule type="duplicateValues" dxfId="457" priority="298"/>
  </conditionalFormatting>
  <conditionalFormatting sqref="C364">
    <cfRule type="duplicateValues" dxfId="456" priority="296"/>
  </conditionalFormatting>
  <conditionalFormatting sqref="C365">
    <cfRule type="duplicateValues" dxfId="455" priority="295"/>
  </conditionalFormatting>
  <conditionalFormatting sqref="C363">
    <cfRule type="duplicateValues" dxfId="454" priority="294"/>
  </conditionalFormatting>
  <conditionalFormatting sqref="C363">
    <cfRule type="duplicateValues" dxfId="453" priority="292"/>
  </conditionalFormatting>
  <conditionalFormatting sqref="C368">
    <cfRule type="duplicateValues" dxfId="452" priority="288"/>
  </conditionalFormatting>
  <conditionalFormatting sqref="C368">
    <cfRule type="duplicateValues" dxfId="451" priority="286"/>
  </conditionalFormatting>
  <conditionalFormatting sqref="C368">
    <cfRule type="duplicateValues" dxfId="450" priority="285"/>
  </conditionalFormatting>
  <conditionalFormatting sqref="C374">
    <cfRule type="duplicateValues" dxfId="449" priority="284"/>
  </conditionalFormatting>
  <conditionalFormatting sqref="K374">
    <cfRule type="duplicateValues" dxfId="448" priority="283"/>
  </conditionalFormatting>
  <conditionalFormatting sqref="C374">
    <cfRule type="duplicateValues" dxfId="447" priority="282"/>
  </conditionalFormatting>
  <conditionalFormatting sqref="K374">
    <cfRule type="duplicateValues" dxfId="446" priority="281"/>
  </conditionalFormatting>
  <conditionalFormatting sqref="C386">
    <cfRule type="duplicateValues" dxfId="445" priority="280"/>
  </conditionalFormatting>
  <conditionalFormatting sqref="C380">
    <cfRule type="duplicateValues" dxfId="444" priority="278"/>
  </conditionalFormatting>
  <conditionalFormatting sqref="K379">
    <cfRule type="duplicateValues" dxfId="443" priority="277"/>
  </conditionalFormatting>
  <conditionalFormatting sqref="C381">
    <cfRule type="duplicateValues" dxfId="442" priority="276"/>
  </conditionalFormatting>
  <conditionalFormatting sqref="C378:C381">
    <cfRule type="duplicateValues" dxfId="441" priority="273"/>
  </conditionalFormatting>
  <conditionalFormatting sqref="C386">
    <cfRule type="duplicateValues" dxfId="440" priority="274"/>
  </conditionalFormatting>
  <conditionalFormatting sqref="K379">
    <cfRule type="duplicateValues" dxfId="439" priority="271"/>
  </conditionalFormatting>
  <conditionalFormatting sqref="C385">
    <cfRule type="duplicateValues" dxfId="438" priority="270"/>
  </conditionalFormatting>
  <conditionalFormatting sqref="C379">
    <cfRule type="duplicateValues" dxfId="437" priority="269"/>
  </conditionalFormatting>
  <conditionalFormatting sqref="C380">
    <cfRule type="duplicateValues" dxfId="436" priority="268"/>
  </conditionalFormatting>
  <conditionalFormatting sqref="C385">
    <cfRule type="duplicateValues" dxfId="435" priority="267"/>
  </conditionalFormatting>
  <conditionalFormatting sqref="C378">
    <cfRule type="duplicateValues" dxfId="434" priority="266"/>
  </conditionalFormatting>
  <conditionalFormatting sqref="K378">
    <cfRule type="duplicateValues" dxfId="433" priority="265"/>
  </conditionalFormatting>
  <conditionalFormatting sqref="C378">
    <cfRule type="duplicateValues" dxfId="432" priority="264"/>
  </conditionalFormatting>
  <conditionalFormatting sqref="K378">
    <cfRule type="duplicateValues" dxfId="431" priority="263"/>
  </conditionalFormatting>
  <conditionalFormatting sqref="C384">
    <cfRule type="duplicateValues" dxfId="430" priority="262"/>
  </conditionalFormatting>
  <conditionalFormatting sqref="C385">
    <cfRule type="duplicateValues" dxfId="429" priority="260"/>
  </conditionalFormatting>
  <conditionalFormatting sqref="C382:C385">
    <cfRule type="duplicateValues" dxfId="428" priority="258"/>
  </conditionalFormatting>
  <conditionalFormatting sqref="C383">
    <cfRule type="duplicateValues" dxfId="427" priority="256"/>
  </conditionalFormatting>
  <conditionalFormatting sqref="C384">
    <cfRule type="duplicateValues" dxfId="426" priority="255"/>
  </conditionalFormatting>
  <conditionalFormatting sqref="C382">
    <cfRule type="duplicateValues" dxfId="425" priority="254"/>
  </conditionalFormatting>
  <conditionalFormatting sqref="C382">
    <cfRule type="duplicateValues" dxfId="424" priority="252"/>
  </conditionalFormatting>
  <conditionalFormatting sqref="C385">
    <cfRule type="duplicateValues" dxfId="423" priority="250"/>
  </conditionalFormatting>
  <conditionalFormatting sqref="C385">
    <cfRule type="duplicateValues" dxfId="422" priority="248"/>
  </conditionalFormatting>
  <conditionalFormatting sqref="C388">
    <cfRule type="duplicateValues" dxfId="421" priority="244"/>
  </conditionalFormatting>
  <conditionalFormatting sqref="K387:K388">
    <cfRule type="duplicateValues" dxfId="420" priority="243"/>
  </conditionalFormatting>
  <conditionalFormatting sqref="K388">
    <cfRule type="duplicateValues" dxfId="419" priority="241"/>
  </conditionalFormatting>
  <conditionalFormatting sqref="C386:C388">
    <cfRule type="duplicateValues" dxfId="418" priority="240"/>
  </conditionalFormatting>
  <conditionalFormatting sqref="K387:K388">
    <cfRule type="duplicateValues" dxfId="417" priority="239"/>
  </conditionalFormatting>
  <conditionalFormatting sqref="C387">
    <cfRule type="duplicateValues" dxfId="416" priority="238"/>
  </conditionalFormatting>
  <conditionalFormatting sqref="C388">
    <cfRule type="duplicateValues" dxfId="415" priority="237"/>
  </conditionalFormatting>
  <conditionalFormatting sqref="C386">
    <cfRule type="duplicateValues" dxfId="414" priority="236"/>
  </conditionalFormatting>
  <conditionalFormatting sqref="C386">
    <cfRule type="duplicateValues" dxfId="413" priority="234"/>
  </conditionalFormatting>
  <conditionalFormatting sqref="K402:K403">
    <cfRule type="duplicateValues" dxfId="412" priority="211"/>
  </conditionalFormatting>
  <conditionalFormatting sqref="C401">
    <cfRule type="duplicateValues" dxfId="411" priority="210"/>
  </conditionalFormatting>
  <conditionalFormatting sqref="K402:K403">
    <cfRule type="duplicateValues" dxfId="410" priority="209"/>
  </conditionalFormatting>
  <conditionalFormatting sqref="C401">
    <cfRule type="duplicateValues" dxfId="409" priority="207"/>
  </conditionalFormatting>
  <conditionalFormatting sqref="K401">
    <cfRule type="duplicateValues" dxfId="408" priority="206"/>
  </conditionalFormatting>
  <conditionalFormatting sqref="C401">
    <cfRule type="duplicateValues" dxfId="407" priority="205"/>
  </conditionalFormatting>
  <conditionalFormatting sqref="K401">
    <cfRule type="duplicateValues" dxfId="406" priority="204"/>
  </conditionalFormatting>
  <conditionalFormatting sqref="C391">
    <cfRule type="duplicateValues" dxfId="405" priority="203"/>
  </conditionalFormatting>
  <conditionalFormatting sqref="C391">
    <cfRule type="duplicateValues" dxfId="404" priority="201"/>
  </conditionalFormatting>
  <conditionalFormatting sqref="C397:C398">
    <cfRule type="duplicateValues" dxfId="403" priority="199"/>
  </conditionalFormatting>
  <conditionalFormatting sqref="C397:C398">
    <cfRule type="duplicateValues" dxfId="402" priority="198"/>
  </conditionalFormatting>
  <conditionalFormatting sqref="C397:C398">
    <cfRule type="duplicateValues" dxfId="401" priority="196"/>
  </conditionalFormatting>
  <conditionalFormatting sqref="C397:C398">
    <cfRule type="duplicateValues" dxfId="400" priority="194"/>
  </conditionalFormatting>
  <conditionalFormatting sqref="C397:C398">
    <cfRule type="duplicateValues" dxfId="399" priority="192"/>
  </conditionalFormatting>
  <conditionalFormatting sqref="K402:K403">
    <cfRule type="duplicateValues" dxfId="398" priority="188"/>
  </conditionalFormatting>
  <conditionalFormatting sqref="K402:K403">
    <cfRule type="duplicateValues" dxfId="397" priority="186"/>
  </conditionalFormatting>
  <conditionalFormatting sqref="K406:K414">
    <cfRule type="duplicateValues" dxfId="396" priority="185"/>
  </conditionalFormatting>
  <conditionalFormatting sqref="C405:C414">
    <cfRule type="duplicateValues" dxfId="395" priority="184"/>
  </conditionalFormatting>
  <conditionalFormatting sqref="K406:K414">
    <cfRule type="duplicateValues" dxfId="394" priority="183"/>
  </conditionalFormatting>
  <conditionalFormatting sqref="C406:C414">
    <cfRule type="duplicateValues" dxfId="393" priority="182"/>
  </conditionalFormatting>
  <conditionalFormatting sqref="C405">
    <cfRule type="duplicateValues" dxfId="392" priority="181"/>
  </conditionalFormatting>
  <conditionalFormatting sqref="K405">
    <cfRule type="duplicateValues" dxfId="391" priority="180"/>
  </conditionalFormatting>
  <conditionalFormatting sqref="C405">
    <cfRule type="duplicateValues" dxfId="390" priority="179"/>
  </conditionalFormatting>
  <conditionalFormatting sqref="K405">
    <cfRule type="duplicateValues" dxfId="389" priority="178"/>
  </conditionalFormatting>
  <conditionalFormatting sqref="K402:K403">
    <cfRule type="duplicateValues" dxfId="388" priority="175"/>
  </conditionalFormatting>
  <conditionalFormatting sqref="K402:K403">
    <cfRule type="duplicateValues" dxfId="387" priority="173"/>
  </conditionalFormatting>
  <conditionalFormatting sqref="K402:K403">
    <cfRule type="duplicateValues" dxfId="386" priority="171"/>
  </conditionalFormatting>
  <conditionalFormatting sqref="K402:K403">
    <cfRule type="duplicateValues" dxfId="385" priority="169"/>
  </conditionalFormatting>
  <conditionalFormatting sqref="C406:C414">
    <cfRule type="duplicateValues" dxfId="384" priority="168"/>
  </conditionalFormatting>
  <conditionalFormatting sqref="C406:C414">
    <cfRule type="duplicateValues" dxfId="383" priority="167"/>
  </conditionalFormatting>
  <conditionalFormatting sqref="K406:K414">
    <cfRule type="duplicateValues" dxfId="382" priority="166"/>
  </conditionalFormatting>
  <conditionalFormatting sqref="C406:C414">
    <cfRule type="duplicateValues" dxfId="381" priority="165"/>
  </conditionalFormatting>
  <conditionalFormatting sqref="K406:K414">
    <cfRule type="duplicateValues" dxfId="380" priority="164"/>
  </conditionalFormatting>
  <conditionalFormatting sqref="K406:K414">
    <cfRule type="duplicateValues" dxfId="379" priority="163"/>
  </conditionalFormatting>
  <conditionalFormatting sqref="C406:C414">
    <cfRule type="duplicateValues" dxfId="378" priority="162"/>
  </conditionalFormatting>
  <conditionalFormatting sqref="K406:K414">
    <cfRule type="duplicateValues" dxfId="377" priority="161"/>
  </conditionalFormatting>
  <conditionalFormatting sqref="C406:C414">
    <cfRule type="duplicateValues" dxfId="376" priority="160"/>
  </conditionalFormatting>
  <conditionalFormatting sqref="C406:C414">
    <cfRule type="duplicateValues" dxfId="375" priority="159"/>
  </conditionalFormatting>
  <conditionalFormatting sqref="C406:C414">
    <cfRule type="duplicateValues" dxfId="374" priority="158"/>
  </conditionalFormatting>
  <conditionalFormatting sqref="K406:K414">
    <cfRule type="duplicateValues" dxfId="373" priority="157"/>
  </conditionalFormatting>
  <conditionalFormatting sqref="C406:C414">
    <cfRule type="duplicateValues" dxfId="372" priority="156"/>
  </conditionalFormatting>
  <conditionalFormatting sqref="K406:K414">
    <cfRule type="duplicateValues" dxfId="371" priority="155"/>
  </conditionalFormatting>
  <conditionalFormatting sqref="C406:C414">
    <cfRule type="duplicateValues" dxfId="370" priority="146"/>
  </conditionalFormatting>
  <conditionalFormatting sqref="C406:C414">
    <cfRule type="duplicateValues" dxfId="369" priority="145"/>
  </conditionalFormatting>
  <conditionalFormatting sqref="K406:K414">
    <cfRule type="duplicateValues" dxfId="368" priority="144"/>
  </conditionalFormatting>
  <conditionalFormatting sqref="C406:C414">
    <cfRule type="duplicateValues" dxfId="367" priority="143"/>
  </conditionalFormatting>
  <conditionalFormatting sqref="K406:K414">
    <cfRule type="duplicateValues" dxfId="366" priority="142"/>
  </conditionalFormatting>
  <conditionalFormatting sqref="C406:C414">
    <cfRule type="duplicateValues" dxfId="365" priority="141"/>
  </conditionalFormatting>
  <conditionalFormatting sqref="K406:K414">
    <cfRule type="duplicateValues" dxfId="364" priority="140"/>
  </conditionalFormatting>
  <conditionalFormatting sqref="C406:C414">
    <cfRule type="duplicateValues" dxfId="363" priority="139"/>
  </conditionalFormatting>
  <conditionalFormatting sqref="K406:K414">
    <cfRule type="duplicateValues" dxfId="362" priority="138"/>
  </conditionalFormatting>
  <conditionalFormatting sqref="C417">
    <cfRule type="duplicateValues" dxfId="361" priority="92"/>
  </conditionalFormatting>
  <conditionalFormatting sqref="C417">
    <cfRule type="duplicateValues" dxfId="360" priority="91"/>
  </conditionalFormatting>
  <conditionalFormatting sqref="K417">
    <cfRule type="duplicateValues" dxfId="359" priority="90"/>
  </conditionalFormatting>
  <conditionalFormatting sqref="C417">
    <cfRule type="duplicateValues" dxfId="358" priority="89"/>
  </conditionalFormatting>
  <conditionalFormatting sqref="K417">
    <cfRule type="duplicateValues" dxfId="357" priority="88"/>
  </conditionalFormatting>
  <conditionalFormatting sqref="C417">
    <cfRule type="duplicateValues" dxfId="356" priority="87"/>
  </conditionalFormatting>
  <conditionalFormatting sqref="K417">
    <cfRule type="duplicateValues" dxfId="355" priority="86"/>
  </conditionalFormatting>
  <conditionalFormatting sqref="C417">
    <cfRule type="duplicateValues" dxfId="354" priority="85"/>
  </conditionalFormatting>
  <conditionalFormatting sqref="K417">
    <cfRule type="duplicateValues" dxfId="353" priority="84"/>
  </conditionalFormatting>
  <conditionalFormatting sqref="C421">
    <cfRule type="duplicateValues" dxfId="352" priority="83"/>
  </conditionalFormatting>
  <conditionalFormatting sqref="C421">
    <cfRule type="duplicateValues" dxfId="351" priority="82"/>
  </conditionalFormatting>
  <conditionalFormatting sqref="K421">
    <cfRule type="duplicateValues" dxfId="350" priority="81"/>
  </conditionalFormatting>
  <conditionalFormatting sqref="C421">
    <cfRule type="duplicateValues" dxfId="349" priority="80"/>
  </conditionalFormatting>
  <conditionalFormatting sqref="K421">
    <cfRule type="duplicateValues" dxfId="348" priority="79"/>
  </conditionalFormatting>
  <conditionalFormatting sqref="C421">
    <cfRule type="duplicateValues" dxfId="347" priority="78"/>
  </conditionalFormatting>
  <conditionalFormatting sqref="K421">
    <cfRule type="duplicateValues" dxfId="346" priority="77"/>
  </conditionalFormatting>
  <conditionalFormatting sqref="C421">
    <cfRule type="duplicateValues" dxfId="345" priority="76"/>
  </conditionalFormatting>
  <conditionalFormatting sqref="K421">
    <cfRule type="duplicateValues" dxfId="344" priority="75"/>
  </conditionalFormatting>
  <conditionalFormatting sqref="K430">
    <cfRule type="duplicateValues" dxfId="343" priority="63"/>
  </conditionalFormatting>
  <conditionalFormatting sqref="K430">
    <cfRule type="duplicateValues" dxfId="342" priority="61"/>
  </conditionalFormatting>
  <conditionalFormatting sqref="K430">
    <cfRule type="duplicateValues" dxfId="341" priority="59"/>
  </conditionalFormatting>
  <conditionalFormatting sqref="K430">
    <cfRule type="duplicateValues" dxfId="340" priority="57"/>
  </conditionalFormatting>
  <conditionalFormatting sqref="C333:C336">
    <cfRule type="duplicateValues" dxfId="339" priority="750"/>
  </conditionalFormatting>
  <conditionalFormatting sqref="K361">
    <cfRule type="duplicateValues" dxfId="338" priority="56"/>
  </conditionalFormatting>
  <conditionalFormatting sqref="K361">
    <cfRule type="duplicateValues" dxfId="337" priority="55"/>
  </conditionalFormatting>
  <conditionalFormatting sqref="K360">
    <cfRule type="duplicateValues" dxfId="336" priority="54"/>
  </conditionalFormatting>
  <conditionalFormatting sqref="K360">
    <cfRule type="duplicateValues" dxfId="335" priority="53"/>
  </conditionalFormatting>
  <conditionalFormatting sqref="K385">
    <cfRule type="duplicateValues" dxfId="334" priority="52"/>
  </conditionalFormatting>
  <conditionalFormatting sqref="K385">
    <cfRule type="duplicateValues" dxfId="333" priority="51"/>
  </conditionalFormatting>
  <conditionalFormatting sqref="K384">
    <cfRule type="duplicateValues" dxfId="332" priority="50"/>
  </conditionalFormatting>
  <conditionalFormatting sqref="K384">
    <cfRule type="duplicateValues" dxfId="331" priority="49"/>
  </conditionalFormatting>
  <conditionalFormatting sqref="K385">
    <cfRule type="duplicateValues" dxfId="330" priority="48"/>
  </conditionalFormatting>
  <conditionalFormatting sqref="K385">
    <cfRule type="duplicateValues" dxfId="329" priority="47"/>
  </conditionalFormatting>
  <conditionalFormatting sqref="K385">
    <cfRule type="duplicateValues" dxfId="328" priority="46"/>
  </conditionalFormatting>
  <conditionalFormatting sqref="K385">
    <cfRule type="duplicateValues" dxfId="327" priority="45"/>
  </conditionalFormatting>
  <conditionalFormatting sqref="K385">
    <cfRule type="duplicateValues" dxfId="326" priority="44"/>
  </conditionalFormatting>
  <conditionalFormatting sqref="K385">
    <cfRule type="duplicateValues" dxfId="325" priority="43"/>
  </conditionalFormatting>
  <conditionalFormatting sqref="K385">
    <cfRule type="duplicateValues" dxfId="324" priority="42"/>
  </conditionalFormatting>
  <conditionalFormatting sqref="K385">
    <cfRule type="duplicateValues" dxfId="323" priority="41"/>
  </conditionalFormatting>
  <conditionalFormatting sqref="K385">
    <cfRule type="duplicateValues" dxfId="322" priority="40"/>
  </conditionalFormatting>
  <conditionalFormatting sqref="K385">
    <cfRule type="duplicateValues" dxfId="321" priority="39"/>
  </conditionalFormatting>
  <conditionalFormatting sqref="B288">
    <cfRule type="duplicateValues" dxfId="320" priority="2"/>
  </conditionalFormatting>
  <conditionalFormatting sqref="B429">
    <cfRule type="duplicateValues" dxfId="319" priority="1"/>
  </conditionalFormatting>
  <hyperlinks>
    <hyperlink ref="A190" r:id="rId1" xr:uid="{BA5244C5-447A-4B69-911B-7FB05FD41BC1}"/>
  </hyperlinks>
  <printOptions gridLines="1"/>
  <pageMargins left="0.70866141732283472" right="0.70866141732283472" top="0.74803149606299213" bottom="0.74803149606299213" header="0" footer="0"/>
  <pageSetup paperSize="11" scale="50"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OsszesKijelolesTorlese">
                <anchor moveWithCells="1" sizeWithCells="1">
                  <from>
                    <xdr:col>11</xdr:col>
                    <xdr:colOff>94891</xdr:colOff>
                    <xdr:row>1</xdr:row>
                    <xdr:rowOff>17253</xdr:rowOff>
                  </from>
                  <to>
                    <xdr:col>13</xdr:col>
                    <xdr:colOff>0</xdr:colOff>
                    <xdr:row>2</xdr:row>
                    <xdr:rowOff>172528</xdr:rowOff>
                  </to>
                </anchor>
              </controlPr>
            </control>
          </mc:Choice>
        </mc:AlternateContent>
        <mc:AlternateContent xmlns:mc="http://schemas.openxmlformats.org/markup-compatibility/2006">
          <mc:Choice Requires="x14">
            <control shapeId="5123" r:id="rId6" name="Button 3">
              <controlPr defaultSize="0" print="0" autoFill="0" autoPict="0" macro="[0]!Csomagok_kivalasztasa_es_atvitele_x_es_space">
                <anchor moveWithCells="1" sizeWithCells="1">
                  <from>
                    <xdr:col>1</xdr:col>
                    <xdr:colOff>1794294</xdr:colOff>
                    <xdr:row>1</xdr:row>
                    <xdr:rowOff>34506</xdr:rowOff>
                  </from>
                  <to>
                    <xdr:col>1</xdr:col>
                    <xdr:colOff>5201728</xdr:colOff>
                    <xdr:row>1</xdr:row>
                    <xdr:rowOff>422694</xdr:rowOff>
                  </to>
                </anchor>
              </controlPr>
            </control>
          </mc:Choice>
        </mc:AlternateContent>
        <mc:AlternateContent xmlns:mc="http://schemas.openxmlformats.org/markup-compatibility/2006">
          <mc:Choice Requires="x14">
            <control shapeId="5124" r:id="rId7" name="Button 4">
              <controlPr defaultSize="0" print="0" autoFill="0" autoPict="0" macro="[0]!KiemelesTeljesSorbanKiveveAesMesRendezes">
                <anchor moveWithCells="1" sizeWithCells="1">
                  <from>
                    <xdr:col>0</xdr:col>
                    <xdr:colOff>94891</xdr:colOff>
                    <xdr:row>1</xdr:row>
                    <xdr:rowOff>34506</xdr:rowOff>
                  </from>
                  <to>
                    <xdr:col>0</xdr:col>
                    <xdr:colOff>854015</xdr:colOff>
                    <xdr:row>1</xdr:row>
                    <xdr:rowOff>422694</xdr:rowOff>
                  </to>
                </anchor>
              </controlPr>
            </control>
          </mc:Choice>
        </mc:AlternateContent>
        <mc:AlternateContent xmlns:mc="http://schemas.openxmlformats.org/markup-compatibility/2006">
          <mc:Choice Requires="x14">
            <control shapeId="5125" r:id="rId8" name="Button 5">
              <controlPr defaultSize="0" print="0" autoFill="0" autoPict="0" macro="[0]!Visszaszinez_Abol_L_vilagosturkiz_M_kihagyva">
                <anchor moveWithCells="1" sizeWithCells="1">
                  <from>
                    <xdr:col>1</xdr:col>
                    <xdr:colOff>172528</xdr:colOff>
                    <xdr:row>1</xdr:row>
                    <xdr:rowOff>34506</xdr:rowOff>
                  </from>
                  <to>
                    <xdr:col>1</xdr:col>
                    <xdr:colOff>1699404</xdr:colOff>
                    <xdr:row>1</xdr:row>
                    <xdr:rowOff>422694</xdr:rowOff>
                  </to>
                </anchor>
              </controlPr>
            </control>
          </mc:Choice>
        </mc:AlternateContent>
        <mc:AlternateContent xmlns:mc="http://schemas.openxmlformats.org/markup-compatibility/2006">
          <mc:Choice Requires="x14">
            <control shapeId="5126" r:id="rId9" name="Button 6">
              <controlPr defaultSize="0" print="0" autoFill="0" autoPict="0" macro="[0]!KeresesKODKiemelesTeljesSorbanKiveveAesM">
                <anchor moveWithCells="1">
                  <from>
                    <xdr:col>7</xdr:col>
                    <xdr:colOff>129396</xdr:colOff>
                    <xdr:row>1</xdr:row>
                    <xdr:rowOff>69011</xdr:rowOff>
                  </from>
                  <to>
                    <xdr:col>8</xdr:col>
                    <xdr:colOff>793630</xdr:colOff>
                    <xdr:row>1</xdr:row>
                    <xdr:rowOff>431321</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ACC939-08CF-3C4D-86A8-53E56E24FEB8}">
  <sheetPr codeName="Munka5">
    <tabColor rgb="FFFF33CC"/>
  </sheetPr>
  <dimension ref="A1:BB1152"/>
  <sheetViews>
    <sheetView zoomScaleNormal="100" workbookViewId="0">
      <pane xSplit="1" ySplit="2" topLeftCell="B3" activePane="bottomRight" state="frozen"/>
      <selection pane="topRight" activeCell="B1" sqref="B1"/>
      <selection pane="bottomLeft" activeCell="A2" sqref="A2"/>
      <selection pane="bottomRight" activeCell="H26" sqref="H26"/>
    </sheetView>
  </sheetViews>
  <sheetFormatPr defaultColWidth="10.77734375" defaultRowHeight="15.65" outlineLevelRow="1"/>
  <cols>
    <col min="1" max="1" width="46.44140625" style="890" customWidth="1"/>
    <col min="2" max="2" width="41.33203125" style="1002" customWidth="1"/>
    <col min="3" max="3" width="17.77734375" style="1002" hidden="1" customWidth="1"/>
    <col min="4" max="4" width="17.77734375" style="890" customWidth="1"/>
    <col min="5" max="5" width="16.44140625" style="890" bestFit="1" customWidth="1"/>
    <col min="6" max="6" width="16.44140625" style="890" hidden="1" customWidth="1"/>
    <col min="7" max="7" width="13.33203125" style="1002" customWidth="1"/>
    <col min="8" max="8" width="10.77734375" style="1003"/>
    <col min="9" max="9" width="25.77734375" style="890" customWidth="1"/>
    <col min="10" max="10" width="9.21875" style="890" customWidth="1"/>
    <col min="11" max="11" width="15.21875" style="890" customWidth="1"/>
    <col min="12" max="12" width="10.77734375" style="890" hidden="1" customWidth="1"/>
    <col min="13" max="24" width="10.77734375" style="890" customWidth="1"/>
    <col min="25" max="16384" width="10.77734375" style="890"/>
  </cols>
  <sheetData>
    <row r="1" spans="1:29" ht="54" customHeight="1" thickBot="1">
      <c r="E1" s="887">
        <f ca="1">'Összesítő lap'!F94</f>
        <v>3500</v>
      </c>
    </row>
    <row r="2" spans="1:29" ht="31.95" thickBot="1">
      <c r="A2" s="885" t="s">
        <v>439</v>
      </c>
      <c r="B2" s="886" t="s">
        <v>5878</v>
      </c>
      <c r="C2" s="886" t="s">
        <v>557</v>
      </c>
      <c r="D2" s="1303" t="s">
        <v>2730</v>
      </c>
      <c r="E2" s="1330" t="s">
        <v>5900</v>
      </c>
      <c r="F2" s="888" t="s">
        <v>2729</v>
      </c>
      <c r="G2" s="885" t="s">
        <v>0</v>
      </c>
      <c r="H2" s="1119"/>
      <c r="I2" s="885" t="s">
        <v>449</v>
      </c>
      <c r="J2" s="889" t="s">
        <v>526</v>
      </c>
      <c r="K2" s="886" t="s">
        <v>491</v>
      </c>
      <c r="L2" s="1032" t="s">
        <v>5901</v>
      </c>
    </row>
    <row r="3" spans="1:29" s="1022" customFormat="1" ht="16.3" thickBot="1">
      <c r="A3" s="891" t="s">
        <v>1122</v>
      </c>
      <c r="B3" s="892" t="s">
        <v>2731</v>
      </c>
      <c r="C3" s="893">
        <f>SUM(C4:C24)</f>
        <v>3179</v>
      </c>
      <c r="D3" s="893">
        <f>SUM(D4:D24)</f>
        <v>12140</v>
      </c>
      <c r="E3" s="1331">
        <v>7500</v>
      </c>
      <c r="F3" s="893">
        <f>SUM(F4:F24)</f>
        <v>4132.6999999999989</v>
      </c>
      <c r="G3" s="894"/>
      <c r="H3" s="895"/>
      <c r="I3" s="902" t="str">
        <f>IF(H3="x",CONCATENATE(A3,"; "),"")</f>
        <v/>
      </c>
      <c r="J3" s="1021"/>
      <c r="K3" s="903"/>
      <c r="L3" s="899">
        <f>E3-C3</f>
        <v>4321</v>
      </c>
      <c r="M3" s="899"/>
      <c r="N3" s="904"/>
      <c r="O3" s="905"/>
      <c r="P3" s="899"/>
      <c r="Q3" s="899"/>
      <c r="R3" s="898"/>
      <c r="S3" s="899"/>
      <c r="T3" s="899"/>
      <c r="U3" s="904"/>
      <c r="V3" s="905"/>
      <c r="W3" s="902"/>
      <c r="X3" s="897"/>
      <c r="Y3" s="898"/>
      <c r="Z3" s="902"/>
      <c r="AA3" s="902"/>
      <c r="AB3" s="902"/>
      <c r="AC3" s="902"/>
    </row>
    <row r="4" spans="1:29" s="902" customFormat="1" ht="13.95" hidden="1" customHeight="1" outlineLevel="1">
      <c r="A4" s="897" t="s">
        <v>1861</v>
      </c>
      <c r="B4" s="898" t="s">
        <v>1862</v>
      </c>
      <c r="C4" s="898">
        <v>175</v>
      </c>
      <c r="D4" s="899">
        <v>1200</v>
      </c>
      <c r="E4" s="1332">
        <v>400</v>
      </c>
      <c r="F4" s="899">
        <f>C4*1.3</f>
        <v>227.5</v>
      </c>
      <c r="G4" s="900"/>
      <c r="H4" s="895"/>
      <c r="J4" s="1023"/>
      <c r="K4" s="903"/>
      <c r="L4" s="899">
        <f t="shared" ref="L4:L25" si="0">E4-C4</f>
        <v>225</v>
      </c>
      <c r="M4" s="903"/>
      <c r="N4" s="903"/>
      <c r="O4" s="903"/>
      <c r="P4" s="903"/>
      <c r="S4" s="903"/>
    </row>
    <row r="5" spans="1:29" s="902" customFormat="1" ht="13.95" hidden="1" customHeight="1" outlineLevel="1">
      <c r="A5" s="897" t="s">
        <v>685</v>
      </c>
      <c r="B5" s="898" t="s">
        <v>1539</v>
      </c>
      <c r="C5" s="898">
        <v>69</v>
      </c>
      <c r="D5" s="899">
        <v>200</v>
      </c>
      <c r="E5" s="1332">
        <v>200</v>
      </c>
      <c r="F5" s="899">
        <f t="shared" ref="F5:F24" si="1">C5*1.3</f>
        <v>89.7</v>
      </c>
      <c r="G5" s="900"/>
      <c r="H5" s="895"/>
      <c r="J5" s="1021"/>
      <c r="K5" s="903"/>
      <c r="L5" s="899">
        <f t="shared" si="0"/>
        <v>131</v>
      </c>
      <c r="M5" s="899"/>
      <c r="N5" s="904"/>
      <c r="O5" s="905"/>
      <c r="P5" s="899"/>
      <c r="Q5" s="899"/>
      <c r="R5" s="898"/>
      <c r="S5" s="899"/>
      <c r="T5" s="899"/>
      <c r="U5" s="904"/>
      <c r="V5" s="905"/>
      <c r="X5" s="897"/>
      <c r="Y5" s="898"/>
    </row>
    <row r="6" spans="1:29" s="902" customFormat="1" ht="13.95" hidden="1" customHeight="1" outlineLevel="1">
      <c r="A6" s="897" t="s">
        <v>1569</v>
      </c>
      <c r="B6" s="898" t="s">
        <v>27</v>
      </c>
      <c r="C6" s="898">
        <v>69</v>
      </c>
      <c r="D6" s="899">
        <v>600</v>
      </c>
      <c r="E6" s="1332">
        <v>300</v>
      </c>
      <c r="F6" s="899">
        <f t="shared" si="1"/>
        <v>89.7</v>
      </c>
      <c r="G6" s="900"/>
      <c r="H6" s="895"/>
      <c r="J6" s="1021"/>
      <c r="K6" s="903"/>
      <c r="L6" s="899">
        <f t="shared" si="0"/>
        <v>231</v>
      </c>
      <c r="M6" s="899"/>
      <c r="N6" s="904"/>
      <c r="O6" s="905"/>
      <c r="P6" s="899"/>
      <c r="Q6" s="899"/>
      <c r="R6" s="898"/>
      <c r="S6" s="899"/>
      <c r="T6" s="899"/>
      <c r="U6" s="904"/>
      <c r="V6" s="905"/>
      <c r="X6" s="897"/>
      <c r="Y6" s="898"/>
    </row>
    <row r="7" spans="1:29" ht="13.95" hidden="1" customHeight="1" outlineLevel="1">
      <c r="A7" s="897" t="s">
        <v>1607</v>
      </c>
      <c r="B7" s="898" t="s">
        <v>22</v>
      </c>
      <c r="C7" s="898">
        <v>135</v>
      </c>
      <c r="D7" s="899">
        <v>200</v>
      </c>
      <c r="E7" s="1332">
        <v>200</v>
      </c>
      <c r="F7" s="899">
        <f t="shared" si="1"/>
        <v>175.5</v>
      </c>
      <c r="G7" s="900"/>
      <c r="H7" s="895"/>
      <c r="I7" s="902"/>
      <c r="J7" s="897"/>
      <c r="K7" s="903"/>
      <c r="L7" s="899">
        <f t="shared" si="0"/>
        <v>65</v>
      </c>
      <c r="M7" s="899"/>
      <c r="N7" s="904"/>
      <c r="O7" s="905"/>
      <c r="P7" s="899"/>
      <c r="Q7" s="899"/>
      <c r="R7" s="898"/>
      <c r="S7" s="899"/>
      <c r="T7" s="899"/>
      <c r="U7" s="904"/>
      <c r="V7" s="905"/>
      <c r="W7" s="902"/>
      <c r="X7" s="897"/>
      <c r="Y7" s="898"/>
      <c r="Z7" s="902"/>
      <c r="AA7" s="902"/>
      <c r="AB7" s="902"/>
      <c r="AC7" s="902"/>
    </row>
    <row r="8" spans="1:29" ht="17" hidden="1" customHeight="1" outlineLevel="1">
      <c r="A8" s="897" t="s">
        <v>527</v>
      </c>
      <c r="B8" s="898" t="s">
        <v>1831</v>
      </c>
      <c r="C8" s="898">
        <v>340</v>
      </c>
      <c r="D8" s="899">
        <v>1200</v>
      </c>
      <c r="E8" s="1332">
        <v>500</v>
      </c>
      <c r="F8" s="899">
        <f t="shared" si="1"/>
        <v>442</v>
      </c>
      <c r="G8" s="900"/>
      <c r="H8" s="895"/>
      <c r="I8" s="902"/>
      <c r="J8" s="897"/>
      <c r="K8" s="903"/>
      <c r="L8" s="899">
        <f t="shared" si="0"/>
        <v>160</v>
      </c>
      <c r="M8" s="899"/>
      <c r="N8" s="904"/>
      <c r="O8" s="905"/>
      <c r="P8" s="899"/>
      <c r="Q8" s="899"/>
      <c r="R8" s="898"/>
      <c r="S8" s="899"/>
      <c r="T8" s="899"/>
      <c r="U8" s="904"/>
      <c r="V8" s="905"/>
      <c r="W8" s="902"/>
      <c r="X8" s="897"/>
      <c r="Y8" s="898"/>
      <c r="Z8" s="902"/>
      <c r="AA8" s="902"/>
      <c r="AB8" s="902"/>
      <c r="AC8" s="902"/>
    </row>
    <row r="9" spans="1:29" ht="13.95" hidden="1" customHeight="1" outlineLevel="1">
      <c r="A9" s="897" t="s">
        <v>1391</v>
      </c>
      <c r="B9" s="898" t="s">
        <v>1392</v>
      </c>
      <c r="C9" s="898">
        <v>69</v>
      </c>
      <c r="D9" s="899">
        <v>400</v>
      </c>
      <c r="E9" s="1332">
        <v>300</v>
      </c>
      <c r="F9" s="899">
        <f t="shared" si="1"/>
        <v>89.7</v>
      </c>
      <c r="G9" s="900"/>
      <c r="H9" s="895"/>
      <c r="I9" s="902"/>
      <c r="J9" s="897"/>
      <c r="K9" s="903"/>
      <c r="L9" s="899">
        <f t="shared" si="0"/>
        <v>231</v>
      </c>
      <c r="M9" s="899"/>
      <c r="N9" s="904"/>
      <c r="O9" s="905"/>
      <c r="P9" s="899"/>
      <c r="Q9" s="899"/>
      <c r="R9" s="898"/>
      <c r="S9" s="899"/>
      <c r="T9" s="899"/>
      <c r="U9" s="904"/>
      <c r="V9" s="905"/>
      <c r="W9" s="902"/>
      <c r="X9" s="897"/>
      <c r="Y9" s="898"/>
      <c r="Z9" s="902"/>
      <c r="AA9" s="902"/>
      <c r="AB9" s="902"/>
      <c r="AC9" s="902"/>
    </row>
    <row r="10" spans="1:29" ht="13.95" hidden="1" customHeight="1" outlineLevel="1">
      <c r="A10" s="897" t="s">
        <v>1824</v>
      </c>
      <c r="B10" s="898" t="s">
        <v>861</v>
      </c>
      <c r="C10" s="898">
        <v>135</v>
      </c>
      <c r="D10" s="899">
        <v>600</v>
      </c>
      <c r="E10" s="1332">
        <v>600</v>
      </c>
      <c r="F10" s="899">
        <f t="shared" si="1"/>
        <v>175.5</v>
      </c>
      <c r="G10" s="900"/>
      <c r="H10" s="895"/>
      <c r="I10" s="902"/>
      <c r="J10" s="897"/>
      <c r="K10" s="903"/>
      <c r="L10" s="899">
        <f t="shared" si="0"/>
        <v>465</v>
      </c>
      <c r="M10" s="899"/>
      <c r="N10" s="904"/>
      <c r="O10" s="905"/>
      <c r="P10" s="899"/>
      <c r="Q10" s="899"/>
      <c r="R10" s="898"/>
      <c r="S10" s="899"/>
      <c r="T10" s="899"/>
      <c r="U10" s="904"/>
      <c r="V10" s="905"/>
      <c r="W10" s="902"/>
      <c r="X10" s="897"/>
      <c r="Y10" s="898"/>
      <c r="Z10" s="902"/>
      <c r="AA10" s="902"/>
      <c r="AB10" s="902"/>
      <c r="AC10" s="902"/>
    </row>
    <row r="11" spans="1:29" ht="13.95" hidden="1" customHeight="1" outlineLevel="1">
      <c r="A11" s="897" t="s">
        <v>1621</v>
      </c>
      <c r="B11" s="898" t="s">
        <v>2346</v>
      </c>
      <c r="C11" s="898">
        <v>175</v>
      </c>
      <c r="D11" s="899">
        <v>400</v>
      </c>
      <c r="E11" s="1332">
        <v>400</v>
      </c>
      <c r="F11" s="899">
        <f t="shared" si="1"/>
        <v>227.5</v>
      </c>
      <c r="G11" s="900"/>
      <c r="H11" s="895"/>
      <c r="I11" s="902"/>
      <c r="J11" s="897"/>
      <c r="K11" s="903"/>
      <c r="L11" s="899">
        <f t="shared" si="0"/>
        <v>225</v>
      </c>
      <c r="M11" s="899"/>
      <c r="N11" s="904"/>
      <c r="O11" s="905"/>
      <c r="P11" s="899"/>
      <c r="Q11" s="899"/>
      <c r="R11" s="898"/>
      <c r="S11" s="899"/>
      <c r="T11" s="899"/>
      <c r="U11" s="904"/>
      <c r="V11" s="905"/>
      <c r="W11" s="902"/>
      <c r="X11" s="897"/>
      <c r="Y11" s="898"/>
      <c r="Z11" s="902"/>
      <c r="AA11" s="902"/>
      <c r="AB11" s="902"/>
      <c r="AC11" s="902"/>
    </row>
    <row r="12" spans="1:29" ht="13.95" hidden="1" customHeight="1" outlineLevel="1">
      <c r="A12" s="897" t="s">
        <v>1807</v>
      </c>
      <c r="B12" s="898" t="s">
        <v>30</v>
      </c>
      <c r="C12" s="898">
        <v>460</v>
      </c>
      <c r="D12" s="899">
        <v>850</v>
      </c>
      <c r="E12" s="1332">
        <v>460</v>
      </c>
      <c r="F12" s="899">
        <f t="shared" si="1"/>
        <v>598</v>
      </c>
      <c r="G12" s="900"/>
      <c r="H12" s="895"/>
      <c r="I12" s="902"/>
      <c r="J12" s="897"/>
      <c r="K12" s="903"/>
      <c r="L12" s="899">
        <f>E12-C12</f>
        <v>0</v>
      </c>
      <c r="M12" s="899"/>
      <c r="N12" s="904"/>
      <c r="O12" s="905"/>
      <c r="P12" s="899"/>
      <c r="Q12" s="899"/>
      <c r="R12" s="898"/>
      <c r="S12" s="899"/>
      <c r="T12" s="899"/>
      <c r="U12" s="904"/>
      <c r="V12" s="905"/>
      <c r="W12" s="902"/>
      <c r="X12" s="897"/>
      <c r="Y12" s="898"/>
      <c r="Z12" s="902"/>
      <c r="AA12" s="902"/>
      <c r="AB12" s="902"/>
      <c r="AC12" s="902"/>
    </row>
    <row r="13" spans="1:29" ht="13.95" hidden="1" customHeight="1" outlineLevel="1">
      <c r="A13" s="897" t="s">
        <v>1608</v>
      </c>
      <c r="B13" s="898" t="s">
        <v>19</v>
      </c>
      <c r="C13" s="898">
        <v>69</v>
      </c>
      <c r="D13" s="899">
        <v>600</v>
      </c>
      <c r="E13" s="1332">
        <v>400</v>
      </c>
      <c r="F13" s="899">
        <f t="shared" si="1"/>
        <v>89.7</v>
      </c>
      <c r="G13" s="900"/>
      <c r="H13" s="895"/>
      <c r="I13" s="902"/>
      <c r="J13" s="897"/>
      <c r="K13" s="903"/>
      <c r="L13" s="899">
        <f t="shared" si="0"/>
        <v>331</v>
      </c>
      <c r="M13" s="899"/>
      <c r="N13" s="904"/>
      <c r="O13" s="905"/>
      <c r="P13" s="899"/>
      <c r="Q13" s="899"/>
      <c r="R13" s="898"/>
      <c r="S13" s="899"/>
      <c r="T13" s="899"/>
      <c r="U13" s="904"/>
      <c r="V13" s="905"/>
      <c r="W13" s="902"/>
      <c r="X13" s="897"/>
      <c r="Y13" s="898"/>
      <c r="Z13" s="902"/>
      <c r="AA13" s="902"/>
      <c r="AB13" s="902"/>
      <c r="AC13" s="902"/>
    </row>
    <row r="14" spans="1:29" ht="13.95" hidden="1" customHeight="1" outlineLevel="1">
      <c r="A14" s="897" t="s">
        <v>1813</v>
      </c>
      <c r="B14" s="898" t="s">
        <v>505</v>
      </c>
      <c r="C14" s="898">
        <v>69</v>
      </c>
      <c r="D14" s="899">
        <v>600</v>
      </c>
      <c r="E14" s="1332">
        <v>350</v>
      </c>
      <c r="F14" s="899">
        <f t="shared" si="1"/>
        <v>89.7</v>
      </c>
      <c r="G14" s="900"/>
      <c r="H14" s="895"/>
      <c r="I14" s="902"/>
      <c r="J14" s="897"/>
      <c r="K14" s="903"/>
      <c r="L14" s="899">
        <f t="shared" si="0"/>
        <v>281</v>
      </c>
      <c r="M14" s="899"/>
      <c r="N14" s="904"/>
      <c r="O14" s="905"/>
      <c r="P14" s="899"/>
      <c r="Q14" s="899"/>
      <c r="R14" s="898"/>
      <c r="S14" s="899"/>
      <c r="T14" s="899"/>
      <c r="U14" s="904"/>
      <c r="V14" s="905"/>
      <c r="W14" s="902"/>
      <c r="X14" s="897"/>
      <c r="Y14" s="898"/>
      <c r="Z14" s="902"/>
      <c r="AA14" s="902"/>
      <c r="AB14" s="902"/>
      <c r="AC14" s="902"/>
    </row>
    <row r="15" spans="1:29" ht="13.95" hidden="1" customHeight="1" outlineLevel="1">
      <c r="A15" s="897" t="s">
        <v>1693</v>
      </c>
      <c r="B15" s="898" t="s">
        <v>21</v>
      </c>
      <c r="C15" s="898">
        <v>135</v>
      </c>
      <c r="D15" s="899">
        <v>200</v>
      </c>
      <c r="E15" s="1332">
        <v>200</v>
      </c>
      <c r="F15" s="899">
        <f t="shared" si="1"/>
        <v>175.5</v>
      </c>
      <c r="G15" s="900"/>
      <c r="H15" s="895"/>
      <c r="I15" s="902"/>
      <c r="J15" s="897"/>
      <c r="K15" s="903"/>
      <c r="L15" s="899">
        <f t="shared" si="0"/>
        <v>65</v>
      </c>
      <c r="M15" s="899"/>
      <c r="N15" s="904"/>
      <c r="O15" s="905"/>
      <c r="P15" s="899"/>
      <c r="Q15" s="899"/>
      <c r="R15" s="898"/>
      <c r="S15" s="899"/>
      <c r="T15" s="899"/>
      <c r="U15" s="904"/>
      <c r="V15" s="905"/>
      <c r="W15" s="902"/>
      <c r="X15" s="897"/>
      <c r="Y15" s="898"/>
      <c r="Z15" s="902"/>
      <c r="AA15" s="902"/>
      <c r="AB15" s="902"/>
      <c r="AC15" s="902"/>
    </row>
    <row r="16" spans="1:29" ht="13.95" hidden="1" customHeight="1" outlineLevel="1">
      <c r="A16" s="897" t="s">
        <v>1613</v>
      </c>
      <c r="B16" s="898" t="s">
        <v>32</v>
      </c>
      <c r="C16" s="898">
        <v>69</v>
      </c>
      <c r="D16" s="899">
        <v>200</v>
      </c>
      <c r="E16" s="1332">
        <v>200</v>
      </c>
      <c r="F16" s="899">
        <f t="shared" si="1"/>
        <v>89.7</v>
      </c>
      <c r="G16" s="900"/>
      <c r="H16" s="895"/>
      <c r="I16" s="902"/>
      <c r="J16" s="897"/>
      <c r="K16" s="903"/>
      <c r="L16" s="899">
        <f t="shared" si="0"/>
        <v>131</v>
      </c>
      <c r="M16" s="899"/>
      <c r="N16" s="904"/>
      <c r="O16" s="905"/>
      <c r="P16" s="899"/>
      <c r="Q16" s="899"/>
      <c r="R16" s="898"/>
      <c r="S16" s="899"/>
      <c r="T16" s="899"/>
      <c r="U16" s="904"/>
      <c r="V16" s="905"/>
      <c r="W16" s="902"/>
      <c r="X16" s="897"/>
      <c r="Y16" s="898"/>
      <c r="Z16" s="902"/>
      <c r="AA16" s="902"/>
      <c r="AB16" s="902"/>
      <c r="AC16" s="902"/>
    </row>
    <row r="17" spans="1:29" ht="13.95" hidden="1" customHeight="1" outlineLevel="1">
      <c r="A17" s="897" t="s">
        <v>649</v>
      </c>
      <c r="B17" s="898" t="s">
        <v>649</v>
      </c>
      <c r="C17" s="898">
        <v>460</v>
      </c>
      <c r="D17" s="899">
        <v>1400</v>
      </c>
      <c r="E17" s="1332">
        <v>500</v>
      </c>
      <c r="F17" s="899">
        <f t="shared" si="1"/>
        <v>598</v>
      </c>
      <c r="G17" s="900"/>
      <c r="H17" s="895"/>
      <c r="I17" s="902"/>
      <c r="J17" s="897"/>
      <c r="K17" s="903"/>
      <c r="L17" s="899">
        <f t="shared" si="0"/>
        <v>40</v>
      </c>
      <c r="M17" s="899"/>
      <c r="N17" s="904"/>
      <c r="O17" s="905"/>
      <c r="P17" s="899"/>
      <c r="Q17" s="899"/>
      <c r="R17" s="898"/>
      <c r="S17" s="899"/>
      <c r="T17" s="899"/>
      <c r="U17" s="904"/>
      <c r="V17" s="905"/>
      <c r="W17" s="902"/>
      <c r="X17" s="897"/>
      <c r="Y17" s="898"/>
      <c r="Z17" s="902"/>
      <c r="AA17" s="902"/>
      <c r="AB17" s="902"/>
      <c r="AC17" s="902"/>
    </row>
    <row r="18" spans="1:29" ht="13.95" hidden="1" customHeight="1" outlineLevel="1">
      <c r="A18" s="897" t="s">
        <v>945</v>
      </c>
      <c r="B18" s="898" t="s">
        <v>1542</v>
      </c>
      <c r="C18" s="898">
        <v>230</v>
      </c>
      <c r="D18" s="899">
        <v>600</v>
      </c>
      <c r="E18" s="1332">
        <v>600</v>
      </c>
      <c r="F18" s="899">
        <f t="shared" si="1"/>
        <v>299</v>
      </c>
      <c r="G18" s="900"/>
      <c r="H18" s="895"/>
      <c r="I18" s="902"/>
      <c r="J18" s="897"/>
      <c r="K18" s="903"/>
      <c r="L18" s="899">
        <f t="shared" si="0"/>
        <v>370</v>
      </c>
      <c r="M18" s="899"/>
      <c r="N18" s="904"/>
      <c r="O18" s="905"/>
      <c r="P18" s="899"/>
      <c r="Q18" s="899"/>
      <c r="R18" s="898"/>
      <c r="S18" s="899"/>
      <c r="T18" s="899"/>
      <c r="U18" s="904"/>
      <c r="V18" s="905"/>
      <c r="W18" s="902"/>
      <c r="X18" s="897"/>
      <c r="Y18" s="898"/>
      <c r="Z18" s="902"/>
      <c r="AA18" s="902"/>
      <c r="AB18" s="902"/>
      <c r="AC18" s="902"/>
    </row>
    <row r="19" spans="1:29" ht="13.95" hidden="1" customHeight="1" outlineLevel="1">
      <c r="A19" s="897" t="s">
        <v>948</v>
      </c>
      <c r="B19" s="898" t="s">
        <v>1628</v>
      </c>
      <c r="C19" s="898">
        <v>175</v>
      </c>
      <c r="D19" s="899">
        <v>700</v>
      </c>
      <c r="E19" s="1332">
        <v>600</v>
      </c>
      <c r="F19" s="899">
        <f t="shared" si="1"/>
        <v>227.5</v>
      </c>
      <c r="G19" s="900"/>
      <c r="H19" s="895"/>
      <c r="I19" s="902"/>
      <c r="J19" s="897"/>
      <c r="K19" s="903"/>
      <c r="L19" s="899">
        <f t="shared" si="0"/>
        <v>425</v>
      </c>
      <c r="M19" s="899"/>
      <c r="N19" s="904"/>
      <c r="O19" s="905"/>
      <c r="P19" s="899"/>
      <c r="Q19" s="899"/>
      <c r="R19" s="898"/>
      <c r="S19" s="899"/>
      <c r="T19" s="899"/>
      <c r="U19" s="904"/>
      <c r="V19" s="905"/>
      <c r="W19" s="902"/>
      <c r="X19" s="897"/>
      <c r="Y19" s="898"/>
      <c r="Z19" s="902"/>
      <c r="AA19" s="902"/>
      <c r="AB19" s="902"/>
      <c r="AC19" s="902"/>
    </row>
    <row r="20" spans="1:29" ht="13.95" hidden="1" customHeight="1" outlineLevel="1">
      <c r="A20" s="897" t="s">
        <v>684</v>
      </c>
      <c r="B20" s="898" t="s">
        <v>1538</v>
      </c>
      <c r="C20" s="898">
        <v>69</v>
      </c>
      <c r="D20" s="899">
        <v>200</v>
      </c>
      <c r="E20" s="1332">
        <v>200</v>
      </c>
      <c r="F20" s="899">
        <f t="shared" si="1"/>
        <v>89.7</v>
      </c>
      <c r="G20" s="900"/>
      <c r="H20" s="895"/>
      <c r="I20" s="902"/>
      <c r="J20" s="897"/>
      <c r="K20" s="903"/>
      <c r="L20" s="899">
        <f t="shared" si="0"/>
        <v>131</v>
      </c>
      <c r="M20" s="899"/>
      <c r="N20" s="904"/>
      <c r="O20" s="905"/>
      <c r="P20" s="899"/>
      <c r="Q20" s="899"/>
      <c r="R20" s="898"/>
      <c r="S20" s="899"/>
      <c r="T20" s="899"/>
      <c r="U20" s="904"/>
      <c r="V20" s="905"/>
      <c r="W20" s="902"/>
      <c r="X20" s="897"/>
      <c r="Y20" s="898"/>
      <c r="Z20" s="902"/>
      <c r="AA20" s="902"/>
      <c r="AB20" s="902"/>
      <c r="AC20" s="902"/>
    </row>
    <row r="21" spans="1:29" ht="13.95" hidden="1" customHeight="1" outlineLevel="1">
      <c r="A21" s="897" t="s">
        <v>1826</v>
      </c>
      <c r="B21" s="898" t="s">
        <v>1827</v>
      </c>
      <c r="C21" s="898">
        <v>69</v>
      </c>
      <c r="D21" s="899">
        <v>640</v>
      </c>
      <c r="E21" s="1332">
        <v>300</v>
      </c>
      <c r="F21" s="899">
        <f t="shared" si="1"/>
        <v>89.7</v>
      </c>
      <c r="G21" s="900"/>
      <c r="H21" s="895"/>
      <c r="I21" s="902"/>
      <c r="J21" s="897"/>
      <c r="K21" s="903"/>
      <c r="L21" s="899">
        <f t="shared" si="0"/>
        <v>231</v>
      </c>
      <c r="M21" s="899"/>
      <c r="N21" s="904"/>
      <c r="O21" s="905"/>
      <c r="P21" s="899"/>
      <c r="Q21" s="899"/>
      <c r="R21" s="898"/>
      <c r="S21" s="899"/>
      <c r="T21" s="899"/>
      <c r="U21" s="904"/>
      <c r="V21" s="905"/>
      <c r="W21" s="902"/>
      <c r="X21" s="897"/>
      <c r="Y21" s="898"/>
      <c r="Z21" s="902"/>
      <c r="AA21" s="902"/>
      <c r="AB21" s="902"/>
      <c r="AC21" s="902"/>
    </row>
    <row r="22" spans="1:29" ht="13.95" hidden="1" customHeight="1" outlineLevel="1">
      <c r="A22" s="897" t="s">
        <v>1716</v>
      </c>
      <c r="B22" s="898" t="s">
        <v>25</v>
      </c>
      <c r="C22" s="898">
        <v>69</v>
      </c>
      <c r="D22" s="899">
        <v>600</v>
      </c>
      <c r="E22" s="1332">
        <v>300</v>
      </c>
      <c r="F22" s="899">
        <f t="shared" si="1"/>
        <v>89.7</v>
      </c>
      <c r="G22" s="900"/>
      <c r="H22" s="895"/>
      <c r="I22" s="902"/>
      <c r="J22" s="897"/>
      <c r="K22" s="903"/>
      <c r="L22" s="899">
        <f t="shared" si="0"/>
        <v>231</v>
      </c>
      <c r="M22" s="899"/>
      <c r="N22" s="904"/>
      <c r="O22" s="905"/>
      <c r="P22" s="899"/>
      <c r="Q22" s="899"/>
      <c r="R22" s="898"/>
      <c r="S22" s="899"/>
      <c r="T22" s="899"/>
      <c r="U22" s="904"/>
      <c r="V22" s="905"/>
      <c r="W22" s="902"/>
      <c r="X22" s="897"/>
      <c r="Y22" s="898"/>
      <c r="Z22" s="902"/>
      <c r="AA22" s="902"/>
      <c r="AB22" s="902"/>
      <c r="AC22" s="902"/>
    </row>
    <row r="23" spans="1:29" ht="13.95" hidden="1" customHeight="1" outlineLevel="1">
      <c r="A23" s="897" t="s">
        <v>1440</v>
      </c>
      <c r="B23" s="898" t="s">
        <v>1441</v>
      </c>
      <c r="C23" s="898">
        <v>69</v>
      </c>
      <c r="D23" s="899">
        <v>500</v>
      </c>
      <c r="E23" s="1332">
        <v>300</v>
      </c>
      <c r="F23" s="899">
        <f t="shared" si="1"/>
        <v>89.7</v>
      </c>
      <c r="G23" s="900"/>
      <c r="H23" s="895"/>
      <c r="I23" s="902"/>
      <c r="J23" s="897"/>
      <c r="K23" s="903"/>
      <c r="L23" s="899">
        <f t="shared" si="0"/>
        <v>231</v>
      </c>
      <c r="M23" s="899"/>
      <c r="N23" s="904"/>
      <c r="O23" s="905"/>
      <c r="P23" s="899"/>
      <c r="Q23" s="899"/>
      <c r="R23" s="898"/>
      <c r="S23" s="899"/>
      <c r="T23" s="899"/>
      <c r="U23" s="904"/>
      <c r="V23" s="905"/>
      <c r="W23" s="902"/>
      <c r="X23" s="897"/>
      <c r="Y23" s="898"/>
      <c r="Z23" s="902"/>
      <c r="AA23" s="902"/>
      <c r="AB23" s="902"/>
      <c r="AC23" s="902"/>
    </row>
    <row r="24" spans="1:29" ht="13.95" hidden="1" customHeight="1" outlineLevel="1">
      <c r="A24" s="897" t="s">
        <v>681</v>
      </c>
      <c r="B24" s="898" t="s">
        <v>15</v>
      </c>
      <c r="C24" s="898">
        <v>69</v>
      </c>
      <c r="D24" s="899">
        <v>250</v>
      </c>
      <c r="E24" s="1332">
        <v>250</v>
      </c>
      <c r="F24" s="899">
        <f t="shared" si="1"/>
        <v>89.7</v>
      </c>
      <c r="G24" s="900"/>
      <c r="H24" s="895"/>
      <c r="I24" s="902"/>
      <c r="J24" s="897"/>
      <c r="K24" s="903"/>
      <c r="L24" s="899">
        <f t="shared" si="0"/>
        <v>181</v>
      </c>
      <c r="M24" s="899"/>
      <c r="N24" s="904"/>
      <c r="O24" s="905"/>
      <c r="P24" s="899"/>
      <c r="Q24" s="899"/>
      <c r="R24" s="898"/>
      <c r="S24" s="899"/>
      <c r="T24" s="899"/>
      <c r="U24" s="904"/>
      <c r="V24" s="905"/>
      <c r="W24" s="902"/>
      <c r="X24" s="897"/>
      <c r="Y24" s="898"/>
      <c r="Z24" s="902"/>
      <c r="AA24" s="902"/>
      <c r="AB24" s="902"/>
      <c r="AC24" s="902"/>
    </row>
    <row r="25" spans="1:29" ht="14.45" hidden="1" customHeight="1" outlineLevel="1" thickBot="1">
      <c r="A25" s="897" t="s">
        <v>662</v>
      </c>
      <c r="B25" s="898" t="s">
        <v>662</v>
      </c>
      <c r="C25" s="898"/>
      <c r="D25" s="899"/>
      <c r="E25" s="1332"/>
      <c r="F25" s="899"/>
      <c r="G25" s="900"/>
      <c r="H25" s="895"/>
      <c r="I25" s="902"/>
      <c r="J25" s="897"/>
      <c r="K25" s="903"/>
      <c r="L25" s="899">
        <f t="shared" si="0"/>
        <v>0</v>
      </c>
      <c r="M25" s="899"/>
      <c r="N25" s="904"/>
      <c r="O25" s="905"/>
      <c r="P25" s="899"/>
      <c r="Q25" s="899"/>
      <c r="R25" s="898"/>
      <c r="S25" s="899"/>
      <c r="T25" s="899"/>
      <c r="U25" s="904"/>
      <c r="V25" s="905"/>
      <c r="W25" s="902"/>
      <c r="X25" s="897"/>
      <c r="Y25" s="898"/>
      <c r="Z25" s="902"/>
      <c r="AA25" s="902"/>
      <c r="AB25" s="902"/>
      <c r="AC25" s="902"/>
    </row>
    <row r="26" spans="1:29" ht="16.3" collapsed="1" thickBot="1">
      <c r="A26" s="906" t="s">
        <v>1121</v>
      </c>
      <c r="B26" s="907" t="s">
        <v>2745</v>
      </c>
      <c r="C26" s="908">
        <f>SUM(C27:C55)</f>
        <v>6572</v>
      </c>
      <c r="D26" s="908">
        <f>SUM(D27:D55)</f>
        <v>21340</v>
      </c>
      <c r="E26" s="1333">
        <v>15300</v>
      </c>
      <c r="F26" s="908">
        <f>SUM(F27:F55)</f>
        <v>8453.8999999999978</v>
      </c>
      <c r="G26" s="909">
        <v>1</v>
      </c>
      <c r="H26" s="895"/>
      <c r="I26" s="902" t="str">
        <f>IF(H26="x",CONCATENATE(A26,"; "),"")</f>
        <v/>
      </c>
      <c r="J26" s="897"/>
      <c r="K26" s="903"/>
      <c r="L26" s="899">
        <f t="shared" ref="L26:L89" si="2">E26-C26</f>
        <v>8728</v>
      </c>
      <c r="M26" s="899"/>
      <c r="N26" s="904"/>
      <c r="O26" s="905"/>
      <c r="P26" s="899"/>
      <c r="Q26" s="899"/>
      <c r="R26" s="898"/>
      <c r="S26" s="899"/>
      <c r="T26" s="899"/>
      <c r="U26" s="904"/>
      <c r="V26" s="905"/>
      <c r="W26" s="902"/>
      <c r="X26" s="897"/>
      <c r="Y26" s="898"/>
      <c r="Z26" s="902"/>
      <c r="AA26" s="902"/>
      <c r="AB26" s="902"/>
      <c r="AC26" s="902"/>
    </row>
    <row r="27" spans="1:29" ht="13.95" customHeight="1" outlineLevel="1">
      <c r="A27" s="897" t="s">
        <v>1861</v>
      </c>
      <c r="B27" s="898" t="s">
        <v>1862</v>
      </c>
      <c r="C27" s="898">
        <v>175</v>
      </c>
      <c r="D27" s="899">
        <v>1200</v>
      </c>
      <c r="E27" s="1332">
        <v>400</v>
      </c>
      <c r="F27" s="899">
        <f>C27*1.3</f>
        <v>227.5</v>
      </c>
      <c r="G27" s="900"/>
      <c r="H27" s="895"/>
      <c r="I27" s="902"/>
      <c r="J27" s="910"/>
      <c r="K27" s="903"/>
      <c r="L27" s="899">
        <f t="shared" si="2"/>
        <v>225</v>
      </c>
      <c r="M27" s="903"/>
      <c r="N27" s="903"/>
      <c r="O27" s="903"/>
      <c r="P27" s="903"/>
      <c r="Q27" s="902"/>
      <c r="R27" s="902"/>
      <c r="S27" s="903"/>
      <c r="T27" s="902"/>
      <c r="U27" s="902"/>
      <c r="V27" s="902"/>
      <c r="W27" s="902"/>
      <c r="X27" s="902"/>
      <c r="Y27" s="902"/>
      <c r="Z27" s="902"/>
      <c r="AA27" s="902"/>
      <c r="AB27" s="902"/>
      <c r="AC27" s="902"/>
    </row>
    <row r="28" spans="1:29" ht="13.95" customHeight="1" outlineLevel="1">
      <c r="A28" s="897" t="s">
        <v>685</v>
      </c>
      <c r="B28" s="898" t="s">
        <v>1539</v>
      </c>
      <c r="C28" s="898">
        <v>69</v>
      </c>
      <c r="D28" s="899">
        <v>200</v>
      </c>
      <c r="E28" s="1332">
        <v>200</v>
      </c>
      <c r="F28" s="899">
        <f t="shared" ref="F28:F55" si="3">C28*1.3</f>
        <v>89.7</v>
      </c>
      <c r="G28" s="900"/>
      <c r="H28" s="895"/>
      <c r="I28" s="902"/>
      <c r="J28" s="897"/>
      <c r="K28" s="903"/>
      <c r="L28" s="899">
        <f t="shared" si="2"/>
        <v>131</v>
      </c>
      <c r="M28" s="899"/>
      <c r="N28" s="904"/>
      <c r="O28" s="905"/>
      <c r="P28" s="899"/>
      <c r="Q28" s="899"/>
      <c r="R28" s="898"/>
      <c r="S28" s="899"/>
      <c r="T28" s="899"/>
      <c r="U28" s="904"/>
      <c r="V28" s="905"/>
      <c r="W28" s="902"/>
      <c r="X28" s="897"/>
      <c r="Y28" s="898"/>
      <c r="Z28" s="902"/>
      <c r="AA28" s="902"/>
      <c r="AB28" s="902"/>
      <c r="AC28" s="902"/>
    </row>
    <row r="29" spans="1:29" ht="13.95" customHeight="1" outlineLevel="1">
      <c r="A29" s="897" t="s">
        <v>1569</v>
      </c>
      <c r="B29" s="898" t="s">
        <v>27</v>
      </c>
      <c r="C29" s="898">
        <v>69</v>
      </c>
      <c r="D29" s="899">
        <v>600</v>
      </c>
      <c r="E29" s="1332">
        <v>300</v>
      </c>
      <c r="F29" s="899">
        <f t="shared" si="3"/>
        <v>89.7</v>
      </c>
      <c r="G29" s="900"/>
      <c r="H29" s="895"/>
      <c r="I29" s="902"/>
      <c r="J29" s="897"/>
      <c r="K29" s="903"/>
      <c r="L29" s="899">
        <f t="shared" si="2"/>
        <v>231</v>
      </c>
      <c r="M29" s="899"/>
      <c r="N29" s="904"/>
      <c r="O29" s="905"/>
      <c r="P29" s="899"/>
      <c r="Q29" s="899"/>
      <c r="R29" s="898"/>
      <c r="S29" s="899"/>
      <c r="T29" s="899"/>
      <c r="U29" s="904"/>
      <c r="V29" s="905"/>
      <c r="W29" s="902"/>
      <c r="X29" s="897"/>
      <c r="Y29" s="898"/>
      <c r="Z29" s="902"/>
      <c r="AA29" s="902"/>
      <c r="AB29" s="902"/>
      <c r="AC29" s="902"/>
    </row>
    <row r="30" spans="1:29" ht="13.95" customHeight="1" outlineLevel="1">
      <c r="A30" s="897" t="s">
        <v>1607</v>
      </c>
      <c r="B30" s="898" t="s">
        <v>22</v>
      </c>
      <c r="C30" s="898">
        <v>135</v>
      </c>
      <c r="D30" s="899">
        <v>200</v>
      </c>
      <c r="E30" s="1332">
        <v>200</v>
      </c>
      <c r="F30" s="899">
        <f t="shared" si="3"/>
        <v>175.5</v>
      </c>
      <c r="G30" s="900"/>
      <c r="H30" s="895"/>
      <c r="I30" s="902"/>
      <c r="J30" s="897"/>
      <c r="K30" s="903"/>
      <c r="L30" s="899">
        <f t="shared" si="2"/>
        <v>65</v>
      </c>
      <c r="M30" s="899"/>
      <c r="N30" s="904"/>
      <c r="O30" s="905"/>
      <c r="P30" s="899"/>
      <c r="Q30" s="899"/>
      <c r="R30" s="898"/>
      <c r="S30" s="899"/>
      <c r="T30" s="899"/>
      <c r="U30" s="904"/>
      <c r="V30" s="905"/>
      <c r="W30" s="902"/>
      <c r="X30" s="897"/>
      <c r="Y30" s="898"/>
      <c r="Z30" s="902"/>
      <c r="AA30" s="902"/>
      <c r="AB30" s="902"/>
      <c r="AC30" s="902"/>
    </row>
    <row r="31" spans="1:29" ht="13.95" customHeight="1" outlineLevel="1">
      <c r="A31" s="897" t="s">
        <v>527</v>
      </c>
      <c r="B31" s="898" t="s">
        <v>1831</v>
      </c>
      <c r="C31" s="898">
        <v>340</v>
      </c>
      <c r="D31" s="899">
        <v>1200</v>
      </c>
      <c r="E31" s="1332">
        <v>500</v>
      </c>
      <c r="F31" s="899">
        <f t="shared" si="3"/>
        <v>442</v>
      </c>
      <c r="G31" s="900"/>
      <c r="H31" s="895"/>
      <c r="I31" s="902"/>
      <c r="J31" s="897"/>
      <c r="K31" s="903"/>
      <c r="L31" s="899">
        <f t="shared" si="2"/>
        <v>160</v>
      </c>
      <c r="M31" s="899"/>
      <c r="N31" s="904"/>
      <c r="O31" s="905"/>
      <c r="P31" s="899"/>
      <c r="Q31" s="899"/>
      <c r="R31" s="898"/>
      <c r="S31" s="899"/>
      <c r="T31" s="899"/>
      <c r="U31" s="904"/>
      <c r="V31" s="905"/>
      <c r="W31" s="902"/>
      <c r="X31" s="897"/>
      <c r="Y31" s="898"/>
      <c r="Z31" s="902"/>
      <c r="AA31" s="902"/>
      <c r="AB31" s="902"/>
      <c r="AC31" s="902"/>
    </row>
    <row r="32" spans="1:29" ht="13.95" customHeight="1" outlineLevel="1">
      <c r="A32" s="897" t="s">
        <v>1391</v>
      </c>
      <c r="B32" s="898" t="s">
        <v>1392</v>
      </c>
      <c r="C32" s="898">
        <v>69</v>
      </c>
      <c r="D32" s="899">
        <v>400</v>
      </c>
      <c r="E32" s="1332">
        <v>300</v>
      </c>
      <c r="F32" s="899">
        <f t="shared" si="3"/>
        <v>89.7</v>
      </c>
      <c r="G32" s="900"/>
      <c r="H32" s="895"/>
      <c r="I32" s="902"/>
      <c r="J32" s="897"/>
      <c r="K32" s="903"/>
      <c r="L32" s="899">
        <f t="shared" si="2"/>
        <v>231</v>
      </c>
      <c r="M32" s="899"/>
      <c r="N32" s="904"/>
      <c r="O32" s="905"/>
      <c r="P32" s="899"/>
      <c r="Q32" s="899"/>
      <c r="R32" s="898"/>
      <c r="S32" s="899"/>
      <c r="T32" s="899"/>
      <c r="U32" s="904"/>
      <c r="V32" s="905"/>
      <c r="W32" s="902"/>
      <c r="X32" s="897"/>
      <c r="Y32" s="898"/>
      <c r="Z32" s="902"/>
      <c r="AA32" s="902"/>
      <c r="AB32" s="902"/>
      <c r="AC32" s="902"/>
    </row>
    <row r="33" spans="1:29" ht="13.95" customHeight="1" outlineLevel="1">
      <c r="A33" s="897" t="s">
        <v>1824</v>
      </c>
      <c r="B33" s="898" t="s">
        <v>861</v>
      </c>
      <c r="C33" s="898">
        <v>135</v>
      </c>
      <c r="D33" s="899">
        <v>600</v>
      </c>
      <c r="E33" s="1332">
        <v>600</v>
      </c>
      <c r="F33" s="899">
        <f t="shared" si="3"/>
        <v>175.5</v>
      </c>
      <c r="G33" s="900"/>
      <c r="H33" s="895"/>
      <c r="I33" s="902"/>
      <c r="J33" s="897"/>
      <c r="K33" s="903"/>
      <c r="L33" s="899">
        <f t="shared" si="2"/>
        <v>465</v>
      </c>
      <c r="M33" s="899"/>
      <c r="N33" s="904"/>
      <c r="O33" s="905"/>
      <c r="P33" s="899"/>
      <c r="Q33" s="899"/>
      <c r="R33" s="898"/>
      <c r="S33" s="899"/>
      <c r="T33" s="899"/>
      <c r="U33" s="904"/>
      <c r="V33" s="905"/>
      <c r="W33" s="902"/>
      <c r="X33" s="897"/>
      <c r="Y33" s="898"/>
      <c r="Z33" s="902"/>
      <c r="AA33" s="902"/>
      <c r="AB33" s="902"/>
      <c r="AC33" s="902"/>
    </row>
    <row r="34" spans="1:29" ht="13.95" customHeight="1" outlineLevel="1">
      <c r="A34" s="897" t="s">
        <v>1621</v>
      </c>
      <c r="B34" s="898" t="s">
        <v>2346</v>
      </c>
      <c r="C34" s="898">
        <v>175</v>
      </c>
      <c r="D34" s="899">
        <v>400</v>
      </c>
      <c r="E34" s="1332">
        <v>400</v>
      </c>
      <c r="F34" s="899">
        <f t="shared" si="3"/>
        <v>227.5</v>
      </c>
      <c r="G34" s="900"/>
      <c r="H34" s="895"/>
      <c r="I34" s="902"/>
      <c r="J34" s="897"/>
      <c r="K34" s="903"/>
      <c r="L34" s="899">
        <f t="shared" si="2"/>
        <v>225</v>
      </c>
      <c r="M34" s="899"/>
      <c r="N34" s="904"/>
      <c r="O34" s="905"/>
      <c r="P34" s="899"/>
      <c r="Q34" s="899"/>
      <c r="R34" s="898"/>
      <c r="S34" s="899"/>
      <c r="T34" s="899"/>
      <c r="U34" s="904"/>
      <c r="V34" s="905"/>
      <c r="W34" s="902"/>
      <c r="X34" s="897"/>
      <c r="Y34" s="898"/>
      <c r="Z34" s="902"/>
      <c r="AA34" s="902"/>
      <c r="AB34" s="902"/>
      <c r="AC34" s="902"/>
    </row>
    <row r="35" spans="1:29" ht="13.95" customHeight="1" outlineLevel="1">
      <c r="A35" s="897" t="s">
        <v>1807</v>
      </c>
      <c r="B35" s="898" t="s">
        <v>30</v>
      </c>
      <c r="C35" s="898">
        <v>460</v>
      </c>
      <c r="D35" s="899">
        <v>850</v>
      </c>
      <c r="E35" s="1332">
        <v>400</v>
      </c>
      <c r="F35" s="899">
        <f t="shared" si="3"/>
        <v>598</v>
      </c>
      <c r="G35" s="900"/>
      <c r="H35" s="895"/>
      <c r="I35" s="902"/>
      <c r="J35" s="897"/>
      <c r="K35" s="903"/>
      <c r="L35" s="899">
        <f t="shared" si="2"/>
        <v>-60</v>
      </c>
      <c r="M35" s="899"/>
      <c r="N35" s="904"/>
      <c r="O35" s="905"/>
      <c r="P35" s="899"/>
      <c r="Q35" s="899"/>
      <c r="R35" s="898"/>
      <c r="S35" s="899"/>
      <c r="T35" s="899"/>
      <c r="U35" s="904"/>
      <c r="V35" s="905"/>
      <c r="W35" s="902"/>
      <c r="X35" s="897"/>
      <c r="Y35" s="898"/>
      <c r="Z35" s="902"/>
      <c r="AA35" s="902"/>
      <c r="AB35" s="902"/>
      <c r="AC35" s="902"/>
    </row>
    <row r="36" spans="1:29" ht="13.95" customHeight="1" outlineLevel="1">
      <c r="A36" s="897" t="s">
        <v>1608</v>
      </c>
      <c r="B36" s="898" t="s">
        <v>19</v>
      </c>
      <c r="C36" s="898">
        <v>69</v>
      </c>
      <c r="D36" s="899">
        <v>600</v>
      </c>
      <c r="E36" s="1332">
        <v>400</v>
      </c>
      <c r="F36" s="899">
        <f t="shared" si="3"/>
        <v>89.7</v>
      </c>
      <c r="G36" s="900"/>
      <c r="H36" s="895"/>
      <c r="I36" s="902"/>
      <c r="J36" s="897"/>
      <c r="K36" s="903"/>
      <c r="L36" s="899">
        <f t="shared" si="2"/>
        <v>331</v>
      </c>
      <c r="M36" s="899"/>
      <c r="N36" s="904"/>
      <c r="O36" s="905"/>
      <c r="P36" s="899"/>
      <c r="Q36" s="899"/>
      <c r="R36" s="898"/>
      <c r="S36" s="899"/>
      <c r="T36" s="899"/>
      <c r="U36" s="904"/>
      <c r="V36" s="905"/>
      <c r="W36" s="902"/>
      <c r="X36" s="897"/>
      <c r="Y36" s="898"/>
      <c r="Z36" s="902"/>
      <c r="AA36" s="902"/>
      <c r="AB36" s="902"/>
      <c r="AC36" s="902"/>
    </row>
    <row r="37" spans="1:29" ht="13.95" customHeight="1" outlineLevel="1">
      <c r="A37" s="897" t="s">
        <v>1813</v>
      </c>
      <c r="B37" s="898" t="s">
        <v>505</v>
      </c>
      <c r="C37" s="898">
        <v>69</v>
      </c>
      <c r="D37" s="899">
        <v>600</v>
      </c>
      <c r="E37" s="1332">
        <v>350</v>
      </c>
      <c r="F37" s="899">
        <f t="shared" si="3"/>
        <v>89.7</v>
      </c>
      <c r="G37" s="900"/>
      <c r="H37" s="895"/>
      <c r="I37" s="902"/>
      <c r="J37" s="897"/>
      <c r="K37" s="903"/>
      <c r="L37" s="899">
        <f t="shared" si="2"/>
        <v>281</v>
      </c>
      <c r="M37" s="899"/>
      <c r="N37" s="904"/>
      <c r="O37" s="905"/>
      <c r="P37" s="899"/>
      <c r="Q37" s="899"/>
      <c r="R37" s="898"/>
      <c r="S37" s="899"/>
      <c r="T37" s="899"/>
      <c r="U37" s="904"/>
      <c r="V37" s="905"/>
      <c r="W37" s="902"/>
      <c r="X37" s="897"/>
      <c r="Y37" s="898"/>
      <c r="Z37" s="902"/>
      <c r="AA37" s="902"/>
      <c r="AB37" s="902"/>
      <c r="AC37" s="902"/>
    </row>
    <row r="38" spans="1:29" ht="13.95" customHeight="1" outlineLevel="1">
      <c r="A38" s="897" t="s">
        <v>1693</v>
      </c>
      <c r="B38" s="898" t="s">
        <v>21</v>
      </c>
      <c r="C38" s="898">
        <v>135</v>
      </c>
      <c r="D38" s="899">
        <v>200</v>
      </c>
      <c r="E38" s="1332">
        <v>200</v>
      </c>
      <c r="F38" s="899">
        <f t="shared" si="3"/>
        <v>175.5</v>
      </c>
      <c r="G38" s="900"/>
      <c r="H38" s="895"/>
      <c r="I38" s="902"/>
      <c r="J38" s="897"/>
      <c r="K38" s="903"/>
      <c r="L38" s="899">
        <f t="shared" si="2"/>
        <v>65</v>
      </c>
      <c r="M38" s="899"/>
      <c r="N38" s="904"/>
      <c r="O38" s="905"/>
      <c r="P38" s="899"/>
      <c r="Q38" s="899"/>
      <c r="R38" s="898"/>
      <c r="S38" s="899"/>
      <c r="T38" s="899"/>
      <c r="U38" s="904"/>
      <c r="V38" s="905"/>
      <c r="W38" s="902"/>
      <c r="X38" s="897"/>
      <c r="Y38" s="898"/>
      <c r="Z38" s="902"/>
      <c r="AA38" s="902"/>
      <c r="AB38" s="902"/>
      <c r="AC38" s="902"/>
    </row>
    <row r="39" spans="1:29" ht="13.95" customHeight="1" outlineLevel="1">
      <c r="A39" s="897" t="s">
        <v>1613</v>
      </c>
      <c r="B39" s="898" t="s">
        <v>32</v>
      </c>
      <c r="C39" s="898">
        <v>69</v>
      </c>
      <c r="D39" s="899">
        <v>200</v>
      </c>
      <c r="E39" s="1332">
        <v>200</v>
      </c>
      <c r="F39" s="899">
        <f t="shared" si="3"/>
        <v>89.7</v>
      </c>
      <c r="G39" s="900"/>
      <c r="H39" s="895"/>
      <c r="I39" s="902"/>
      <c r="J39" s="897"/>
      <c r="K39" s="903"/>
      <c r="L39" s="899">
        <f t="shared" si="2"/>
        <v>131</v>
      </c>
      <c r="M39" s="899"/>
      <c r="N39" s="904"/>
      <c r="O39" s="905"/>
      <c r="P39" s="899"/>
      <c r="Q39" s="899"/>
      <c r="R39" s="898"/>
      <c r="S39" s="899"/>
      <c r="T39" s="899"/>
      <c r="U39" s="904"/>
      <c r="V39" s="905"/>
      <c r="W39" s="902"/>
      <c r="X39" s="897"/>
      <c r="Y39" s="898"/>
      <c r="Z39" s="902"/>
      <c r="AA39" s="902"/>
      <c r="AB39" s="902"/>
      <c r="AC39" s="902"/>
    </row>
    <row r="40" spans="1:29" ht="13.95" customHeight="1" outlineLevel="1">
      <c r="A40" s="897" t="s">
        <v>649</v>
      </c>
      <c r="B40" s="898" t="s">
        <v>649</v>
      </c>
      <c r="C40" s="898">
        <v>460</v>
      </c>
      <c r="D40" s="899">
        <v>1400</v>
      </c>
      <c r="E40" s="1332">
        <v>500</v>
      </c>
      <c r="F40" s="899">
        <f t="shared" si="3"/>
        <v>598</v>
      </c>
      <c r="G40" s="900"/>
      <c r="H40" s="895"/>
      <c r="I40" s="902"/>
      <c r="J40" s="897"/>
      <c r="K40" s="903"/>
      <c r="L40" s="899">
        <f t="shared" si="2"/>
        <v>40</v>
      </c>
      <c r="M40" s="899"/>
      <c r="N40" s="904"/>
      <c r="O40" s="905"/>
      <c r="P40" s="899"/>
      <c r="Q40" s="899"/>
      <c r="R40" s="898"/>
      <c r="S40" s="899"/>
      <c r="T40" s="899"/>
      <c r="U40" s="904"/>
      <c r="V40" s="905"/>
      <c r="W40" s="902"/>
      <c r="X40" s="897"/>
      <c r="Y40" s="898"/>
      <c r="Z40" s="902"/>
      <c r="AA40" s="902"/>
      <c r="AB40" s="902"/>
      <c r="AC40" s="902"/>
    </row>
    <row r="41" spans="1:29" ht="13.95" customHeight="1" outlineLevel="1">
      <c r="A41" s="897" t="s">
        <v>945</v>
      </c>
      <c r="B41" s="898" t="s">
        <v>1542</v>
      </c>
      <c r="C41" s="898">
        <v>230</v>
      </c>
      <c r="D41" s="899">
        <v>600</v>
      </c>
      <c r="E41" s="1332">
        <v>600</v>
      </c>
      <c r="F41" s="899">
        <f t="shared" si="3"/>
        <v>299</v>
      </c>
      <c r="G41" s="897"/>
      <c r="H41" s="895"/>
      <c r="I41" s="902"/>
      <c r="J41" s="897"/>
      <c r="K41" s="903"/>
      <c r="L41" s="899">
        <f t="shared" si="2"/>
        <v>370</v>
      </c>
      <c r="M41" s="899"/>
      <c r="N41" s="904"/>
      <c r="O41" s="905"/>
      <c r="P41" s="899"/>
      <c r="Q41" s="899"/>
      <c r="R41" s="898"/>
      <c r="S41" s="899"/>
      <c r="T41" s="899"/>
      <c r="U41" s="904"/>
      <c r="V41" s="905"/>
      <c r="W41" s="902"/>
      <c r="X41" s="897"/>
      <c r="Y41" s="898"/>
      <c r="Z41" s="902"/>
      <c r="AA41" s="902"/>
      <c r="AB41" s="902"/>
      <c r="AC41" s="902"/>
    </row>
    <row r="42" spans="1:29" ht="13.95" customHeight="1" outlineLevel="1">
      <c r="A42" s="897" t="s">
        <v>948</v>
      </c>
      <c r="B42" s="898" t="s">
        <v>1628</v>
      </c>
      <c r="C42" s="898">
        <v>175</v>
      </c>
      <c r="D42" s="899">
        <v>700</v>
      </c>
      <c r="E42" s="1332">
        <v>600</v>
      </c>
      <c r="F42" s="899">
        <f t="shared" si="3"/>
        <v>227.5</v>
      </c>
      <c r="G42" s="897"/>
      <c r="H42" s="895"/>
      <c r="I42" s="902"/>
      <c r="J42" s="897"/>
      <c r="K42" s="903"/>
      <c r="L42" s="899">
        <f t="shared" si="2"/>
        <v>425</v>
      </c>
      <c r="M42" s="899"/>
      <c r="N42" s="904"/>
      <c r="O42" s="905"/>
      <c r="P42" s="899"/>
      <c r="Q42" s="899"/>
      <c r="R42" s="898"/>
      <c r="S42" s="899"/>
      <c r="T42" s="899"/>
      <c r="U42" s="904"/>
      <c r="V42" s="905"/>
      <c r="W42" s="902"/>
      <c r="X42" s="897"/>
      <c r="Y42" s="898"/>
      <c r="Z42" s="902"/>
      <c r="AA42" s="902"/>
      <c r="AB42" s="902"/>
      <c r="AC42" s="902"/>
    </row>
    <row r="43" spans="1:29" ht="13.95" customHeight="1" outlineLevel="1">
      <c r="A43" s="897" t="s">
        <v>684</v>
      </c>
      <c r="B43" s="898" t="s">
        <v>1538</v>
      </c>
      <c r="C43" s="898">
        <v>69</v>
      </c>
      <c r="D43" s="899">
        <v>200</v>
      </c>
      <c r="E43" s="1332">
        <v>200</v>
      </c>
      <c r="F43" s="899">
        <f t="shared" si="3"/>
        <v>89.7</v>
      </c>
      <c r="G43" s="897"/>
      <c r="H43" s="895"/>
      <c r="I43" s="902"/>
      <c r="J43" s="897"/>
      <c r="K43" s="903"/>
      <c r="L43" s="899">
        <f t="shared" si="2"/>
        <v>131</v>
      </c>
      <c r="M43" s="899"/>
      <c r="N43" s="904"/>
      <c r="O43" s="905"/>
      <c r="P43" s="899"/>
      <c r="Q43" s="899"/>
      <c r="R43" s="898"/>
      <c r="S43" s="899"/>
      <c r="T43" s="899"/>
      <c r="U43" s="904"/>
      <c r="V43" s="905"/>
      <c r="W43" s="902"/>
      <c r="X43" s="897"/>
      <c r="Y43" s="898"/>
      <c r="Z43" s="902"/>
      <c r="AA43" s="902"/>
      <c r="AB43" s="902"/>
      <c r="AC43" s="902"/>
    </row>
    <row r="44" spans="1:29" ht="13.95" customHeight="1" outlineLevel="1">
      <c r="A44" s="897" t="s">
        <v>1826</v>
      </c>
      <c r="B44" s="898" t="s">
        <v>1827</v>
      </c>
      <c r="C44" s="898">
        <v>69</v>
      </c>
      <c r="D44" s="899">
        <v>640</v>
      </c>
      <c r="E44" s="1332">
        <v>300</v>
      </c>
      <c r="F44" s="899">
        <f t="shared" si="3"/>
        <v>89.7</v>
      </c>
      <c r="G44" s="897"/>
      <c r="H44" s="895"/>
      <c r="I44" s="902"/>
      <c r="J44" s="897"/>
      <c r="K44" s="903"/>
      <c r="L44" s="899">
        <f t="shared" si="2"/>
        <v>231</v>
      </c>
      <c r="M44" s="899"/>
      <c r="N44" s="904"/>
      <c r="O44" s="905"/>
      <c r="P44" s="899"/>
      <c r="Q44" s="899"/>
      <c r="R44" s="898"/>
      <c r="S44" s="899"/>
      <c r="T44" s="899"/>
      <c r="U44" s="904"/>
      <c r="V44" s="905"/>
      <c r="W44" s="902"/>
      <c r="X44" s="897"/>
      <c r="Y44" s="898"/>
      <c r="Z44" s="902"/>
      <c r="AA44" s="902"/>
      <c r="AB44" s="902"/>
      <c r="AC44" s="902"/>
    </row>
    <row r="45" spans="1:29" ht="13.95" customHeight="1" outlineLevel="1">
      <c r="A45" s="897" t="s">
        <v>1716</v>
      </c>
      <c r="B45" s="898" t="s">
        <v>25</v>
      </c>
      <c r="C45" s="898">
        <v>69</v>
      </c>
      <c r="D45" s="899">
        <v>600</v>
      </c>
      <c r="E45" s="1332">
        <v>300</v>
      </c>
      <c r="F45" s="899">
        <f t="shared" si="3"/>
        <v>89.7</v>
      </c>
      <c r="G45" s="897"/>
      <c r="H45" s="895"/>
      <c r="I45" s="902"/>
      <c r="J45" s="897"/>
      <c r="K45" s="903"/>
      <c r="L45" s="899">
        <f t="shared" si="2"/>
        <v>231</v>
      </c>
      <c r="M45" s="899"/>
      <c r="N45" s="904"/>
      <c r="O45" s="905"/>
      <c r="P45" s="899"/>
      <c r="Q45" s="899"/>
      <c r="R45" s="898"/>
      <c r="S45" s="899"/>
      <c r="T45" s="899"/>
      <c r="U45" s="904"/>
      <c r="V45" s="905"/>
      <c r="W45" s="902"/>
      <c r="X45" s="897"/>
      <c r="Y45" s="898"/>
      <c r="Z45" s="902"/>
      <c r="AA45" s="902"/>
      <c r="AB45" s="902"/>
      <c r="AC45" s="902"/>
    </row>
    <row r="46" spans="1:29" ht="13.95" customHeight="1" outlineLevel="1">
      <c r="A46" s="897" t="s">
        <v>1440</v>
      </c>
      <c r="B46" s="898" t="s">
        <v>1441</v>
      </c>
      <c r="C46" s="898">
        <v>69</v>
      </c>
      <c r="D46" s="899">
        <v>500</v>
      </c>
      <c r="E46" s="1332">
        <v>300</v>
      </c>
      <c r="F46" s="899">
        <f t="shared" si="3"/>
        <v>89.7</v>
      </c>
      <c r="G46" s="897"/>
      <c r="H46" s="895"/>
      <c r="I46" s="902"/>
      <c r="J46" s="897"/>
      <c r="K46" s="903"/>
      <c r="L46" s="899">
        <f t="shared" si="2"/>
        <v>231</v>
      </c>
      <c r="M46" s="899"/>
      <c r="N46" s="904"/>
      <c r="O46" s="905"/>
      <c r="P46" s="899"/>
      <c r="Q46" s="899"/>
      <c r="R46" s="898"/>
      <c r="S46" s="899"/>
      <c r="T46" s="899"/>
      <c r="U46" s="904"/>
      <c r="V46" s="905"/>
      <c r="W46" s="902"/>
      <c r="X46" s="897"/>
      <c r="Y46" s="898"/>
      <c r="Z46" s="902"/>
      <c r="AA46" s="902"/>
      <c r="AB46" s="902"/>
      <c r="AC46" s="902"/>
    </row>
    <row r="47" spans="1:29" ht="13.95" customHeight="1" outlineLevel="1">
      <c r="A47" s="897" t="s">
        <v>681</v>
      </c>
      <c r="B47" s="898" t="s">
        <v>15</v>
      </c>
      <c r="C47" s="898">
        <v>69</v>
      </c>
      <c r="D47" s="899">
        <v>250</v>
      </c>
      <c r="E47" s="1332">
        <v>250</v>
      </c>
      <c r="F47" s="899">
        <f t="shared" si="3"/>
        <v>89.7</v>
      </c>
      <c r="G47" s="897"/>
      <c r="H47" s="895"/>
      <c r="I47" s="902"/>
      <c r="J47" s="897"/>
      <c r="K47" s="903"/>
      <c r="L47" s="899">
        <f t="shared" si="2"/>
        <v>181</v>
      </c>
      <c r="M47" s="899"/>
      <c r="N47" s="904"/>
      <c r="O47" s="905"/>
      <c r="P47" s="899"/>
      <c r="Q47" s="899"/>
      <c r="R47" s="898"/>
      <c r="S47" s="899"/>
      <c r="T47" s="899"/>
      <c r="U47" s="904"/>
      <c r="V47" s="905"/>
      <c r="W47" s="902"/>
      <c r="X47" s="897"/>
      <c r="Y47" s="898"/>
      <c r="Z47" s="902"/>
      <c r="AA47" s="902"/>
      <c r="AB47" s="902"/>
      <c r="AC47" s="902"/>
    </row>
    <row r="48" spans="1:29" ht="13.95" customHeight="1" outlineLevel="1">
      <c r="A48" s="897" t="s">
        <v>662</v>
      </c>
      <c r="B48" s="898"/>
      <c r="C48" s="898"/>
      <c r="D48" s="899"/>
      <c r="E48" s="1332"/>
      <c r="F48" s="899">
        <f t="shared" si="3"/>
        <v>0</v>
      </c>
      <c r="G48" s="897"/>
      <c r="H48" s="895"/>
      <c r="I48" s="902"/>
      <c r="J48" s="897"/>
      <c r="K48" s="903"/>
      <c r="L48" s="899">
        <f t="shared" si="2"/>
        <v>0</v>
      </c>
      <c r="M48" s="899"/>
      <c r="N48" s="904"/>
      <c r="O48" s="905"/>
      <c r="P48" s="899"/>
      <c r="Q48" s="899"/>
      <c r="R48" s="898"/>
      <c r="S48" s="899"/>
      <c r="T48" s="899"/>
      <c r="U48" s="904"/>
      <c r="V48" s="905"/>
      <c r="W48" s="902"/>
      <c r="X48" s="897"/>
      <c r="Y48" s="898"/>
      <c r="Z48" s="902"/>
      <c r="AA48" s="902"/>
      <c r="AB48" s="902"/>
      <c r="AC48" s="902"/>
    </row>
    <row r="49" spans="1:29" ht="13.95" customHeight="1" outlineLevel="1">
      <c r="A49" s="897" t="s">
        <v>1522</v>
      </c>
      <c r="B49" s="898" t="s">
        <v>31</v>
      </c>
      <c r="C49" s="898">
        <v>1150</v>
      </c>
      <c r="D49" s="899">
        <v>2800</v>
      </c>
      <c r="E49" s="1332">
        <v>1900</v>
      </c>
      <c r="F49" s="899">
        <f t="shared" si="3"/>
        <v>1495</v>
      </c>
      <c r="G49" s="897"/>
      <c r="H49" s="895"/>
      <c r="I49" s="912"/>
      <c r="J49" s="913"/>
      <c r="K49" s="912"/>
      <c r="L49" s="899">
        <f t="shared" si="2"/>
        <v>750</v>
      </c>
      <c r="M49" s="899"/>
      <c r="N49" s="904"/>
      <c r="O49" s="905"/>
      <c r="P49" s="899"/>
      <c r="Q49" s="899"/>
      <c r="R49" s="898"/>
      <c r="S49" s="899"/>
      <c r="T49" s="899"/>
      <c r="U49" s="904"/>
      <c r="V49" s="905"/>
      <c r="W49" s="902"/>
      <c r="X49" s="897"/>
      <c r="Y49" s="898"/>
      <c r="Z49" s="902"/>
      <c r="AA49" s="902"/>
      <c r="AB49" s="902"/>
      <c r="AC49" s="902"/>
    </row>
    <row r="50" spans="1:29" ht="13.95" customHeight="1" outlineLevel="1">
      <c r="A50" s="897" t="s">
        <v>1611</v>
      </c>
      <c r="B50" s="898" t="s">
        <v>1612</v>
      </c>
      <c r="C50" s="898">
        <v>125</v>
      </c>
      <c r="D50" s="899">
        <v>200</v>
      </c>
      <c r="E50" s="1332">
        <v>200</v>
      </c>
      <c r="F50" s="899">
        <f t="shared" si="3"/>
        <v>162.5</v>
      </c>
      <c r="G50" s="897"/>
      <c r="H50" s="895"/>
      <c r="I50" s="915"/>
      <c r="J50" s="902"/>
      <c r="K50" s="915"/>
      <c r="L50" s="899">
        <f t="shared" si="2"/>
        <v>75</v>
      </c>
      <c r="M50" s="899"/>
      <c r="N50" s="904"/>
      <c r="O50" s="905"/>
      <c r="P50" s="899"/>
      <c r="Q50" s="899"/>
      <c r="R50" s="898"/>
      <c r="S50" s="899"/>
      <c r="T50" s="899"/>
      <c r="U50" s="904"/>
      <c r="V50" s="905"/>
      <c r="W50" s="902"/>
      <c r="X50" s="897"/>
      <c r="Y50" s="898"/>
      <c r="Z50" s="902"/>
      <c r="AA50" s="902"/>
      <c r="AB50" s="902"/>
      <c r="AC50" s="902"/>
    </row>
    <row r="51" spans="1:29" ht="13.95" customHeight="1" outlineLevel="1">
      <c r="A51" s="897" t="s">
        <v>1395</v>
      </c>
      <c r="B51" s="898" t="s">
        <v>1396</v>
      </c>
      <c r="C51" s="898">
        <v>69</v>
      </c>
      <c r="D51" s="899">
        <v>400</v>
      </c>
      <c r="E51" s="1332">
        <v>300</v>
      </c>
      <c r="F51" s="899">
        <f t="shared" si="3"/>
        <v>89.7</v>
      </c>
      <c r="G51" s="897"/>
      <c r="H51" s="895"/>
      <c r="I51" s="915"/>
      <c r="J51" s="916"/>
      <c r="K51" s="903"/>
      <c r="L51" s="899">
        <f t="shared" si="2"/>
        <v>231</v>
      </c>
      <c r="M51" s="899"/>
      <c r="N51" s="904"/>
      <c r="O51" s="905"/>
      <c r="P51" s="899"/>
      <c r="Q51" s="899"/>
      <c r="R51" s="898"/>
      <c r="S51" s="899"/>
      <c r="T51" s="899"/>
      <c r="U51" s="904"/>
      <c r="V51" s="905"/>
      <c r="W51" s="902"/>
      <c r="X51" s="897"/>
      <c r="Y51" s="898"/>
      <c r="Z51" s="902"/>
      <c r="AA51" s="902"/>
      <c r="AB51" s="902"/>
      <c r="AC51" s="902"/>
    </row>
    <row r="52" spans="1:29" ht="13.95" customHeight="1" outlineLevel="1">
      <c r="A52" s="897" t="s">
        <v>1782</v>
      </c>
      <c r="B52" s="898" t="s">
        <v>2355</v>
      </c>
      <c r="C52" s="898">
        <v>600</v>
      </c>
      <c r="D52" s="899">
        <v>1300</v>
      </c>
      <c r="E52" s="1332">
        <v>1100</v>
      </c>
      <c r="F52" s="899">
        <f t="shared" si="3"/>
        <v>780</v>
      </c>
      <c r="G52" s="897"/>
      <c r="H52" s="895"/>
      <c r="I52" s="915"/>
      <c r="J52" s="916"/>
      <c r="K52" s="903"/>
      <c r="L52" s="899">
        <f t="shared" si="2"/>
        <v>500</v>
      </c>
      <c r="M52" s="899"/>
      <c r="N52" s="904"/>
      <c r="O52" s="905"/>
      <c r="P52" s="899"/>
      <c r="Q52" s="899"/>
      <c r="R52" s="898"/>
      <c r="S52" s="899"/>
      <c r="T52" s="899"/>
      <c r="U52" s="904"/>
      <c r="V52" s="905"/>
      <c r="W52" s="902"/>
      <c r="X52" s="897"/>
      <c r="Y52" s="898"/>
      <c r="Z52" s="902"/>
      <c r="AA52" s="902"/>
      <c r="AB52" s="902"/>
      <c r="AC52" s="902"/>
    </row>
    <row r="53" spans="1:29" ht="13.95" customHeight="1" outlineLevel="1">
      <c r="A53" s="897" t="s">
        <v>947</v>
      </c>
      <c r="B53" s="898"/>
      <c r="C53" s="898">
        <v>0</v>
      </c>
      <c r="D53" s="899">
        <v>0</v>
      </c>
      <c r="E53" s="1332">
        <v>0</v>
      </c>
      <c r="F53" s="899">
        <v>0</v>
      </c>
      <c r="G53" s="897"/>
      <c r="H53" s="895"/>
      <c r="I53" s="902"/>
      <c r="J53" s="897"/>
      <c r="K53" s="903"/>
      <c r="L53" s="899">
        <f t="shared" si="2"/>
        <v>0</v>
      </c>
      <c r="M53" s="899"/>
      <c r="N53" s="904"/>
      <c r="O53" s="905"/>
      <c r="P53" s="899"/>
      <c r="Q53" s="899"/>
      <c r="R53" s="898"/>
      <c r="S53" s="899"/>
      <c r="T53" s="899"/>
      <c r="U53" s="904"/>
      <c r="V53" s="905"/>
      <c r="W53" s="902"/>
      <c r="X53" s="897"/>
      <c r="Y53" s="898"/>
      <c r="Z53" s="902"/>
      <c r="AA53" s="902"/>
      <c r="AB53" s="902"/>
      <c r="AC53" s="902"/>
    </row>
    <row r="54" spans="1:29" ht="13.95" customHeight="1" outlineLevel="1">
      <c r="A54" s="897" t="s">
        <v>508</v>
      </c>
      <c r="B54" s="898" t="s">
        <v>508</v>
      </c>
      <c r="C54" s="898">
        <v>69</v>
      </c>
      <c r="D54" s="899">
        <v>300</v>
      </c>
      <c r="E54" s="1332">
        <v>300</v>
      </c>
      <c r="F54" s="899"/>
      <c r="G54" s="897"/>
      <c r="H54" s="895"/>
      <c r="I54" s="915"/>
      <c r="J54" s="902"/>
      <c r="K54" s="903"/>
      <c r="L54" s="899">
        <f t="shared" si="2"/>
        <v>231</v>
      </c>
      <c r="M54" s="899"/>
      <c r="N54" s="904"/>
      <c r="O54" s="905"/>
      <c r="P54" s="899"/>
      <c r="Q54" s="899"/>
      <c r="R54" s="898"/>
      <c r="S54" s="899"/>
      <c r="T54" s="899"/>
      <c r="U54" s="904"/>
      <c r="V54" s="905"/>
      <c r="W54" s="902"/>
      <c r="X54" s="897"/>
      <c r="Y54" s="898"/>
      <c r="Z54" s="902"/>
      <c r="AA54" s="902"/>
      <c r="AB54" s="902"/>
      <c r="AC54" s="902"/>
    </row>
    <row r="55" spans="1:29" ht="14.45" customHeight="1" outlineLevel="1" thickBot="1">
      <c r="A55" s="897" t="s">
        <v>1545</v>
      </c>
      <c r="B55" s="898" t="s">
        <v>1546</v>
      </c>
      <c r="C55" s="898">
        <v>1380</v>
      </c>
      <c r="D55" s="899">
        <v>4200</v>
      </c>
      <c r="E55" s="1332">
        <v>4000</v>
      </c>
      <c r="F55" s="899">
        <f t="shared" si="3"/>
        <v>1794</v>
      </c>
      <c r="G55" s="897"/>
      <c r="H55" s="895"/>
      <c r="I55" s="912"/>
      <c r="J55" s="902"/>
      <c r="K55" s="903"/>
      <c r="L55" s="899">
        <f t="shared" si="2"/>
        <v>2620</v>
      </c>
      <c r="M55" s="899"/>
      <c r="N55" s="904"/>
      <c r="O55" s="905"/>
      <c r="P55" s="899"/>
      <c r="Q55" s="899"/>
      <c r="R55" s="898"/>
      <c r="S55" s="899"/>
      <c r="T55" s="899"/>
      <c r="U55" s="904"/>
      <c r="V55" s="905"/>
      <c r="W55" s="902"/>
      <c r="X55" s="897"/>
      <c r="Y55" s="898"/>
      <c r="Z55" s="902"/>
      <c r="AA55" s="902"/>
      <c r="AB55" s="902"/>
      <c r="AC55" s="902"/>
    </row>
    <row r="56" spans="1:29" ht="16.3" thickBot="1">
      <c r="A56" s="917" t="s">
        <v>1119</v>
      </c>
      <c r="B56" s="892" t="s">
        <v>2744</v>
      </c>
      <c r="C56" s="892">
        <f>SUM(C57:C93)</f>
        <v>12439</v>
      </c>
      <c r="D56" s="893">
        <f>SUM(D57:D93)</f>
        <v>34340</v>
      </c>
      <c r="E56" s="1331">
        <v>26100</v>
      </c>
      <c r="F56" s="893">
        <f>SUM(F57:F93)</f>
        <v>16170.699999999999</v>
      </c>
      <c r="G56" s="894">
        <v>1</v>
      </c>
      <c r="H56" s="895"/>
      <c r="I56" s="902" t="str">
        <f>IF(H56="x",CONCATENATE(A56,"; "),"")</f>
        <v/>
      </c>
      <c r="J56" s="897"/>
      <c r="K56" s="903"/>
      <c r="L56" s="899">
        <f t="shared" si="2"/>
        <v>13661</v>
      </c>
      <c r="M56" s="899"/>
      <c r="N56" s="904"/>
      <c r="O56" s="905"/>
      <c r="P56" s="899"/>
      <c r="Q56" s="899"/>
      <c r="R56" s="898"/>
      <c r="S56" s="899"/>
      <c r="T56" s="899"/>
      <c r="U56" s="904"/>
      <c r="V56" s="905"/>
      <c r="W56" s="902"/>
      <c r="X56" s="897"/>
      <c r="Y56" s="898"/>
      <c r="Z56" s="902"/>
      <c r="AA56" s="902"/>
      <c r="AB56" s="902"/>
      <c r="AC56" s="902"/>
    </row>
    <row r="57" spans="1:29" ht="13.95" hidden="1" customHeight="1" outlineLevel="1">
      <c r="A57" s="897" t="s">
        <v>1861</v>
      </c>
      <c r="B57" s="898" t="s">
        <v>1862</v>
      </c>
      <c r="C57" s="898">
        <v>175</v>
      </c>
      <c r="D57" s="899">
        <v>1200</v>
      </c>
      <c r="E57" s="1332">
        <v>400</v>
      </c>
      <c r="F57" s="899">
        <f>C57*1.3</f>
        <v>227.5</v>
      </c>
      <c r="G57" s="900"/>
      <c r="H57" s="895"/>
      <c r="I57" s="902"/>
      <c r="J57" s="910"/>
      <c r="K57" s="903"/>
      <c r="L57" s="899">
        <f t="shared" si="2"/>
        <v>225</v>
      </c>
      <c r="M57" s="903"/>
      <c r="N57" s="903"/>
      <c r="O57" s="903"/>
      <c r="P57" s="903"/>
      <c r="Q57" s="902"/>
      <c r="R57" s="902"/>
      <c r="S57" s="903"/>
      <c r="T57" s="902"/>
      <c r="U57" s="902"/>
      <c r="V57" s="902"/>
      <c r="W57" s="902"/>
      <c r="X57" s="902"/>
      <c r="Y57" s="902"/>
      <c r="Z57" s="902"/>
      <c r="AA57" s="902"/>
      <c r="AB57" s="902"/>
      <c r="AC57" s="902"/>
    </row>
    <row r="58" spans="1:29" ht="13.95" hidden="1" customHeight="1" outlineLevel="1">
      <c r="A58" s="897" t="s">
        <v>685</v>
      </c>
      <c r="B58" s="898" t="s">
        <v>1539</v>
      </c>
      <c r="C58" s="898">
        <v>69</v>
      </c>
      <c r="D58" s="899">
        <v>200</v>
      </c>
      <c r="E58" s="1332">
        <v>200</v>
      </c>
      <c r="F58" s="899">
        <f t="shared" ref="F58:F93" si="4">C58*1.3</f>
        <v>89.7</v>
      </c>
      <c r="G58" s="900"/>
      <c r="H58" s="895"/>
      <c r="I58" s="902"/>
      <c r="J58" s="897"/>
      <c r="K58" s="903"/>
      <c r="L58" s="899">
        <f t="shared" si="2"/>
        <v>131</v>
      </c>
      <c r="M58" s="899"/>
      <c r="N58" s="904"/>
      <c r="O58" s="905"/>
      <c r="P58" s="899"/>
      <c r="Q58" s="899"/>
      <c r="R58" s="898"/>
      <c r="S58" s="899"/>
      <c r="T58" s="899"/>
      <c r="U58" s="904"/>
      <c r="V58" s="905"/>
      <c r="W58" s="902"/>
      <c r="X58" s="897"/>
      <c r="Y58" s="898"/>
      <c r="Z58" s="902"/>
      <c r="AA58" s="902"/>
      <c r="AB58" s="902"/>
      <c r="AC58" s="902"/>
    </row>
    <row r="59" spans="1:29" ht="13.95" hidden="1" customHeight="1" outlineLevel="1">
      <c r="A59" s="897" t="s">
        <v>1569</v>
      </c>
      <c r="B59" s="898" t="s">
        <v>27</v>
      </c>
      <c r="C59" s="898">
        <v>69</v>
      </c>
      <c r="D59" s="899">
        <v>600</v>
      </c>
      <c r="E59" s="1332">
        <v>300</v>
      </c>
      <c r="F59" s="899">
        <f t="shared" si="4"/>
        <v>89.7</v>
      </c>
      <c r="G59" s="900"/>
      <c r="H59" s="895"/>
      <c r="I59" s="902"/>
      <c r="J59" s="897"/>
      <c r="K59" s="903"/>
      <c r="L59" s="899">
        <f t="shared" si="2"/>
        <v>231</v>
      </c>
      <c r="M59" s="899"/>
      <c r="N59" s="904"/>
      <c r="O59" s="905"/>
      <c r="P59" s="899"/>
      <c r="Q59" s="899"/>
      <c r="R59" s="898"/>
      <c r="S59" s="899"/>
      <c r="T59" s="899"/>
      <c r="U59" s="904"/>
      <c r="V59" s="905"/>
      <c r="W59" s="902"/>
      <c r="X59" s="897"/>
      <c r="Y59" s="898"/>
      <c r="Z59" s="902"/>
      <c r="AA59" s="902"/>
      <c r="AB59" s="902"/>
      <c r="AC59" s="902"/>
    </row>
    <row r="60" spans="1:29" ht="13.95" hidden="1" customHeight="1" outlineLevel="1">
      <c r="A60" s="897" t="s">
        <v>1607</v>
      </c>
      <c r="B60" s="898" t="s">
        <v>22</v>
      </c>
      <c r="C60" s="898">
        <v>135</v>
      </c>
      <c r="D60" s="899">
        <v>200</v>
      </c>
      <c r="E60" s="1332">
        <v>200</v>
      </c>
      <c r="F60" s="899">
        <f t="shared" si="4"/>
        <v>175.5</v>
      </c>
      <c r="G60" s="900"/>
      <c r="H60" s="895"/>
      <c r="I60" s="902"/>
      <c r="J60" s="897"/>
      <c r="K60" s="903"/>
      <c r="L60" s="899">
        <f t="shared" si="2"/>
        <v>65</v>
      </c>
      <c r="M60" s="899"/>
      <c r="N60" s="904"/>
      <c r="O60" s="905"/>
      <c r="P60" s="899"/>
      <c r="Q60" s="899"/>
      <c r="R60" s="898"/>
      <c r="S60" s="899"/>
      <c r="T60" s="899"/>
      <c r="U60" s="904"/>
      <c r="V60" s="905"/>
      <c r="W60" s="902"/>
      <c r="X60" s="897"/>
      <c r="Y60" s="898"/>
      <c r="Z60" s="902"/>
      <c r="AA60" s="902"/>
      <c r="AB60" s="902"/>
      <c r="AC60" s="902"/>
    </row>
    <row r="61" spans="1:29" ht="13.95" hidden="1" customHeight="1" outlineLevel="1">
      <c r="A61" s="897" t="s">
        <v>527</v>
      </c>
      <c r="B61" s="898" t="s">
        <v>1831</v>
      </c>
      <c r="C61" s="898">
        <v>340</v>
      </c>
      <c r="D61" s="899">
        <v>1200</v>
      </c>
      <c r="E61" s="1332">
        <v>500</v>
      </c>
      <c r="F61" s="899">
        <f t="shared" si="4"/>
        <v>442</v>
      </c>
      <c r="G61" s="900"/>
      <c r="H61" s="895"/>
      <c r="I61" s="902"/>
      <c r="J61" s="897"/>
      <c r="K61" s="903"/>
      <c r="L61" s="899">
        <f t="shared" si="2"/>
        <v>160</v>
      </c>
      <c r="M61" s="899"/>
      <c r="N61" s="904"/>
      <c r="O61" s="905"/>
      <c r="P61" s="899"/>
      <c r="Q61" s="899"/>
      <c r="R61" s="898"/>
      <c r="S61" s="899"/>
      <c r="T61" s="899"/>
      <c r="U61" s="904"/>
      <c r="V61" s="905"/>
      <c r="W61" s="902"/>
      <c r="X61" s="897"/>
      <c r="Y61" s="898"/>
      <c r="Z61" s="902"/>
      <c r="AA61" s="902"/>
      <c r="AB61" s="902"/>
      <c r="AC61" s="902"/>
    </row>
    <row r="62" spans="1:29" hidden="1" outlineLevel="1">
      <c r="A62" s="897" t="s">
        <v>1391</v>
      </c>
      <c r="B62" s="898" t="s">
        <v>1392</v>
      </c>
      <c r="C62" s="898">
        <v>69</v>
      </c>
      <c r="D62" s="899">
        <v>400</v>
      </c>
      <c r="E62" s="1332">
        <v>300</v>
      </c>
      <c r="F62" s="899">
        <f t="shared" si="4"/>
        <v>89.7</v>
      </c>
      <c r="G62" s="900"/>
      <c r="H62" s="895"/>
      <c r="I62" s="902"/>
      <c r="J62" s="897"/>
      <c r="K62" s="903"/>
      <c r="L62" s="899">
        <f t="shared" si="2"/>
        <v>231</v>
      </c>
      <c r="M62" s="899"/>
      <c r="N62" s="904"/>
      <c r="O62" s="905"/>
      <c r="P62" s="899"/>
      <c r="Q62" s="899"/>
      <c r="R62" s="898"/>
      <c r="S62" s="899"/>
      <c r="T62" s="899"/>
      <c r="U62" s="904"/>
      <c r="V62" s="905"/>
      <c r="W62" s="902"/>
      <c r="X62" s="897"/>
      <c r="Y62" s="898"/>
      <c r="Z62" s="902"/>
      <c r="AA62" s="902"/>
      <c r="AB62" s="902"/>
      <c r="AC62" s="902"/>
    </row>
    <row r="63" spans="1:29" hidden="1" outlineLevel="1">
      <c r="A63" s="897" t="s">
        <v>1824</v>
      </c>
      <c r="B63" s="898" t="s">
        <v>861</v>
      </c>
      <c r="C63" s="898">
        <v>135</v>
      </c>
      <c r="D63" s="899">
        <v>600</v>
      </c>
      <c r="E63" s="1332">
        <v>600</v>
      </c>
      <c r="F63" s="899">
        <f t="shared" si="4"/>
        <v>175.5</v>
      </c>
      <c r="G63" s="900"/>
      <c r="H63" s="895"/>
      <c r="I63" s="902"/>
      <c r="J63" s="897"/>
      <c r="K63" s="903"/>
      <c r="L63" s="899">
        <f t="shared" si="2"/>
        <v>465</v>
      </c>
      <c r="M63" s="899"/>
      <c r="N63" s="904"/>
      <c r="O63" s="905"/>
      <c r="P63" s="899"/>
      <c r="Q63" s="899"/>
      <c r="R63" s="898"/>
      <c r="S63" s="899"/>
      <c r="T63" s="899"/>
      <c r="U63" s="904"/>
      <c r="V63" s="905"/>
      <c r="W63" s="902"/>
      <c r="X63" s="897"/>
      <c r="Y63" s="898"/>
      <c r="Z63" s="902"/>
      <c r="AA63" s="902"/>
      <c r="AB63" s="902"/>
      <c r="AC63" s="902"/>
    </row>
    <row r="64" spans="1:29" hidden="1" outlineLevel="1">
      <c r="A64" s="897" t="s">
        <v>1621</v>
      </c>
      <c r="B64" s="898" t="s">
        <v>2346</v>
      </c>
      <c r="C64" s="898">
        <v>175</v>
      </c>
      <c r="D64" s="899">
        <v>400</v>
      </c>
      <c r="E64" s="1332">
        <v>400</v>
      </c>
      <c r="F64" s="899">
        <f t="shared" si="4"/>
        <v>227.5</v>
      </c>
      <c r="G64" s="900"/>
      <c r="H64" s="895"/>
      <c r="I64" s="902"/>
      <c r="J64" s="897"/>
      <c r="K64" s="903"/>
      <c r="L64" s="899">
        <f t="shared" si="2"/>
        <v>225</v>
      </c>
      <c r="M64" s="899"/>
      <c r="N64" s="904"/>
      <c r="O64" s="905"/>
      <c r="P64" s="899"/>
      <c r="Q64" s="899"/>
      <c r="R64" s="898"/>
      <c r="S64" s="899"/>
      <c r="T64" s="899"/>
      <c r="U64" s="904"/>
      <c r="V64" s="905"/>
      <c r="W64" s="902"/>
      <c r="X64" s="897"/>
      <c r="Y64" s="898"/>
      <c r="Z64" s="902"/>
      <c r="AA64" s="902"/>
      <c r="AB64" s="902"/>
      <c r="AC64" s="902"/>
    </row>
    <row r="65" spans="1:29" hidden="1" outlineLevel="1">
      <c r="A65" s="897" t="s">
        <v>1807</v>
      </c>
      <c r="B65" s="898" t="s">
        <v>30</v>
      </c>
      <c r="C65" s="898">
        <v>460</v>
      </c>
      <c r="D65" s="899">
        <v>850</v>
      </c>
      <c r="E65" s="1332">
        <v>400</v>
      </c>
      <c r="F65" s="899">
        <f t="shared" si="4"/>
        <v>598</v>
      </c>
      <c r="G65" s="900"/>
      <c r="H65" s="895"/>
      <c r="I65" s="902"/>
      <c r="J65" s="897"/>
      <c r="K65" s="903"/>
      <c r="L65" s="899">
        <f t="shared" si="2"/>
        <v>-60</v>
      </c>
      <c r="M65" s="899"/>
      <c r="N65" s="904"/>
      <c r="O65" s="905"/>
      <c r="P65" s="899"/>
      <c r="Q65" s="899"/>
      <c r="R65" s="898"/>
      <c r="S65" s="899"/>
      <c r="T65" s="899"/>
      <c r="U65" s="904"/>
      <c r="V65" s="905"/>
      <c r="W65" s="902"/>
      <c r="X65" s="897"/>
      <c r="Y65" s="898"/>
      <c r="Z65" s="902"/>
      <c r="AA65" s="902"/>
      <c r="AB65" s="902"/>
      <c r="AC65" s="902"/>
    </row>
    <row r="66" spans="1:29" hidden="1" outlineLevel="1">
      <c r="A66" s="897" t="s">
        <v>1608</v>
      </c>
      <c r="B66" s="898" t="s">
        <v>19</v>
      </c>
      <c r="C66" s="898">
        <v>69</v>
      </c>
      <c r="D66" s="899">
        <v>600</v>
      </c>
      <c r="E66" s="1332">
        <v>400</v>
      </c>
      <c r="F66" s="899">
        <f t="shared" si="4"/>
        <v>89.7</v>
      </c>
      <c r="G66" s="900"/>
      <c r="H66" s="895"/>
      <c r="I66" s="902"/>
      <c r="J66" s="897"/>
      <c r="K66" s="903"/>
      <c r="L66" s="899">
        <f t="shared" si="2"/>
        <v>331</v>
      </c>
      <c r="M66" s="899"/>
      <c r="N66" s="904"/>
      <c r="O66" s="905"/>
      <c r="P66" s="899"/>
      <c r="Q66" s="899"/>
      <c r="R66" s="898"/>
      <c r="S66" s="899"/>
      <c r="T66" s="899"/>
      <c r="U66" s="904"/>
      <c r="V66" s="905"/>
      <c r="W66" s="902"/>
      <c r="X66" s="897"/>
      <c r="Y66" s="898"/>
      <c r="Z66" s="902"/>
      <c r="AA66" s="902"/>
      <c r="AB66" s="902"/>
      <c r="AC66" s="902"/>
    </row>
    <row r="67" spans="1:29" hidden="1" outlineLevel="1">
      <c r="A67" s="897" t="s">
        <v>1813</v>
      </c>
      <c r="B67" s="898" t="s">
        <v>505</v>
      </c>
      <c r="C67" s="898">
        <v>69</v>
      </c>
      <c r="D67" s="899">
        <v>600</v>
      </c>
      <c r="E67" s="1332">
        <v>350</v>
      </c>
      <c r="F67" s="899">
        <f t="shared" si="4"/>
        <v>89.7</v>
      </c>
      <c r="G67" s="900"/>
      <c r="H67" s="895"/>
      <c r="I67" s="902"/>
      <c r="J67" s="897"/>
      <c r="K67" s="903"/>
      <c r="L67" s="899">
        <f t="shared" si="2"/>
        <v>281</v>
      </c>
      <c r="M67" s="899"/>
      <c r="N67" s="904"/>
      <c r="O67" s="905"/>
      <c r="P67" s="899"/>
      <c r="Q67" s="899"/>
      <c r="R67" s="898"/>
      <c r="S67" s="899"/>
      <c r="T67" s="899"/>
      <c r="U67" s="904"/>
      <c r="V67" s="905"/>
      <c r="W67" s="902"/>
      <c r="X67" s="897"/>
      <c r="Y67" s="898"/>
      <c r="Z67" s="902"/>
      <c r="AA67" s="902"/>
      <c r="AB67" s="902"/>
      <c r="AC67" s="902"/>
    </row>
    <row r="68" spans="1:29" hidden="1" outlineLevel="1">
      <c r="A68" s="897" t="s">
        <v>1693</v>
      </c>
      <c r="B68" s="898" t="s">
        <v>21</v>
      </c>
      <c r="C68" s="898">
        <v>135</v>
      </c>
      <c r="D68" s="899">
        <v>200</v>
      </c>
      <c r="E68" s="1332">
        <v>200</v>
      </c>
      <c r="F68" s="899">
        <f t="shared" si="4"/>
        <v>175.5</v>
      </c>
      <c r="G68" s="900"/>
      <c r="H68" s="895"/>
      <c r="I68" s="902"/>
      <c r="J68" s="897"/>
      <c r="K68" s="903"/>
      <c r="L68" s="899">
        <f t="shared" si="2"/>
        <v>65</v>
      </c>
      <c r="M68" s="899"/>
      <c r="N68" s="904"/>
      <c r="O68" s="905"/>
      <c r="P68" s="899"/>
      <c r="Q68" s="899"/>
      <c r="R68" s="898"/>
      <c r="S68" s="899"/>
      <c r="T68" s="899"/>
      <c r="U68" s="904"/>
      <c r="V68" s="905"/>
      <c r="W68" s="902"/>
      <c r="X68" s="897"/>
      <c r="Y68" s="898"/>
      <c r="Z68" s="902"/>
      <c r="AA68" s="902"/>
      <c r="AB68" s="902"/>
      <c r="AC68" s="902"/>
    </row>
    <row r="69" spans="1:29" hidden="1" outlineLevel="1">
      <c r="A69" s="897" t="s">
        <v>1613</v>
      </c>
      <c r="B69" s="898" t="s">
        <v>32</v>
      </c>
      <c r="C69" s="898">
        <v>69</v>
      </c>
      <c r="D69" s="899">
        <v>200</v>
      </c>
      <c r="E69" s="1332">
        <v>200</v>
      </c>
      <c r="F69" s="899">
        <f t="shared" si="4"/>
        <v>89.7</v>
      </c>
      <c r="G69" s="900"/>
      <c r="H69" s="895"/>
      <c r="I69" s="902"/>
      <c r="J69" s="897"/>
      <c r="K69" s="903"/>
      <c r="L69" s="899">
        <f t="shared" si="2"/>
        <v>131</v>
      </c>
      <c r="M69" s="899"/>
      <c r="N69" s="904"/>
      <c r="O69" s="905"/>
      <c r="P69" s="899"/>
      <c r="Q69" s="899"/>
      <c r="R69" s="898"/>
      <c r="S69" s="899"/>
      <c r="T69" s="899"/>
      <c r="U69" s="904"/>
      <c r="V69" s="905"/>
      <c r="W69" s="902"/>
      <c r="X69" s="897"/>
      <c r="Y69" s="898"/>
      <c r="Z69" s="902"/>
      <c r="AA69" s="902"/>
      <c r="AB69" s="902"/>
      <c r="AC69" s="902"/>
    </row>
    <row r="70" spans="1:29" hidden="1" outlineLevel="1">
      <c r="A70" s="897" t="s">
        <v>649</v>
      </c>
      <c r="B70" s="898" t="s">
        <v>649</v>
      </c>
      <c r="C70" s="898">
        <v>460</v>
      </c>
      <c r="D70" s="899">
        <v>1400</v>
      </c>
      <c r="E70" s="1332">
        <v>500</v>
      </c>
      <c r="F70" s="899">
        <f t="shared" si="4"/>
        <v>598</v>
      </c>
      <c r="G70" s="900"/>
      <c r="H70" s="895"/>
      <c r="I70" s="902"/>
      <c r="J70" s="897"/>
      <c r="K70" s="903"/>
      <c r="L70" s="899">
        <f t="shared" si="2"/>
        <v>40</v>
      </c>
      <c r="M70" s="899"/>
      <c r="N70" s="904"/>
      <c r="O70" s="905"/>
      <c r="P70" s="899"/>
      <c r="Q70" s="899"/>
      <c r="R70" s="898"/>
      <c r="S70" s="899"/>
      <c r="T70" s="899"/>
      <c r="U70" s="904"/>
      <c r="V70" s="905"/>
      <c r="W70" s="902"/>
      <c r="X70" s="897"/>
      <c r="Y70" s="898"/>
      <c r="Z70" s="902"/>
      <c r="AA70" s="902"/>
      <c r="AB70" s="902"/>
      <c r="AC70" s="902"/>
    </row>
    <row r="71" spans="1:29" hidden="1" outlineLevel="1">
      <c r="A71" s="897" t="s">
        <v>945</v>
      </c>
      <c r="B71" s="898" t="s">
        <v>1542</v>
      </c>
      <c r="C71" s="898">
        <v>230</v>
      </c>
      <c r="D71" s="899">
        <v>600</v>
      </c>
      <c r="E71" s="1332">
        <v>600</v>
      </c>
      <c r="F71" s="899">
        <f t="shared" si="4"/>
        <v>299</v>
      </c>
      <c r="G71" s="900"/>
      <c r="H71" s="895"/>
      <c r="I71" s="902"/>
      <c r="J71" s="897"/>
      <c r="K71" s="903"/>
      <c r="L71" s="899">
        <f t="shared" si="2"/>
        <v>370</v>
      </c>
      <c r="M71" s="899"/>
      <c r="N71" s="904"/>
      <c r="O71" s="905"/>
      <c r="P71" s="899"/>
      <c r="Q71" s="899"/>
      <c r="R71" s="898"/>
      <c r="S71" s="899"/>
      <c r="T71" s="899"/>
      <c r="U71" s="904"/>
      <c r="V71" s="905"/>
      <c r="W71" s="902"/>
      <c r="X71" s="897"/>
      <c r="Y71" s="898"/>
      <c r="Z71" s="902"/>
      <c r="AA71" s="902"/>
      <c r="AB71" s="902"/>
      <c r="AC71" s="902"/>
    </row>
    <row r="72" spans="1:29" hidden="1" outlineLevel="1">
      <c r="A72" s="918" t="s">
        <v>948</v>
      </c>
      <c r="B72" s="918" t="s">
        <v>1628</v>
      </c>
      <c r="C72" s="898">
        <v>175</v>
      </c>
      <c r="D72" s="899">
        <v>700</v>
      </c>
      <c r="E72" s="1332">
        <v>600</v>
      </c>
      <c r="F72" s="899">
        <f t="shared" si="4"/>
        <v>227.5</v>
      </c>
      <c r="G72" s="900"/>
      <c r="H72" s="895"/>
      <c r="I72" s="902"/>
      <c r="J72" s="897"/>
      <c r="K72" s="903"/>
      <c r="L72" s="899">
        <f t="shared" si="2"/>
        <v>425</v>
      </c>
      <c r="M72" s="899"/>
      <c r="N72" s="904"/>
      <c r="O72" s="905"/>
      <c r="P72" s="899"/>
      <c r="Q72" s="899"/>
      <c r="R72" s="898"/>
      <c r="S72" s="899"/>
      <c r="T72" s="899"/>
      <c r="U72" s="904"/>
      <c r="V72" s="905"/>
      <c r="W72" s="902"/>
      <c r="X72" s="897"/>
      <c r="Y72" s="898"/>
      <c r="Z72" s="902"/>
      <c r="AA72" s="902"/>
      <c r="AB72" s="902"/>
      <c r="AC72" s="902"/>
    </row>
    <row r="73" spans="1:29" hidden="1" outlineLevel="1">
      <c r="A73" s="897" t="s">
        <v>684</v>
      </c>
      <c r="B73" s="898" t="s">
        <v>1538</v>
      </c>
      <c r="C73" s="898">
        <v>69</v>
      </c>
      <c r="D73" s="899">
        <v>200</v>
      </c>
      <c r="E73" s="1332">
        <v>200</v>
      </c>
      <c r="F73" s="899">
        <f t="shared" si="4"/>
        <v>89.7</v>
      </c>
      <c r="G73" s="900"/>
      <c r="H73" s="895"/>
      <c r="I73" s="902"/>
      <c r="J73" s="897"/>
      <c r="K73" s="903"/>
      <c r="L73" s="899">
        <f t="shared" si="2"/>
        <v>131</v>
      </c>
      <c r="M73" s="899"/>
      <c r="N73" s="904"/>
      <c r="O73" s="905"/>
      <c r="P73" s="899"/>
      <c r="Q73" s="899"/>
      <c r="R73" s="898"/>
      <c r="S73" s="899"/>
      <c r="T73" s="899"/>
      <c r="U73" s="904"/>
      <c r="V73" s="905"/>
      <c r="W73" s="902"/>
      <c r="X73" s="897"/>
      <c r="Y73" s="898"/>
      <c r="Z73" s="902"/>
      <c r="AA73" s="902"/>
      <c r="AB73" s="902"/>
      <c r="AC73" s="902"/>
    </row>
    <row r="74" spans="1:29" hidden="1" outlineLevel="1">
      <c r="A74" s="897" t="s">
        <v>1826</v>
      </c>
      <c r="B74" s="898" t="s">
        <v>1827</v>
      </c>
      <c r="C74" s="898">
        <v>69</v>
      </c>
      <c r="D74" s="899">
        <v>640</v>
      </c>
      <c r="E74" s="1332">
        <v>300</v>
      </c>
      <c r="F74" s="899">
        <f t="shared" si="4"/>
        <v>89.7</v>
      </c>
      <c r="G74" s="900"/>
      <c r="H74" s="895"/>
      <c r="I74" s="902"/>
      <c r="J74" s="897"/>
      <c r="K74" s="903"/>
      <c r="L74" s="899">
        <f t="shared" si="2"/>
        <v>231</v>
      </c>
      <c r="M74" s="899"/>
      <c r="N74" s="904"/>
      <c r="O74" s="905"/>
      <c r="P74" s="899"/>
      <c r="Q74" s="899"/>
      <c r="R74" s="898"/>
      <c r="S74" s="899"/>
      <c r="T74" s="899"/>
      <c r="U74" s="904"/>
      <c r="V74" s="905"/>
      <c r="W74" s="902"/>
      <c r="X74" s="897"/>
      <c r="Y74" s="898"/>
      <c r="Z74" s="902"/>
      <c r="AA74" s="902"/>
      <c r="AB74" s="902"/>
      <c r="AC74" s="902"/>
    </row>
    <row r="75" spans="1:29" hidden="1" outlineLevel="1">
      <c r="A75" s="897" t="s">
        <v>1716</v>
      </c>
      <c r="B75" s="898" t="s">
        <v>25</v>
      </c>
      <c r="C75" s="898">
        <v>69</v>
      </c>
      <c r="D75" s="899">
        <v>600</v>
      </c>
      <c r="E75" s="1332">
        <v>300</v>
      </c>
      <c r="F75" s="899">
        <f t="shared" si="4"/>
        <v>89.7</v>
      </c>
      <c r="G75" s="900"/>
      <c r="H75" s="895"/>
      <c r="I75" s="902"/>
      <c r="J75" s="897"/>
      <c r="K75" s="903"/>
      <c r="L75" s="899">
        <f t="shared" si="2"/>
        <v>231</v>
      </c>
      <c r="M75" s="899"/>
      <c r="N75" s="904"/>
      <c r="O75" s="905"/>
      <c r="P75" s="899"/>
      <c r="Q75" s="899"/>
      <c r="R75" s="898"/>
      <c r="S75" s="899"/>
      <c r="T75" s="899"/>
      <c r="U75" s="904"/>
      <c r="V75" s="905"/>
      <c r="W75" s="902"/>
      <c r="X75" s="897"/>
      <c r="Y75" s="898"/>
      <c r="Z75" s="902"/>
      <c r="AA75" s="902"/>
      <c r="AB75" s="902"/>
      <c r="AC75" s="902"/>
    </row>
    <row r="76" spans="1:29" hidden="1" outlineLevel="1">
      <c r="A76" s="897" t="s">
        <v>1440</v>
      </c>
      <c r="B76" s="898" t="s">
        <v>1441</v>
      </c>
      <c r="C76" s="898">
        <v>69</v>
      </c>
      <c r="D76" s="899">
        <v>500</v>
      </c>
      <c r="E76" s="1332">
        <v>300</v>
      </c>
      <c r="F76" s="899">
        <f t="shared" si="4"/>
        <v>89.7</v>
      </c>
      <c r="G76" s="900"/>
      <c r="H76" s="895"/>
      <c r="I76" s="902"/>
      <c r="J76" s="897"/>
      <c r="K76" s="903"/>
      <c r="L76" s="899">
        <f t="shared" si="2"/>
        <v>231</v>
      </c>
      <c r="M76" s="899"/>
      <c r="N76" s="904"/>
      <c r="O76" s="905"/>
      <c r="P76" s="899"/>
      <c r="Q76" s="899"/>
      <c r="R76" s="898"/>
      <c r="S76" s="899"/>
      <c r="T76" s="899"/>
      <c r="U76" s="904"/>
      <c r="V76" s="905"/>
      <c r="W76" s="902"/>
      <c r="X76" s="897"/>
      <c r="Y76" s="898"/>
      <c r="Z76" s="902"/>
      <c r="AA76" s="902"/>
      <c r="AB76" s="902"/>
      <c r="AC76" s="902"/>
    </row>
    <row r="77" spans="1:29" hidden="1" outlineLevel="1">
      <c r="A77" s="897" t="s">
        <v>681</v>
      </c>
      <c r="B77" s="898" t="s">
        <v>15</v>
      </c>
      <c r="C77" s="898">
        <v>69</v>
      </c>
      <c r="D77" s="899">
        <v>250</v>
      </c>
      <c r="E77" s="1332">
        <v>250</v>
      </c>
      <c r="F77" s="899">
        <f t="shared" si="4"/>
        <v>89.7</v>
      </c>
      <c r="G77" s="900"/>
      <c r="H77" s="895"/>
      <c r="I77" s="902"/>
      <c r="J77" s="897"/>
      <c r="K77" s="903"/>
      <c r="L77" s="899">
        <f t="shared" si="2"/>
        <v>181</v>
      </c>
      <c r="M77" s="899"/>
      <c r="N77" s="904"/>
      <c r="O77" s="905"/>
      <c r="P77" s="899"/>
      <c r="Q77" s="899"/>
      <c r="R77" s="898"/>
      <c r="S77" s="899"/>
      <c r="T77" s="899"/>
      <c r="U77" s="904"/>
      <c r="V77" s="905"/>
      <c r="W77" s="902"/>
      <c r="X77" s="897"/>
      <c r="Y77" s="898"/>
      <c r="Z77" s="902"/>
      <c r="AA77" s="902"/>
      <c r="AB77" s="902"/>
      <c r="AC77" s="902"/>
    </row>
    <row r="78" spans="1:29" hidden="1" outlineLevel="1">
      <c r="A78" s="897" t="s">
        <v>662</v>
      </c>
      <c r="B78" s="898"/>
      <c r="C78" s="898"/>
      <c r="D78" s="899"/>
      <c r="E78" s="1332"/>
      <c r="F78" s="899">
        <f t="shared" si="4"/>
        <v>0</v>
      </c>
      <c r="G78" s="900"/>
      <c r="H78" s="895"/>
      <c r="I78" s="902"/>
      <c r="J78" s="897"/>
      <c r="K78" s="903"/>
      <c r="L78" s="899">
        <f t="shared" si="2"/>
        <v>0</v>
      </c>
      <c r="M78" s="899"/>
      <c r="N78" s="904"/>
      <c r="O78" s="905"/>
      <c r="P78" s="899"/>
      <c r="Q78" s="899"/>
      <c r="R78" s="898"/>
      <c r="S78" s="899"/>
      <c r="T78" s="899"/>
      <c r="U78" s="904"/>
      <c r="V78" s="905"/>
      <c r="W78" s="902"/>
      <c r="X78" s="897"/>
      <c r="Y78" s="898"/>
      <c r="Z78" s="902"/>
      <c r="AA78" s="902"/>
      <c r="AB78" s="902"/>
      <c r="AC78" s="902"/>
    </row>
    <row r="79" spans="1:29" hidden="1" outlineLevel="1">
      <c r="A79" s="897" t="s">
        <v>1522</v>
      </c>
      <c r="B79" s="898" t="s">
        <v>31</v>
      </c>
      <c r="C79" s="898">
        <v>1150</v>
      </c>
      <c r="D79" s="899">
        <v>2800</v>
      </c>
      <c r="E79" s="1332">
        <v>2000</v>
      </c>
      <c r="F79" s="899">
        <f t="shared" si="4"/>
        <v>1495</v>
      </c>
      <c r="G79" s="900"/>
      <c r="H79" s="895"/>
      <c r="I79" s="902"/>
      <c r="J79" s="897"/>
      <c r="K79" s="903"/>
      <c r="L79" s="899">
        <f t="shared" si="2"/>
        <v>850</v>
      </c>
      <c r="M79" s="899"/>
      <c r="N79" s="904"/>
      <c r="O79" s="905"/>
      <c r="P79" s="899"/>
      <c r="Q79" s="899"/>
      <c r="R79" s="898"/>
      <c r="S79" s="899"/>
      <c r="T79" s="899"/>
      <c r="U79" s="904"/>
      <c r="V79" s="905"/>
      <c r="W79" s="902"/>
      <c r="X79" s="897"/>
      <c r="Y79" s="898"/>
      <c r="Z79" s="902"/>
      <c r="AA79" s="902"/>
      <c r="AB79" s="902"/>
      <c r="AC79" s="902"/>
    </row>
    <row r="80" spans="1:29" hidden="1" outlineLevel="1">
      <c r="A80" s="897" t="s">
        <v>1611</v>
      </c>
      <c r="B80" s="898" t="s">
        <v>1612</v>
      </c>
      <c r="C80" s="898">
        <v>125</v>
      </c>
      <c r="D80" s="899">
        <v>200</v>
      </c>
      <c r="E80" s="1332">
        <v>200</v>
      </c>
      <c r="F80" s="899">
        <f t="shared" si="4"/>
        <v>162.5</v>
      </c>
      <c r="G80" s="900"/>
      <c r="H80" s="895"/>
      <c r="I80" s="902"/>
      <c r="J80" s="897"/>
      <c r="K80" s="903"/>
      <c r="L80" s="899">
        <f t="shared" si="2"/>
        <v>75</v>
      </c>
      <c r="M80" s="899"/>
      <c r="N80" s="904"/>
      <c r="O80" s="905"/>
      <c r="P80" s="899"/>
      <c r="Q80" s="899"/>
      <c r="R80" s="898"/>
      <c r="S80" s="899"/>
      <c r="T80" s="899"/>
      <c r="U80" s="904"/>
      <c r="V80" s="905"/>
      <c r="W80" s="902"/>
      <c r="X80" s="897"/>
      <c r="Y80" s="898"/>
      <c r="Z80" s="902"/>
      <c r="AA80" s="902"/>
      <c r="AB80" s="902"/>
      <c r="AC80" s="902"/>
    </row>
    <row r="81" spans="1:29" hidden="1" outlineLevel="1">
      <c r="A81" s="897" t="s">
        <v>1395</v>
      </c>
      <c r="B81" s="898" t="s">
        <v>1396</v>
      </c>
      <c r="C81" s="898">
        <v>69</v>
      </c>
      <c r="D81" s="899">
        <v>400</v>
      </c>
      <c r="E81" s="1332">
        <v>300</v>
      </c>
      <c r="F81" s="899">
        <f t="shared" si="4"/>
        <v>89.7</v>
      </c>
      <c r="G81" s="900"/>
      <c r="H81" s="895"/>
      <c r="I81" s="902"/>
      <c r="J81" s="897"/>
      <c r="K81" s="903"/>
      <c r="L81" s="899">
        <f t="shared" si="2"/>
        <v>231</v>
      </c>
      <c r="M81" s="899"/>
      <c r="N81" s="904"/>
      <c r="O81" s="905"/>
      <c r="P81" s="899"/>
      <c r="Q81" s="899"/>
      <c r="R81" s="898"/>
      <c r="S81" s="899"/>
      <c r="T81" s="899"/>
      <c r="U81" s="904"/>
      <c r="V81" s="905"/>
      <c r="W81" s="902"/>
      <c r="X81" s="897"/>
      <c r="Y81" s="898"/>
      <c r="Z81" s="902"/>
      <c r="AA81" s="902"/>
      <c r="AB81" s="902"/>
      <c r="AC81" s="902"/>
    </row>
    <row r="82" spans="1:29" hidden="1" outlineLevel="1">
      <c r="A82" s="897" t="s">
        <v>1782</v>
      </c>
      <c r="B82" s="898" t="s">
        <v>2355</v>
      </c>
      <c r="C82" s="898">
        <v>600</v>
      </c>
      <c r="D82" s="899">
        <v>1300</v>
      </c>
      <c r="E82" s="1332">
        <v>1100</v>
      </c>
      <c r="F82" s="899">
        <f t="shared" si="4"/>
        <v>780</v>
      </c>
      <c r="G82" s="900"/>
      <c r="H82" s="895"/>
      <c r="I82" s="902"/>
      <c r="J82" s="897"/>
      <c r="K82" s="903"/>
      <c r="L82" s="899">
        <f t="shared" si="2"/>
        <v>500</v>
      </c>
      <c r="M82" s="899"/>
      <c r="N82" s="904"/>
      <c r="O82" s="905"/>
      <c r="P82" s="899"/>
      <c r="Q82" s="899"/>
      <c r="R82" s="898"/>
      <c r="S82" s="899"/>
      <c r="T82" s="899"/>
      <c r="U82" s="904"/>
      <c r="V82" s="905"/>
      <c r="W82" s="902"/>
      <c r="X82" s="897"/>
      <c r="Y82" s="898"/>
      <c r="Z82" s="902"/>
      <c r="AA82" s="902"/>
      <c r="AB82" s="902"/>
      <c r="AC82" s="902"/>
    </row>
    <row r="83" spans="1:29" hidden="1" outlineLevel="1">
      <c r="A83" s="897" t="s">
        <v>947</v>
      </c>
      <c r="B83" s="898"/>
      <c r="C83" s="898">
        <v>0</v>
      </c>
      <c r="D83" s="899">
        <v>0</v>
      </c>
      <c r="E83" s="1332">
        <v>0</v>
      </c>
      <c r="F83" s="899">
        <v>0</v>
      </c>
      <c r="G83" s="900"/>
      <c r="H83" s="895"/>
      <c r="I83" s="902"/>
      <c r="J83" s="897"/>
      <c r="K83" s="903"/>
      <c r="L83" s="899">
        <f t="shared" si="2"/>
        <v>0</v>
      </c>
      <c r="M83" s="899"/>
      <c r="N83" s="904"/>
      <c r="O83" s="905"/>
      <c r="P83" s="899"/>
      <c r="Q83" s="899"/>
      <c r="R83" s="898"/>
      <c r="S83" s="899"/>
      <c r="T83" s="899"/>
      <c r="U83" s="904"/>
      <c r="V83" s="905"/>
      <c r="W83" s="902"/>
      <c r="X83" s="897"/>
      <c r="Y83" s="898"/>
      <c r="Z83" s="902"/>
      <c r="AA83" s="902"/>
      <c r="AB83" s="902"/>
      <c r="AC83" s="902"/>
    </row>
    <row r="84" spans="1:29" hidden="1" outlineLevel="1">
      <c r="A84" s="897" t="s">
        <v>508</v>
      </c>
      <c r="B84" s="898" t="s">
        <v>508</v>
      </c>
      <c r="C84" s="898">
        <v>69</v>
      </c>
      <c r="D84" s="899">
        <v>300</v>
      </c>
      <c r="E84" s="1332">
        <v>300</v>
      </c>
      <c r="F84" s="899">
        <f t="shared" si="4"/>
        <v>89.7</v>
      </c>
      <c r="G84" s="900"/>
      <c r="H84" s="895"/>
      <c r="I84" s="902"/>
      <c r="J84" s="897"/>
      <c r="K84" s="903"/>
      <c r="L84" s="899">
        <f t="shared" si="2"/>
        <v>231</v>
      </c>
      <c r="M84" s="899"/>
      <c r="N84" s="904"/>
      <c r="O84" s="905"/>
      <c r="P84" s="899"/>
      <c r="Q84" s="899"/>
      <c r="R84" s="898"/>
      <c r="S84" s="899"/>
      <c r="T84" s="899"/>
      <c r="U84" s="904"/>
      <c r="V84" s="905"/>
      <c r="W84" s="902"/>
      <c r="X84" s="897"/>
      <c r="Y84" s="898"/>
      <c r="Z84" s="902"/>
      <c r="AA84" s="902"/>
      <c r="AB84" s="902"/>
      <c r="AC84" s="902"/>
    </row>
    <row r="85" spans="1:29" hidden="1" outlineLevel="1">
      <c r="A85" s="897" t="s">
        <v>1371</v>
      </c>
      <c r="B85" s="898" t="s">
        <v>1372</v>
      </c>
      <c r="C85" s="898">
        <v>2415</v>
      </c>
      <c r="D85" s="899">
        <v>5800</v>
      </c>
      <c r="E85" s="1332">
        <v>3500</v>
      </c>
      <c r="F85" s="899">
        <f t="shared" si="4"/>
        <v>3139.5</v>
      </c>
      <c r="G85" s="900"/>
      <c r="H85" s="895"/>
      <c r="I85" s="902"/>
      <c r="J85" s="897"/>
      <c r="K85" s="903"/>
      <c r="L85" s="899">
        <f t="shared" si="2"/>
        <v>1085</v>
      </c>
      <c r="M85" s="899"/>
      <c r="N85" s="904"/>
      <c r="O85" s="905"/>
      <c r="P85" s="899"/>
      <c r="Q85" s="899"/>
      <c r="R85" s="898"/>
      <c r="S85" s="899"/>
      <c r="T85" s="899"/>
      <c r="U85" s="904"/>
      <c r="V85" s="905"/>
      <c r="W85" s="902"/>
      <c r="X85" s="897"/>
      <c r="Y85" s="898"/>
      <c r="Z85" s="902"/>
      <c r="AA85" s="902"/>
      <c r="AB85" s="902"/>
      <c r="AC85" s="902"/>
    </row>
    <row r="86" spans="1:29" hidden="1" outlineLevel="1">
      <c r="A86" s="897" t="s">
        <v>1527</v>
      </c>
      <c r="B86" s="898" t="s">
        <v>1528</v>
      </c>
      <c r="C86" s="898">
        <v>130</v>
      </c>
      <c r="D86" s="899">
        <v>600</v>
      </c>
      <c r="E86" s="1332">
        <v>600</v>
      </c>
      <c r="F86" s="899">
        <f t="shared" si="4"/>
        <v>169</v>
      </c>
      <c r="G86" s="900"/>
      <c r="H86" s="895"/>
      <c r="I86" s="902"/>
      <c r="J86" s="897"/>
      <c r="K86" s="903"/>
      <c r="L86" s="899">
        <f t="shared" si="2"/>
        <v>470</v>
      </c>
      <c r="M86" s="899"/>
      <c r="N86" s="904"/>
      <c r="O86" s="905"/>
      <c r="P86" s="899"/>
      <c r="Q86" s="899"/>
      <c r="R86" s="898"/>
      <c r="S86" s="899"/>
      <c r="T86" s="899"/>
      <c r="U86" s="904"/>
      <c r="V86" s="905"/>
      <c r="W86" s="902"/>
      <c r="X86" s="897"/>
      <c r="Y86" s="898"/>
      <c r="Z86" s="902"/>
      <c r="AA86" s="902"/>
      <c r="AB86" s="902"/>
      <c r="AC86" s="902"/>
    </row>
    <row r="87" spans="1:29" hidden="1" outlineLevel="1">
      <c r="A87" s="897" t="s">
        <v>1606</v>
      </c>
      <c r="B87" s="898" t="s">
        <v>1332</v>
      </c>
      <c r="C87" s="898">
        <v>69</v>
      </c>
      <c r="D87" s="899">
        <v>300</v>
      </c>
      <c r="E87" s="1332">
        <v>300</v>
      </c>
      <c r="F87" s="899">
        <f t="shared" si="4"/>
        <v>89.7</v>
      </c>
      <c r="G87" s="900"/>
      <c r="H87" s="895"/>
      <c r="I87" s="902"/>
      <c r="J87" s="897"/>
      <c r="K87" s="903"/>
      <c r="L87" s="899">
        <f t="shared" si="2"/>
        <v>231</v>
      </c>
      <c r="M87" s="899"/>
      <c r="N87" s="904"/>
      <c r="O87" s="905"/>
      <c r="P87" s="899"/>
      <c r="Q87" s="899"/>
      <c r="R87" s="898"/>
      <c r="S87" s="899"/>
      <c r="T87" s="899"/>
      <c r="U87" s="904"/>
      <c r="V87" s="905"/>
      <c r="W87" s="902"/>
      <c r="X87" s="897"/>
      <c r="Y87" s="898"/>
      <c r="Z87" s="902"/>
      <c r="AA87" s="902"/>
      <c r="AB87" s="902"/>
      <c r="AC87" s="902"/>
    </row>
    <row r="88" spans="1:29" hidden="1" outlineLevel="1">
      <c r="A88" s="897" t="s">
        <v>1397</v>
      </c>
      <c r="B88" s="898" t="s">
        <v>38</v>
      </c>
      <c r="C88" s="898">
        <v>345</v>
      </c>
      <c r="D88" s="899">
        <v>500</v>
      </c>
      <c r="E88" s="1332">
        <v>500</v>
      </c>
      <c r="F88" s="899">
        <f t="shared" si="4"/>
        <v>448.5</v>
      </c>
      <c r="G88" s="900"/>
      <c r="H88" s="895"/>
      <c r="I88" s="902"/>
      <c r="J88" s="897"/>
      <c r="K88" s="903"/>
      <c r="L88" s="899">
        <f t="shared" si="2"/>
        <v>155</v>
      </c>
      <c r="M88" s="899"/>
      <c r="N88" s="904"/>
      <c r="O88" s="905"/>
      <c r="P88" s="899"/>
      <c r="Q88" s="899"/>
      <c r="R88" s="898"/>
      <c r="S88" s="899"/>
      <c r="T88" s="899"/>
      <c r="U88" s="904"/>
      <c r="V88" s="905"/>
      <c r="W88" s="902"/>
      <c r="X88" s="897"/>
      <c r="Y88" s="898"/>
      <c r="Z88" s="902"/>
      <c r="AA88" s="902"/>
      <c r="AB88" s="902"/>
      <c r="AC88" s="902"/>
    </row>
    <row r="89" spans="1:29" hidden="1" outlineLevel="1">
      <c r="A89" s="897" t="s">
        <v>1650</v>
      </c>
      <c r="B89" s="898" t="s">
        <v>24</v>
      </c>
      <c r="C89" s="898">
        <v>125</v>
      </c>
      <c r="D89" s="899">
        <v>200</v>
      </c>
      <c r="E89" s="1332">
        <v>200</v>
      </c>
      <c r="F89" s="899">
        <f t="shared" si="4"/>
        <v>162.5</v>
      </c>
      <c r="G89" s="900"/>
      <c r="H89" s="895"/>
      <c r="I89" s="902"/>
      <c r="J89" s="897"/>
      <c r="K89" s="903"/>
      <c r="L89" s="899">
        <f t="shared" si="2"/>
        <v>75</v>
      </c>
      <c r="M89" s="899"/>
      <c r="N89" s="904"/>
      <c r="O89" s="905"/>
      <c r="P89" s="899"/>
      <c r="Q89" s="899"/>
      <c r="R89" s="898"/>
      <c r="S89" s="899"/>
      <c r="T89" s="899"/>
      <c r="U89" s="904"/>
      <c r="V89" s="905"/>
      <c r="W89" s="902"/>
      <c r="X89" s="897"/>
      <c r="Y89" s="898"/>
      <c r="Z89" s="902"/>
      <c r="AA89" s="902"/>
      <c r="AB89" s="902"/>
      <c r="AC89" s="902"/>
    </row>
    <row r="90" spans="1:29" hidden="1" outlineLevel="1">
      <c r="A90" s="897" t="s">
        <v>1492</v>
      </c>
      <c r="B90" s="898" t="s">
        <v>37</v>
      </c>
      <c r="C90" s="898">
        <v>253</v>
      </c>
      <c r="D90" s="899">
        <v>500</v>
      </c>
      <c r="E90" s="1332">
        <v>500</v>
      </c>
      <c r="F90" s="899">
        <f t="shared" si="4"/>
        <v>328.90000000000003</v>
      </c>
      <c r="G90" s="900"/>
      <c r="H90" s="895"/>
      <c r="I90" s="902"/>
      <c r="J90" s="897"/>
      <c r="K90" s="903"/>
      <c r="L90" s="899">
        <f t="shared" ref="L90:L153" si="5">E90-C90</f>
        <v>247</v>
      </c>
      <c r="M90" s="899"/>
      <c r="N90" s="904"/>
      <c r="O90" s="905"/>
      <c r="P90" s="899"/>
      <c r="Q90" s="899"/>
      <c r="R90" s="898"/>
      <c r="S90" s="899"/>
      <c r="T90" s="899"/>
      <c r="U90" s="904"/>
      <c r="V90" s="905"/>
      <c r="W90" s="902"/>
      <c r="X90" s="897"/>
      <c r="Y90" s="898"/>
      <c r="Z90" s="902"/>
      <c r="AA90" s="902"/>
      <c r="AB90" s="902"/>
      <c r="AC90" s="902"/>
    </row>
    <row r="91" spans="1:29" hidden="1" outlineLevel="1">
      <c r="A91" s="897" t="s">
        <v>1592</v>
      </c>
      <c r="B91" s="898" t="s">
        <v>53</v>
      </c>
      <c r="C91" s="898">
        <v>1380</v>
      </c>
      <c r="D91" s="899">
        <v>3200</v>
      </c>
      <c r="E91" s="1332">
        <v>3200</v>
      </c>
      <c r="F91" s="899">
        <f t="shared" si="4"/>
        <v>1794</v>
      </c>
      <c r="G91" s="900"/>
      <c r="H91" s="895"/>
      <c r="I91" s="902"/>
      <c r="J91" s="897"/>
      <c r="K91" s="903"/>
      <c r="L91" s="899">
        <f t="shared" si="5"/>
        <v>1820</v>
      </c>
      <c r="M91" s="899"/>
      <c r="N91" s="904"/>
      <c r="O91" s="905"/>
      <c r="P91" s="899"/>
      <c r="Q91" s="899"/>
      <c r="R91" s="898"/>
      <c r="S91" s="899"/>
      <c r="T91" s="899"/>
      <c r="U91" s="904"/>
      <c r="V91" s="905"/>
      <c r="W91" s="902"/>
      <c r="X91" s="897"/>
      <c r="Y91" s="898"/>
      <c r="Z91" s="902"/>
      <c r="AA91" s="902"/>
      <c r="AB91" s="902"/>
      <c r="AC91" s="902"/>
    </row>
    <row r="92" spans="1:29" hidden="1" outlineLevel="1">
      <c r="A92" s="897" t="s">
        <v>54</v>
      </c>
      <c r="B92" s="898" t="s">
        <v>54</v>
      </c>
      <c r="C92" s="898">
        <v>1150</v>
      </c>
      <c r="D92" s="899">
        <v>1900</v>
      </c>
      <c r="E92" s="1332">
        <v>1900</v>
      </c>
      <c r="F92" s="899">
        <f t="shared" si="4"/>
        <v>1495</v>
      </c>
      <c r="G92" s="900"/>
      <c r="H92" s="895"/>
      <c r="I92" s="902"/>
      <c r="J92" s="897"/>
      <c r="K92" s="903"/>
      <c r="L92" s="899">
        <f t="shared" si="5"/>
        <v>750</v>
      </c>
      <c r="M92" s="899"/>
      <c r="N92" s="904"/>
      <c r="O92" s="905"/>
      <c r="P92" s="899"/>
      <c r="Q92" s="899"/>
      <c r="R92" s="898"/>
      <c r="S92" s="899"/>
      <c r="T92" s="899"/>
      <c r="U92" s="904"/>
      <c r="V92" s="905"/>
      <c r="W92" s="902"/>
      <c r="X92" s="897"/>
      <c r="Y92" s="898"/>
      <c r="Z92" s="902"/>
      <c r="AA92" s="902"/>
      <c r="AB92" s="902"/>
      <c r="AC92" s="902"/>
    </row>
    <row r="93" spans="1:29" ht="16.3" hidden="1" outlineLevel="1" thickBot="1">
      <c r="A93" s="897" t="s">
        <v>1545</v>
      </c>
      <c r="B93" s="898" t="s">
        <v>1546</v>
      </c>
      <c r="C93" s="898">
        <v>1380</v>
      </c>
      <c r="D93" s="899">
        <v>4200</v>
      </c>
      <c r="E93" s="1332">
        <v>4000</v>
      </c>
      <c r="F93" s="899">
        <f t="shared" si="4"/>
        <v>1794</v>
      </c>
      <c r="G93" s="900"/>
      <c r="H93" s="895"/>
      <c r="I93" s="902"/>
      <c r="J93" s="897"/>
      <c r="K93" s="903"/>
      <c r="L93" s="899">
        <f t="shared" si="5"/>
        <v>2620</v>
      </c>
      <c r="M93" s="899"/>
      <c r="N93" s="904"/>
      <c r="O93" s="905"/>
      <c r="P93" s="899"/>
      <c r="Q93" s="899"/>
      <c r="R93" s="898"/>
      <c r="S93" s="899"/>
      <c r="T93" s="899"/>
      <c r="U93" s="904"/>
      <c r="V93" s="905"/>
      <c r="W93" s="902"/>
      <c r="X93" s="897"/>
      <c r="Y93" s="898"/>
      <c r="Z93" s="902"/>
      <c r="AA93" s="902"/>
      <c r="AB93" s="902"/>
      <c r="AC93" s="902"/>
    </row>
    <row r="94" spans="1:29" ht="16.3" collapsed="1" thickBot="1">
      <c r="A94" s="906" t="s">
        <v>1120</v>
      </c>
      <c r="B94" s="907" t="s">
        <v>2744</v>
      </c>
      <c r="C94" s="907">
        <f>SUM(C95:C113)</f>
        <v>18366</v>
      </c>
      <c r="D94" s="908">
        <f>SUM(D95:D113)</f>
        <v>34050</v>
      </c>
      <c r="E94" s="1333">
        <v>28000</v>
      </c>
      <c r="F94" s="908">
        <f>SUM(F95:F113)</f>
        <v>23875.8</v>
      </c>
      <c r="G94" s="909">
        <v>1</v>
      </c>
      <c r="H94" s="895"/>
      <c r="I94" s="902" t="str">
        <f>IF(H94="x",CONCATENATE(A94,"; "),"")</f>
        <v/>
      </c>
      <c r="J94" s="897"/>
      <c r="K94" s="903"/>
      <c r="L94" s="899">
        <f t="shared" si="5"/>
        <v>9634</v>
      </c>
      <c r="M94" s="899"/>
      <c r="N94" s="904"/>
      <c r="O94" s="905"/>
      <c r="P94" s="899"/>
      <c r="Q94" s="899"/>
      <c r="R94" s="898"/>
      <c r="S94" s="899"/>
      <c r="T94" s="899"/>
      <c r="U94" s="904"/>
      <c r="V94" s="905"/>
      <c r="W94" s="902"/>
      <c r="X94" s="897"/>
      <c r="Y94" s="898"/>
      <c r="Z94" s="902"/>
      <c r="AA94" s="902"/>
      <c r="AB94" s="902"/>
      <c r="AC94" s="902"/>
    </row>
    <row r="95" spans="1:29" hidden="1" outlineLevel="1">
      <c r="A95" s="897" t="s">
        <v>1861</v>
      </c>
      <c r="B95" s="898" t="s">
        <v>1862</v>
      </c>
      <c r="C95" s="898">
        <v>175</v>
      </c>
      <c r="D95" s="899">
        <v>1200</v>
      </c>
      <c r="E95" s="1332">
        <v>400</v>
      </c>
      <c r="F95" s="899">
        <f>C95*1.3</f>
        <v>227.5</v>
      </c>
      <c r="G95" s="900">
        <v>1</v>
      </c>
      <c r="H95" s="895"/>
      <c r="I95" s="902"/>
      <c r="J95" s="910"/>
      <c r="K95" s="903"/>
      <c r="L95" s="899">
        <f t="shared" si="5"/>
        <v>225</v>
      </c>
      <c r="M95" s="903"/>
      <c r="N95" s="903"/>
      <c r="O95" s="903"/>
      <c r="P95" s="903"/>
      <c r="Q95" s="902"/>
      <c r="R95" s="902"/>
      <c r="S95" s="903"/>
      <c r="T95" s="902"/>
      <c r="U95" s="902"/>
      <c r="V95" s="902"/>
      <c r="W95" s="902"/>
      <c r="X95" s="902"/>
      <c r="Y95" s="902"/>
      <c r="Z95" s="902"/>
      <c r="AA95" s="902"/>
      <c r="AB95" s="902"/>
      <c r="AC95" s="902"/>
    </row>
    <row r="96" spans="1:29" hidden="1" outlineLevel="1">
      <c r="A96" s="897" t="s">
        <v>685</v>
      </c>
      <c r="B96" s="898" t="s">
        <v>1539</v>
      </c>
      <c r="C96" s="898">
        <v>69</v>
      </c>
      <c r="D96" s="899">
        <v>200</v>
      </c>
      <c r="E96" s="1332">
        <v>200</v>
      </c>
      <c r="F96" s="899">
        <f t="shared" ref="F96:F117" si="6">C96*1.3</f>
        <v>89.7</v>
      </c>
      <c r="G96" s="900">
        <v>1</v>
      </c>
      <c r="H96" s="895"/>
      <c r="I96" s="902"/>
      <c r="J96" s="897"/>
      <c r="K96" s="903"/>
      <c r="L96" s="899">
        <f t="shared" si="5"/>
        <v>131</v>
      </c>
      <c r="M96" s="899"/>
      <c r="N96" s="904"/>
      <c r="O96" s="905"/>
      <c r="P96" s="899"/>
      <c r="Q96" s="899"/>
      <c r="R96" s="898"/>
      <c r="S96" s="899"/>
      <c r="T96" s="899"/>
      <c r="U96" s="904"/>
      <c r="V96" s="905"/>
      <c r="W96" s="902"/>
      <c r="X96" s="897"/>
      <c r="Y96" s="898"/>
      <c r="Z96" s="902"/>
      <c r="AA96" s="902"/>
      <c r="AB96" s="902"/>
      <c r="AC96" s="902"/>
    </row>
    <row r="97" spans="1:29" hidden="1" outlineLevel="1">
      <c r="A97" s="897" t="s">
        <v>527</v>
      </c>
      <c r="B97" s="898" t="s">
        <v>1831</v>
      </c>
      <c r="C97" s="898">
        <v>340</v>
      </c>
      <c r="D97" s="899">
        <v>1200</v>
      </c>
      <c r="E97" s="1332">
        <v>400</v>
      </c>
      <c r="F97" s="899">
        <f t="shared" si="6"/>
        <v>442</v>
      </c>
      <c r="G97" s="900">
        <v>1</v>
      </c>
      <c r="H97" s="895"/>
      <c r="I97" s="902"/>
      <c r="J97" s="897"/>
      <c r="K97" s="903"/>
      <c r="L97" s="899">
        <f t="shared" si="5"/>
        <v>60</v>
      </c>
      <c r="M97" s="899"/>
      <c r="N97" s="904"/>
      <c r="O97" s="905"/>
      <c r="P97" s="899"/>
      <c r="Q97" s="899"/>
      <c r="R97" s="898"/>
      <c r="S97" s="899"/>
      <c r="T97" s="899"/>
      <c r="U97" s="904"/>
      <c r="V97" s="905"/>
      <c r="W97" s="902"/>
      <c r="X97" s="897"/>
      <c r="Y97" s="898"/>
      <c r="Z97" s="902"/>
      <c r="AA97" s="902"/>
      <c r="AB97" s="902"/>
      <c r="AC97" s="902"/>
    </row>
    <row r="98" spans="1:29" hidden="1" outlineLevel="1">
      <c r="A98" s="897" t="s">
        <v>1621</v>
      </c>
      <c r="B98" s="898" t="s">
        <v>2346</v>
      </c>
      <c r="C98" s="898">
        <v>175</v>
      </c>
      <c r="D98" s="899">
        <v>400</v>
      </c>
      <c r="E98" s="1332">
        <v>400</v>
      </c>
      <c r="F98" s="899">
        <f t="shared" si="6"/>
        <v>227.5</v>
      </c>
      <c r="G98" s="900">
        <v>1</v>
      </c>
      <c r="H98" s="895"/>
      <c r="I98" s="902"/>
      <c r="J98" s="897"/>
      <c r="K98" s="903"/>
      <c r="L98" s="899">
        <f t="shared" si="5"/>
        <v>225</v>
      </c>
      <c r="M98" s="899"/>
      <c r="N98" s="904"/>
      <c r="O98" s="905"/>
      <c r="P98" s="899"/>
      <c r="Q98" s="899"/>
      <c r="R98" s="898"/>
      <c r="S98" s="899"/>
      <c r="T98" s="899"/>
      <c r="U98" s="904"/>
      <c r="V98" s="905"/>
      <c r="W98" s="902"/>
      <c r="X98" s="897"/>
      <c r="Y98" s="898"/>
      <c r="Z98" s="902"/>
      <c r="AA98" s="902"/>
      <c r="AB98" s="902"/>
      <c r="AC98" s="902"/>
    </row>
    <row r="99" spans="1:29" hidden="1" outlineLevel="1">
      <c r="A99" s="897" t="s">
        <v>1608</v>
      </c>
      <c r="B99" s="898" t="s">
        <v>19</v>
      </c>
      <c r="C99" s="898">
        <v>69</v>
      </c>
      <c r="D99" s="899">
        <v>600</v>
      </c>
      <c r="E99" s="1332">
        <v>400</v>
      </c>
      <c r="F99" s="899">
        <f t="shared" si="6"/>
        <v>89.7</v>
      </c>
      <c r="G99" s="900">
        <v>1</v>
      </c>
      <c r="H99" s="895"/>
      <c r="I99" s="902"/>
      <c r="J99" s="897"/>
      <c r="K99" s="903"/>
      <c r="L99" s="899">
        <f t="shared" si="5"/>
        <v>331</v>
      </c>
      <c r="M99" s="899"/>
      <c r="N99" s="904"/>
      <c r="O99" s="905"/>
      <c r="P99" s="899"/>
      <c r="Q99" s="899"/>
      <c r="R99" s="898"/>
      <c r="S99" s="899"/>
      <c r="T99" s="899"/>
      <c r="U99" s="904"/>
      <c r="V99" s="905"/>
      <c r="W99" s="902"/>
      <c r="X99" s="897"/>
      <c r="Y99" s="898"/>
      <c r="Z99" s="902"/>
      <c r="AA99" s="902"/>
      <c r="AB99" s="902"/>
      <c r="AC99" s="902"/>
    </row>
    <row r="100" spans="1:29" hidden="1" outlineLevel="1">
      <c r="A100" s="897" t="s">
        <v>649</v>
      </c>
      <c r="B100" s="898" t="s">
        <v>649</v>
      </c>
      <c r="C100" s="898">
        <v>460</v>
      </c>
      <c r="D100" s="899">
        <v>1400</v>
      </c>
      <c r="E100" s="1332">
        <v>1000</v>
      </c>
      <c r="F100" s="899">
        <f t="shared" si="6"/>
        <v>598</v>
      </c>
      <c r="G100" s="900">
        <v>1</v>
      </c>
      <c r="H100" s="895"/>
      <c r="I100" s="902"/>
      <c r="J100" s="897"/>
      <c r="K100" s="903"/>
      <c r="L100" s="899">
        <f t="shared" si="5"/>
        <v>540</v>
      </c>
      <c r="M100" s="899"/>
      <c r="N100" s="904"/>
      <c r="O100" s="905"/>
      <c r="P100" s="899"/>
      <c r="Q100" s="899"/>
      <c r="R100" s="898"/>
      <c r="S100" s="899"/>
      <c r="T100" s="899"/>
      <c r="U100" s="904"/>
      <c r="V100" s="905"/>
      <c r="W100" s="902"/>
      <c r="X100" s="897"/>
      <c r="Y100" s="898"/>
      <c r="Z100" s="902"/>
      <c r="AA100" s="902"/>
      <c r="AB100" s="902"/>
      <c r="AC100" s="902"/>
    </row>
    <row r="101" spans="1:29" hidden="1" outlineLevel="1">
      <c r="A101" s="897" t="s">
        <v>684</v>
      </c>
      <c r="B101" s="898" t="s">
        <v>1538</v>
      </c>
      <c r="C101" s="898">
        <v>69</v>
      </c>
      <c r="D101" s="899">
        <v>200</v>
      </c>
      <c r="E101" s="1332">
        <v>200</v>
      </c>
      <c r="F101" s="899">
        <f t="shared" si="6"/>
        <v>89.7</v>
      </c>
      <c r="G101" s="900">
        <v>1</v>
      </c>
      <c r="H101" s="895"/>
      <c r="I101" s="902"/>
      <c r="J101" s="897"/>
      <c r="K101" s="903"/>
      <c r="L101" s="899">
        <f t="shared" si="5"/>
        <v>131</v>
      </c>
      <c r="M101" s="899"/>
      <c r="N101" s="904"/>
      <c r="O101" s="905"/>
      <c r="P101" s="899"/>
      <c r="Q101" s="899"/>
      <c r="R101" s="898"/>
      <c r="S101" s="899"/>
      <c r="T101" s="899"/>
      <c r="U101" s="904"/>
      <c r="V101" s="905"/>
      <c r="W101" s="902"/>
      <c r="X101" s="897"/>
      <c r="Y101" s="898"/>
      <c r="Z101" s="902"/>
      <c r="AA101" s="902"/>
      <c r="AB101" s="902"/>
      <c r="AC101" s="902"/>
    </row>
    <row r="102" spans="1:29" hidden="1" outlineLevel="1">
      <c r="A102" s="897" t="s">
        <v>1440</v>
      </c>
      <c r="B102" s="898" t="s">
        <v>1441</v>
      </c>
      <c r="C102" s="898">
        <v>69</v>
      </c>
      <c r="D102" s="899">
        <v>500</v>
      </c>
      <c r="E102" s="1332">
        <v>300</v>
      </c>
      <c r="F102" s="899">
        <f t="shared" si="6"/>
        <v>89.7</v>
      </c>
      <c r="G102" s="900">
        <v>1</v>
      </c>
      <c r="H102" s="895"/>
      <c r="I102" s="902"/>
      <c r="J102" s="897"/>
      <c r="K102" s="903"/>
      <c r="L102" s="899">
        <f t="shared" si="5"/>
        <v>231</v>
      </c>
      <c r="M102" s="899"/>
      <c r="N102" s="904"/>
      <c r="O102" s="905"/>
      <c r="P102" s="899"/>
      <c r="Q102" s="899"/>
      <c r="R102" s="898"/>
      <c r="S102" s="899"/>
      <c r="T102" s="899"/>
      <c r="U102" s="904"/>
      <c r="V102" s="905"/>
      <c r="W102" s="902"/>
      <c r="X102" s="897"/>
      <c r="Y102" s="898"/>
      <c r="Z102" s="902"/>
      <c r="AA102" s="902"/>
      <c r="AB102" s="902"/>
      <c r="AC102" s="902"/>
    </row>
    <row r="103" spans="1:29" hidden="1" outlineLevel="1">
      <c r="A103" s="897" t="s">
        <v>681</v>
      </c>
      <c r="B103" s="898" t="s">
        <v>15</v>
      </c>
      <c r="C103" s="898">
        <v>69</v>
      </c>
      <c r="D103" s="899">
        <v>250</v>
      </c>
      <c r="E103" s="1332">
        <v>250</v>
      </c>
      <c r="F103" s="899">
        <f t="shared" si="6"/>
        <v>89.7</v>
      </c>
      <c r="G103" s="900">
        <v>1</v>
      </c>
      <c r="H103" s="895"/>
      <c r="I103" s="902"/>
      <c r="J103" s="897"/>
      <c r="K103" s="903"/>
      <c r="L103" s="899">
        <f t="shared" si="5"/>
        <v>181</v>
      </c>
      <c r="M103" s="899"/>
      <c r="N103" s="904"/>
      <c r="O103" s="905"/>
      <c r="P103" s="899"/>
      <c r="Q103" s="899"/>
      <c r="R103" s="898"/>
      <c r="S103" s="899"/>
      <c r="T103" s="899"/>
      <c r="U103" s="904"/>
      <c r="V103" s="905"/>
      <c r="W103" s="902"/>
      <c r="X103" s="897"/>
      <c r="Y103" s="898"/>
      <c r="Z103" s="902"/>
      <c r="AA103" s="902"/>
      <c r="AB103" s="902"/>
      <c r="AC103" s="902"/>
    </row>
    <row r="104" spans="1:29" hidden="1" outlineLevel="1">
      <c r="A104" s="897" t="s">
        <v>662</v>
      </c>
      <c r="B104" s="898"/>
      <c r="C104" s="898"/>
      <c r="D104" s="899"/>
      <c r="E104" s="1332"/>
      <c r="F104" s="899">
        <f t="shared" si="6"/>
        <v>0</v>
      </c>
      <c r="G104" s="900">
        <v>1</v>
      </c>
      <c r="H104" s="895"/>
      <c r="I104" s="902"/>
      <c r="J104" s="897"/>
      <c r="K104" s="903"/>
      <c r="L104" s="899">
        <f t="shared" si="5"/>
        <v>0</v>
      </c>
      <c r="M104" s="899"/>
      <c r="N104" s="904"/>
      <c r="O104" s="905"/>
      <c r="P104" s="899"/>
      <c r="Q104" s="899"/>
      <c r="R104" s="898"/>
      <c r="S104" s="899"/>
      <c r="T104" s="899"/>
      <c r="U104" s="904"/>
      <c r="V104" s="905"/>
      <c r="W104" s="902"/>
      <c r="X104" s="897"/>
      <c r="Y104" s="898"/>
      <c r="Z104" s="902"/>
      <c r="AA104" s="902"/>
      <c r="AB104" s="902"/>
      <c r="AC104" s="902"/>
    </row>
    <row r="105" spans="1:29" hidden="1" outlineLevel="1">
      <c r="A105" s="897" t="s">
        <v>1522</v>
      </c>
      <c r="B105" s="898" t="s">
        <v>31</v>
      </c>
      <c r="C105" s="898">
        <v>1150</v>
      </c>
      <c r="D105" s="899">
        <v>2800</v>
      </c>
      <c r="E105" s="1332">
        <v>2000</v>
      </c>
      <c r="F105" s="899">
        <f t="shared" si="6"/>
        <v>1495</v>
      </c>
      <c r="G105" s="900">
        <v>1</v>
      </c>
      <c r="H105" s="895"/>
      <c r="I105" s="902"/>
      <c r="J105" s="897"/>
      <c r="K105" s="903"/>
      <c r="L105" s="899">
        <f t="shared" si="5"/>
        <v>850</v>
      </c>
      <c r="M105" s="899"/>
      <c r="N105" s="904"/>
      <c r="O105" s="905"/>
      <c r="P105" s="899"/>
      <c r="Q105" s="899"/>
      <c r="R105" s="898"/>
      <c r="S105" s="899"/>
      <c r="T105" s="899"/>
      <c r="U105" s="904"/>
      <c r="V105" s="905"/>
      <c r="W105" s="902"/>
      <c r="X105" s="897"/>
      <c r="Y105" s="898"/>
      <c r="Z105" s="902"/>
      <c r="AA105" s="902"/>
      <c r="AB105" s="902"/>
      <c r="AC105" s="902"/>
    </row>
    <row r="106" spans="1:29" hidden="1" outlineLevel="1">
      <c r="A106" s="897" t="s">
        <v>1395</v>
      </c>
      <c r="B106" s="898" t="s">
        <v>1396</v>
      </c>
      <c r="C106" s="898">
        <v>69</v>
      </c>
      <c r="D106" s="899">
        <v>400</v>
      </c>
      <c r="E106" s="1332">
        <v>400</v>
      </c>
      <c r="F106" s="899">
        <f t="shared" si="6"/>
        <v>89.7</v>
      </c>
      <c r="G106" s="900">
        <v>1</v>
      </c>
      <c r="H106" s="895"/>
      <c r="I106" s="902"/>
      <c r="J106" s="897"/>
      <c r="K106" s="903"/>
      <c r="L106" s="899">
        <f t="shared" si="5"/>
        <v>331</v>
      </c>
      <c r="M106" s="899"/>
      <c r="N106" s="904"/>
      <c r="O106" s="905"/>
      <c r="P106" s="899"/>
      <c r="Q106" s="899"/>
      <c r="R106" s="898"/>
      <c r="S106" s="899"/>
      <c r="T106" s="899"/>
      <c r="U106" s="904"/>
      <c r="V106" s="905"/>
      <c r="W106" s="902"/>
      <c r="X106" s="897"/>
      <c r="Y106" s="898"/>
      <c r="Z106" s="902"/>
      <c r="AA106" s="902"/>
      <c r="AB106" s="902"/>
      <c r="AC106" s="902"/>
    </row>
    <row r="107" spans="1:29" hidden="1" outlineLevel="1">
      <c r="A107" s="897" t="s">
        <v>508</v>
      </c>
      <c r="B107" s="898" t="s">
        <v>508</v>
      </c>
      <c r="C107" s="898">
        <v>69</v>
      </c>
      <c r="D107" s="899">
        <v>300</v>
      </c>
      <c r="E107" s="1332">
        <v>300</v>
      </c>
      <c r="F107" s="899">
        <f t="shared" si="6"/>
        <v>89.7</v>
      </c>
      <c r="G107" s="900">
        <v>1</v>
      </c>
      <c r="H107" s="895"/>
      <c r="I107" s="902"/>
      <c r="J107" s="897"/>
      <c r="K107" s="903"/>
      <c r="L107" s="899">
        <f t="shared" si="5"/>
        <v>231</v>
      </c>
      <c r="M107" s="899"/>
      <c r="N107" s="904"/>
      <c r="O107" s="905"/>
      <c r="P107" s="899"/>
      <c r="Q107" s="899"/>
      <c r="R107" s="898"/>
      <c r="S107" s="899"/>
      <c r="T107" s="899"/>
      <c r="U107" s="904"/>
      <c r="V107" s="905"/>
      <c r="W107" s="902"/>
      <c r="X107" s="897"/>
      <c r="Y107" s="898"/>
      <c r="Z107" s="902"/>
      <c r="AA107" s="902"/>
      <c r="AB107" s="902"/>
      <c r="AC107" s="902"/>
    </row>
    <row r="108" spans="1:29" hidden="1" outlineLevel="1">
      <c r="A108" s="897" t="s">
        <v>1371</v>
      </c>
      <c r="B108" s="898" t="s">
        <v>1372</v>
      </c>
      <c r="C108" s="898">
        <v>2415</v>
      </c>
      <c r="D108" s="899">
        <v>5800</v>
      </c>
      <c r="E108" s="1332">
        <v>5000</v>
      </c>
      <c r="F108" s="899">
        <f t="shared" si="6"/>
        <v>3139.5</v>
      </c>
      <c r="G108" s="900">
        <v>1</v>
      </c>
      <c r="H108" s="895"/>
      <c r="I108" s="902"/>
      <c r="J108" s="897"/>
      <c r="K108" s="903"/>
      <c r="L108" s="899">
        <f t="shared" si="5"/>
        <v>2585</v>
      </c>
      <c r="M108" s="899"/>
      <c r="N108" s="904"/>
      <c r="O108" s="905"/>
      <c r="P108" s="899"/>
      <c r="Q108" s="899"/>
      <c r="R108" s="898"/>
      <c r="S108" s="899"/>
      <c r="T108" s="899"/>
      <c r="U108" s="904"/>
      <c r="V108" s="905"/>
      <c r="W108" s="902"/>
      <c r="X108" s="897"/>
      <c r="Y108" s="898"/>
      <c r="Z108" s="902"/>
      <c r="AA108" s="902"/>
      <c r="AB108" s="902"/>
      <c r="AC108" s="902"/>
    </row>
    <row r="109" spans="1:29" hidden="1" outlineLevel="1">
      <c r="A109" s="897" t="s">
        <v>1492</v>
      </c>
      <c r="B109" s="898" t="s">
        <v>37</v>
      </c>
      <c r="C109" s="898">
        <v>253</v>
      </c>
      <c r="D109" s="899">
        <v>500</v>
      </c>
      <c r="E109" s="1332">
        <v>500</v>
      </c>
      <c r="F109" s="899">
        <f t="shared" si="6"/>
        <v>328.90000000000003</v>
      </c>
      <c r="G109" s="900">
        <v>1</v>
      </c>
      <c r="H109" s="895"/>
      <c r="I109" s="902"/>
      <c r="J109" s="897"/>
      <c r="K109" s="903"/>
      <c r="L109" s="899">
        <f t="shared" si="5"/>
        <v>247</v>
      </c>
      <c r="M109" s="899"/>
      <c r="N109" s="904"/>
      <c r="O109" s="905"/>
      <c r="P109" s="899"/>
      <c r="Q109" s="899"/>
      <c r="R109" s="898"/>
      <c r="S109" s="899"/>
      <c r="T109" s="899"/>
      <c r="U109" s="904"/>
      <c r="V109" s="905"/>
      <c r="W109" s="902"/>
      <c r="X109" s="897"/>
      <c r="Y109" s="898"/>
      <c r="Z109" s="902"/>
      <c r="AA109" s="902"/>
      <c r="AB109" s="902"/>
      <c r="AC109" s="902"/>
    </row>
    <row r="110" spans="1:29" hidden="1" outlineLevel="1">
      <c r="A110" s="897" t="s">
        <v>54</v>
      </c>
      <c r="B110" s="898" t="s">
        <v>54</v>
      </c>
      <c r="C110" s="898">
        <v>1150</v>
      </c>
      <c r="D110" s="899">
        <v>1900</v>
      </c>
      <c r="E110" s="1332">
        <v>1200</v>
      </c>
      <c r="F110" s="899">
        <f t="shared" si="6"/>
        <v>1495</v>
      </c>
      <c r="G110" s="900">
        <v>1</v>
      </c>
      <c r="H110" s="895"/>
      <c r="I110" s="902"/>
      <c r="J110" s="897"/>
      <c r="K110" s="903"/>
      <c r="L110" s="899">
        <f t="shared" si="5"/>
        <v>50</v>
      </c>
      <c r="M110" s="899"/>
      <c r="N110" s="904"/>
      <c r="O110" s="905"/>
      <c r="P110" s="899"/>
      <c r="Q110" s="899"/>
      <c r="R110" s="898"/>
      <c r="S110" s="899"/>
      <c r="T110" s="899"/>
      <c r="U110" s="904"/>
      <c r="V110" s="905"/>
      <c r="W110" s="902"/>
      <c r="X110" s="897"/>
      <c r="Y110" s="898"/>
      <c r="Z110" s="902"/>
      <c r="AA110" s="902"/>
      <c r="AB110" s="902"/>
      <c r="AC110" s="902"/>
    </row>
    <row r="111" spans="1:29" hidden="1" outlineLevel="1">
      <c r="A111" s="897" t="s">
        <v>1815</v>
      </c>
      <c r="B111" s="898" t="s">
        <v>1816</v>
      </c>
      <c r="C111" s="898">
        <v>3679.9999999999995</v>
      </c>
      <c r="D111" s="899">
        <v>5400</v>
      </c>
      <c r="E111" s="1332">
        <v>4000</v>
      </c>
      <c r="F111" s="899">
        <f t="shared" si="6"/>
        <v>4784</v>
      </c>
      <c r="G111" s="900">
        <v>1</v>
      </c>
      <c r="H111" s="895"/>
      <c r="I111" s="912"/>
      <c r="J111" s="913"/>
      <c r="K111" s="912"/>
      <c r="L111" s="899">
        <f t="shared" si="5"/>
        <v>320.00000000000045</v>
      </c>
      <c r="M111" s="899"/>
      <c r="N111" s="904"/>
      <c r="O111" s="905"/>
      <c r="P111" s="899"/>
      <c r="Q111" s="899"/>
      <c r="R111" s="898"/>
      <c r="S111" s="899"/>
      <c r="T111" s="899"/>
      <c r="U111" s="904"/>
      <c r="V111" s="905"/>
      <c r="W111" s="902"/>
      <c r="X111" s="897"/>
      <c r="Y111" s="898"/>
      <c r="Z111" s="902"/>
      <c r="AA111" s="902"/>
      <c r="AB111" s="902"/>
      <c r="AC111" s="902"/>
    </row>
    <row r="112" spans="1:29" hidden="1" outlineLevel="1">
      <c r="A112" s="897" t="s">
        <v>1503</v>
      </c>
      <c r="B112" s="898" t="s">
        <v>1504</v>
      </c>
      <c r="C112" s="898">
        <v>4485</v>
      </c>
      <c r="D112" s="899">
        <v>6500</v>
      </c>
      <c r="E112" s="1332">
        <v>6000</v>
      </c>
      <c r="F112" s="899">
        <f t="shared" si="6"/>
        <v>5830.5</v>
      </c>
      <c r="G112" s="900">
        <v>1</v>
      </c>
      <c r="H112" s="895"/>
      <c r="I112" s="912"/>
      <c r="J112" s="913"/>
      <c r="K112" s="912"/>
      <c r="L112" s="899">
        <f t="shared" si="5"/>
        <v>1515</v>
      </c>
      <c r="M112" s="899"/>
      <c r="N112" s="904"/>
      <c r="O112" s="905"/>
      <c r="P112" s="899"/>
      <c r="Q112" s="899"/>
      <c r="R112" s="898"/>
      <c r="S112" s="899"/>
      <c r="T112" s="899"/>
      <c r="U112" s="904"/>
      <c r="V112" s="905"/>
      <c r="W112" s="902"/>
      <c r="X112" s="897"/>
      <c r="Y112" s="898"/>
      <c r="Z112" s="902"/>
      <c r="AA112" s="902"/>
      <c r="AB112" s="902"/>
      <c r="AC112" s="902"/>
    </row>
    <row r="113" spans="1:29" ht="16.3" hidden="1" outlineLevel="1" thickBot="1">
      <c r="A113" s="897" t="s">
        <v>1493</v>
      </c>
      <c r="B113" s="898" t="s">
        <v>509</v>
      </c>
      <c r="C113" s="898">
        <v>3600</v>
      </c>
      <c r="D113" s="899">
        <v>4500</v>
      </c>
      <c r="E113" s="1332">
        <v>4000</v>
      </c>
      <c r="F113" s="899">
        <f t="shared" si="6"/>
        <v>4680</v>
      </c>
      <c r="G113" s="900">
        <v>1</v>
      </c>
      <c r="H113" s="895"/>
      <c r="I113" s="912"/>
      <c r="J113" s="913"/>
      <c r="K113" s="912"/>
      <c r="L113" s="899">
        <f t="shared" si="5"/>
        <v>400</v>
      </c>
      <c r="M113" s="899"/>
      <c r="N113" s="904"/>
      <c r="O113" s="905"/>
      <c r="P113" s="899"/>
      <c r="Q113" s="899"/>
      <c r="R113" s="898"/>
      <c r="S113" s="899"/>
      <c r="T113" s="899"/>
      <c r="U113" s="904"/>
      <c r="V113" s="905"/>
      <c r="W113" s="902"/>
      <c r="X113" s="897"/>
      <c r="Y113" s="898"/>
      <c r="Z113" s="902"/>
      <c r="AA113" s="902"/>
      <c r="AB113" s="902"/>
      <c r="AC113" s="902"/>
    </row>
    <row r="114" spans="1:29" ht="16.3" collapsed="1" thickBot="1">
      <c r="A114" s="917" t="s">
        <v>1123</v>
      </c>
      <c r="B114" s="892" t="s">
        <v>2746</v>
      </c>
      <c r="C114" s="892">
        <f>SUM(C115:C117)</f>
        <v>4600</v>
      </c>
      <c r="D114" s="893">
        <f>SUM(D115:D117)</f>
        <v>7700</v>
      </c>
      <c r="E114" s="1331">
        <v>6900</v>
      </c>
      <c r="F114" s="893">
        <f>SUM(F115:F117)</f>
        <v>5980</v>
      </c>
      <c r="G114" s="894">
        <v>1</v>
      </c>
      <c r="H114" s="895"/>
      <c r="I114" s="902" t="str">
        <f>IF(H114="x",CONCATENATE(A114,"; "),"")</f>
        <v/>
      </c>
      <c r="J114" s="897"/>
      <c r="K114" s="903"/>
      <c r="L114" s="899">
        <f t="shared" si="5"/>
        <v>2300</v>
      </c>
      <c r="M114" s="899"/>
      <c r="N114" s="904"/>
      <c r="O114" s="905"/>
      <c r="P114" s="899"/>
      <c r="Q114" s="899"/>
      <c r="R114" s="898"/>
      <c r="S114" s="899"/>
      <c r="T114" s="899"/>
      <c r="U114" s="904"/>
      <c r="V114" s="905"/>
      <c r="W114" s="902"/>
      <c r="X114" s="897"/>
      <c r="Y114" s="898"/>
      <c r="Z114" s="902"/>
      <c r="AA114" s="902"/>
      <c r="AB114" s="902"/>
      <c r="AC114" s="902"/>
    </row>
    <row r="115" spans="1:29" hidden="1" outlineLevel="1">
      <c r="A115" s="897" t="s">
        <v>1530</v>
      </c>
      <c r="B115" s="898" t="s">
        <v>1530</v>
      </c>
      <c r="C115" s="898">
        <v>1724.9999999999998</v>
      </c>
      <c r="D115" s="899">
        <v>2900</v>
      </c>
      <c r="E115" s="1332">
        <v>2500</v>
      </c>
      <c r="F115" s="899">
        <f t="shared" si="6"/>
        <v>2242.5</v>
      </c>
      <c r="G115" s="918">
        <v>1</v>
      </c>
      <c r="H115" s="895"/>
      <c r="I115" s="912"/>
      <c r="J115" s="913"/>
      <c r="K115" s="912"/>
      <c r="L115" s="899">
        <f t="shared" si="5"/>
        <v>775.00000000000023</v>
      </c>
      <c r="M115" s="903"/>
      <c r="N115" s="903"/>
      <c r="O115" s="903"/>
      <c r="P115" s="903"/>
      <c r="Q115" s="902"/>
      <c r="R115" s="902"/>
      <c r="S115" s="903"/>
      <c r="T115" s="902"/>
      <c r="U115" s="902"/>
      <c r="V115" s="902"/>
      <c r="W115" s="902"/>
      <c r="X115" s="902"/>
      <c r="Y115" s="902"/>
      <c r="Z115" s="902"/>
      <c r="AA115" s="902"/>
      <c r="AB115" s="902"/>
      <c r="AC115" s="902"/>
    </row>
    <row r="116" spans="1:29" hidden="1" outlineLevel="1">
      <c r="A116" s="897" t="s">
        <v>1531</v>
      </c>
      <c r="B116" s="898" t="s">
        <v>1531</v>
      </c>
      <c r="C116" s="898">
        <v>1724.9999999999998</v>
      </c>
      <c r="D116" s="899">
        <v>2900</v>
      </c>
      <c r="E116" s="1332">
        <v>2500</v>
      </c>
      <c r="F116" s="899">
        <f t="shared" si="6"/>
        <v>2242.5</v>
      </c>
      <c r="G116" s="918">
        <v>1</v>
      </c>
      <c r="H116" s="895"/>
      <c r="I116" s="912"/>
      <c r="J116" s="913"/>
      <c r="K116" s="912"/>
      <c r="L116" s="899">
        <f t="shared" si="5"/>
        <v>775.00000000000023</v>
      </c>
      <c r="M116" s="899"/>
      <c r="N116" s="904"/>
      <c r="O116" s="905"/>
      <c r="P116" s="899"/>
      <c r="Q116" s="899"/>
      <c r="R116" s="898"/>
      <c r="S116" s="899"/>
      <c r="T116" s="899"/>
      <c r="U116" s="904"/>
      <c r="V116" s="905"/>
      <c r="W116" s="902"/>
      <c r="X116" s="897"/>
      <c r="Y116" s="898"/>
      <c r="Z116" s="902"/>
      <c r="AA116" s="902"/>
      <c r="AB116" s="902"/>
      <c r="AC116" s="902"/>
    </row>
    <row r="117" spans="1:29" ht="16.3" hidden="1" outlineLevel="1" thickBot="1">
      <c r="A117" s="897" t="s">
        <v>54</v>
      </c>
      <c r="B117" s="898" t="s">
        <v>54</v>
      </c>
      <c r="C117" s="898">
        <v>1150</v>
      </c>
      <c r="D117" s="899">
        <v>1900</v>
      </c>
      <c r="E117" s="1332">
        <v>1900</v>
      </c>
      <c r="F117" s="899">
        <f t="shared" si="6"/>
        <v>1495</v>
      </c>
      <c r="G117" s="918">
        <v>1</v>
      </c>
      <c r="H117" s="895"/>
      <c r="I117" s="912"/>
      <c r="J117" s="921"/>
      <c r="K117" s="912"/>
      <c r="L117" s="899">
        <f t="shared" si="5"/>
        <v>750</v>
      </c>
      <c r="M117" s="899"/>
      <c r="N117" s="904"/>
      <c r="O117" s="905"/>
      <c r="P117" s="899"/>
      <c r="Q117" s="899"/>
      <c r="R117" s="898"/>
      <c r="S117" s="899"/>
      <c r="T117" s="899"/>
      <c r="U117" s="904"/>
      <c r="V117" s="905"/>
      <c r="W117" s="902"/>
      <c r="X117" s="897"/>
      <c r="Y117" s="898"/>
      <c r="Z117" s="902"/>
      <c r="AA117" s="902"/>
      <c r="AB117" s="902"/>
      <c r="AC117" s="902"/>
    </row>
    <row r="118" spans="1:29" ht="16.3" collapsed="1" thickBot="1">
      <c r="A118" s="906" t="s">
        <v>1124</v>
      </c>
      <c r="B118" s="907" t="s">
        <v>2747</v>
      </c>
      <c r="C118" s="907">
        <f>SUM(C119:C124)</f>
        <v>11960</v>
      </c>
      <c r="D118" s="908">
        <v>19800</v>
      </c>
      <c r="E118" s="1333">
        <v>17300</v>
      </c>
      <c r="F118" s="908">
        <f>SUM(F119:F124)</f>
        <v>15548</v>
      </c>
      <c r="G118" s="909">
        <v>5</v>
      </c>
      <c r="H118" s="895"/>
      <c r="I118" s="902"/>
      <c r="J118" s="897"/>
      <c r="K118" s="903"/>
      <c r="L118" s="899">
        <f t="shared" si="5"/>
        <v>5340</v>
      </c>
      <c r="M118" s="899"/>
      <c r="N118" s="904"/>
      <c r="O118" s="905"/>
      <c r="P118" s="899"/>
      <c r="Q118" s="899"/>
      <c r="R118" s="898"/>
      <c r="S118" s="899"/>
      <c r="T118" s="899"/>
      <c r="U118" s="904"/>
      <c r="V118" s="905"/>
      <c r="W118" s="902"/>
      <c r="X118" s="897"/>
      <c r="Y118" s="898"/>
      <c r="Z118" s="902"/>
      <c r="AA118" s="902"/>
      <c r="AB118" s="902"/>
      <c r="AC118" s="902"/>
    </row>
    <row r="119" spans="1:29" hidden="1" outlineLevel="1">
      <c r="A119" s="897" t="s">
        <v>1530</v>
      </c>
      <c r="B119" s="898" t="s">
        <v>1530</v>
      </c>
      <c r="C119" s="898">
        <v>1724.9999999999998</v>
      </c>
      <c r="D119" s="899">
        <v>2900</v>
      </c>
      <c r="E119" s="1332">
        <v>2500</v>
      </c>
      <c r="F119" s="899">
        <f t="shared" ref="F119:F193" si="7">C119*1.3</f>
        <v>2242.5</v>
      </c>
      <c r="G119" s="918">
        <v>1</v>
      </c>
      <c r="H119" s="895"/>
      <c r="I119" s="902"/>
      <c r="J119" s="902"/>
      <c r="K119" s="903"/>
      <c r="L119" s="899">
        <f t="shared" si="5"/>
        <v>775.00000000000023</v>
      </c>
      <c r="M119" s="903"/>
      <c r="N119" s="903"/>
      <c r="O119" s="903"/>
      <c r="P119" s="903"/>
      <c r="Q119" s="902"/>
      <c r="R119" s="902"/>
      <c r="S119" s="903"/>
      <c r="T119" s="902"/>
      <c r="U119" s="902"/>
      <c r="V119" s="902"/>
      <c r="W119" s="902"/>
      <c r="X119" s="902"/>
      <c r="Y119" s="902"/>
      <c r="Z119" s="902"/>
      <c r="AA119" s="902"/>
      <c r="AB119" s="902"/>
      <c r="AC119" s="902"/>
    </row>
    <row r="120" spans="1:29" hidden="1" outlineLevel="1">
      <c r="A120" s="897" t="s">
        <v>1531</v>
      </c>
      <c r="B120" s="898" t="s">
        <v>1531</v>
      </c>
      <c r="C120" s="898">
        <v>1724.9999999999998</v>
      </c>
      <c r="D120" s="899">
        <v>2900</v>
      </c>
      <c r="E120" s="1332">
        <v>2500</v>
      </c>
      <c r="F120" s="899">
        <f t="shared" si="7"/>
        <v>2242.5</v>
      </c>
      <c r="G120" s="918">
        <v>1</v>
      </c>
      <c r="H120" s="895"/>
      <c r="I120" s="902"/>
      <c r="J120" s="897"/>
      <c r="K120" s="903"/>
      <c r="L120" s="899">
        <f t="shared" si="5"/>
        <v>775.00000000000023</v>
      </c>
      <c r="M120" s="899"/>
      <c r="N120" s="904"/>
      <c r="O120" s="905"/>
      <c r="P120" s="899"/>
      <c r="Q120" s="899"/>
      <c r="R120" s="898"/>
      <c r="S120" s="899"/>
      <c r="T120" s="899"/>
      <c r="U120" s="904"/>
      <c r="V120" s="905"/>
      <c r="W120" s="902"/>
      <c r="X120" s="897"/>
      <c r="Y120" s="898"/>
      <c r="Z120" s="902"/>
      <c r="AA120" s="902"/>
      <c r="AB120" s="902"/>
      <c r="AC120" s="902"/>
    </row>
    <row r="121" spans="1:29" hidden="1" outlineLevel="1">
      <c r="A121" s="897" t="s">
        <v>54</v>
      </c>
      <c r="B121" s="898" t="s">
        <v>54</v>
      </c>
      <c r="C121" s="898">
        <v>1150</v>
      </c>
      <c r="D121" s="899">
        <v>1900</v>
      </c>
      <c r="E121" s="1332">
        <v>1900</v>
      </c>
      <c r="F121" s="899">
        <f t="shared" si="7"/>
        <v>1495</v>
      </c>
      <c r="G121" s="918">
        <v>1</v>
      </c>
      <c r="H121" s="895"/>
      <c r="I121" s="902"/>
      <c r="J121" s="897"/>
      <c r="K121" s="903"/>
      <c r="L121" s="899">
        <f t="shared" si="5"/>
        <v>750</v>
      </c>
      <c r="M121" s="899"/>
      <c r="N121" s="904"/>
      <c r="O121" s="905"/>
      <c r="P121" s="899"/>
      <c r="Q121" s="899"/>
      <c r="R121" s="898"/>
      <c r="S121" s="899"/>
      <c r="T121" s="899"/>
      <c r="U121" s="904"/>
      <c r="V121" s="905"/>
      <c r="W121" s="902"/>
      <c r="X121" s="897"/>
      <c r="Y121" s="898"/>
      <c r="Z121" s="902"/>
      <c r="AA121" s="902"/>
      <c r="AB121" s="902"/>
      <c r="AC121" s="902"/>
    </row>
    <row r="122" spans="1:29" hidden="1" outlineLevel="1">
      <c r="A122" s="897" t="s">
        <v>1792</v>
      </c>
      <c r="B122" s="898" t="s">
        <v>2356</v>
      </c>
      <c r="C122" s="898">
        <v>2530</v>
      </c>
      <c r="D122" s="899">
        <v>3200</v>
      </c>
      <c r="E122" s="1332">
        <v>3200</v>
      </c>
      <c r="F122" s="899">
        <f t="shared" si="7"/>
        <v>3289</v>
      </c>
      <c r="G122" s="897">
        <v>1</v>
      </c>
      <c r="H122" s="895"/>
      <c r="I122" s="912"/>
      <c r="J122" s="913"/>
      <c r="K122" s="912"/>
      <c r="L122" s="899">
        <f t="shared" si="5"/>
        <v>670</v>
      </c>
      <c r="M122" s="899"/>
      <c r="N122" s="904"/>
      <c r="O122" s="905"/>
      <c r="P122" s="899"/>
      <c r="Q122" s="899"/>
      <c r="R122" s="898"/>
      <c r="S122" s="899"/>
      <c r="T122" s="899"/>
      <c r="U122" s="904"/>
      <c r="V122" s="905"/>
      <c r="W122" s="902"/>
      <c r="X122" s="897"/>
      <c r="Y122" s="898"/>
      <c r="Z122" s="902"/>
      <c r="AA122" s="902"/>
      <c r="AB122" s="902"/>
      <c r="AC122" s="902"/>
    </row>
    <row r="123" spans="1:29" hidden="1" outlineLevel="1">
      <c r="A123" s="897" t="s">
        <v>1790</v>
      </c>
      <c r="B123" s="898" t="s">
        <v>1791</v>
      </c>
      <c r="C123" s="898">
        <v>2530</v>
      </c>
      <c r="D123" s="899">
        <v>4500</v>
      </c>
      <c r="E123" s="1332">
        <v>4000</v>
      </c>
      <c r="F123" s="899">
        <f t="shared" si="7"/>
        <v>3289</v>
      </c>
      <c r="G123" s="1024">
        <v>5</v>
      </c>
      <c r="H123" s="895"/>
      <c r="I123" s="912"/>
      <c r="J123" s="921"/>
      <c r="K123" s="912"/>
      <c r="L123" s="899">
        <f t="shared" si="5"/>
        <v>1470</v>
      </c>
      <c r="M123" s="899"/>
      <c r="N123" s="904"/>
      <c r="O123" s="905"/>
      <c r="P123" s="899"/>
      <c r="Q123" s="899"/>
      <c r="R123" s="898"/>
      <c r="S123" s="899"/>
      <c r="T123" s="899"/>
      <c r="U123" s="904"/>
      <c r="V123" s="905"/>
      <c r="W123" s="902"/>
      <c r="X123" s="897"/>
      <c r="Y123" s="898"/>
      <c r="Z123" s="902"/>
      <c r="AA123" s="902"/>
      <c r="AB123" s="902"/>
      <c r="AC123" s="902"/>
    </row>
    <row r="124" spans="1:29" ht="16.3" hidden="1" outlineLevel="1" thickBot="1">
      <c r="A124" s="897" t="s">
        <v>1413</v>
      </c>
      <c r="B124" s="898" t="s">
        <v>1414</v>
      </c>
      <c r="C124" s="898">
        <v>2300</v>
      </c>
      <c r="D124" s="899">
        <v>3600</v>
      </c>
      <c r="E124" s="1332">
        <v>3200</v>
      </c>
      <c r="F124" s="899">
        <f t="shared" si="7"/>
        <v>2990</v>
      </c>
      <c r="G124" s="897">
        <v>1</v>
      </c>
      <c r="H124" s="895"/>
      <c r="I124" s="912"/>
      <c r="J124" s="921"/>
      <c r="K124" s="912"/>
      <c r="L124" s="899">
        <f t="shared" si="5"/>
        <v>900</v>
      </c>
      <c r="M124" s="899"/>
      <c r="N124" s="904"/>
      <c r="O124" s="905"/>
      <c r="P124" s="899"/>
      <c r="Q124" s="899"/>
      <c r="R124" s="898"/>
      <c r="S124" s="899"/>
      <c r="T124" s="899"/>
      <c r="U124" s="904"/>
      <c r="V124" s="905"/>
      <c r="W124" s="902"/>
      <c r="X124" s="897"/>
      <c r="Y124" s="898"/>
      <c r="Z124" s="902"/>
      <c r="AA124" s="902"/>
      <c r="AB124" s="902"/>
      <c r="AC124" s="902"/>
    </row>
    <row r="125" spans="1:29" ht="16.3" collapsed="1" thickBot="1">
      <c r="A125" s="1015" t="s">
        <v>1116</v>
      </c>
      <c r="B125" s="892" t="s">
        <v>5896</v>
      </c>
      <c r="C125" s="892">
        <f>SUM(C126:C129)</f>
        <v>2898</v>
      </c>
      <c r="D125" s="892"/>
      <c r="E125" s="1334">
        <v>8300</v>
      </c>
      <c r="F125" s="892">
        <f>SUM(F126:F129)</f>
        <v>3767.4</v>
      </c>
      <c r="G125" s="894">
        <v>1</v>
      </c>
      <c r="H125" s="895"/>
      <c r="I125" s="902" t="str">
        <f>IF(H125="x",CONCATENATE(A125,"; "),"")</f>
        <v/>
      </c>
      <c r="J125" s="897"/>
      <c r="K125" s="903"/>
      <c r="L125" s="899">
        <f t="shared" si="5"/>
        <v>5402</v>
      </c>
      <c r="M125" s="902"/>
      <c r="N125" s="902"/>
      <c r="O125" s="902"/>
      <c r="P125" s="902"/>
      <c r="Q125" s="902"/>
      <c r="R125" s="902"/>
      <c r="S125" s="902"/>
      <c r="T125" s="902"/>
      <c r="U125" s="902"/>
      <c r="V125" s="902"/>
      <c r="W125" s="902"/>
      <c r="X125" s="902"/>
      <c r="Y125" s="902"/>
      <c r="Z125" s="902"/>
      <c r="AA125" s="902"/>
      <c r="AB125" s="902"/>
      <c r="AC125" s="902"/>
    </row>
    <row r="126" spans="1:29" ht="16.3" hidden="1" outlineLevel="1" thickBot="1">
      <c r="A126" s="897" t="s">
        <v>1366</v>
      </c>
      <c r="B126" s="898" t="s">
        <v>5898</v>
      </c>
      <c r="C126" s="898">
        <v>138</v>
      </c>
      <c r="D126" s="899">
        <v>550</v>
      </c>
      <c r="E126" s="1335">
        <v>550</v>
      </c>
      <c r="F126" s="899">
        <f>C126*1.3</f>
        <v>179.4</v>
      </c>
      <c r="G126" s="897">
        <v>1</v>
      </c>
      <c r="H126" s="895"/>
      <c r="I126" s="902"/>
      <c r="J126" s="897"/>
      <c r="K126" s="903"/>
      <c r="L126" s="899">
        <f t="shared" si="5"/>
        <v>412</v>
      </c>
      <c r="M126" s="933"/>
      <c r="N126" s="933"/>
      <c r="O126" s="933"/>
      <c r="P126" s="933"/>
      <c r="Q126" s="933"/>
      <c r="R126" s="933"/>
      <c r="S126" s="933"/>
      <c r="T126" s="933"/>
      <c r="U126" s="933"/>
      <c r="V126" s="933"/>
      <c r="W126" s="902"/>
      <c r="X126" s="897"/>
      <c r="Y126" s="898"/>
      <c r="Z126" s="902"/>
      <c r="AA126" s="902"/>
      <c r="AB126" s="902"/>
      <c r="AC126" s="902"/>
    </row>
    <row r="127" spans="1:29" ht="16.3" hidden="1" outlineLevel="1" thickBot="1">
      <c r="A127" s="897" t="s">
        <v>1592</v>
      </c>
      <c r="B127" s="898" t="s">
        <v>53</v>
      </c>
      <c r="C127" s="898">
        <v>1380</v>
      </c>
      <c r="D127" s="899">
        <v>3200</v>
      </c>
      <c r="E127" s="1335">
        <v>3200</v>
      </c>
      <c r="F127" s="899">
        <f>C127*1.3</f>
        <v>1794</v>
      </c>
      <c r="G127" s="897">
        <v>1</v>
      </c>
      <c r="H127" s="895"/>
      <c r="I127" s="902"/>
      <c r="J127" s="897"/>
      <c r="K127" s="903"/>
      <c r="L127" s="899">
        <f t="shared" si="5"/>
        <v>1820</v>
      </c>
      <c r="M127" s="933"/>
      <c r="N127" s="933"/>
      <c r="O127" s="933"/>
      <c r="P127" s="933"/>
      <c r="Q127" s="933"/>
      <c r="R127" s="933"/>
      <c r="S127" s="933"/>
      <c r="T127" s="933"/>
      <c r="U127" s="933"/>
      <c r="V127" s="933"/>
      <c r="W127" s="902"/>
      <c r="X127" s="897"/>
      <c r="Y127" s="898"/>
      <c r="Z127" s="902"/>
      <c r="AA127" s="902"/>
      <c r="AB127" s="902"/>
      <c r="AC127" s="902"/>
    </row>
    <row r="128" spans="1:29" ht="16.3" hidden="1" outlineLevel="1" thickBot="1">
      <c r="A128" s="897" t="s">
        <v>1595</v>
      </c>
      <c r="B128" s="898" t="s">
        <v>484</v>
      </c>
      <c r="C128" s="898">
        <v>1380</v>
      </c>
      <c r="D128" s="899">
        <v>3200</v>
      </c>
      <c r="E128" s="1335">
        <v>3200</v>
      </c>
      <c r="F128" s="899">
        <f>C128*1.3</f>
        <v>1794</v>
      </c>
      <c r="G128" s="897">
        <v>1</v>
      </c>
      <c r="H128" s="895"/>
      <c r="I128" s="902"/>
      <c r="J128" s="897"/>
      <c r="K128" s="903"/>
      <c r="L128" s="899">
        <f t="shared" si="5"/>
        <v>1820</v>
      </c>
      <c r="M128" s="933"/>
      <c r="N128" s="933"/>
      <c r="O128" s="933"/>
      <c r="P128" s="933"/>
      <c r="Q128" s="933"/>
      <c r="R128" s="933"/>
      <c r="S128" s="933"/>
      <c r="T128" s="933"/>
      <c r="U128" s="933"/>
      <c r="V128" s="933"/>
      <c r="W128" s="902"/>
      <c r="X128" s="897"/>
      <c r="Y128" s="898"/>
      <c r="Z128" s="902"/>
      <c r="AA128" s="902"/>
      <c r="AB128" s="902"/>
      <c r="AC128" s="902"/>
    </row>
    <row r="129" spans="1:29" ht="16.3" hidden="1" outlineLevel="1" thickBot="1">
      <c r="A129" s="897" t="s">
        <v>1564</v>
      </c>
      <c r="B129" s="898" t="s">
        <v>1565</v>
      </c>
      <c r="C129" s="898"/>
      <c r="D129" s="899"/>
      <c r="E129" s="1335"/>
      <c r="F129" s="899">
        <f>C129*1.3</f>
        <v>0</v>
      </c>
      <c r="G129" s="897"/>
      <c r="H129" s="895"/>
      <c r="I129" s="902"/>
      <c r="J129" s="897"/>
      <c r="K129" s="903"/>
      <c r="L129" s="899">
        <f t="shared" si="5"/>
        <v>0</v>
      </c>
      <c r="M129" s="933"/>
      <c r="N129" s="933"/>
      <c r="O129" s="933"/>
      <c r="P129" s="933"/>
      <c r="Q129" s="933"/>
      <c r="R129" s="933"/>
      <c r="S129" s="933"/>
      <c r="T129" s="933"/>
      <c r="U129" s="933"/>
      <c r="V129" s="933"/>
      <c r="W129" s="902"/>
      <c r="X129" s="897"/>
      <c r="Y129" s="898"/>
      <c r="Z129" s="902"/>
      <c r="AA129" s="902"/>
      <c r="AB129" s="902"/>
      <c r="AC129" s="902"/>
    </row>
    <row r="130" spans="1:29" ht="16.3" collapsed="1" thickBot="1">
      <c r="A130" s="1014" t="s">
        <v>1117</v>
      </c>
      <c r="B130" s="907" t="s">
        <v>5897</v>
      </c>
      <c r="C130" s="907">
        <f>SUM(C131:C135)</f>
        <v>4347</v>
      </c>
      <c r="D130" s="907" t="s">
        <v>2444</v>
      </c>
      <c r="E130" s="1336">
        <v>12400</v>
      </c>
      <c r="F130" s="907">
        <f>SUM(F131:F135)</f>
        <v>5651.1</v>
      </c>
      <c r="G130" s="909">
        <v>1</v>
      </c>
      <c r="H130" s="895"/>
      <c r="I130" s="902" t="str">
        <f>IF(H130="x",CONCATENATE(A130,"; "),"")</f>
        <v/>
      </c>
      <c r="J130" s="897"/>
      <c r="K130" s="903"/>
      <c r="L130" s="899">
        <f t="shared" si="5"/>
        <v>8053</v>
      </c>
      <c r="M130" s="933"/>
      <c r="N130" s="933"/>
      <c r="O130" s="933"/>
      <c r="P130" s="933"/>
      <c r="Q130" s="933"/>
      <c r="R130" s="933"/>
      <c r="S130" s="933"/>
      <c r="T130" s="933"/>
      <c r="U130" s="933"/>
      <c r="V130" s="933"/>
      <c r="W130" s="902"/>
      <c r="X130" s="902"/>
      <c r="Y130" s="902"/>
      <c r="Z130" s="902"/>
      <c r="AA130" s="902"/>
      <c r="AB130" s="902"/>
      <c r="AC130" s="902"/>
    </row>
    <row r="131" spans="1:29" hidden="1" outlineLevel="1">
      <c r="A131" s="967" t="s">
        <v>1564</v>
      </c>
      <c r="B131" s="968" t="s">
        <v>1565</v>
      </c>
      <c r="C131" s="968"/>
      <c r="D131" s="1304"/>
      <c r="E131" s="1337"/>
      <c r="F131" s="1322">
        <f>C131*1.3</f>
        <v>0</v>
      </c>
      <c r="G131" s="967"/>
      <c r="H131" s="901"/>
      <c r="I131" s="902"/>
      <c r="J131" s="897"/>
      <c r="K131" s="903"/>
      <c r="L131" s="899">
        <f t="shared" si="5"/>
        <v>0</v>
      </c>
      <c r="M131" s="933"/>
      <c r="N131" s="933"/>
      <c r="O131" s="933"/>
      <c r="P131" s="933"/>
      <c r="Q131" s="933"/>
      <c r="R131" s="933"/>
      <c r="S131" s="933"/>
      <c r="T131" s="933"/>
      <c r="U131" s="933"/>
      <c r="V131" s="933"/>
      <c r="W131" s="902"/>
      <c r="X131" s="897"/>
      <c r="Y131" s="898"/>
      <c r="Z131" s="902"/>
      <c r="AA131" s="902"/>
      <c r="AB131" s="902"/>
      <c r="AC131" s="902"/>
    </row>
    <row r="132" spans="1:29" hidden="1" outlineLevel="1">
      <c r="A132" s="967" t="s">
        <v>1592</v>
      </c>
      <c r="B132" s="968" t="s">
        <v>53</v>
      </c>
      <c r="C132" s="968">
        <v>1380</v>
      </c>
      <c r="D132" s="1304">
        <v>3200</v>
      </c>
      <c r="E132" s="1337">
        <v>3200</v>
      </c>
      <c r="F132" s="1322">
        <f>C132*1.3</f>
        <v>1794</v>
      </c>
      <c r="G132" s="967">
        <v>1</v>
      </c>
      <c r="H132" s="901"/>
      <c r="I132" s="902"/>
      <c r="J132" s="897"/>
      <c r="K132" s="903"/>
      <c r="L132" s="899">
        <f t="shared" si="5"/>
        <v>1820</v>
      </c>
      <c r="M132" s="933"/>
      <c r="N132" s="933"/>
      <c r="O132" s="933"/>
      <c r="P132" s="933"/>
      <c r="Q132" s="933"/>
      <c r="R132" s="933"/>
      <c r="S132" s="933"/>
      <c r="T132" s="933"/>
      <c r="U132" s="933"/>
      <c r="V132" s="933"/>
      <c r="W132" s="902"/>
      <c r="X132" s="897"/>
      <c r="Y132" s="898"/>
      <c r="Z132" s="902"/>
      <c r="AA132" s="902"/>
      <c r="AB132" s="902"/>
      <c r="AC132" s="902"/>
    </row>
    <row r="133" spans="1:29" hidden="1" outlineLevel="1">
      <c r="A133" s="1016" t="s">
        <v>1599</v>
      </c>
      <c r="B133" s="958" t="s">
        <v>482</v>
      </c>
      <c r="C133" s="968">
        <v>1380</v>
      </c>
      <c r="D133" s="1304">
        <v>3200</v>
      </c>
      <c r="E133" s="1337">
        <v>3200</v>
      </c>
      <c r="F133" s="1322">
        <f>C133*1.3</f>
        <v>1794</v>
      </c>
      <c r="G133" s="969">
        <v>1</v>
      </c>
      <c r="H133" s="901"/>
      <c r="I133" s="902"/>
      <c r="J133" s="897"/>
      <c r="K133" s="903"/>
      <c r="L133" s="899">
        <f t="shared" si="5"/>
        <v>1820</v>
      </c>
      <c r="M133" s="933"/>
      <c r="N133" s="933"/>
      <c r="O133" s="933"/>
      <c r="P133" s="933"/>
      <c r="Q133" s="933"/>
      <c r="R133" s="933"/>
      <c r="S133" s="933"/>
      <c r="T133" s="933"/>
      <c r="U133" s="933"/>
      <c r="V133" s="933"/>
      <c r="W133" s="902"/>
      <c r="X133" s="897"/>
      <c r="Y133" s="898"/>
      <c r="Z133" s="902"/>
      <c r="AA133" s="902"/>
      <c r="AB133" s="902"/>
      <c r="AC133" s="902"/>
    </row>
    <row r="134" spans="1:29" hidden="1" outlineLevel="1">
      <c r="A134" s="967" t="s">
        <v>1595</v>
      </c>
      <c r="B134" s="968" t="s">
        <v>484</v>
      </c>
      <c r="C134" s="968">
        <v>1380</v>
      </c>
      <c r="D134" s="1304">
        <v>3200</v>
      </c>
      <c r="E134" s="1337">
        <v>3200</v>
      </c>
      <c r="F134" s="1322">
        <f>C134*1.3</f>
        <v>1794</v>
      </c>
      <c r="G134" s="967">
        <v>1</v>
      </c>
      <c r="H134" s="901"/>
      <c r="I134" s="902"/>
      <c r="J134" s="897"/>
      <c r="K134" s="903"/>
      <c r="L134" s="899">
        <f t="shared" si="5"/>
        <v>1820</v>
      </c>
      <c r="M134" s="933"/>
      <c r="N134" s="933"/>
      <c r="O134" s="933"/>
      <c r="P134" s="933"/>
      <c r="Q134" s="933"/>
      <c r="R134" s="933"/>
      <c r="S134" s="933"/>
      <c r="T134" s="933"/>
      <c r="U134" s="933"/>
      <c r="V134" s="933"/>
      <c r="W134" s="902"/>
      <c r="X134" s="902"/>
      <c r="Y134" s="902"/>
      <c r="Z134" s="902"/>
      <c r="AA134" s="902"/>
      <c r="AB134" s="902"/>
      <c r="AC134" s="902"/>
    </row>
    <row r="135" spans="1:29" ht="31.95" hidden="1" outlineLevel="1" thickBot="1">
      <c r="A135" s="1018" t="s">
        <v>1373</v>
      </c>
      <c r="B135" s="962" t="s">
        <v>5873</v>
      </c>
      <c r="C135" s="1019">
        <v>207</v>
      </c>
      <c r="D135" s="1305">
        <v>600</v>
      </c>
      <c r="E135" s="1338">
        <v>600</v>
      </c>
      <c r="F135" s="1323">
        <f>C135*1.3</f>
        <v>269.10000000000002</v>
      </c>
      <c r="G135" s="1020">
        <v>1</v>
      </c>
      <c r="H135" s="901"/>
      <c r="I135" s="902"/>
      <c r="J135" s="897"/>
      <c r="K135" s="903"/>
      <c r="L135" s="899">
        <f t="shared" si="5"/>
        <v>393</v>
      </c>
      <c r="M135" s="933"/>
      <c r="N135" s="933"/>
      <c r="O135" s="933"/>
      <c r="P135" s="933"/>
      <c r="Q135" s="933"/>
      <c r="R135" s="933"/>
      <c r="S135" s="933"/>
      <c r="T135" s="933"/>
      <c r="U135" s="933"/>
      <c r="V135" s="933"/>
      <c r="W135" s="902"/>
      <c r="X135" s="902"/>
      <c r="Y135" s="902"/>
      <c r="Z135" s="902"/>
      <c r="AA135" s="902"/>
      <c r="AB135" s="902"/>
      <c r="AC135" s="902"/>
    </row>
    <row r="136" spans="1:29" ht="16.3" collapsed="1" thickBot="1">
      <c r="A136" s="1015" t="s">
        <v>1118</v>
      </c>
      <c r="B136" s="892" t="s">
        <v>5899</v>
      </c>
      <c r="C136" s="892">
        <f>SUM(C137:C143)</f>
        <v>7245</v>
      </c>
      <c r="D136" s="892"/>
      <c r="E136" s="1339">
        <v>20900</v>
      </c>
      <c r="F136" s="892">
        <f>SUM(F137:F143)</f>
        <v>9418.5</v>
      </c>
      <c r="G136" s="894">
        <v>1</v>
      </c>
      <c r="H136" s="901"/>
      <c r="I136" s="902" t="str">
        <f>IF(H136="x",CONCATENATE(A136,"; "),"")</f>
        <v/>
      </c>
      <c r="J136" s="897"/>
      <c r="K136" s="903"/>
      <c r="L136" s="899">
        <f t="shared" si="5"/>
        <v>13655</v>
      </c>
      <c r="M136" s="933"/>
      <c r="N136" s="933"/>
      <c r="O136" s="933"/>
      <c r="P136" s="933"/>
      <c r="Q136" s="933"/>
      <c r="R136" s="933"/>
      <c r="S136" s="933"/>
      <c r="T136" s="933"/>
      <c r="U136" s="933"/>
      <c r="V136" s="933"/>
      <c r="W136" s="902"/>
      <c r="X136" s="902"/>
      <c r="Y136" s="902"/>
      <c r="Z136" s="902"/>
      <c r="AA136" s="902"/>
      <c r="AB136" s="902"/>
      <c r="AC136" s="902"/>
    </row>
    <row r="137" spans="1:29" ht="16.3" hidden="1" outlineLevel="1" thickBot="1">
      <c r="A137" s="897" t="s">
        <v>1564</v>
      </c>
      <c r="B137" s="898" t="s">
        <v>1565</v>
      </c>
      <c r="C137" s="898"/>
      <c r="D137" s="899"/>
      <c r="E137" s="1335"/>
      <c r="F137" s="899">
        <f t="shared" ref="F137:F143" si="8">C137*1.3</f>
        <v>0</v>
      </c>
      <c r="G137" s="897"/>
      <c r="H137" s="901"/>
      <c r="I137" s="902"/>
      <c r="J137" s="897"/>
      <c r="K137" s="903"/>
      <c r="L137" s="899">
        <f t="shared" si="5"/>
        <v>0</v>
      </c>
      <c r="M137" s="933"/>
      <c r="N137" s="933"/>
      <c r="O137" s="933"/>
      <c r="P137" s="933"/>
      <c r="Q137" s="933"/>
      <c r="R137" s="933"/>
      <c r="S137" s="933"/>
      <c r="T137" s="933"/>
      <c r="U137" s="933"/>
      <c r="V137" s="933"/>
      <c r="W137" s="902"/>
      <c r="X137" s="902"/>
      <c r="Y137" s="902"/>
      <c r="Z137" s="902"/>
      <c r="AA137" s="902"/>
      <c r="AB137" s="902"/>
      <c r="AC137" s="902"/>
    </row>
    <row r="138" spans="1:29" ht="16.3" hidden="1" outlineLevel="1" thickBot="1">
      <c r="A138" s="967" t="s">
        <v>1592</v>
      </c>
      <c r="B138" s="968" t="s">
        <v>53</v>
      </c>
      <c r="C138" s="968">
        <v>1380</v>
      </c>
      <c r="D138" s="1304">
        <v>3200</v>
      </c>
      <c r="E138" s="1337">
        <v>3200</v>
      </c>
      <c r="F138" s="1322">
        <f t="shared" si="8"/>
        <v>1794</v>
      </c>
      <c r="G138" s="967">
        <v>1</v>
      </c>
      <c r="H138" s="901"/>
      <c r="I138" s="902"/>
      <c r="J138" s="897"/>
      <c r="K138" s="903"/>
      <c r="L138" s="899">
        <f t="shared" si="5"/>
        <v>1820</v>
      </c>
      <c r="M138" s="933"/>
      <c r="N138" s="933"/>
      <c r="O138" s="933"/>
      <c r="P138" s="933"/>
      <c r="Q138" s="933"/>
      <c r="R138" s="933"/>
      <c r="S138" s="933"/>
      <c r="T138" s="933"/>
      <c r="U138" s="933"/>
      <c r="V138" s="933"/>
      <c r="W138" s="902"/>
      <c r="X138" s="897"/>
      <c r="Y138" s="898"/>
      <c r="Z138" s="902"/>
      <c r="AA138" s="902"/>
      <c r="AB138" s="902"/>
      <c r="AC138" s="902"/>
    </row>
    <row r="139" spans="1:29" ht="16.3" hidden="1" outlineLevel="1" thickBot="1">
      <c r="A139" s="967" t="s">
        <v>1595</v>
      </c>
      <c r="B139" s="968" t="s">
        <v>484</v>
      </c>
      <c r="C139" s="968">
        <v>1380</v>
      </c>
      <c r="D139" s="1304">
        <v>3200</v>
      </c>
      <c r="E139" s="1337">
        <v>3200</v>
      </c>
      <c r="F139" s="1322">
        <f t="shared" si="8"/>
        <v>1794</v>
      </c>
      <c r="G139" s="967">
        <v>1</v>
      </c>
      <c r="H139" s="901"/>
      <c r="I139" s="902"/>
      <c r="J139" s="897"/>
      <c r="K139" s="903"/>
      <c r="L139" s="899">
        <f t="shared" si="5"/>
        <v>1820</v>
      </c>
      <c r="M139" s="933"/>
      <c r="N139" s="933"/>
      <c r="O139" s="933"/>
      <c r="P139" s="933"/>
      <c r="Q139" s="933"/>
      <c r="R139" s="933"/>
      <c r="S139" s="933"/>
      <c r="T139" s="933"/>
      <c r="U139" s="933"/>
      <c r="V139" s="933"/>
      <c r="W139" s="902"/>
      <c r="X139" s="902"/>
      <c r="Y139" s="902"/>
      <c r="Z139" s="902"/>
      <c r="AA139" s="902"/>
      <c r="AB139" s="902"/>
      <c r="AC139" s="902"/>
    </row>
    <row r="140" spans="1:29" ht="16.3" hidden="1" outlineLevel="1" thickBot="1">
      <c r="A140" s="1016" t="s">
        <v>1599</v>
      </c>
      <c r="B140" s="958" t="s">
        <v>482</v>
      </c>
      <c r="C140" s="968">
        <v>1380</v>
      </c>
      <c r="D140" s="1304">
        <v>3200</v>
      </c>
      <c r="E140" s="1337">
        <v>3200</v>
      </c>
      <c r="F140" s="1322">
        <f t="shared" si="8"/>
        <v>1794</v>
      </c>
      <c r="G140" s="969">
        <v>1</v>
      </c>
      <c r="H140" s="901"/>
      <c r="I140" s="902"/>
      <c r="J140" s="897"/>
      <c r="K140" s="903"/>
      <c r="L140" s="899">
        <f t="shared" si="5"/>
        <v>1820</v>
      </c>
      <c r="M140" s="933"/>
      <c r="N140" s="933"/>
      <c r="O140" s="933"/>
      <c r="P140" s="933"/>
      <c r="Q140" s="933"/>
      <c r="R140" s="933"/>
      <c r="S140" s="933"/>
      <c r="T140" s="933"/>
      <c r="U140" s="933"/>
      <c r="V140" s="933"/>
      <c r="W140" s="902"/>
      <c r="X140" s="897"/>
      <c r="Y140" s="898"/>
      <c r="Z140" s="902"/>
      <c r="AA140" s="902"/>
      <c r="AB140" s="902"/>
      <c r="AC140" s="902"/>
    </row>
    <row r="141" spans="1:29" ht="16.3" hidden="1" outlineLevel="1" thickBot="1">
      <c r="A141" s="967" t="s">
        <v>1598</v>
      </c>
      <c r="B141" s="968" t="s">
        <v>481</v>
      </c>
      <c r="C141" s="898">
        <v>1380</v>
      </c>
      <c r="D141" s="899">
        <v>3200</v>
      </c>
      <c r="E141" s="1335">
        <v>3200</v>
      </c>
      <c r="F141" s="899">
        <f t="shared" si="8"/>
        <v>1794</v>
      </c>
      <c r="G141" s="900">
        <v>1</v>
      </c>
      <c r="H141" s="901"/>
      <c r="I141" s="902"/>
      <c r="J141" s="897"/>
      <c r="K141" s="903"/>
      <c r="L141" s="899">
        <f t="shared" si="5"/>
        <v>1820</v>
      </c>
      <c r="M141" s="933"/>
      <c r="N141" s="933"/>
      <c r="O141" s="933"/>
      <c r="P141" s="933"/>
      <c r="Q141" s="933"/>
      <c r="R141" s="933"/>
      <c r="S141" s="933"/>
      <c r="T141" s="933"/>
      <c r="U141" s="933"/>
      <c r="V141" s="933"/>
      <c r="W141" s="902"/>
      <c r="X141" s="902"/>
      <c r="Y141" s="902"/>
      <c r="Z141" s="902"/>
      <c r="AA141" s="902"/>
      <c r="AB141" s="902"/>
      <c r="AC141" s="902"/>
    </row>
    <row r="142" spans="1:29" ht="16.3" hidden="1" outlineLevel="1" thickBot="1">
      <c r="A142" s="1016" t="s">
        <v>1593</v>
      </c>
      <c r="B142" s="958" t="s">
        <v>1594</v>
      </c>
      <c r="C142" s="968">
        <v>1380</v>
      </c>
      <c r="D142" s="1304">
        <v>3200</v>
      </c>
      <c r="E142" s="1337">
        <v>3200</v>
      </c>
      <c r="F142" s="1322">
        <f t="shared" si="8"/>
        <v>1794</v>
      </c>
      <c r="G142" s="969">
        <v>1</v>
      </c>
      <c r="H142" s="901"/>
      <c r="I142" s="902"/>
      <c r="J142" s="897"/>
      <c r="K142" s="903"/>
      <c r="L142" s="899">
        <f t="shared" si="5"/>
        <v>1820</v>
      </c>
      <c r="M142" s="933"/>
      <c r="N142" s="933"/>
      <c r="O142" s="933"/>
      <c r="P142" s="933"/>
      <c r="Q142" s="933"/>
      <c r="R142" s="933"/>
      <c r="S142" s="933"/>
      <c r="T142" s="933"/>
      <c r="U142" s="933"/>
      <c r="V142" s="933"/>
      <c r="W142" s="902"/>
      <c r="X142" s="897"/>
      <c r="Y142" s="898"/>
      <c r="Z142" s="902"/>
      <c r="AA142" s="902"/>
      <c r="AB142" s="902"/>
      <c r="AC142" s="902"/>
    </row>
    <row r="143" spans="1:29" ht="31.95" hidden="1" outlineLevel="1" thickBot="1">
      <c r="A143" s="1017" t="s">
        <v>1380</v>
      </c>
      <c r="B143" s="958" t="s">
        <v>1381</v>
      </c>
      <c r="C143" s="898">
        <v>345</v>
      </c>
      <c r="D143" s="899">
        <v>1200</v>
      </c>
      <c r="E143" s="1335">
        <v>1200</v>
      </c>
      <c r="F143" s="899">
        <f t="shared" si="8"/>
        <v>448.5</v>
      </c>
      <c r="G143" s="900">
        <v>1</v>
      </c>
      <c r="H143" s="901"/>
      <c r="I143" s="902"/>
      <c r="J143" s="897"/>
      <c r="K143" s="903"/>
      <c r="L143" s="899">
        <f t="shared" si="5"/>
        <v>855</v>
      </c>
      <c r="M143" s="933"/>
      <c r="N143" s="933"/>
      <c r="O143" s="933"/>
      <c r="P143" s="933"/>
      <c r="Q143" s="933"/>
      <c r="R143" s="933"/>
      <c r="S143" s="933"/>
      <c r="T143" s="933"/>
      <c r="U143" s="933"/>
      <c r="V143" s="933"/>
      <c r="W143" s="902"/>
      <c r="X143" s="902"/>
      <c r="Y143" s="902"/>
      <c r="Z143" s="902"/>
      <c r="AA143" s="902"/>
      <c r="AB143" s="902"/>
      <c r="AC143" s="902"/>
    </row>
    <row r="144" spans="1:29" ht="16.3" collapsed="1" thickBot="1">
      <c r="A144" s="906" t="s">
        <v>1125</v>
      </c>
      <c r="B144" s="907" t="s">
        <v>2750</v>
      </c>
      <c r="C144" s="907">
        <f>SUM(C145:C192)</f>
        <v>45190</v>
      </c>
      <c r="D144" s="908">
        <f>SUM(D145:D192)</f>
        <v>86040</v>
      </c>
      <c r="E144" s="1340">
        <v>75900</v>
      </c>
      <c r="F144" s="908">
        <f>SUM(F145:F192)</f>
        <v>58746.999999999993</v>
      </c>
      <c r="G144" s="909">
        <v>2</v>
      </c>
      <c r="H144" s="901"/>
      <c r="I144" s="902" t="str">
        <f>IF(H144="x",CONCATENATE(A144,"; "),"")</f>
        <v/>
      </c>
      <c r="J144" s="897"/>
      <c r="K144" s="903"/>
      <c r="L144" s="899">
        <f t="shared" si="5"/>
        <v>30710</v>
      </c>
      <c r="M144" s="933"/>
      <c r="N144" s="933"/>
      <c r="O144" s="933"/>
      <c r="P144" s="933"/>
      <c r="Q144" s="933"/>
      <c r="R144" s="933"/>
      <c r="S144" s="933"/>
      <c r="T144" s="933"/>
      <c r="U144" s="933"/>
      <c r="V144" s="933"/>
      <c r="W144" s="902"/>
      <c r="X144" s="897"/>
      <c r="Y144" s="898"/>
      <c r="Z144" s="902"/>
      <c r="AA144" s="902"/>
      <c r="AB144" s="902"/>
      <c r="AC144" s="902"/>
    </row>
    <row r="145" spans="1:29" hidden="1" outlineLevel="1">
      <c r="A145" s="897" t="s">
        <v>1391</v>
      </c>
      <c r="B145" s="898" t="s">
        <v>1392</v>
      </c>
      <c r="C145" s="898">
        <v>69</v>
      </c>
      <c r="D145" s="899">
        <v>400</v>
      </c>
      <c r="E145" s="1335">
        <v>400</v>
      </c>
      <c r="F145" s="899">
        <f t="shared" si="7"/>
        <v>89.7</v>
      </c>
      <c r="G145" s="900">
        <v>1</v>
      </c>
      <c r="H145" s="901"/>
      <c r="I145" s="902"/>
      <c r="J145" s="910"/>
      <c r="K145" s="903"/>
      <c r="L145" s="899">
        <f t="shared" si="5"/>
        <v>331</v>
      </c>
      <c r="M145" s="903"/>
      <c r="N145" s="903"/>
      <c r="O145" s="903"/>
      <c r="P145" s="903"/>
      <c r="Q145" s="902"/>
      <c r="R145" s="902"/>
      <c r="S145" s="903"/>
      <c r="T145" s="902"/>
      <c r="U145" s="902"/>
      <c r="V145" s="902"/>
      <c r="W145" s="902"/>
      <c r="X145" s="902"/>
      <c r="Y145" s="902"/>
      <c r="Z145" s="902"/>
      <c r="AA145" s="902"/>
      <c r="AB145" s="902"/>
      <c r="AC145" s="902"/>
    </row>
    <row r="146" spans="1:29" hidden="1" outlineLevel="1">
      <c r="A146" s="897" t="s">
        <v>1395</v>
      </c>
      <c r="B146" s="898" t="s">
        <v>1396</v>
      </c>
      <c r="C146" s="898">
        <v>69</v>
      </c>
      <c r="D146" s="899">
        <v>400</v>
      </c>
      <c r="E146" s="1335">
        <v>400</v>
      </c>
      <c r="F146" s="899">
        <f t="shared" si="7"/>
        <v>89.7</v>
      </c>
      <c r="G146" s="900">
        <v>1</v>
      </c>
      <c r="H146" s="901"/>
      <c r="I146" s="902"/>
      <c r="J146" s="897"/>
      <c r="K146" s="903"/>
      <c r="L146" s="899">
        <f t="shared" si="5"/>
        <v>331</v>
      </c>
      <c r="M146" s="899"/>
      <c r="N146" s="904"/>
      <c r="O146" s="905"/>
      <c r="P146" s="899"/>
      <c r="Q146" s="899"/>
      <c r="R146" s="898"/>
      <c r="S146" s="899"/>
      <c r="T146" s="899"/>
      <c r="U146" s="904"/>
      <c r="V146" s="905"/>
      <c r="W146" s="902"/>
      <c r="X146" s="897"/>
      <c r="Y146" s="898"/>
      <c r="Z146" s="902"/>
      <c r="AA146" s="902"/>
      <c r="AB146" s="902"/>
      <c r="AC146" s="902"/>
    </row>
    <row r="147" spans="1:29" hidden="1" outlineLevel="1">
      <c r="A147" s="897" t="s">
        <v>1611</v>
      </c>
      <c r="B147" s="898" t="s">
        <v>1612</v>
      </c>
      <c r="C147" s="898">
        <v>125</v>
      </c>
      <c r="D147" s="899">
        <v>200</v>
      </c>
      <c r="E147" s="1335">
        <v>200</v>
      </c>
      <c r="F147" s="899">
        <f t="shared" si="7"/>
        <v>162.5</v>
      </c>
      <c r="G147" s="900">
        <v>1</v>
      </c>
      <c r="H147" s="901"/>
      <c r="I147" s="902"/>
      <c r="J147" s="897"/>
      <c r="K147" s="903"/>
      <c r="L147" s="899">
        <f t="shared" si="5"/>
        <v>75</v>
      </c>
      <c r="M147" s="899"/>
      <c r="N147" s="904"/>
      <c r="O147" s="905"/>
      <c r="P147" s="899"/>
      <c r="Q147" s="899"/>
      <c r="R147" s="898"/>
      <c r="S147" s="899"/>
      <c r="T147" s="899"/>
      <c r="U147" s="904"/>
      <c r="V147" s="905"/>
      <c r="W147" s="902"/>
      <c r="X147" s="897"/>
      <c r="Y147" s="898"/>
      <c r="Z147" s="902"/>
      <c r="AA147" s="902"/>
      <c r="AB147" s="902"/>
      <c r="AC147" s="902"/>
    </row>
    <row r="148" spans="1:29" hidden="1" outlineLevel="1">
      <c r="A148" s="897" t="s">
        <v>1621</v>
      </c>
      <c r="B148" s="898" t="s">
        <v>2346</v>
      </c>
      <c r="C148" s="898">
        <v>175</v>
      </c>
      <c r="D148" s="899">
        <v>400</v>
      </c>
      <c r="E148" s="1335">
        <v>400</v>
      </c>
      <c r="F148" s="899">
        <f t="shared" si="7"/>
        <v>227.5</v>
      </c>
      <c r="G148" s="900">
        <v>1</v>
      </c>
      <c r="H148" s="901"/>
      <c r="I148" s="902"/>
      <c r="J148" s="897"/>
      <c r="K148" s="903"/>
      <c r="L148" s="899">
        <f t="shared" si="5"/>
        <v>225</v>
      </c>
      <c r="M148" s="899"/>
      <c r="N148" s="904"/>
      <c r="O148" s="905"/>
      <c r="P148" s="899"/>
      <c r="Q148" s="899"/>
      <c r="R148" s="898"/>
      <c r="S148" s="899"/>
      <c r="T148" s="899"/>
      <c r="U148" s="904"/>
      <c r="V148" s="905"/>
      <c r="W148" s="902"/>
      <c r="X148" s="897"/>
      <c r="Y148" s="898"/>
      <c r="Z148" s="902"/>
      <c r="AA148" s="902"/>
      <c r="AB148" s="902"/>
      <c r="AC148" s="902"/>
    </row>
    <row r="149" spans="1:29" hidden="1" outlineLevel="1">
      <c r="A149" s="897" t="s">
        <v>649</v>
      </c>
      <c r="B149" s="898" t="s">
        <v>649</v>
      </c>
      <c r="C149" s="898">
        <v>460</v>
      </c>
      <c r="D149" s="899">
        <v>1400</v>
      </c>
      <c r="E149" s="1335">
        <v>1000</v>
      </c>
      <c r="F149" s="899">
        <f t="shared" si="7"/>
        <v>598</v>
      </c>
      <c r="G149" s="900">
        <v>1</v>
      </c>
      <c r="H149" s="901"/>
      <c r="I149" s="902"/>
      <c r="J149" s="897"/>
      <c r="K149" s="903"/>
      <c r="L149" s="899">
        <f t="shared" si="5"/>
        <v>540</v>
      </c>
      <c r="M149" s="899"/>
      <c r="N149" s="904"/>
      <c r="O149" s="905"/>
      <c r="P149" s="899"/>
      <c r="Q149" s="899"/>
      <c r="R149" s="898"/>
      <c r="S149" s="899"/>
      <c r="T149" s="899"/>
      <c r="U149" s="904"/>
      <c r="V149" s="905"/>
      <c r="W149" s="902"/>
      <c r="X149" s="897"/>
      <c r="Y149" s="898"/>
      <c r="Z149" s="902"/>
      <c r="AA149" s="902"/>
      <c r="AB149" s="902"/>
      <c r="AC149" s="902"/>
    </row>
    <row r="150" spans="1:29" hidden="1" outlineLevel="1">
      <c r="A150" s="897" t="s">
        <v>1371</v>
      </c>
      <c r="B150" s="898" t="s">
        <v>1372</v>
      </c>
      <c r="C150" s="898">
        <v>2415</v>
      </c>
      <c r="D150" s="899">
        <v>5800</v>
      </c>
      <c r="E150" s="1335">
        <v>4800</v>
      </c>
      <c r="F150" s="899">
        <f t="shared" si="7"/>
        <v>3139.5</v>
      </c>
      <c r="G150" s="900">
        <v>1</v>
      </c>
      <c r="H150" s="901"/>
      <c r="I150" s="902"/>
      <c r="J150" s="897"/>
      <c r="K150" s="903"/>
      <c r="L150" s="899">
        <f t="shared" si="5"/>
        <v>2385</v>
      </c>
      <c r="M150" s="899"/>
      <c r="N150" s="904"/>
      <c r="O150" s="905"/>
      <c r="P150" s="899"/>
      <c r="Q150" s="899"/>
      <c r="R150" s="898"/>
      <c r="S150" s="899"/>
      <c r="T150" s="899"/>
      <c r="U150" s="904"/>
      <c r="V150" s="905"/>
      <c r="W150" s="902"/>
      <c r="X150" s="897"/>
      <c r="Y150" s="898"/>
      <c r="Z150" s="902"/>
      <c r="AA150" s="902"/>
      <c r="AB150" s="902"/>
      <c r="AC150" s="902"/>
    </row>
    <row r="151" spans="1:29" hidden="1" outlineLevel="1">
      <c r="A151" s="897" t="s">
        <v>1522</v>
      </c>
      <c r="B151" s="898" t="s">
        <v>31</v>
      </c>
      <c r="C151" s="898">
        <v>1150</v>
      </c>
      <c r="D151" s="899">
        <v>2800</v>
      </c>
      <c r="E151" s="1335">
        <v>2000</v>
      </c>
      <c r="F151" s="899">
        <f t="shared" si="7"/>
        <v>1495</v>
      </c>
      <c r="G151" s="900">
        <v>1</v>
      </c>
      <c r="H151" s="901"/>
      <c r="I151" s="902"/>
      <c r="J151" s="897"/>
      <c r="K151" s="903"/>
      <c r="L151" s="899">
        <f t="shared" si="5"/>
        <v>850</v>
      </c>
      <c r="M151" s="899"/>
      <c r="N151" s="904"/>
      <c r="O151" s="905"/>
      <c r="P151" s="899"/>
      <c r="Q151" s="899"/>
      <c r="R151" s="898"/>
      <c r="S151" s="899"/>
      <c r="T151" s="899"/>
      <c r="U151" s="904"/>
      <c r="V151" s="905"/>
      <c r="W151" s="902"/>
      <c r="X151" s="897"/>
      <c r="Y151" s="898"/>
      <c r="Z151" s="902"/>
      <c r="AA151" s="902"/>
      <c r="AB151" s="902"/>
      <c r="AC151" s="902"/>
    </row>
    <row r="152" spans="1:29" hidden="1" outlineLevel="1">
      <c r="A152" s="897" t="s">
        <v>681</v>
      </c>
      <c r="B152" s="898" t="s">
        <v>15</v>
      </c>
      <c r="C152" s="898">
        <v>69</v>
      </c>
      <c r="D152" s="899">
        <v>250</v>
      </c>
      <c r="E152" s="1335">
        <v>250</v>
      </c>
      <c r="F152" s="899">
        <f t="shared" si="7"/>
        <v>89.7</v>
      </c>
      <c r="G152" s="900">
        <v>1</v>
      </c>
      <c r="H152" s="901"/>
      <c r="I152" s="902"/>
      <c r="J152" s="897"/>
      <c r="K152" s="903"/>
      <c r="L152" s="899">
        <f t="shared" si="5"/>
        <v>181</v>
      </c>
      <c r="M152" s="899"/>
      <c r="N152" s="904"/>
      <c r="O152" s="905"/>
      <c r="P152" s="899"/>
      <c r="Q152" s="899"/>
      <c r="R152" s="898"/>
      <c r="S152" s="899"/>
      <c r="T152" s="899"/>
      <c r="U152" s="904"/>
      <c r="V152" s="905"/>
      <c r="W152" s="902"/>
      <c r="X152" s="897"/>
      <c r="Y152" s="898"/>
      <c r="Z152" s="902"/>
      <c r="AA152" s="902"/>
      <c r="AB152" s="902"/>
      <c r="AC152" s="902"/>
    </row>
    <row r="153" spans="1:29" hidden="1" outlineLevel="1">
      <c r="A153" s="897" t="s">
        <v>1826</v>
      </c>
      <c r="B153" s="898" t="s">
        <v>1827</v>
      </c>
      <c r="C153" s="898">
        <v>69</v>
      </c>
      <c r="D153" s="899">
        <v>640</v>
      </c>
      <c r="E153" s="1335">
        <v>400</v>
      </c>
      <c r="F153" s="899">
        <f t="shared" si="7"/>
        <v>89.7</v>
      </c>
      <c r="G153" s="900">
        <v>1</v>
      </c>
      <c r="H153" s="901"/>
      <c r="I153" s="902"/>
      <c r="J153" s="897"/>
      <c r="K153" s="903"/>
      <c r="L153" s="899">
        <f t="shared" si="5"/>
        <v>331</v>
      </c>
      <c r="M153" s="899"/>
      <c r="N153" s="904"/>
      <c r="O153" s="905"/>
      <c r="P153" s="899"/>
      <c r="Q153" s="899"/>
      <c r="R153" s="898"/>
      <c r="S153" s="899"/>
      <c r="T153" s="899"/>
      <c r="U153" s="904"/>
      <c r="V153" s="905"/>
      <c r="W153" s="902"/>
      <c r="X153" s="897"/>
      <c r="Y153" s="898"/>
      <c r="Z153" s="902"/>
      <c r="AA153" s="902"/>
      <c r="AB153" s="902"/>
      <c r="AC153" s="902"/>
    </row>
    <row r="154" spans="1:29" hidden="1" outlineLevel="1">
      <c r="A154" s="897" t="s">
        <v>684</v>
      </c>
      <c r="B154" s="898" t="s">
        <v>1538</v>
      </c>
      <c r="C154" s="898">
        <v>69</v>
      </c>
      <c r="D154" s="899">
        <v>200</v>
      </c>
      <c r="E154" s="1335">
        <v>200</v>
      </c>
      <c r="F154" s="899">
        <f t="shared" si="7"/>
        <v>89.7</v>
      </c>
      <c r="G154" s="900">
        <v>1</v>
      </c>
      <c r="H154" s="901"/>
      <c r="I154" s="902"/>
      <c r="J154" s="897"/>
      <c r="K154" s="903"/>
      <c r="L154" s="899">
        <f t="shared" ref="L154:L217" si="9">E154-C154</f>
        <v>131</v>
      </c>
      <c r="M154" s="899"/>
      <c r="N154" s="904"/>
      <c r="O154" s="905"/>
      <c r="P154" s="899"/>
      <c r="Q154" s="899"/>
      <c r="R154" s="898"/>
      <c r="S154" s="899"/>
      <c r="T154" s="899"/>
      <c r="U154" s="904"/>
      <c r="V154" s="905"/>
      <c r="W154" s="902"/>
      <c r="X154" s="897"/>
      <c r="Y154" s="898"/>
      <c r="Z154" s="902"/>
      <c r="AA154" s="902"/>
      <c r="AB154" s="902"/>
      <c r="AC154" s="902"/>
    </row>
    <row r="155" spans="1:29" hidden="1" outlineLevel="1">
      <c r="A155" s="897" t="s">
        <v>685</v>
      </c>
      <c r="B155" s="898" t="s">
        <v>1539</v>
      </c>
      <c r="C155" s="898">
        <v>69</v>
      </c>
      <c r="D155" s="899">
        <v>200</v>
      </c>
      <c r="E155" s="1335">
        <v>200</v>
      </c>
      <c r="F155" s="899">
        <f t="shared" si="7"/>
        <v>89.7</v>
      </c>
      <c r="G155" s="900">
        <v>1</v>
      </c>
      <c r="H155" s="901"/>
      <c r="I155" s="902"/>
      <c r="J155" s="897"/>
      <c r="K155" s="903"/>
      <c r="L155" s="899">
        <f t="shared" si="9"/>
        <v>131</v>
      </c>
      <c r="M155" s="899"/>
      <c r="N155" s="904"/>
      <c r="O155" s="905"/>
      <c r="P155" s="899"/>
      <c r="Q155" s="899"/>
      <c r="R155" s="898"/>
      <c r="S155" s="899"/>
      <c r="T155" s="899"/>
      <c r="U155" s="904"/>
      <c r="V155" s="905"/>
      <c r="W155" s="902"/>
      <c r="X155" s="897"/>
      <c r="Y155" s="898"/>
      <c r="Z155" s="902"/>
      <c r="AA155" s="902"/>
      <c r="AB155" s="902"/>
      <c r="AC155" s="902"/>
    </row>
    <row r="156" spans="1:29" hidden="1" outlineLevel="1">
      <c r="A156" s="897" t="s">
        <v>1607</v>
      </c>
      <c r="B156" s="898" t="s">
        <v>22</v>
      </c>
      <c r="C156" s="898">
        <v>135</v>
      </c>
      <c r="D156" s="899">
        <v>200</v>
      </c>
      <c r="E156" s="1335">
        <v>200</v>
      </c>
      <c r="F156" s="899">
        <f t="shared" si="7"/>
        <v>175.5</v>
      </c>
      <c r="G156" s="900">
        <v>1</v>
      </c>
      <c r="H156" s="901"/>
      <c r="I156" s="915"/>
      <c r="J156" s="916"/>
      <c r="K156" s="915"/>
      <c r="L156" s="899">
        <f t="shared" si="9"/>
        <v>65</v>
      </c>
      <c r="M156" s="899"/>
      <c r="N156" s="904"/>
      <c r="O156" s="905"/>
      <c r="P156" s="899"/>
      <c r="Q156" s="899"/>
      <c r="R156" s="898"/>
      <c r="S156" s="899"/>
      <c r="T156" s="899"/>
      <c r="U156" s="904"/>
      <c r="V156" s="905"/>
      <c r="W156" s="902"/>
      <c r="X156" s="897"/>
      <c r="Y156" s="898"/>
      <c r="Z156" s="902"/>
      <c r="AA156" s="902"/>
      <c r="AB156" s="902"/>
      <c r="AC156" s="902"/>
    </row>
    <row r="157" spans="1:29" hidden="1" outlineLevel="1">
      <c r="A157" s="897" t="s">
        <v>1608</v>
      </c>
      <c r="B157" s="898" t="s">
        <v>19</v>
      </c>
      <c r="C157" s="898">
        <v>69</v>
      </c>
      <c r="D157" s="899">
        <v>600</v>
      </c>
      <c r="E157" s="1335">
        <v>400</v>
      </c>
      <c r="F157" s="899">
        <f t="shared" si="7"/>
        <v>89.7</v>
      </c>
      <c r="G157" s="900">
        <v>1</v>
      </c>
      <c r="H157" s="901"/>
      <c r="I157" s="902"/>
      <c r="J157" s="897"/>
      <c r="K157" s="903"/>
      <c r="L157" s="899">
        <f t="shared" si="9"/>
        <v>331</v>
      </c>
      <c r="M157" s="899"/>
      <c r="N157" s="904"/>
      <c r="O157" s="905"/>
      <c r="P157" s="899"/>
      <c r="Q157" s="899"/>
      <c r="R157" s="898"/>
      <c r="S157" s="899"/>
      <c r="T157" s="899"/>
      <c r="U157" s="904"/>
      <c r="V157" s="905"/>
      <c r="W157" s="902"/>
      <c r="X157" s="897"/>
      <c r="Y157" s="898"/>
      <c r="Z157" s="902"/>
      <c r="AA157" s="902"/>
      <c r="AB157" s="902"/>
      <c r="AC157" s="902"/>
    </row>
    <row r="158" spans="1:29" hidden="1" outlineLevel="1">
      <c r="A158" s="897" t="s">
        <v>948</v>
      </c>
      <c r="B158" s="898" t="s">
        <v>1628</v>
      </c>
      <c r="C158" s="898">
        <v>175</v>
      </c>
      <c r="D158" s="899">
        <v>700</v>
      </c>
      <c r="E158" s="1335">
        <v>400</v>
      </c>
      <c r="F158" s="899">
        <f t="shared" si="7"/>
        <v>227.5</v>
      </c>
      <c r="G158" s="900">
        <v>1</v>
      </c>
      <c r="H158" s="901"/>
      <c r="I158" s="902"/>
      <c r="J158" s="897"/>
      <c r="K158" s="903"/>
      <c r="L158" s="899">
        <f t="shared" si="9"/>
        <v>225</v>
      </c>
      <c r="M158" s="899"/>
      <c r="N158" s="904"/>
      <c r="O158" s="905"/>
      <c r="P158" s="899"/>
      <c r="Q158" s="899"/>
      <c r="R158" s="898"/>
      <c r="S158" s="899"/>
      <c r="T158" s="899"/>
      <c r="U158" s="904"/>
      <c r="V158" s="905"/>
      <c r="W158" s="902"/>
      <c r="X158" s="897"/>
      <c r="Y158" s="898"/>
      <c r="Z158" s="902"/>
      <c r="AA158" s="902"/>
      <c r="AB158" s="902"/>
      <c r="AC158" s="902"/>
    </row>
    <row r="159" spans="1:29" hidden="1" outlineLevel="1">
      <c r="A159" s="897" t="s">
        <v>1693</v>
      </c>
      <c r="B159" s="898" t="s">
        <v>21</v>
      </c>
      <c r="C159" s="898">
        <v>135</v>
      </c>
      <c r="D159" s="899">
        <v>200</v>
      </c>
      <c r="E159" s="1335">
        <v>200</v>
      </c>
      <c r="F159" s="899">
        <f t="shared" si="7"/>
        <v>175.5</v>
      </c>
      <c r="G159" s="900">
        <v>1</v>
      </c>
      <c r="H159" s="901"/>
      <c r="I159" s="915"/>
      <c r="J159" s="916"/>
      <c r="K159" s="915"/>
      <c r="L159" s="899">
        <f t="shared" si="9"/>
        <v>65</v>
      </c>
      <c r="M159" s="899"/>
      <c r="N159" s="904"/>
      <c r="O159" s="905"/>
      <c r="P159" s="899"/>
      <c r="Q159" s="899"/>
      <c r="R159" s="898"/>
      <c r="S159" s="899"/>
      <c r="T159" s="899"/>
      <c r="U159" s="904"/>
      <c r="V159" s="905"/>
      <c r="W159" s="902"/>
      <c r="X159" s="897"/>
      <c r="Y159" s="898"/>
      <c r="Z159" s="902"/>
      <c r="AA159" s="902"/>
      <c r="AB159" s="902"/>
      <c r="AC159" s="902"/>
    </row>
    <row r="160" spans="1:29" hidden="1" outlineLevel="1">
      <c r="A160" s="897" t="s">
        <v>1716</v>
      </c>
      <c r="B160" s="898" t="s">
        <v>25</v>
      </c>
      <c r="C160" s="898">
        <v>69</v>
      </c>
      <c r="D160" s="899">
        <v>600</v>
      </c>
      <c r="E160" s="1335">
        <v>400</v>
      </c>
      <c r="F160" s="899">
        <f t="shared" si="7"/>
        <v>89.7</v>
      </c>
      <c r="G160" s="900">
        <v>1</v>
      </c>
      <c r="H160" s="901"/>
      <c r="I160" s="915"/>
      <c r="J160" s="916"/>
      <c r="K160" s="915"/>
      <c r="L160" s="899">
        <f t="shared" si="9"/>
        <v>331</v>
      </c>
      <c r="M160" s="899"/>
      <c r="N160" s="904"/>
      <c r="O160" s="905"/>
      <c r="P160" s="899"/>
      <c r="Q160" s="899"/>
      <c r="R160" s="898"/>
      <c r="S160" s="899"/>
      <c r="T160" s="899"/>
      <c r="U160" s="904"/>
      <c r="V160" s="905"/>
      <c r="W160" s="902"/>
      <c r="X160" s="897"/>
      <c r="Y160" s="898"/>
      <c r="Z160" s="902"/>
      <c r="AA160" s="902"/>
      <c r="AB160" s="902"/>
      <c r="AC160" s="902"/>
    </row>
    <row r="161" spans="1:29" hidden="1" outlineLevel="1">
      <c r="A161" s="897" t="s">
        <v>71</v>
      </c>
      <c r="B161" s="898" t="s">
        <v>71</v>
      </c>
      <c r="C161" s="898">
        <v>2185</v>
      </c>
      <c r="D161" s="899">
        <v>4900</v>
      </c>
      <c r="E161" s="1335">
        <v>3500</v>
      </c>
      <c r="F161" s="899">
        <f t="shared" si="7"/>
        <v>2840.5</v>
      </c>
      <c r="G161" s="900">
        <v>1</v>
      </c>
      <c r="H161" s="901"/>
      <c r="I161" s="912"/>
      <c r="J161" s="921"/>
      <c r="K161" s="912"/>
      <c r="L161" s="899">
        <f t="shared" si="9"/>
        <v>1315</v>
      </c>
      <c r="M161" s="899"/>
      <c r="N161" s="904"/>
      <c r="O161" s="905"/>
      <c r="P161" s="899"/>
      <c r="Q161" s="899"/>
      <c r="R161" s="898"/>
      <c r="S161" s="899"/>
      <c r="T161" s="899"/>
      <c r="U161" s="904"/>
      <c r="V161" s="905"/>
      <c r="W161" s="902"/>
      <c r="X161" s="897"/>
      <c r="Y161" s="898"/>
      <c r="Z161" s="902"/>
      <c r="AA161" s="902"/>
      <c r="AB161" s="902"/>
      <c r="AC161" s="902"/>
    </row>
    <row r="162" spans="1:29" hidden="1" outlineLevel="1">
      <c r="A162" s="897" t="s">
        <v>1800</v>
      </c>
      <c r="B162" s="898" t="s">
        <v>1801</v>
      </c>
      <c r="C162" s="898">
        <v>6325</v>
      </c>
      <c r="D162" s="899">
        <v>7700</v>
      </c>
      <c r="E162" s="1335">
        <v>7700</v>
      </c>
      <c r="F162" s="899">
        <f t="shared" si="7"/>
        <v>8222.5</v>
      </c>
      <c r="G162" s="900">
        <v>1</v>
      </c>
      <c r="H162" s="901"/>
      <c r="I162" s="912"/>
      <c r="J162" s="913"/>
      <c r="K162" s="903"/>
      <c r="L162" s="899">
        <f t="shared" si="9"/>
        <v>1375</v>
      </c>
      <c r="M162" s="899"/>
      <c r="N162" s="904"/>
      <c r="O162" s="905"/>
      <c r="P162" s="899"/>
      <c r="Q162" s="899"/>
      <c r="R162" s="898"/>
      <c r="S162" s="899"/>
      <c r="T162" s="899"/>
      <c r="U162" s="904"/>
      <c r="V162" s="905"/>
      <c r="W162" s="902"/>
      <c r="X162" s="897"/>
      <c r="Y162" s="898"/>
      <c r="Z162" s="902"/>
      <c r="AA162" s="902"/>
      <c r="AB162" s="902"/>
      <c r="AC162" s="902"/>
    </row>
    <row r="163" spans="1:29" hidden="1" outlineLevel="1">
      <c r="A163" s="897" t="s">
        <v>1807</v>
      </c>
      <c r="B163" s="898" t="s">
        <v>30</v>
      </c>
      <c r="C163" s="898">
        <v>460</v>
      </c>
      <c r="D163" s="899">
        <v>850</v>
      </c>
      <c r="E163" s="1335">
        <v>850</v>
      </c>
      <c r="F163" s="899">
        <f t="shared" si="7"/>
        <v>598</v>
      </c>
      <c r="G163" s="900">
        <v>1</v>
      </c>
      <c r="H163" s="901"/>
      <c r="I163" s="902"/>
      <c r="J163" s="897"/>
      <c r="K163" s="903"/>
      <c r="L163" s="899">
        <f t="shared" si="9"/>
        <v>390</v>
      </c>
      <c r="M163" s="899"/>
      <c r="N163" s="904"/>
      <c r="O163" s="905"/>
      <c r="P163" s="899"/>
      <c r="Q163" s="899"/>
      <c r="R163" s="898"/>
      <c r="S163" s="899"/>
      <c r="T163" s="899"/>
      <c r="U163" s="904"/>
      <c r="V163" s="905"/>
      <c r="W163" s="902"/>
      <c r="X163" s="897"/>
      <c r="Y163" s="898"/>
      <c r="Z163" s="902"/>
      <c r="AA163" s="902"/>
      <c r="AB163" s="902"/>
      <c r="AC163" s="902"/>
    </row>
    <row r="164" spans="1:29" hidden="1" outlineLevel="1">
      <c r="A164" s="897" t="s">
        <v>1813</v>
      </c>
      <c r="B164" s="898" t="s">
        <v>505</v>
      </c>
      <c r="C164" s="898">
        <v>69</v>
      </c>
      <c r="D164" s="899">
        <v>600</v>
      </c>
      <c r="E164" s="1335">
        <v>400</v>
      </c>
      <c r="F164" s="899">
        <f t="shared" si="7"/>
        <v>89.7</v>
      </c>
      <c r="G164" s="900">
        <v>1</v>
      </c>
      <c r="H164" s="901"/>
      <c r="I164" s="902"/>
      <c r="J164" s="897"/>
      <c r="K164" s="903"/>
      <c r="L164" s="899">
        <f t="shared" si="9"/>
        <v>331</v>
      </c>
      <c r="M164" s="899"/>
      <c r="N164" s="904"/>
      <c r="O164" s="905"/>
      <c r="P164" s="899"/>
      <c r="Q164" s="899"/>
      <c r="R164" s="898"/>
      <c r="S164" s="899"/>
      <c r="T164" s="899"/>
      <c r="U164" s="904"/>
      <c r="V164" s="905"/>
      <c r="W164" s="902"/>
      <c r="X164" s="897"/>
      <c r="Y164" s="898"/>
      <c r="Z164" s="902"/>
      <c r="AA164" s="902"/>
      <c r="AB164" s="902"/>
      <c r="AC164" s="902"/>
    </row>
    <row r="165" spans="1:29" hidden="1" outlineLevel="1">
      <c r="A165" s="897" t="s">
        <v>1824</v>
      </c>
      <c r="B165" s="898" t="s">
        <v>861</v>
      </c>
      <c r="C165" s="898">
        <v>135</v>
      </c>
      <c r="D165" s="899">
        <v>600</v>
      </c>
      <c r="E165" s="1335">
        <v>600</v>
      </c>
      <c r="F165" s="899">
        <f t="shared" si="7"/>
        <v>175.5</v>
      </c>
      <c r="G165" s="900">
        <v>1</v>
      </c>
      <c r="H165" s="901"/>
      <c r="I165" s="902"/>
      <c r="J165" s="897"/>
      <c r="K165" s="903"/>
      <c r="L165" s="899">
        <f t="shared" si="9"/>
        <v>465</v>
      </c>
      <c r="M165" s="899"/>
      <c r="N165" s="904"/>
      <c r="O165" s="905"/>
      <c r="P165" s="899"/>
      <c r="Q165" s="899"/>
      <c r="R165" s="898"/>
      <c r="S165" s="899"/>
      <c r="T165" s="899"/>
      <c r="U165" s="904"/>
      <c r="V165" s="905"/>
      <c r="W165" s="902"/>
      <c r="X165" s="897"/>
      <c r="Y165" s="898"/>
      <c r="Z165" s="902"/>
      <c r="AA165" s="902"/>
      <c r="AB165" s="902"/>
      <c r="AC165" s="902"/>
    </row>
    <row r="166" spans="1:29" hidden="1" outlineLevel="1">
      <c r="A166" s="897" t="s">
        <v>527</v>
      </c>
      <c r="B166" s="898" t="s">
        <v>1831</v>
      </c>
      <c r="C166" s="898">
        <v>340</v>
      </c>
      <c r="D166" s="899">
        <v>1200</v>
      </c>
      <c r="E166" s="1335">
        <v>1000</v>
      </c>
      <c r="F166" s="899">
        <f t="shared" si="7"/>
        <v>442</v>
      </c>
      <c r="G166" s="900">
        <v>1</v>
      </c>
      <c r="H166" s="901"/>
      <c r="I166" s="902"/>
      <c r="J166" s="897"/>
      <c r="K166" s="903"/>
      <c r="L166" s="899">
        <f t="shared" si="9"/>
        <v>660</v>
      </c>
      <c r="M166" s="899"/>
      <c r="N166" s="904"/>
      <c r="O166" s="905"/>
      <c r="P166" s="899"/>
      <c r="Q166" s="899"/>
      <c r="R166" s="898"/>
      <c r="S166" s="899"/>
      <c r="T166" s="899"/>
      <c r="U166" s="904"/>
      <c r="V166" s="905"/>
      <c r="W166" s="902"/>
      <c r="X166" s="897"/>
      <c r="Y166" s="898"/>
      <c r="Z166" s="902"/>
      <c r="AA166" s="902"/>
      <c r="AB166" s="902"/>
      <c r="AC166" s="902"/>
    </row>
    <row r="167" spans="1:29" hidden="1" outlineLevel="1">
      <c r="A167" s="897" t="s">
        <v>1861</v>
      </c>
      <c r="B167" s="898" t="s">
        <v>1862</v>
      </c>
      <c r="C167" s="898">
        <v>175</v>
      </c>
      <c r="D167" s="899">
        <v>1200</v>
      </c>
      <c r="E167" s="1335">
        <v>1000</v>
      </c>
      <c r="F167" s="899">
        <f t="shared" si="7"/>
        <v>227.5</v>
      </c>
      <c r="G167" s="900">
        <v>1</v>
      </c>
      <c r="H167" s="901"/>
      <c r="I167" s="902"/>
      <c r="J167" s="897"/>
      <c r="K167" s="903"/>
      <c r="L167" s="899">
        <f t="shared" si="9"/>
        <v>825</v>
      </c>
      <c r="M167" s="899"/>
      <c r="N167" s="904"/>
      <c r="O167" s="905"/>
      <c r="P167" s="899"/>
      <c r="Q167" s="899"/>
      <c r="R167" s="898"/>
      <c r="S167" s="899"/>
      <c r="T167" s="899"/>
      <c r="U167" s="904"/>
      <c r="V167" s="905"/>
      <c r="W167" s="902"/>
      <c r="X167" s="897"/>
      <c r="Y167" s="898"/>
      <c r="Z167" s="902"/>
      <c r="AA167" s="902"/>
      <c r="AB167" s="902"/>
      <c r="AC167" s="902"/>
    </row>
    <row r="168" spans="1:29" hidden="1" outlineLevel="1">
      <c r="A168" s="897" t="s">
        <v>746</v>
      </c>
      <c r="B168" s="898" t="s">
        <v>746</v>
      </c>
      <c r="C168" s="898">
        <v>1610</v>
      </c>
      <c r="D168" s="899">
        <v>3700</v>
      </c>
      <c r="E168" s="1335">
        <v>3700</v>
      </c>
      <c r="F168" s="899">
        <f t="shared" si="7"/>
        <v>2093</v>
      </c>
      <c r="G168" s="900">
        <v>1</v>
      </c>
      <c r="H168" s="901"/>
      <c r="I168" s="912"/>
      <c r="J168" s="913"/>
      <c r="K168" s="912"/>
      <c r="L168" s="899">
        <f t="shared" si="9"/>
        <v>2090</v>
      </c>
      <c r="M168" s="899"/>
      <c r="N168" s="904"/>
      <c r="O168" s="905"/>
      <c r="P168" s="899"/>
      <c r="Q168" s="899"/>
      <c r="R168" s="898"/>
      <c r="S168" s="899"/>
      <c r="T168" s="899"/>
      <c r="U168" s="904"/>
      <c r="V168" s="905"/>
      <c r="W168" s="902"/>
      <c r="X168" s="897"/>
      <c r="Y168" s="898"/>
      <c r="Z168" s="902"/>
      <c r="AA168" s="902"/>
      <c r="AB168" s="902"/>
      <c r="AC168" s="902"/>
    </row>
    <row r="169" spans="1:29" hidden="1" outlineLevel="1">
      <c r="A169" s="897" t="s">
        <v>1726</v>
      </c>
      <c r="B169" s="898" t="s">
        <v>66</v>
      </c>
      <c r="C169" s="898">
        <v>1610</v>
      </c>
      <c r="D169" s="899">
        <v>2900</v>
      </c>
      <c r="E169" s="1335">
        <v>2900</v>
      </c>
      <c r="F169" s="899">
        <f t="shared" si="7"/>
        <v>2093</v>
      </c>
      <c r="G169" s="900">
        <v>1</v>
      </c>
      <c r="H169" s="901"/>
      <c r="I169" s="912"/>
      <c r="J169" s="921"/>
      <c r="K169" s="903"/>
      <c r="L169" s="899">
        <f t="shared" si="9"/>
        <v>1290</v>
      </c>
      <c r="M169" s="899"/>
      <c r="N169" s="904"/>
      <c r="O169" s="905"/>
      <c r="P169" s="899"/>
      <c r="Q169" s="899"/>
      <c r="R169" s="898"/>
      <c r="S169" s="899"/>
      <c r="T169" s="899"/>
      <c r="U169" s="904"/>
      <c r="V169" s="905"/>
      <c r="W169" s="902"/>
      <c r="X169" s="897"/>
      <c r="Y169" s="898"/>
      <c r="Z169" s="902"/>
      <c r="AA169" s="902"/>
      <c r="AB169" s="902"/>
      <c r="AC169" s="902"/>
    </row>
    <row r="170" spans="1:29" hidden="1" outlineLevel="1">
      <c r="A170" s="897" t="s">
        <v>54</v>
      </c>
      <c r="B170" s="898" t="s">
        <v>54</v>
      </c>
      <c r="C170" s="898">
        <v>1150</v>
      </c>
      <c r="D170" s="899">
        <v>1900</v>
      </c>
      <c r="E170" s="1335">
        <v>1900</v>
      </c>
      <c r="F170" s="899">
        <f t="shared" si="7"/>
        <v>1495</v>
      </c>
      <c r="G170" s="900">
        <v>1</v>
      </c>
      <c r="H170" s="901"/>
      <c r="I170" s="902"/>
      <c r="J170" s="897"/>
      <c r="K170" s="903"/>
      <c r="L170" s="899">
        <f t="shared" si="9"/>
        <v>750</v>
      </c>
      <c r="M170" s="899"/>
      <c r="N170" s="904"/>
      <c r="O170" s="905"/>
      <c r="P170" s="899"/>
      <c r="Q170" s="899"/>
      <c r="R170" s="898"/>
      <c r="S170" s="899"/>
      <c r="T170" s="899"/>
      <c r="U170" s="904"/>
      <c r="V170" s="905"/>
      <c r="W170" s="902"/>
      <c r="X170" s="897"/>
      <c r="Y170" s="898"/>
      <c r="Z170" s="902"/>
      <c r="AA170" s="902"/>
      <c r="AB170" s="902"/>
      <c r="AC170" s="902"/>
    </row>
    <row r="171" spans="1:29" hidden="1" outlineLevel="1">
      <c r="A171" s="897" t="s">
        <v>674</v>
      </c>
      <c r="B171" s="898" t="s">
        <v>674</v>
      </c>
      <c r="C171" s="898">
        <v>1955</v>
      </c>
      <c r="D171" s="899">
        <v>3800</v>
      </c>
      <c r="E171" s="1335">
        <v>3800</v>
      </c>
      <c r="F171" s="899">
        <f t="shared" si="7"/>
        <v>2541.5</v>
      </c>
      <c r="G171" s="900">
        <v>1</v>
      </c>
      <c r="H171" s="901"/>
      <c r="I171" s="912"/>
      <c r="J171" s="913"/>
      <c r="K171" s="903"/>
      <c r="L171" s="899">
        <f t="shared" si="9"/>
        <v>1845</v>
      </c>
      <c r="M171" s="899"/>
      <c r="N171" s="904"/>
      <c r="O171" s="905"/>
      <c r="P171" s="899"/>
      <c r="Q171" s="899"/>
      <c r="R171" s="898"/>
      <c r="S171" s="899"/>
      <c r="T171" s="899"/>
      <c r="U171" s="904"/>
      <c r="V171" s="905"/>
      <c r="W171" s="902"/>
      <c r="X171" s="897"/>
      <c r="Y171" s="898"/>
      <c r="Z171" s="902"/>
      <c r="AA171" s="902"/>
      <c r="AB171" s="902"/>
      <c r="AC171" s="902"/>
    </row>
    <row r="172" spans="1:29" hidden="1" outlineLevel="1">
      <c r="A172" s="897" t="s">
        <v>1592</v>
      </c>
      <c r="B172" s="898" t="s">
        <v>53</v>
      </c>
      <c r="C172" s="898">
        <v>1380</v>
      </c>
      <c r="D172" s="899">
        <v>3200</v>
      </c>
      <c r="E172" s="1335">
        <v>3200</v>
      </c>
      <c r="F172" s="899">
        <f t="shared" si="7"/>
        <v>1794</v>
      </c>
      <c r="G172" s="900">
        <v>1</v>
      </c>
      <c r="H172" s="901"/>
      <c r="I172" s="902"/>
      <c r="J172" s="897"/>
      <c r="K172" s="903"/>
      <c r="L172" s="899">
        <f t="shared" si="9"/>
        <v>1820</v>
      </c>
      <c r="M172" s="899"/>
      <c r="N172" s="904"/>
      <c r="O172" s="905"/>
      <c r="P172" s="899"/>
      <c r="Q172" s="899"/>
      <c r="R172" s="898"/>
      <c r="S172" s="899"/>
      <c r="T172" s="899"/>
      <c r="U172" s="904"/>
      <c r="V172" s="905"/>
      <c r="W172" s="902"/>
      <c r="X172" s="897"/>
      <c r="Y172" s="898"/>
      <c r="Z172" s="902"/>
      <c r="AA172" s="902"/>
      <c r="AB172" s="902"/>
      <c r="AC172" s="902"/>
    </row>
    <row r="173" spans="1:29" hidden="1" outlineLevel="1">
      <c r="A173" s="897" t="s">
        <v>1717</v>
      </c>
      <c r="B173" s="898" t="s">
        <v>506</v>
      </c>
      <c r="C173" s="898">
        <v>1610</v>
      </c>
      <c r="D173" s="899">
        <v>2900</v>
      </c>
      <c r="E173" s="1335">
        <v>2900</v>
      </c>
      <c r="F173" s="899">
        <f t="shared" si="7"/>
        <v>2093</v>
      </c>
      <c r="G173" s="900">
        <v>1</v>
      </c>
      <c r="H173" s="901"/>
      <c r="I173" s="912"/>
      <c r="J173" s="921"/>
      <c r="K173" s="903"/>
      <c r="L173" s="899">
        <f t="shared" si="9"/>
        <v>1290</v>
      </c>
      <c r="M173" s="899"/>
      <c r="N173" s="904"/>
      <c r="O173" s="905"/>
      <c r="P173" s="899"/>
      <c r="Q173" s="899"/>
      <c r="R173" s="898"/>
      <c r="S173" s="899"/>
      <c r="T173" s="899"/>
      <c r="U173" s="904"/>
      <c r="V173" s="905"/>
      <c r="W173" s="902"/>
      <c r="X173" s="897"/>
      <c r="Y173" s="898"/>
      <c r="Z173" s="902"/>
      <c r="AA173" s="902"/>
      <c r="AB173" s="902"/>
      <c r="AC173" s="902"/>
    </row>
    <row r="174" spans="1:29" hidden="1" outlineLevel="1">
      <c r="A174" s="897" t="s">
        <v>1481</v>
      </c>
      <c r="B174" s="898" t="s">
        <v>65</v>
      </c>
      <c r="C174" s="898">
        <v>1610</v>
      </c>
      <c r="D174" s="899">
        <v>3100</v>
      </c>
      <c r="E174" s="1335">
        <v>3100</v>
      </c>
      <c r="F174" s="899">
        <f t="shared" si="7"/>
        <v>2093</v>
      </c>
      <c r="G174" s="900">
        <v>1</v>
      </c>
      <c r="H174" s="901"/>
      <c r="I174" s="912"/>
      <c r="J174" s="921"/>
      <c r="K174" s="903"/>
      <c r="L174" s="899">
        <f t="shared" si="9"/>
        <v>1490</v>
      </c>
      <c r="M174" s="899"/>
      <c r="N174" s="904"/>
      <c r="O174" s="905"/>
      <c r="P174" s="899"/>
      <c r="Q174" s="899"/>
      <c r="R174" s="898"/>
      <c r="S174" s="899"/>
      <c r="T174" s="899"/>
      <c r="U174" s="904"/>
      <c r="V174" s="905"/>
      <c r="W174" s="902"/>
      <c r="X174" s="897"/>
      <c r="Y174" s="898"/>
      <c r="Z174" s="902"/>
      <c r="AA174" s="902"/>
      <c r="AB174" s="902"/>
      <c r="AC174" s="902"/>
    </row>
    <row r="175" spans="1:29" hidden="1" outlineLevel="1">
      <c r="A175" s="897" t="s">
        <v>1782</v>
      </c>
      <c r="B175" s="898" t="s">
        <v>2355</v>
      </c>
      <c r="C175" s="898">
        <v>600</v>
      </c>
      <c r="D175" s="899">
        <v>1300</v>
      </c>
      <c r="E175" s="1335">
        <v>1300</v>
      </c>
      <c r="F175" s="899">
        <f t="shared" si="7"/>
        <v>780</v>
      </c>
      <c r="G175" s="900">
        <v>1</v>
      </c>
      <c r="H175" s="901"/>
      <c r="I175" s="902"/>
      <c r="J175" s="897"/>
      <c r="K175" s="903"/>
      <c r="L175" s="899">
        <f t="shared" si="9"/>
        <v>700</v>
      </c>
      <c r="M175" s="899"/>
      <c r="N175" s="904"/>
      <c r="O175" s="905"/>
      <c r="P175" s="899"/>
      <c r="Q175" s="899"/>
      <c r="R175" s="898"/>
      <c r="S175" s="899"/>
      <c r="T175" s="899"/>
      <c r="U175" s="904"/>
      <c r="V175" s="905"/>
      <c r="W175" s="902"/>
      <c r="X175" s="897"/>
      <c r="Y175" s="898"/>
      <c r="Z175" s="902"/>
      <c r="AA175" s="902"/>
      <c r="AB175" s="902"/>
      <c r="AC175" s="902"/>
    </row>
    <row r="176" spans="1:29" hidden="1" outlineLevel="1">
      <c r="A176" s="897" t="s">
        <v>1397</v>
      </c>
      <c r="B176" s="898" t="s">
        <v>38</v>
      </c>
      <c r="C176" s="898">
        <v>345</v>
      </c>
      <c r="D176" s="899">
        <v>500</v>
      </c>
      <c r="E176" s="1335">
        <v>500</v>
      </c>
      <c r="F176" s="899">
        <f t="shared" si="7"/>
        <v>448.5</v>
      </c>
      <c r="G176" s="900">
        <v>1</v>
      </c>
      <c r="H176" s="901"/>
      <c r="I176" s="902"/>
      <c r="J176" s="897"/>
      <c r="K176" s="903"/>
      <c r="L176" s="899">
        <f t="shared" si="9"/>
        <v>155</v>
      </c>
      <c r="M176" s="899"/>
      <c r="N176" s="904"/>
      <c r="O176" s="905"/>
      <c r="P176" s="899"/>
      <c r="Q176" s="899"/>
      <c r="R176" s="898"/>
      <c r="S176" s="899"/>
      <c r="T176" s="899"/>
      <c r="U176" s="904"/>
      <c r="V176" s="905"/>
      <c r="W176" s="902"/>
      <c r="X176" s="897"/>
      <c r="Y176" s="898"/>
      <c r="Z176" s="902"/>
      <c r="AA176" s="902"/>
      <c r="AB176" s="902"/>
      <c r="AC176" s="902"/>
    </row>
    <row r="177" spans="1:29" hidden="1" outlineLevel="1">
      <c r="A177" s="897" t="s">
        <v>1783</v>
      </c>
      <c r="B177" s="898" t="s">
        <v>1784</v>
      </c>
      <c r="C177" s="898">
        <v>1725</v>
      </c>
      <c r="D177" s="899">
        <v>2300</v>
      </c>
      <c r="E177" s="1335">
        <v>2300</v>
      </c>
      <c r="F177" s="899">
        <f t="shared" si="7"/>
        <v>2242.5</v>
      </c>
      <c r="G177" s="900">
        <v>1</v>
      </c>
      <c r="H177" s="901"/>
      <c r="I177" s="912"/>
      <c r="J177" s="921"/>
      <c r="K177" s="903"/>
      <c r="L177" s="899">
        <f t="shared" si="9"/>
        <v>575</v>
      </c>
      <c r="M177" s="899"/>
      <c r="N177" s="904"/>
      <c r="O177" s="905"/>
      <c r="P177" s="899"/>
      <c r="Q177" s="899"/>
      <c r="R177" s="898"/>
      <c r="S177" s="899"/>
      <c r="T177" s="899"/>
      <c r="U177" s="904"/>
      <c r="V177" s="905"/>
      <c r="W177" s="902"/>
      <c r="X177" s="897"/>
      <c r="Y177" s="898"/>
      <c r="Z177" s="902"/>
      <c r="AA177" s="902"/>
      <c r="AB177" s="902"/>
      <c r="AC177" s="902"/>
    </row>
    <row r="178" spans="1:29" hidden="1" outlineLevel="1">
      <c r="A178" s="897" t="s">
        <v>1606</v>
      </c>
      <c r="B178" s="898" t="s">
        <v>1332</v>
      </c>
      <c r="C178" s="898">
        <v>69</v>
      </c>
      <c r="D178" s="899">
        <v>300</v>
      </c>
      <c r="E178" s="1335">
        <v>300</v>
      </c>
      <c r="F178" s="899">
        <f t="shared" si="7"/>
        <v>89.7</v>
      </c>
      <c r="G178" s="900">
        <v>1</v>
      </c>
      <c r="H178" s="901"/>
      <c r="I178" s="902"/>
      <c r="J178" s="897"/>
      <c r="K178" s="903"/>
      <c r="L178" s="899">
        <f t="shared" si="9"/>
        <v>231</v>
      </c>
      <c r="M178" s="899"/>
      <c r="N178" s="904"/>
      <c r="O178" s="905"/>
      <c r="P178" s="899"/>
      <c r="Q178" s="899"/>
      <c r="R178" s="898"/>
      <c r="S178" s="899"/>
      <c r="T178" s="899"/>
      <c r="U178" s="904"/>
      <c r="V178" s="905"/>
      <c r="W178" s="902"/>
      <c r="X178" s="897"/>
      <c r="Y178" s="898"/>
      <c r="Z178" s="902"/>
      <c r="AA178" s="902"/>
      <c r="AB178" s="902"/>
      <c r="AC178" s="902"/>
    </row>
    <row r="179" spans="1:29" hidden="1" outlineLevel="1">
      <c r="A179" s="897" t="s">
        <v>1493</v>
      </c>
      <c r="B179" s="898" t="s">
        <v>509</v>
      </c>
      <c r="C179" s="898">
        <v>3600</v>
      </c>
      <c r="D179" s="899">
        <v>4500</v>
      </c>
      <c r="E179" s="1335">
        <v>4500</v>
      </c>
      <c r="F179" s="899">
        <f t="shared" si="7"/>
        <v>4680</v>
      </c>
      <c r="G179" s="900">
        <v>1</v>
      </c>
      <c r="H179" s="901"/>
      <c r="I179" s="902"/>
      <c r="J179" s="897"/>
      <c r="K179" s="903"/>
      <c r="L179" s="899">
        <f t="shared" si="9"/>
        <v>900</v>
      </c>
      <c r="M179" s="899"/>
      <c r="N179" s="904"/>
      <c r="O179" s="905"/>
      <c r="P179" s="899"/>
      <c r="Q179" s="899"/>
      <c r="R179" s="898"/>
      <c r="S179" s="899"/>
      <c r="T179" s="899"/>
      <c r="U179" s="904"/>
      <c r="V179" s="905"/>
      <c r="W179" s="902"/>
      <c r="X179" s="897"/>
      <c r="Y179" s="898"/>
      <c r="Z179" s="902"/>
      <c r="AA179" s="902"/>
      <c r="AB179" s="902"/>
      <c r="AC179" s="902"/>
    </row>
    <row r="180" spans="1:29" hidden="1" outlineLevel="1">
      <c r="A180" s="897" t="s">
        <v>1503</v>
      </c>
      <c r="B180" s="898" t="s">
        <v>1504</v>
      </c>
      <c r="C180" s="898">
        <v>4485</v>
      </c>
      <c r="D180" s="899">
        <v>6500</v>
      </c>
      <c r="E180" s="1335">
        <v>6500</v>
      </c>
      <c r="F180" s="899">
        <f t="shared" si="7"/>
        <v>5830.5</v>
      </c>
      <c r="G180" s="900">
        <v>1</v>
      </c>
      <c r="H180" s="901"/>
      <c r="I180" s="912"/>
      <c r="J180" s="921"/>
      <c r="K180" s="903"/>
      <c r="L180" s="899">
        <f t="shared" si="9"/>
        <v>2015</v>
      </c>
      <c r="M180" s="899"/>
      <c r="N180" s="904"/>
      <c r="O180" s="905"/>
      <c r="P180" s="899"/>
      <c r="Q180" s="899"/>
      <c r="R180" s="898"/>
      <c r="S180" s="899"/>
      <c r="T180" s="899"/>
      <c r="U180" s="904"/>
      <c r="V180" s="905"/>
      <c r="W180" s="902"/>
      <c r="X180" s="897"/>
      <c r="Y180" s="898"/>
      <c r="Z180" s="902"/>
      <c r="AA180" s="902"/>
      <c r="AB180" s="902"/>
      <c r="AC180" s="902"/>
    </row>
    <row r="181" spans="1:29" hidden="1" outlineLevel="1">
      <c r="A181" s="897" t="s">
        <v>1527</v>
      </c>
      <c r="B181" s="898" t="s">
        <v>2752</v>
      </c>
      <c r="C181" s="898">
        <v>130</v>
      </c>
      <c r="D181" s="899">
        <v>600</v>
      </c>
      <c r="E181" s="1335">
        <v>600</v>
      </c>
      <c r="F181" s="899">
        <f t="shared" si="7"/>
        <v>169</v>
      </c>
      <c r="G181" s="900">
        <v>1</v>
      </c>
      <c r="H181" s="901"/>
      <c r="I181" s="902"/>
      <c r="J181" s="897"/>
      <c r="K181" s="903"/>
      <c r="L181" s="899">
        <f t="shared" si="9"/>
        <v>470</v>
      </c>
      <c r="M181" s="899"/>
      <c r="N181" s="904"/>
      <c r="O181" s="905"/>
      <c r="P181" s="899"/>
      <c r="Q181" s="899"/>
      <c r="R181" s="898"/>
      <c r="S181" s="899"/>
      <c r="T181" s="899"/>
      <c r="U181" s="904"/>
      <c r="V181" s="905"/>
      <c r="W181" s="902"/>
      <c r="X181" s="897"/>
      <c r="Y181" s="898"/>
      <c r="Z181" s="902"/>
      <c r="AA181" s="902"/>
      <c r="AB181" s="902"/>
      <c r="AC181" s="902"/>
    </row>
    <row r="182" spans="1:29" hidden="1" outlineLevel="1">
      <c r="A182" s="897" t="s">
        <v>945</v>
      </c>
      <c r="B182" s="898" t="s">
        <v>2748</v>
      </c>
      <c r="C182" s="898">
        <v>230</v>
      </c>
      <c r="D182" s="899">
        <v>600</v>
      </c>
      <c r="E182" s="1335">
        <v>600</v>
      </c>
      <c r="F182" s="899">
        <f t="shared" si="7"/>
        <v>299</v>
      </c>
      <c r="G182" s="900">
        <v>1</v>
      </c>
      <c r="H182" s="901"/>
      <c r="I182" s="902"/>
      <c r="J182" s="897"/>
      <c r="K182" s="903"/>
      <c r="L182" s="899">
        <f t="shared" si="9"/>
        <v>370</v>
      </c>
      <c r="M182" s="899"/>
      <c r="N182" s="904"/>
      <c r="O182" s="905"/>
      <c r="P182" s="899"/>
      <c r="Q182" s="899"/>
      <c r="R182" s="898"/>
      <c r="S182" s="899"/>
      <c r="T182" s="899"/>
      <c r="U182" s="904"/>
      <c r="V182" s="905"/>
      <c r="W182" s="902"/>
      <c r="X182" s="897"/>
      <c r="Y182" s="898"/>
      <c r="Z182" s="902"/>
      <c r="AA182" s="902"/>
      <c r="AB182" s="902"/>
      <c r="AC182" s="902"/>
    </row>
    <row r="183" spans="1:29" hidden="1" outlineLevel="1">
      <c r="A183" s="897" t="s">
        <v>1545</v>
      </c>
      <c r="B183" s="898" t="s">
        <v>1546</v>
      </c>
      <c r="C183" s="898">
        <v>1380</v>
      </c>
      <c r="D183" s="899">
        <v>4200</v>
      </c>
      <c r="E183" s="1335">
        <v>4200</v>
      </c>
      <c r="F183" s="899">
        <f t="shared" si="7"/>
        <v>1794</v>
      </c>
      <c r="G183" s="900">
        <v>1</v>
      </c>
      <c r="H183" s="901"/>
      <c r="I183" s="912"/>
      <c r="J183" s="921"/>
      <c r="K183" s="903"/>
      <c r="L183" s="899">
        <f t="shared" si="9"/>
        <v>2820</v>
      </c>
      <c r="M183" s="899"/>
      <c r="N183" s="904"/>
      <c r="O183" s="905"/>
      <c r="P183" s="899"/>
      <c r="Q183" s="899"/>
      <c r="R183" s="898"/>
      <c r="S183" s="899"/>
      <c r="T183" s="899"/>
      <c r="U183" s="904"/>
      <c r="V183" s="905"/>
      <c r="W183" s="902"/>
      <c r="X183" s="897"/>
      <c r="Y183" s="898"/>
      <c r="Z183" s="902"/>
      <c r="AA183" s="902"/>
      <c r="AB183" s="902"/>
      <c r="AC183" s="902"/>
    </row>
    <row r="184" spans="1:29" hidden="1" outlineLevel="1">
      <c r="A184" s="897" t="s">
        <v>1569</v>
      </c>
      <c r="B184" s="898" t="s">
        <v>27</v>
      </c>
      <c r="C184" s="898">
        <v>69</v>
      </c>
      <c r="D184" s="899">
        <v>600</v>
      </c>
      <c r="E184" s="1335">
        <v>600</v>
      </c>
      <c r="F184" s="899">
        <f t="shared" si="7"/>
        <v>89.7</v>
      </c>
      <c r="G184" s="900">
        <v>1</v>
      </c>
      <c r="H184" s="901"/>
      <c r="I184" s="902"/>
      <c r="J184" s="897"/>
      <c r="K184" s="903"/>
      <c r="L184" s="899">
        <f t="shared" si="9"/>
        <v>531</v>
      </c>
      <c r="M184" s="899"/>
      <c r="N184" s="904"/>
      <c r="O184" s="905"/>
      <c r="P184" s="899"/>
      <c r="Q184" s="899"/>
      <c r="R184" s="898"/>
      <c r="S184" s="899"/>
      <c r="T184" s="899"/>
      <c r="U184" s="904"/>
      <c r="V184" s="905"/>
      <c r="W184" s="902"/>
      <c r="X184" s="897"/>
      <c r="Y184" s="898"/>
      <c r="Z184" s="902"/>
      <c r="AA184" s="902"/>
      <c r="AB184" s="902"/>
      <c r="AC184" s="902"/>
    </row>
    <row r="185" spans="1:29" hidden="1" outlineLevel="1">
      <c r="A185" s="897" t="s">
        <v>946</v>
      </c>
      <c r="B185" s="898" t="s">
        <v>2349</v>
      </c>
      <c r="C185" s="898">
        <v>700</v>
      </c>
      <c r="D185" s="899">
        <v>1000</v>
      </c>
      <c r="E185" s="1335">
        <v>1000</v>
      </c>
      <c r="F185" s="899">
        <f t="shared" si="7"/>
        <v>910</v>
      </c>
      <c r="G185" s="900">
        <v>1</v>
      </c>
      <c r="H185" s="901"/>
      <c r="I185" s="902"/>
      <c r="J185" s="897"/>
      <c r="K185" s="903"/>
      <c r="L185" s="899">
        <f t="shared" si="9"/>
        <v>300</v>
      </c>
      <c r="M185" s="899"/>
      <c r="N185" s="904"/>
      <c r="O185" s="905"/>
      <c r="P185" s="899"/>
      <c r="Q185" s="899"/>
      <c r="R185" s="898"/>
      <c r="S185" s="899"/>
      <c r="T185" s="899"/>
      <c r="U185" s="904"/>
      <c r="V185" s="905"/>
      <c r="W185" s="902"/>
      <c r="X185" s="897"/>
      <c r="Y185" s="898"/>
      <c r="Z185" s="902"/>
      <c r="AA185" s="902"/>
      <c r="AB185" s="902"/>
      <c r="AC185" s="902"/>
    </row>
    <row r="186" spans="1:29" hidden="1" outlineLevel="1">
      <c r="A186" s="897" t="s">
        <v>1613</v>
      </c>
      <c r="B186" s="898" t="s">
        <v>32</v>
      </c>
      <c r="C186" s="898">
        <v>69</v>
      </c>
      <c r="D186" s="899">
        <v>200</v>
      </c>
      <c r="E186" s="1335">
        <v>200</v>
      </c>
      <c r="F186" s="899">
        <f t="shared" si="7"/>
        <v>89.7</v>
      </c>
      <c r="G186" s="900">
        <v>1</v>
      </c>
      <c r="H186" s="901"/>
      <c r="I186" s="912"/>
      <c r="J186" s="921"/>
      <c r="K186" s="899"/>
      <c r="L186" s="899">
        <f t="shared" si="9"/>
        <v>131</v>
      </c>
      <c r="M186" s="899"/>
      <c r="N186" s="904"/>
      <c r="O186" s="905"/>
      <c r="P186" s="899"/>
      <c r="Q186" s="899"/>
      <c r="R186" s="898"/>
      <c r="S186" s="899"/>
      <c r="T186" s="899"/>
      <c r="U186" s="904"/>
      <c r="V186" s="905"/>
      <c r="W186" s="902"/>
      <c r="X186" s="897"/>
      <c r="Y186" s="898"/>
      <c r="Z186" s="902"/>
      <c r="AA186" s="902"/>
      <c r="AB186" s="902"/>
      <c r="AC186" s="902"/>
    </row>
    <row r="187" spans="1:29" hidden="1" outlineLevel="1">
      <c r="A187" s="897" t="s">
        <v>1498</v>
      </c>
      <c r="B187" s="898" t="s">
        <v>734</v>
      </c>
      <c r="C187" s="898">
        <v>1725</v>
      </c>
      <c r="D187" s="899">
        <v>3500</v>
      </c>
      <c r="E187" s="1335">
        <v>3500</v>
      </c>
      <c r="F187" s="899">
        <f t="shared" si="7"/>
        <v>2242.5</v>
      </c>
      <c r="G187" s="1025">
        <v>2</v>
      </c>
      <c r="H187" s="901"/>
      <c r="I187" s="902"/>
      <c r="J187" s="897"/>
      <c r="K187" s="899"/>
      <c r="L187" s="899">
        <f t="shared" si="9"/>
        <v>1775</v>
      </c>
      <c r="M187" s="899"/>
      <c r="N187" s="904"/>
      <c r="O187" s="905"/>
      <c r="P187" s="899"/>
      <c r="Q187" s="899"/>
      <c r="R187" s="898"/>
      <c r="S187" s="899"/>
      <c r="T187" s="899"/>
      <c r="U187" s="904"/>
      <c r="V187" s="905"/>
      <c r="W187" s="902"/>
      <c r="X187" s="897"/>
      <c r="Y187" s="898"/>
      <c r="Z187" s="902"/>
      <c r="AA187" s="902"/>
      <c r="AB187" s="902"/>
      <c r="AC187" s="902"/>
    </row>
    <row r="188" spans="1:29" hidden="1" outlineLevel="1">
      <c r="A188" s="897" t="s">
        <v>1492</v>
      </c>
      <c r="B188" s="898" t="s">
        <v>37</v>
      </c>
      <c r="C188" s="898">
        <v>253</v>
      </c>
      <c r="D188" s="899">
        <v>500</v>
      </c>
      <c r="E188" s="1335">
        <v>500</v>
      </c>
      <c r="F188" s="899">
        <f t="shared" si="7"/>
        <v>328.90000000000003</v>
      </c>
      <c r="G188" s="900">
        <v>1</v>
      </c>
      <c r="H188" s="901"/>
      <c r="I188" s="902"/>
      <c r="J188" s="897"/>
      <c r="K188" s="903"/>
      <c r="L188" s="899">
        <f t="shared" si="9"/>
        <v>247</v>
      </c>
      <c r="M188" s="899"/>
      <c r="N188" s="904"/>
      <c r="O188" s="905"/>
      <c r="P188" s="899"/>
      <c r="Q188" s="899"/>
      <c r="R188" s="898"/>
      <c r="S188" s="899"/>
      <c r="T188" s="899"/>
      <c r="U188" s="904"/>
      <c r="V188" s="905"/>
      <c r="W188" s="902"/>
      <c r="X188" s="897"/>
      <c r="Y188" s="898"/>
      <c r="Z188" s="902"/>
      <c r="AA188" s="902"/>
      <c r="AB188" s="902"/>
      <c r="AC188" s="902"/>
    </row>
    <row r="189" spans="1:29" hidden="1" outlineLevel="1">
      <c r="A189" s="897" t="s">
        <v>1650</v>
      </c>
      <c r="B189" s="898" t="s">
        <v>24</v>
      </c>
      <c r="C189" s="898">
        <v>125</v>
      </c>
      <c r="D189" s="899">
        <v>200</v>
      </c>
      <c r="E189" s="1335">
        <v>200</v>
      </c>
      <c r="F189" s="899">
        <f t="shared" si="7"/>
        <v>162.5</v>
      </c>
      <c r="G189" s="900">
        <v>1</v>
      </c>
      <c r="H189" s="901"/>
      <c r="I189" s="912"/>
      <c r="J189" s="921"/>
      <c r="K189" s="903"/>
      <c r="L189" s="899">
        <f t="shared" si="9"/>
        <v>75</v>
      </c>
      <c r="M189" s="899"/>
      <c r="N189" s="904"/>
      <c r="O189" s="905"/>
      <c r="P189" s="899"/>
      <c r="Q189" s="899"/>
      <c r="R189" s="898"/>
      <c r="S189" s="899"/>
      <c r="T189" s="899"/>
      <c r="U189" s="904"/>
      <c r="V189" s="905"/>
      <c r="W189" s="902"/>
      <c r="X189" s="897"/>
      <c r="Y189" s="898"/>
      <c r="Z189" s="902"/>
      <c r="AA189" s="902"/>
      <c r="AB189" s="902"/>
      <c r="AC189" s="902"/>
    </row>
    <row r="190" spans="1:29" hidden="1" outlineLevel="1">
      <c r="A190" s="897" t="s">
        <v>2351</v>
      </c>
      <c r="B190" s="898" t="s">
        <v>2352</v>
      </c>
      <c r="C190" s="898">
        <v>1150</v>
      </c>
      <c r="D190" s="899">
        <v>2000</v>
      </c>
      <c r="E190" s="1335">
        <v>2000</v>
      </c>
      <c r="F190" s="899">
        <f t="shared" si="7"/>
        <v>1495</v>
      </c>
      <c r="G190" s="900">
        <v>1</v>
      </c>
      <c r="H190" s="901"/>
      <c r="I190" s="902"/>
      <c r="J190" s="897"/>
      <c r="K190" s="903"/>
      <c r="L190" s="899">
        <f t="shared" si="9"/>
        <v>850</v>
      </c>
      <c r="M190" s="899"/>
      <c r="N190" s="904"/>
      <c r="O190" s="905"/>
      <c r="P190" s="899"/>
      <c r="Q190" s="899"/>
      <c r="R190" s="898"/>
      <c r="S190" s="899"/>
      <c r="T190" s="899"/>
      <c r="U190" s="904"/>
      <c r="V190" s="905"/>
      <c r="W190" s="902"/>
      <c r="X190" s="897"/>
      <c r="Y190" s="898"/>
      <c r="Z190" s="902"/>
      <c r="AA190" s="902"/>
      <c r="AB190" s="902"/>
      <c r="AC190" s="902"/>
    </row>
    <row r="191" spans="1:29" hidden="1" outlineLevel="1">
      <c r="A191" s="897" t="s">
        <v>1440</v>
      </c>
      <c r="B191" s="898" t="s">
        <v>1441</v>
      </c>
      <c r="C191" s="898">
        <v>69</v>
      </c>
      <c r="D191" s="899">
        <v>500</v>
      </c>
      <c r="E191" s="1335">
        <v>500</v>
      </c>
      <c r="F191" s="899">
        <f t="shared" si="7"/>
        <v>89.7</v>
      </c>
      <c r="G191" s="900">
        <v>1</v>
      </c>
      <c r="H191" s="901"/>
      <c r="I191" s="902"/>
      <c r="J191" s="897"/>
      <c r="K191" s="903"/>
      <c r="L191" s="899">
        <f t="shared" si="9"/>
        <v>431</v>
      </c>
      <c r="M191" s="899"/>
      <c r="N191" s="904"/>
      <c r="O191" s="905"/>
      <c r="P191" s="899"/>
      <c r="Q191" s="899"/>
      <c r="R191" s="898"/>
      <c r="S191" s="899"/>
      <c r="T191" s="899"/>
      <c r="U191" s="904"/>
      <c r="V191" s="905"/>
      <c r="W191" s="902"/>
      <c r="X191" s="897"/>
      <c r="Y191" s="898"/>
      <c r="Z191" s="902"/>
      <c r="AA191" s="902"/>
      <c r="AB191" s="902"/>
      <c r="AC191" s="902"/>
    </row>
    <row r="192" spans="1:29" ht="31.25" hidden="1" outlineLevel="1">
      <c r="A192" s="937" t="s">
        <v>1792</v>
      </c>
      <c r="B192" s="1046" t="s">
        <v>2356</v>
      </c>
      <c r="C192" s="939">
        <v>2530</v>
      </c>
      <c r="D192" s="940">
        <v>3200</v>
      </c>
      <c r="E192" s="1341">
        <v>3200</v>
      </c>
      <c r="F192" s="940">
        <f t="shared" si="7"/>
        <v>3289</v>
      </c>
      <c r="G192" s="1028">
        <v>1</v>
      </c>
      <c r="H192" s="901"/>
      <c r="I192" s="912"/>
      <c r="J192" s="921"/>
      <c r="K192" s="903"/>
      <c r="L192" s="899">
        <f t="shared" si="9"/>
        <v>670</v>
      </c>
      <c r="M192" s="899"/>
      <c r="N192" s="904"/>
      <c r="O192" s="905"/>
      <c r="P192" s="899"/>
      <c r="Q192" s="899"/>
      <c r="R192" s="898"/>
      <c r="S192" s="899"/>
      <c r="T192" s="899"/>
      <c r="U192" s="904"/>
      <c r="V192" s="905"/>
      <c r="W192" s="902"/>
      <c r="X192" s="897"/>
      <c r="Y192" s="898"/>
      <c r="Z192" s="902"/>
      <c r="AA192" s="902"/>
      <c r="AB192" s="902"/>
      <c r="AC192" s="902"/>
    </row>
    <row r="193" spans="1:29" hidden="1" outlineLevel="1">
      <c r="A193" s="897" t="s">
        <v>947</v>
      </c>
      <c r="B193" s="898"/>
      <c r="C193" s="898"/>
      <c r="D193" s="899"/>
      <c r="E193" s="1335"/>
      <c r="F193" s="899">
        <f t="shared" si="7"/>
        <v>0</v>
      </c>
      <c r="G193" s="900">
        <v>1</v>
      </c>
      <c r="H193" s="901"/>
      <c r="I193" s="902"/>
      <c r="J193" s="897"/>
      <c r="K193" s="903"/>
      <c r="L193" s="899">
        <f t="shared" si="9"/>
        <v>0</v>
      </c>
      <c r="M193" s="899"/>
      <c r="N193" s="904"/>
      <c r="O193" s="905"/>
      <c r="P193" s="899"/>
      <c r="Q193" s="899"/>
      <c r="R193" s="898"/>
      <c r="S193" s="899"/>
      <c r="T193" s="899"/>
      <c r="U193" s="904"/>
      <c r="V193" s="905"/>
      <c r="W193" s="902"/>
      <c r="X193" s="897"/>
      <c r="Y193" s="898"/>
      <c r="Z193" s="902"/>
      <c r="AA193" s="902"/>
      <c r="AB193" s="902"/>
      <c r="AC193" s="902"/>
    </row>
    <row r="194" spans="1:29" ht="16.3" hidden="1" outlineLevel="1" thickBot="1">
      <c r="A194" s="897"/>
      <c r="B194" s="898"/>
      <c r="C194" s="898"/>
      <c r="D194" s="899"/>
      <c r="E194" s="1335"/>
      <c r="F194" s="899"/>
      <c r="G194" s="900"/>
      <c r="H194" s="901"/>
      <c r="I194" s="902"/>
      <c r="J194" s="897"/>
      <c r="K194" s="903"/>
      <c r="L194" s="899">
        <f t="shared" si="9"/>
        <v>0</v>
      </c>
      <c r="M194" s="899"/>
      <c r="N194" s="904"/>
      <c r="O194" s="905"/>
      <c r="P194" s="899"/>
      <c r="Q194" s="899"/>
      <c r="R194" s="898"/>
      <c r="S194" s="899"/>
      <c r="T194" s="899"/>
      <c r="U194" s="904"/>
      <c r="V194" s="905"/>
      <c r="W194" s="902"/>
      <c r="X194" s="897"/>
      <c r="Y194" s="898"/>
      <c r="Z194" s="902"/>
      <c r="AA194" s="902"/>
      <c r="AB194" s="902"/>
      <c r="AC194" s="902"/>
    </row>
    <row r="195" spans="1:29" ht="29.25" collapsed="1" thickBot="1">
      <c r="A195" s="923" t="s">
        <v>1126</v>
      </c>
      <c r="B195" s="1049" t="s">
        <v>5879</v>
      </c>
      <c r="C195" s="1049">
        <f>SUM(C196:C205)</f>
        <v>26969</v>
      </c>
      <c r="D195" s="1050">
        <f>SUM(D196:D205)</f>
        <v>43100</v>
      </c>
      <c r="E195" s="1342">
        <v>31500</v>
      </c>
      <c r="F195" s="1050">
        <f>SUM(F196:F205)</f>
        <v>35059.699999999997</v>
      </c>
      <c r="G195" s="1051">
        <v>5</v>
      </c>
      <c r="H195" s="901"/>
      <c r="I195" s="902" t="str">
        <f>IF(H195="x",CONCATENATE(A195,"; "),"")</f>
        <v/>
      </c>
      <c r="J195" s="897"/>
      <c r="K195" s="903"/>
      <c r="L195" s="899">
        <f t="shared" si="9"/>
        <v>4531</v>
      </c>
      <c r="M195" s="899"/>
      <c r="N195" s="904"/>
      <c r="O195" s="905"/>
      <c r="P195" s="899"/>
      <c r="Q195" s="899"/>
      <c r="R195" s="898"/>
      <c r="S195" s="899"/>
      <c r="T195" s="899"/>
      <c r="U195" s="904"/>
      <c r="V195" s="905"/>
      <c r="W195" s="902"/>
      <c r="X195" s="897"/>
      <c r="Y195" s="898"/>
      <c r="Z195" s="902"/>
      <c r="AA195" s="902"/>
      <c r="AB195" s="902"/>
      <c r="AC195" s="902"/>
    </row>
    <row r="196" spans="1:29" hidden="1" outlineLevel="1">
      <c r="A196" s="897" t="s">
        <v>71</v>
      </c>
      <c r="B196" s="898" t="s">
        <v>71</v>
      </c>
      <c r="C196" s="898">
        <v>2185</v>
      </c>
      <c r="D196" s="899">
        <v>4900</v>
      </c>
      <c r="E196" s="1335">
        <v>2800</v>
      </c>
      <c r="F196" s="899">
        <f t="shared" ref="F196:F210" si="10">C196*1.3</f>
        <v>2840.5</v>
      </c>
      <c r="G196" s="897">
        <v>1</v>
      </c>
      <c r="H196" s="901"/>
      <c r="I196" s="912"/>
      <c r="J196" s="921"/>
      <c r="K196" s="903"/>
      <c r="L196" s="899">
        <f t="shared" si="9"/>
        <v>615</v>
      </c>
      <c r="M196" s="903"/>
      <c r="N196" s="903"/>
      <c r="O196" s="903"/>
      <c r="P196" s="903"/>
      <c r="Q196" s="902"/>
      <c r="R196" s="902"/>
      <c r="S196" s="903"/>
      <c r="T196" s="902"/>
      <c r="U196" s="902"/>
      <c r="V196" s="902"/>
      <c r="W196" s="902"/>
      <c r="X196" s="902"/>
      <c r="Y196" s="902"/>
      <c r="Z196" s="902"/>
      <c r="AA196" s="902"/>
      <c r="AB196" s="902"/>
      <c r="AC196" s="902"/>
    </row>
    <row r="197" spans="1:29" hidden="1" outlineLevel="1">
      <c r="A197" s="897" t="s">
        <v>1800</v>
      </c>
      <c r="B197" s="898" t="s">
        <v>1801</v>
      </c>
      <c r="C197" s="898">
        <v>6324.9999999999991</v>
      </c>
      <c r="D197" s="899">
        <v>7700</v>
      </c>
      <c r="E197" s="1335">
        <v>7700</v>
      </c>
      <c r="F197" s="899">
        <f t="shared" si="10"/>
        <v>8222.5</v>
      </c>
      <c r="G197" s="897">
        <v>1</v>
      </c>
      <c r="H197" s="901"/>
      <c r="I197" s="912"/>
      <c r="J197" s="913"/>
      <c r="K197" s="903"/>
      <c r="L197" s="899">
        <f t="shared" si="9"/>
        <v>1375.0000000000009</v>
      </c>
      <c r="M197" s="899"/>
      <c r="N197" s="904"/>
      <c r="O197" s="905"/>
      <c r="P197" s="899"/>
      <c r="Q197" s="899"/>
      <c r="R197" s="898"/>
      <c r="S197" s="899"/>
      <c r="T197" s="899"/>
      <c r="U197" s="904"/>
      <c r="V197" s="905"/>
      <c r="W197" s="902"/>
      <c r="X197" s="897"/>
      <c r="Y197" s="898"/>
      <c r="Z197" s="902"/>
      <c r="AA197" s="902"/>
      <c r="AB197" s="902"/>
      <c r="AC197" s="902"/>
    </row>
    <row r="198" spans="1:29" hidden="1" outlineLevel="1">
      <c r="A198" s="897" t="s">
        <v>1391</v>
      </c>
      <c r="B198" s="898" t="s">
        <v>1392</v>
      </c>
      <c r="C198" s="898">
        <v>69</v>
      </c>
      <c r="D198" s="899">
        <v>400</v>
      </c>
      <c r="E198" s="1335">
        <v>100</v>
      </c>
      <c r="F198" s="899">
        <f t="shared" si="10"/>
        <v>89.7</v>
      </c>
      <c r="G198" s="897">
        <v>1</v>
      </c>
      <c r="H198" s="901"/>
      <c r="I198" s="912"/>
      <c r="J198" s="897"/>
      <c r="K198" s="903"/>
      <c r="L198" s="899">
        <f t="shared" si="9"/>
        <v>31</v>
      </c>
      <c r="M198" s="899"/>
      <c r="N198" s="904"/>
      <c r="O198" s="905"/>
      <c r="P198" s="899"/>
      <c r="Q198" s="899"/>
      <c r="R198" s="898"/>
      <c r="S198" s="899"/>
      <c r="T198" s="899"/>
      <c r="U198" s="904"/>
      <c r="V198" s="905"/>
      <c r="W198" s="902"/>
      <c r="X198" s="897"/>
      <c r="Y198" s="898"/>
      <c r="Z198" s="902"/>
      <c r="AA198" s="902"/>
      <c r="AB198" s="902"/>
      <c r="AC198" s="902"/>
    </row>
    <row r="199" spans="1:29" hidden="1" outlineLevel="1">
      <c r="A199" s="897" t="s">
        <v>1783</v>
      </c>
      <c r="B199" s="898" t="s">
        <v>1784</v>
      </c>
      <c r="C199" s="898">
        <v>1725</v>
      </c>
      <c r="D199" s="899">
        <v>2300</v>
      </c>
      <c r="E199" s="1335">
        <v>2200</v>
      </c>
      <c r="F199" s="899">
        <f t="shared" si="10"/>
        <v>2242.5</v>
      </c>
      <c r="G199" s="897">
        <v>1</v>
      </c>
      <c r="H199" s="901"/>
      <c r="I199" s="912"/>
      <c r="J199" s="897"/>
      <c r="K199" s="903"/>
      <c r="L199" s="899">
        <f t="shared" si="9"/>
        <v>475</v>
      </c>
      <c r="M199" s="899"/>
      <c r="N199" s="904"/>
      <c r="O199" s="905"/>
      <c r="P199" s="899"/>
      <c r="Q199" s="899"/>
      <c r="R199" s="898"/>
      <c r="S199" s="899"/>
      <c r="T199" s="899"/>
      <c r="U199" s="904"/>
      <c r="V199" s="905"/>
      <c r="W199" s="902"/>
      <c r="X199" s="897"/>
      <c r="Y199" s="898"/>
      <c r="Z199" s="902"/>
      <c r="AA199" s="902"/>
      <c r="AB199" s="902"/>
      <c r="AC199" s="902"/>
    </row>
    <row r="200" spans="1:29" hidden="1" outlineLevel="1">
      <c r="A200" s="897" t="s">
        <v>1507</v>
      </c>
      <c r="B200" s="898" t="s">
        <v>1508</v>
      </c>
      <c r="C200" s="898">
        <v>1380</v>
      </c>
      <c r="D200" s="899">
        <v>4500</v>
      </c>
      <c r="E200" s="1335">
        <v>1800</v>
      </c>
      <c r="F200" s="899">
        <f t="shared" si="10"/>
        <v>1794</v>
      </c>
      <c r="G200" s="897">
        <v>1</v>
      </c>
      <c r="H200" s="901"/>
      <c r="I200" s="912"/>
      <c r="J200" s="897"/>
      <c r="K200" s="903"/>
      <c r="L200" s="899">
        <f t="shared" si="9"/>
        <v>420</v>
      </c>
      <c r="M200" s="899"/>
      <c r="N200" s="904"/>
      <c r="O200" s="905"/>
      <c r="P200" s="899"/>
      <c r="Q200" s="899"/>
      <c r="R200" s="898"/>
      <c r="S200" s="899"/>
      <c r="T200" s="899"/>
      <c r="U200" s="904"/>
      <c r="V200" s="905"/>
      <c r="W200" s="902"/>
      <c r="X200" s="897"/>
      <c r="Y200" s="898"/>
      <c r="Z200" s="902"/>
      <c r="AA200" s="902"/>
      <c r="AB200" s="902"/>
      <c r="AC200" s="902"/>
    </row>
    <row r="201" spans="1:29" hidden="1" outlineLevel="1">
      <c r="A201" s="897" t="s">
        <v>746</v>
      </c>
      <c r="B201" s="898" t="s">
        <v>746</v>
      </c>
      <c r="C201" s="898">
        <v>1609.9999999999998</v>
      </c>
      <c r="D201" s="899">
        <v>3700</v>
      </c>
      <c r="E201" s="1335">
        <v>2100</v>
      </c>
      <c r="F201" s="899">
        <f t="shared" si="10"/>
        <v>2093</v>
      </c>
      <c r="G201" s="897">
        <v>1</v>
      </c>
      <c r="H201" s="901"/>
      <c r="I201" s="912"/>
      <c r="J201" s="897"/>
      <c r="K201" s="903"/>
      <c r="L201" s="899">
        <f t="shared" si="9"/>
        <v>490.00000000000023</v>
      </c>
      <c r="M201" s="899"/>
      <c r="N201" s="904"/>
      <c r="O201" s="905"/>
      <c r="P201" s="899"/>
      <c r="Q201" s="899"/>
      <c r="R201" s="898"/>
      <c r="S201" s="899"/>
      <c r="T201" s="899"/>
      <c r="U201" s="904"/>
      <c r="V201" s="905"/>
      <c r="W201" s="902"/>
      <c r="X201" s="897"/>
      <c r="Y201" s="898"/>
      <c r="Z201" s="902"/>
      <c r="AA201" s="902"/>
      <c r="AB201" s="902"/>
      <c r="AC201" s="902"/>
    </row>
    <row r="202" spans="1:29" hidden="1" outlineLevel="1">
      <c r="A202" s="897" t="s">
        <v>1717</v>
      </c>
      <c r="B202" s="898" t="s">
        <v>506</v>
      </c>
      <c r="C202" s="898">
        <v>1609.9999999999998</v>
      </c>
      <c r="D202" s="899">
        <v>2900</v>
      </c>
      <c r="E202" s="1335">
        <v>2100</v>
      </c>
      <c r="F202" s="899">
        <f t="shared" si="10"/>
        <v>2093</v>
      </c>
      <c r="G202" s="897">
        <v>1</v>
      </c>
      <c r="H202" s="901"/>
      <c r="I202" s="912"/>
      <c r="J202" s="921"/>
      <c r="K202" s="903"/>
      <c r="L202" s="899">
        <f t="shared" si="9"/>
        <v>490.00000000000023</v>
      </c>
      <c r="M202" s="899"/>
      <c r="N202" s="904"/>
      <c r="O202" s="905"/>
      <c r="P202" s="899"/>
      <c r="Q202" s="899"/>
      <c r="R202" s="898"/>
      <c r="S202" s="899"/>
      <c r="T202" s="899"/>
      <c r="U202" s="904"/>
      <c r="V202" s="905"/>
      <c r="W202" s="902"/>
      <c r="X202" s="897"/>
      <c r="Y202" s="898"/>
      <c r="Z202" s="902"/>
      <c r="AA202" s="902"/>
      <c r="AB202" s="902"/>
      <c r="AC202" s="902"/>
    </row>
    <row r="203" spans="1:29" hidden="1" outlineLevel="1">
      <c r="A203" s="897" t="s">
        <v>1726</v>
      </c>
      <c r="B203" s="898" t="s">
        <v>66</v>
      </c>
      <c r="C203" s="898">
        <v>1609.9999999999998</v>
      </c>
      <c r="D203" s="899">
        <v>2900</v>
      </c>
      <c r="E203" s="1335">
        <v>2100</v>
      </c>
      <c r="F203" s="899">
        <f t="shared" si="10"/>
        <v>2093</v>
      </c>
      <c r="G203" s="897">
        <v>1</v>
      </c>
      <c r="H203" s="901"/>
      <c r="I203" s="912"/>
      <c r="J203" s="921"/>
      <c r="K203" s="903"/>
      <c r="L203" s="899">
        <f t="shared" si="9"/>
        <v>490.00000000000023</v>
      </c>
      <c r="M203" s="899"/>
      <c r="N203" s="904"/>
      <c r="O203" s="905"/>
      <c r="P203" s="899"/>
      <c r="Q203" s="899"/>
      <c r="R203" s="898"/>
      <c r="S203" s="899"/>
      <c r="T203" s="899"/>
      <c r="U203" s="904"/>
      <c r="V203" s="905"/>
      <c r="W203" s="902"/>
      <c r="X203" s="897"/>
      <c r="Y203" s="898"/>
      <c r="Z203" s="902"/>
      <c r="AA203" s="902"/>
      <c r="AB203" s="902"/>
      <c r="AC203" s="902"/>
    </row>
    <row r="204" spans="1:29" hidden="1" outlineLevel="1">
      <c r="A204" s="897" t="s">
        <v>674</v>
      </c>
      <c r="B204" s="898" t="s">
        <v>674</v>
      </c>
      <c r="C204" s="898">
        <v>1954.9999999999998</v>
      </c>
      <c r="D204" s="899">
        <v>3800</v>
      </c>
      <c r="E204" s="1335">
        <v>1900</v>
      </c>
      <c r="F204" s="899">
        <f t="shared" si="10"/>
        <v>2541.5</v>
      </c>
      <c r="G204" s="897">
        <v>1</v>
      </c>
      <c r="H204" s="901"/>
      <c r="I204" s="912"/>
      <c r="J204" s="913"/>
      <c r="K204" s="903"/>
      <c r="L204" s="899">
        <f t="shared" si="9"/>
        <v>-54.999999999999773</v>
      </c>
      <c r="M204" s="899"/>
      <c r="N204" s="904"/>
      <c r="O204" s="905"/>
      <c r="P204" s="899"/>
      <c r="Q204" s="899"/>
      <c r="R204" s="898"/>
      <c r="S204" s="899"/>
      <c r="T204" s="899"/>
      <c r="U204" s="904"/>
      <c r="V204" s="905"/>
      <c r="W204" s="902"/>
      <c r="X204" s="897"/>
      <c r="Y204" s="898"/>
      <c r="Z204" s="902"/>
      <c r="AA204" s="902"/>
      <c r="AB204" s="902"/>
      <c r="AC204" s="902"/>
    </row>
    <row r="205" spans="1:29" ht="16.3" hidden="1" outlineLevel="1" thickBot="1">
      <c r="A205" s="897" t="s">
        <v>1127</v>
      </c>
      <c r="B205" s="898" t="s">
        <v>72</v>
      </c>
      <c r="C205" s="898">
        <v>8500</v>
      </c>
      <c r="D205" s="899">
        <v>10000</v>
      </c>
      <c r="E205" s="1335">
        <v>10000</v>
      </c>
      <c r="F205" s="899">
        <f t="shared" si="10"/>
        <v>11050</v>
      </c>
      <c r="G205" s="897">
        <v>5</v>
      </c>
      <c r="H205" s="901"/>
      <c r="I205" s="912"/>
      <c r="J205" s="913"/>
      <c r="K205" s="912"/>
      <c r="L205" s="899">
        <f t="shared" si="9"/>
        <v>1500</v>
      </c>
      <c r="M205" s="899"/>
      <c r="N205" s="904"/>
      <c r="O205" s="905"/>
      <c r="P205" s="899"/>
      <c r="Q205" s="899"/>
      <c r="R205" s="898"/>
      <c r="S205" s="899"/>
      <c r="T205" s="899"/>
      <c r="U205" s="904"/>
      <c r="V205" s="905"/>
      <c r="W205" s="902"/>
      <c r="X205" s="897"/>
      <c r="Y205" s="898"/>
      <c r="Z205" s="902"/>
      <c r="AA205" s="902"/>
      <c r="AB205" s="902"/>
      <c r="AC205" s="902"/>
    </row>
    <row r="206" spans="1:29" ht="29.25" collapsed="1" thickBot="1">
      <c r="A206" s="922" t="s">
        <v>1128</v>
      </c>
      <c r="B206" s="1052" t="s">
        <v>5880</v>
      </c>
      <c r="C206" s="1052">
        <f>SUM(C207:C210)</f>
        <v>6784.9999999999991</v>
      </c>
      <c r="D206" s="1053">
        <v>15200</v>
      </c>
      <c r="E206" s="1343">
        <v>12800</v>
      </c>
      <c r="F206" s="1053">
        <f>SUM(F207:F210)</f>
        <v>8820.5</v>
      </c>
      <c r="G206" s="1054">
        <v>1</v>
      </c>
      <c r="H206" s="901"/>
      <c r="I206" s="902" t="str">
        <f>IF(H206="x",CONCATENATE(A206,"; "),"")</f>
        <v/>
      </c>
      <c r="J206" s="897"/>
      <c r="K206" s="903"/>
      <c r="L206" s="899">
        <f t="shared" si="9"/>
        <v>6015.0000000000009</v>
      </c>
      <c r="M206" s="899"/>
      <c r="N206" s="904"/>
      <c r="O206" s="905"/>
      <c r="P206" s="899"/>
      <c r="Q206" s="899"/>
      <c r="R206" s="898"/>
      <c r="S206" s="899"/>
      <c r="T206" s="899"/>
      <c r="U206" s="904"/>
      <c r="V206" s="905"/>
      <c r="W206" s="902"/>
      <c r="X206" s="897"/>
      <c r="Y206" s="898"/>
      <c r="Z206" s="902"/>
      <c r="AA206" s="902"/>
      <c r="AB206" s="902"/>
      <c r="AC206" s="902"/>
    </row>
    <row r="207" spans="1:29" ht="16.3" hidden="1" outlineLevel="1" thickBot="1">
      <c r="A207" s="897" t="s">
        <v>674</v>
      </c>
      <c r="B207" s="898" t="s">
        <v>674</v>
      </c>
      <c r="C207" s="898">
        <v>1954.9999999999998</v>
      </c>
      <c r="D207" s="899">
        <v>3800</v>
      </c>
      <c r="E207" s="1335">
        <v>3800</v>
      </c>
      <c r="F207" s="899">
        <f t="shared" si="10"/>
        <v>2541.5</v>
      </c>
      <c r="G207" s="897">
        <v>1</v>
      </c>
      <c r="H207" s="901"/>
      <c r="I207" s="902"/>
      <c r="J207" s="902"/>
      <c r="K207" s="903"/>
      <c r="L207" s="899">
        <f t="shared" si="9"/>
        <v>1845.0000000000002</v>
      </c>
      <c r="M207" s="903"/>
      <c r="N207" s="903"/>
      <c r="O207" s="903"/>
      <c r="P207" s="903"/>
      <c r="Q207" s="902"/>
      <c r="R207" s="902"/>
      <c r="S207" s="903"/>
      <c r="T207" s="902"/>
      <c r="U207" s="902"/>
      <c r="V207" s="902"/>
      <c r="W207" s="902"/>
      <c r="X207" s="902"/>
      <c r="Y207" s="902"/>
      <c r="Z207" s="902"/>
      <c r="AA207" s="902"/>
      <c r="AB207" s="902"/>
      <c r="AC207" s="902"/>
    </row>
    <row r="208" spans="1:29" ht="16.3" hidden="1" outlineLevel="1" thickBot="1">
      <c r="A208" s="897" t="s">
        <v>746</v>
      </c>
      <c r="B208" s="898" t="s">
        <v>746</v>
      </c>
      <c r="C208" s="898">
        <v>1609.9999999999998</v>
      </c>
      <c r="D208" s="899">
        <v>3700</v>
      </c>
      <c r="E208" s="1335">
        <v>3200</v>
      </c>
      <c r="F208" s="899">
        <f t="shared" si="10"/>
        <v>2093</v>
      </c>
      <c r="G208" s="897">
        <v>1</v>
      </c>
      <c r="H208" s="901"/>
      <c r="I208" s="902"/>
      <c r="J208" s="897"/>
      <c r="K208" s="903"/>
      <c r="L208" s="899">
        <f t="shared" si="9"/>
        <v>1590.0000000000002</v>
      </c>
      <c r="M208" s="899"/>
      <c r="N208" s="904"/>
      <c r="O208" s="905"/>
      <c r="P208" s="899"/>
      <c r="Q208" s="899"/>
      <c r="R208" s="898"/>
      <c r="S208" s="899"/>
      <c r="T208" s="899"/>
      <c r="U208" s="904"/>
      <c r="V208" s="905"/>
      <c r="W208" s="902"/>
      <c r="X208" s="897"/>
      <c r="Y208" s="898"/>
      <c r="Z208" s="902"/>
      <c r="AA208" s="902"/>
      <c r="AB208" s="902"/>
      <c r="AC208" s="902"/>
    </row>
    <row r="209" spans="1:29" ht="16.3" hidden="1" outlineLevel="1" thickBot="1">
      <c r="A209" s="897" t="s">
        <v>1717</v>
      </c>
      <c r="B209" s="898" t="s">
        <v>506</v>
      </c>
      <c r="C209" s="898">
        <v>1609.9999999999998</v>
      </c>
      <c r="D209" s="899">
        <v>2900</v>
      </c>
      <c r="E209" s="1335">
        <v>2900</v>
      </c>
      <c r="F209" s="899">
        <f t="shared" si="10"/>
        <v>2093</v>
      </c>
      <c r="G209" s="897">
        <v>1</v>
      </c>
      <c r="H209" s="901"/>
      <c r="I209" s="902"/>
      <c r="J209" s="897"/>
      <c r="K209" s="903"/>
      <c r="L209" s="899">
        <f t="shared" si="9"/>
        <v>1290.0000000000002</v>
      </c>
      <c r="M209" s="899"/>
      <c r="N209" s="904"/>
      <c r="O209" s="905"/>
      <c r="P209" s="899"/>
      <c r="Q209" s="899"/>
      <c r="R209" s="898"/>
      <c r="S209" s="899"/>
      <c r="T209" s="899"/>
      <c r="U209" s="904"/>
      <c r="V209" s="905"/>
      <c r="W209" s="902"/>
      <c r="X209" s="897"/>
      <c r="Y209" s="898"/>
      <c r="Z209" s="902"/>
      <c r="AA209" s="902"/>
      <c r="AB209" s="902"/>
      <c r="AC209" s="902"/>
    </row>
    <row r="210" spans="1:29" ht="16.3" hidden="1" outlineLevel="1" thickBot="1">
      <c r="A210" s="897" t="s">
        <v>1481</v>
      </c>
      <c r="B210" s="898" t="s">
        <v>65</v>
      </c>
      <c r="C210" s="898">
        <v>1610</v>
      </c>
      <c r="D210" s="899">
        <v>3100</v>
      </c>
      <c r="E210" s="1335">
        <v>2900</v>
      </c>
      <c r="F210" s="899">
        <f t="shared" si="10"/>
        <v>2093</v>
      </c>
      <c r="G210" s="897">
        <v>1</v>
      </c>
      <c r="H210" s="901"/>
      <c r="I210" s="912"/>
      <c r="J210" s="921"/>
      <c r="K210" s="903"/>
      <c r="L210" s="899">
        <f t="shared" si="9"/>
        <v>1290</v>
      </c>
      <c r="M210" s="899"/>
      <c r="N210" s="904"/>
      <c r="O210" s="905"/>
      <c r="P210" s="899"/>
      <c r="Q210" s="899"/>
      <c r="R210" s="898"/>
      <c r="S210" s="899"/>
      <c r="T210" s="899"/>
      <c r="U210" s="904"/>
      <c r="V210" s="905"/>
      <c r="W210" s="902"/>
      <c r="X210" s="897"/>
      <c r="Y210" s="898"/>
      <c r="Z210" s="902"/>
      <c r="AA210" s="902"/>
      <c r="AB210" s="902"/>
      <c r="AC210" s="902"/>
    </row>
    <row r="211" spans="1:29" ht="16.3" collapsed="1" thickBot="1">
      <c r="A211" s="923" t="s">
        <v>1129</v>
      </c>
      <c r="B211" s="892" t="s">
        <v>5881</v>
      </c>
      <c r="C211" s="892">
        <f>SUM(C212:C220)</f>
        <v>18469</v>
      </c>
      <c r="D211" s="893">
        <f>SUM(D212:D220)</f>
        <v>33100</v>
      </c>
      <c r="E211" s="1344">
        <v>21990</v>
      </c>
      <c r="F211" s="893">
        <f>SUM(F212:F220)</f>
        <v>24009.7</v>
      </c>
      <c r="G211" s="894">
        <v>1</v>
      </c>
      <c r="H211" s="901"/>
      <c r="I211" s="902" t="str">
        <f>IF(H211="x",CONCATENATE(A211,"; "),"")</f>
        <v/>
      </c>
      <c r="J211" s="897"/>
      <c r="K211" s="903"/>
      <c r="L211" s="899">
        <f t="shared" si="9"/>
        <v>3521</v>
      </c>
      <c r="M211" s="899"/>
      <c r="N211" s="904"/>
      <c r="O211" s="905"/>
      <c r="P211" s="899"/>
      <c r="Q211" s="899"/>
      <c r="R211" s="898"/>
      <c r="S211" s="899"/>
      <c r="T211" s="899"/>
      <c r="U211" s="904"/>
      <c r="V211" s="905"/>
      <c r="W211" s="902"/>
      <c r="X211" s="897"/>
      <c r="Y211" s="898"/>
      <c r="Z211" s="902"/>
      <c r="AA211" s="902"/>
      <c r="AB211" s="902"/>
      <c r="AC211" s="902"/>
    </row>
    <row r="212" spans="1:29" ht="16.3" hidden="1" outlineLevel="1" thickBot="1">
      <c r="A212" s="897" t="s">
        <v>71</v>
      </c>
      <c r="B212" s="898" t="s">
        <v>71</v>
      </c>
      <c r="C212" s="898">
        <v>2185</v>
      </c>
      <c r="D212" s="899">
        <v>4900</v>
      </c>
      <c r="E212" s="1335">
        <v>2600</v>
      </c>
      <c r="F212" s="899">
        <f t="shared" ref="F212:F220" si="11">C212*1.3</f>
        <v>2840.5</v>
      </c>
      <c r="G212" s="897">
        <v>1</v>
      </c>
      <c r="H212" s="901"/>
      <c r="I212" s="902"/>
      <c r="J212" s="902"/>
      <c r="K212" s="903"/>
      <c r="L212" s="899">
        <f t="shared" si="9"/>
        <v>415</v>
      </c>
      <c r="M212" s="903"/>
      <c r="N212" s="903"/>
      <c r="O212" s="903"/>
      <c r="P212" s="903"/>
      <c r="Q212" s="902"/>
      <c r="R212" s="902"/>
      <c r="S212" s="903"/>
      <c r="T212" s="902"/>
      <c r="U212" s="902"/>
      <c r="V212" s="902"/>
      <c r="W212" s="902"/>
      <c r="X212" s="902"/>
      <c r="Y212" s="902"/>
      <c r="Z212" s="902"/>
      <c r="AA212" s="902"/>
      <c r="AB212" s="902"/>
      <c r="AC212" s="902"/>
    </row>
    <row r="213" spans="1:29" ht="16.3" hidden="1" outlineLevel="1" thickBot="1">
      <c r="A213" s="897" t="s">
        <v>1800</v>
      </c>
      <c r="B213" s="898" t="s">
        <v>1801</v>
      </c>
      <c r="C213" s="898">
        <v>6324.9999999999991</v>
      </c>
      <c r="D213" s="899">
        <v>7700</v>
      </c>
      <c r="E213" s="1335">
        <v>7100</v>
      </c>
      <c r="F213" s="899">
        <f t="shared" si="11"/>
        <v>8222.5</v>
      </c>
      <c r="G213" s="897">
        <v>1</v>
      </c>
      <c r="H213" s="901"/>
      <c r="I213" s="902"/>
      <c r="J213" s="897"/>
      <c r="K213" s="903"/>
      <c r="L213" s="899">
        <f t="shared" si="9"/>
        <v>775.00000000000091</v>
      </c>
      <c r="M213" s="899"/>
      <c r="N213" s="904"/>
      <c r="O213" s="905"/>
      <c r="P213" s="899"/>
      <c r="Q213" s="899"/>
      <c r="R213" s="898"/>
      <c r="S213" s="899"/>
      <c r="T213" s="899"/>
      <c r="U213" s="904"/>
      <c r="V213" s="905"/>
      <c r="W213" s="902"/>
      <c r="X213" s="897"/>
      <c r="Y213" s="898"/>
      <c r="Z213" s="902"/>
      <c r="AA213" s="902"/>
      <c r="AB213" s="902"/>
      <c r="AC213" s="902"/>
    </row>
    <row r="214" spans="1:29" ht="16.3" hidden="1" outlineLevel="1" thickBot="1">
      <c r="A214" s="897" t="s">
        <v>1391</v>
      </c>
      <c r="B214" s="898" t="s">
        <v>1392</v>
      </c>
      <c r="C214" s="898">
        <v>69</v>
      </c>
      <c r="D214" s="899">
        <v>400</v>
      </c>
      <c r="E214" s="1335">
        <v>90</v>
      </c>
      <c r="F214" s="899">
        <f t="shared" si="11"/>
        <v>89.7</v>
      </c>
      <c r="G214" s="897">
        <v>1</v>
      </c>
      <c r="H214" s="901"/>
      <c r="I214" s="902"/>
      <c r="J214" s="897"/>
      <c r="K214" s="903"/>
      <c r="L214" s="899">
        <f t="shared" si="9"/>
        <v>21</v>
      </c>
      <c r="M214" s="899"/>
      <c r="N214" s="904"/>
      <c r="O214" s="905"/>
      <c r="P214" s="899"/>
      <c r="Q214" s="899"/>
      <c r="R214" s="898"/>
      <c r="S214" s="899"/>
      <c r="T214" s="899"/>
      <c r="U214" s="904"/>
      <c r="V214" s="905"/>
      <c r="W214" s="902"/>
      <c r="X214" s="897"/>
      <c r="Y214" s="898"/>
      <c r="Z214" s="902"/>
      <c r="AA214" s="902"/>
      <c r="AB214" s="902"/>
      <c r="AC214" s="902"/>
    </row>
    <row r="215" spans="1:29" ht="16.3" hidden="1" outlineLevel="1" thickBot="1">
      <c r="A215" s="897" t="s">
        <v>1783</v>
      </c>
      <c r="B215" s="898" t="s">
        <v>1784</v>
      </c>
      <c r="C215" s="898">
        <v>1725</v>
      </c>
      <c r="D215" s="899">
        <v>2300</v>
      </c>
      <c r="E215" s="1335">
        <v>2000</v>
      </c>
      <c r="F215" s="899">
        <f t="shared" si="11"/>
        <v>2242.5</v>
      </c>
      <c r="G215" s="897">
        <v>1</v>
      </c>
      <c r="H215" s="901"/>
      <c r="I215" s="902"/>
      <c r="J215" s="897"/>
      <c r="K215" s="903"/>
      <c r="L215" s="899">
        <f t="shared" si="9"/>
        <v>275</v>
      </c>
      <c r="M215" s="899"/>
      <c r="N215" s="904"/>
      <c r="O215" s="905"/>
      <c r="P215" s="899"/>
      <c r="Q215" s="899"/>
      <c r="R215" s="898"/>
      <c r="S215" s="899"/>
      <c r="T215" s="899"/>
      <c r="U215" s="904"/>
      <c r="V215" s="905"/>
      <c r="W215" s="902"/>
      <c r="X215" s="897"/>
      <c r="Y215" s="898"/>
      <c r="Z215" s="902"/>
      <c r="AA215" s="902"/>
      <c r="AB215" s="902"/>
      <c r="AC215" s="902"/>
    </row>
    <row r="216" spans="1:29" ht="16.3" hidden="1" outlineLevel="1" thickBot="1">
      <c r="A216" s="897" t="s">
        <v>1507</v>
      </c>
      <c r="B216" s="898" t="s">
        <v>1508</v>
      </c>
      <c r="C216" s="898">
        <v>1380</v>
      </c>
      <c r="D216" s="899">
        <v>4500</v>
      </c>
      <c r="E216" s="1335">
        <v>1700</v>
      </c>
      <c r="F216" s="899">
        <f t="shared" si="11"/>
        <v>1794</v>
      </c>
      <c r="G216" s="897">
        <v>1</v>
      </c>
      <c r="H216" s="901"/>
      <c r="I216" s="902"/>
      <c r="J216" s="897"/>
      <c r="K216" s="903"/>
      <c r="L216" s="899">
        <f t="shared" si="9"/>
        <v>320</v>
      </c>
      <c r="M216" s="899"/>
      <c r="N216" s="904"/>
      <c r="O216" s="905"/>
      <c r="P216" s="899"/>
      <c r="Q216" s="899"/>
      <c r="R216" s="898"/>
      <c r="S216" s="899"/>
      <c r="T216" s="899"/>
      <c r="U216" s="904"/>
      <c r="V216" s="905"/>
      <c r="W216" s="902"/>
      <c r="X216" s="897"/>
      <c r="Y216" s="898"/>
      <c r="Z216" s="902"/>
      <c r="AA216" s="902"/>
      <c r="AB216" s="902"/>
      <c r="AC216" s="902"/>
    </row>
    <row r="217" spans="1:29" ht="16.3" hidden="1" outlineLevel="1" thickBot="1">
      <c r="A217" s="897" t="s">
        <v>746</v>
      </c>
      <c r="B217" s="898" t="s">
        <v>746</v>
      </c>
      <c r="C217" s="898">
        <v>1609.9999999999998</v>
      </c>
      <c r="D217" s="899">
        <v>3700</v>
      </c>
      <c r="E217" s="1335">
        <v>2000</v>
      </c>
      <c r="F217" s="899">
        <f t="shared" si="11"/>
        <v>2093</v>
      </c>
      <c r="G217" s="897">
        <v>1</v>
      </c>
      <c r="H217" s="901"/>
      <c r="I217" s="902"/>
      <c r="J217" s="897"/>
      <c r="K217" s="903"/>
      <c r="L217" s="899">
        <f t="shared" si="9"/>
        <v>390.00000000000023</v>
      </c>
      <c r="M217" s="899"/>
      <c r="N217" s="904"/>
      <c r="O217" s="905"/>
      <c r="P217" s="899"/>
      <c r="Q217" s="899"/>
      <c r="R217" s="898"/>
      <c r="S217" s="899"/>
      <c r="T217" s="899"/>
      <c r="U217" s="904"/>
      <c r="V217" s="905"/>
      <c r="W217" s="902"/>
      <c r="X217" s="897"/>
      <c r="Y217" s="898"/>
      <c r="Z217" s="902"/>
      <c r="AA217" s="902"/>
      <c r="AB217" s="902"/>
      <c r="AC217" s="902"/>
    </row>
    <row r="218" spans="1:29" ht="16.3" hidden="1" outlineLevel="1" thickBot="1">
      <c r="A218" s="897" t="s">
        <v>1717</v>
      </c>
      <c r="B218" s="898" t="s">
        <v>506</v>
      </c>
      <c r="C218" s="898">
        <v>1609.9999999999998</v>
      </c>
      <c r="D218" s="899">
        <v>2900</v>
      </c>
      <c r="E218" s="1335">
        <v>2000</v>
      </c>
      <c r="F218" s="899">
        <f t="shared" si="11"/>
        <v>2093</v>
      </c>
      <c r="G218" s="897">
        <v>1</v>
      </c>
      <c r="H218" s="901"/>
      <c r="I218" s="902"/>
      <c r="J218" s="897"/>
      <c r="K218" s="903"/>
      <c r="L218" s="899">
        <f t="shared" ref="L218:L281" si="12">E218-C218</f>
        <v>390.00000000000023</v>
      </c>
      <c r="M218" s="899"/>
      <c r="N218" s="904"/>
      <c r="O218" s="905"/>
      <c r="P218" s="899"/>
      <c r="Q218" s="899"/>
      <c r="R218" s="898"/>
      <c r="S218" s="899"/>
      <c r="T218" s="899"/>
      <c r="U218" s="904"/>
      <c r="V218" s="905"/>
      <c r="W218" s="902"/>
      <c r="X218" s="897"/>
      <c r="Y218" s="898"/>
      <c r="Z218" s="902"/>
      <c r="AA218" s="902"/>
      <c r="AB218" s="902"/>
      <c r="AC218" s="902"/>
    </row>
    <row r="219" spans="1:29" ht="16.3" hidden="1" outlineLevel="1" thickBot="1">
      <c r="A219" s="897" t="s">
        <v>1726</v>
      </c>
      <c r="B219" s="898" t="s">
        <v>66</v>
      </c>
      <c r="C219" s="898">
        <v>1609.9999999999998</v>
      </c>
      <c r="D219" s="899">
        <v>2900</v>
      </c>
      <c r="E219" s="1335">
        <v>2000</v>
      </c>
      <c r="F219" s="899">
        <f t="shared" si="11"/>
        <v>2093</v>
      </c>
      <c r="G219" s="897">
        <v>1</v>
      </c>
      <c r="H219" s="901"/>
      <c r="I219" s="902"/>
      <c r="J219" s="897"/>
      <c r="K219" s="903"/>
      <c r="L219" s="899">
        <f t="shared" si="12"/>
        <v>390.00000000000023</v>
      </c>
      <c r="M219" s="899"/>
      <c r="N219" s="904"/>
      <c r="O219" s="905"/>
      <c r="P219" s="899"/>
      <c r="Q219" s="899"/>
      <c r="R219" s="898"/>
      <c r="S219" s="899"/>
      <c r="T219" s="899"/>
      <c r="U219" s="904"/>
      <c r="V219" s="905"/>
      <c r="W219" s="902"/>
      <c r="X219" s="897"/>
      <c r="Y219" s="898"/>
      <c r="Z219" s="902"/>
      <c r="AA219" s="902"/>
      <c r="AB219" s="902"/>
      <c r="AC219" s="902"/>
    </row>
    <row r="220" spans="1:29" ht="16.3" hidden="1" outlineLevel="1" thickBot="1">
      <c r="A220" s="897" t="s">
        <v>674</v>
      </c>
      <c r="B220" s="898" t="s">
        <v>674</v>
      </c>
      <c r="C220" s="898">
        <v>1954.9999999999998</v>
      </c>
      <c r="D220" s="899">
        <v>3800</v>
      </c>
      <c r="E220" s="1335">
        <v>2500</v>
      </c>
      <c r="F220" s="899">
        <f t="shared" si="11"/>
        <v>2541.5</v>
      </c>
      <c r="G220" s="897">
        <v>1</v>
      </c>
      <c r="H220" s="901"/>
      <c r="I220" s="902"/>
      <c r="J220" s="897"/>
      <c r="K220" s="903"/>
      <c r="L220" s="899">
        <f t="shared" si="12"/>
        <v>545.00000000000023</v>
      </c>
      <c r="M220" s="899"/>
      <c r="N220" s="904"/>
      <c r="O220" s="905"/>
      <c r="P220" s="899"/>
      <c r="Q220" s="899"/>
      <c r="R220" s="898"/>
      <c r="S220" s="899"/>
      <c r="T220" s="899"/>
      <c r="U220" s="904"/>
      <c r="V220" s="905"/>
      <c r="W220" s="902"/>
      <c r="X220" s="897"/>
      <c r="Y220" s="898"/>
      <c r="Z220" s="902"/>
      <c r="AA220" s="902"/>
      <c r="AB220" s="902"/>
      <c r="AC220" s="902"/>
    </row>
    <row r="221" spans="1:29" ht="16.3" collapsed="1" thickBot="1">
      <c r="A221" s="925" t="s">
        <v>1130</v>
      </c>
      <c r="B221" s="907" t="s">
        <v>5882</v>
      </c>
      <c r="C221" s="907">
        <f>SUM(C222:C262)</f>
        <v>49343</v>
      </c>
      <c r="D221" s="908">
        <f>SUM(D222:D262)</f>
        <v>90140</v>
      </c>
      <c r="E221" s="1340">
        <v>59990</v>
      </c>
      <c r="F221" s="908">
        <f>SUM(F222:F262)</f>
        <v>64145.9</v>
      </c>
      <c r="G221" s="909">
        <v>17</v>
      </c>
      <c r="H221" s="901"/>
      <c r="I221" s="902" t="str">
        <f>IF(H221="x",CONCATENATE(A221,"; "),"")</f>
        <v/>
      </c>
      <c r="J221" s="897"/>
      <c r="K221" s="903"/>
      <c r="L221" s="899">
        <f t="shared" si="12"/>
        <v>10647</v>
      </c>
      <c r="M221" s="899"/>
      <c r="N221" s="904"/>
      <c r="O221" s="905"/>
      <c r="P221" s="899"/>
      <c r="Q221" s="899"/>
      <c r="R221" s="898"/>
      <c r="S221" s="899"/>
      <c r="T221" s="899"/>
      <c r="U221" s="904"/>
      <c r="V221" s="905"/>
      <c r="W221" s="902"/>
      <c r="X221" s="897"/>
      <c r="Y221" s="898"/>
      <c r="Z221" s="902"/>
      <c r="AA221" s="902"/>
      <c r="AB221" s="902"/>
      <c r="AC221" s="902"/>
    </row>
    <row r="222" spans="1:29" ht="16.3" hidden="1" outlineLevel="1" thickBot="1">
      <c r="A222" s="897" t="s">
        <v>1391</v>
      </c>
      <c r="B222" s="898" t="s">
        <v>1392</v>
      </c>
      <c r="C222" s="898">
        <v>69</v>
      </c>
      <c r="D222" s="899">
        <v>400</v>
      </c>
      <c r="E222" s="1335">
        <v>400</v>
      </c>
      <c r="F222" s="899">
        <f t="shared" ref="F222:F262" si="13">C222*1.3</f>
        <v>89.7</v>
      </c>
      <c r="G222" s="900">
        <v>1</v>
      </c>
      <c r="H222" s="901"/>
      <c r="I222" s="902"/>
      <c r="J222" s="910"/>
      <c r="K222" s="903"/>
      <c r="L222" s="899">
        <f t="shared" si="12"/>
        <v>331</v>
      </c>
      <c r="M222" s="903"/>
      <c r="N222" s="903"/>
      <c r="O222" s="903"/>
      <c r="P222" s="903"/>
      <c r="Q222" s="902"/>
      <c r="R222" s="902"/>
      <c r="S222" s="903"/>
      <c r="T222" s="902"/>
      <c r="U222" s="902"/>
      <c r="V222" s="902"/>
      <c r="W222" s="902"/>
      <c r="X222" s="902"/>
      <c r="Y222" s="902"/>
      <c r="Z222" s="902"/>
      <c r="AA222" s="902"/>
      <c r="AB222" s="902"/>
      <c r="AC222" s="902"/>
    </row>
    <row r="223" spans="1:29" ht="16.3" hidden="1" outlineLevel="1" thickBot="1">
      <c r="A223" s="897" t="s">
        <v>1395</v>
      </c>
      <c r="B223" s="898" t="s">
        <v>1396</v>
      </c>
      <c r="C223" s="898">
        <v>69</v>
      </c>
      <c r="D223" s="899">
        <v>400</v>
      </c>
      <c r="E223" s="1335">
        <v>400</v>
      </c>
      <c r="F223" s="899">
        <f t="shared" si="13"/>
        <v>89.7</v>
      </c>
      <c r="G223" s="900">
        <v>1</v>
      </c>
      <c r="H223" s="901"/>
      <c r="I223" s="902"/>
      <c r="J223" s="897"/>
      <c r="K223" s="903"/>
      <c r="L223" s="899">
        <f t="shared" si="12"/>
        <v>331</v>
      </c>
      <c r="M223" s="899"/>
      <c r="N223" s="904"/>
      <c r="O223" s="905"/>
      <c r="P223" s="899"/>
      <c r="Q223" s="899"/>
      <c r="R223" s="898"/>
      <c r="S223" s="899"/>
      <c r="T223" s="899"/>
      <c r="U223" s="904"/>
      <c r="V223" s="905"/>
      <c r="W223" s="902"/>
      <c r="X223" s="897"/>
      <c r="Y223" s="898"/>
      <c r="Z223" s="902"/>
      <c r="AA223" s="902"/>
      <c r="AB223" s="902"/>
      <c r="AC223" s="902"/>
    </row>
    <row r="224" spans="1:29" ht="16.3" hidden="1" outlineLevel="1" thickBot="1">
      <c r="A224" s="897" t="s">
        <v>1611</v>
      </c>
      <c r="B224" s="898" t="s">
        <v>1612</v>
      </c>
      <c r="C224" s="898">
        <v>125</v>
      </c>
      <c r="D224" s="899">
        <v>200</v>
      </c>
      <c r="E224" s="1335">
        <v>200</v>
      </c>
      <c r="F224" s="899">
        <f t="shared" si="13"/>
        <v>162.5</v>
      </c>
      <c r="G224" s="900">
        <v>1</v>
      </c>
      <c r="H224" s="901"/>
      <c r="I224" s="902"/>
      <c r="J224" s="897"/>
      <c r="K224" s="903"/>
      <c r="L224" s="899">
        <f t="shared" si="12"/>
        <v>75</v>
      </c>
      <c r="M224" s="899"/>
      <c r="N224" s="904"/>
      <c r="O224" s="905"/>
      <c r="P224" s="899"/>
      <c r="Q224" s="899"/>
      <c r="R224" s="898"/>
      <c r="S224" s="899"/>
      <c r="T224" s="899"/>
      <c r="U224" s="904"/>
      <c r="V224" s="905"/>
      <c r="W224" s="902"/>
      <c r="X224" s="897"/>
      <c r="Y224" s="898"/>
      <c r="Z224" s="902"/>
      <c r="AA224" s="902"/>
      <c r="AB224" s="902"/>
      <c r="AC224" s="902"/>
    </row>
    <row r="225" spans="1:29" ht="16.3" hidden="1" outlineLevel="1" thickBot="1">
      <c r="A225" s="897" t="s">
        <v>1621</v>
      </c>
      <c r="B225" s="898" t="s">
        <v>2346</v>
      </c>
      <c r="C225" s="898">
        <v>175</v>
      </c>
      <c r="D225" s="899">
        <v>400</v>
      </c>
      <c r="E225" s="1335">
        <v>400</v>
      </c>
      <c r="F225" s="899">
        <f t="shared" si="13"/>
        <v>227.5</v>
      </c>
      <c r="G225" s="900">
        <v>1</v>
      </c>
      <c r="H225" s="901"/>
      <c r="I225" s="902"/>
      <c r="J225" s="897"/>
      <c r="K225" s="903"/>
      <c r="L225" s="899">
        <f t="shared" si="12"/>
        <v>225</v>
      </c>
      <c r="M225" s="899"/>
      <c r="N225" s="904"/>
      <c r="O225" s="905"/>
      <c r="P225" s="899"/>
      <c r="Q225" s="899"/>
      <c r="R225" s="898"/>
      <c r="S225" s="899"/>
      <c r="T225" s="899"/>
      <c r="U225" s="904"/>
      <c r="V225" s="905"/>
      <c r="W225" s="902"/>
      <c r="X225" s="897"/>
      <c r="Y225" s="898"/>
      <c r="Z225" s="902"/>
      <c r="AA225" s="902"/>
      <c r="AB225" s="902"/>
      <c r="AC225" s="902"/>
    </row>
    <row r="226" spans="1:29" ht="16.3" hidden="1" outlineLevel="1" thickBot="1">
      <c r="A226" s="897" t="s">
        <v>649</v>
      </c>
      <c r="B226" s="898" t="s">
        <v>649</v>
      </c>
      <c r="C226" s="898">
        <v>460</v>
      </c>
      <c r="D226" s="899">
        <v>1400</v>
      </c>
      <c r="E226" s="1335">
        <v>500</v>
      </c>
      <c r="F226" s="899">
        <f t="shared" si="13"/>
        <v>598</v>
      </c>
      <c r="G226" s="900">
        <v>1</v>
      </c>
      <c r="H226" s="901"/>
      <c r="I226" s="902"/>
      <c r="J226" s="897"/>
      <c r="K226" s="903"/>
      <c r="L226" s="899">
        <f t="shared" si="12"/>
        <v>40</v>
      </c>
      <c r="M226" s="899"/>
      <c r="N226" s="904"/>
      <c r="O226" s="905"/>
      <c r="P226" s="899"/>
      <c r="Q226" s="899"/>
      <c r="R226" s="898"/>
      <c r="S226" s="899"/>
      <c r="T226" s="899"/>
      <c r="U226" s="904"/>
      <c r="V226" s="905"/>
      <c r="W226" s="902"/>
      <c r="X226" s="897"/>
      <c r="Y226" s="898"/>
      <c r="Z226" s="902"/>
      <c r="AA226" s="902"/>
      <c r="AB226" s="902"/>
      <c r="AC226" s="902"/>
    </row>
    <row r="227" spans="1:29" ht="16.3" hidden="1" outlineLevel="1" thickBot="1">
      <c r="A227" s="897" t="s">
        <v>1371</v>
      </c>
      <c r="B227" s="898" t="s">
        <v>1372</v>
      </c>
      <c r="C227" s="898">
        <v>2415</v>
      </c>
      <c r="D227" s="899">
        <v>5800</v>
      </c>
      <c r="E227" s="1335">
        <v>2900</v>
      </c>
      <c r="F227" s="899">
        <f t="shared" si="13"/>
        <v>3139.5</v>
      </c>
      <c r="G227" s="900">
        <v>1</v>
      </c>
      <c r="H227" s="901"/>
      <c r="I227" s="902"/>
      <c r="J227" s="897"/>
      <c r="K227" s="903"/>
      <c r="L227" s="899">
        <f t="shared" si="12"/>
        <v>485</v>
      </c>
      <c r="M227" s="899"/>
      <c r="N227" s="904"/>
      <c r="O227" s="905"/>
      <c r="P227" s="899"/>
      <c r="Q227" s="899"/>
      <c r="R227" s="898"/>
      <c r="S227" s="899"/>
      <c r="T227" s="899"/>
      <c r="U227" s="904"/>
      <c r="V227" s="905"/>
      <c r="W227" s="902"/>
      <c r="X227" s="897"/>
      <c r="Y227" s="898"/>
      <c r="Z227" s="902"/>
      <c r="AA227" s="902"/>
      <c r="AB227" s="902"/>
      <c r="AC227" s="902"/>
    </row>
    <row r="228" spans="1:29" ht="16.3" hidden="1" outlineLevel="1" thickBot="1">
      <c r="A228" s="897" t="s">
        <v>1522</v>
      </c>
      <c r="B228" s="898" t="s">
        <v>31</v>
      </c>
      <c r="C228" s="898">
        <v>1150</v>
      </c>
      <c r="D228" s="899">
        <v>2800</v>
      </c>
      <c r="E228" s="1335">
        <v>1300</v>
      </c>
      <c r="F228" s="899">
        <f t="shared" si="13"/>
        <v>1495</v>
      </c>
      <c r="G228" s="900">
        <v>1</v>
      </c>
      <c r="H228" s="901"/>
      <c r="I228" s="902"/>
      <c r="J228" s="897"/>
      <c r="K228" s="903"/>
      <c r="L228" s="899">
        <f t="shared" si="12"/>
        <v>150</v>
      </c>
      <c r="M228" s="899"/>
      <c r="N228" s="904"/>
      <c r="O228" s="905"/>
      <c r="P228" s="899"/>
      <c r="Q228" s="899"/>
      <c r="R228" s="898"/>
      <c r="S228" s="899"/>
      <c r="T228" s="899"/>
      <c r="U228" s="904"/>
      <c r="V228" s="905"/>
      <c r="W228" s="902"/>
      <c r="X228" s="897"/>
      <c r="Y228" s="898"/>
      <c r="Z228" s="902"/>
      <c r="AA228" s="902"/>
      <c r="AB228" s="902"/>
      <c r="AC228" s="902"/>
    </row>
    <row r="229" spans="1:29" ht="16.3" hidden="1" outlineLevel="1" thickBot="1">
      <c r="A229" s="897" t="s">
        <v>681</v>
      </c>
      <c r="B229" s="898" t="s">
        <v>15</v>
      </c>
      <c r="C229" s="898">
        <v>69</v>
      </c>
      <c r="D229" s="899">
        <v>250</v>
      </c>
      <c r="E229" s="1335">
        <v>90</v>
      </c>
      <c r="F229" s="899">
        <f t="shared" si="13"/>
        <v>89.7</v>
      </c>
      <c r="G229" s="900">
        <v>1</v>
      </c>
      <c r="H229" s="901"/>
      <c r="I229" s="902"/>
      <c r="J229" s="897"/>
      <c r="K229" s="903"/>
      <c r="L229" s="899">
        <f t="shared" si="12"/>
        <v>21</v>
      </c>
      <c r="M229" s="899"/>
      <c r="N229" s="904"/>
      <c r="O229" s="905"/>
      <c r="P229" s="899"/>
      <c r="Q229" s="899"/>
      <c r="R229" s="898"/>
      <c r="S229" s="899"/>
      <c r="T229" s="899"/>
      <c r="U229" s="904"/>
      <c r="V229" s="905"/>
      <c r="W229" s="902"/>
      <c r="X229" s="897"/>
      <c r="Y229" s="898"/>
      <c r="Z229" s="902"/>
      <c r="AA229" s="902"/>
      <c r="AB229" s="902"/>
      <c r="AC229" s="902"/>
    </row>
    <row r="230" spans="1:29" ht="16.3" hidden="1" outlineLevel="1" thickBot="1">
      <c r="A230" s="897" t="s">
        <v>1826</v>
      </c>
      <c r="B230" s="898" t="s">
        <v>1827</v>
      </c>
      <c r="C230" s="898">
        <v>69</v>
      </c>
      <c r="D230" s="899">
        <v>640</v>
      </c>
      <c r="E230" s="1335">
        <v>90</v>
      </c>
      <c r="F230" s="899">
        <f t="shared" si="13"/>
        <v>89.7</v>
      </c>
      <c r="G230" s="900">
        <v>1</v>
      </c>
      <c r="H230" s="901"/>
      <c r="I230" s="902"/>
      <c r="J230" s="897"/>
      <c r="K230" s="903"/>
      <c r="L230" s="899">
        <f t="shared" si="12"/>
        <v>21</v>
      </c>
      <c r="M230" s="899"/>
      <c r="N230" s="904"/>
      <c r="O230" s="905"/>
      <c r="P230" s="899"/>
      <c r="Q230" s="899"/>
      <c r="R230" s="898"/>
      <c r="S230" s="899"/>
      <c r="T230" s="899"/>
      <c r="U230" s="904"/>
      <c r="V230" s="905"/>
      <c r="W230" s="902"/>
      <c r="X230" s="897"/>
      <c r="Y230" s="898"/>
      <c r="Z230" s="902"/>
      <c r="AA230" s="902"/>
      <c r="AB230" s="902"/>
      <c r="AC230" s="902"/>
    </row>
    <row r="231" spans="1:29" ht="16.3" hidden="1" outlineLevel="1" thickBot="1">
      <c r="A231" s="897" t="s">
        <v>685</v>
      </c>
      <c r="B231" s="898" t="s">
        <v>1539</v>
      </c>
      <c r="C231" s="898">
        <v>69</v>
      </c>
      <c r="D231" s="899">
        <v>200</v>
      </c>
      <c r="E231" s="1335">
        <v>90</v>
      </c>
      <c r="F231" s="899">
        <f t="shared" si="13"/>
        <v>89.7</v>
      </c>
      <c r="G231" s="900">
        <v>1</v>
      </c>
      <c r="H231" s="901"/>
      <c r="I231" s="902"/>
      <c r="J231" s="897"/>
      <c r="K231" s="903"/>
      <c r="L231" s="899">
        <f t="shared" si="12"/>
        <v>21</v>
      </c>
      <c r="M231" s="899"/>
      <c r="N231" s="904"/>
      <c r="O231" s="905"/>
      <c r="P231" s="899"/>
      <c r="Q231" s="899"/>
      <c r="R231" s="898"/>
      <c r="S231" s="899"/>
      <c r="T231" s="899"/>
      <c r="U231" s="904"/>
      <c r="V231" s="905"/>
      <c r="W231" s="902"/>
      <c r="X231" s="897"/>
      <c r="Y231" s="898"/>
      <c r="Z231" s="902"/>
      <c r="AA231" s="902"/>
      <c r="AB231" s="902"/>
      <c r="AC231" s="902"/>
    </row>
    <row r="232" spans="1:29" ht="16.3" hidden="1" outlineLevel="1" thickBot="1">
      <c r="A232" s="897" t="s">
        <v>1607</v>
      </c>
      <c r="B232" s="898" t="s">
        <v>22</v>
      </c>
      <c r="C232" s="898">
        <v>135</v>
      </c>
      <c r="D232" s="899">
        <v>200</v>
      </c>
      <c r="E232" s="1335">
        <v>170</v>
      </c>
      <c r="F232" s="899">
        <f t="shared" si="13"/>
        <v>175.5</v>
      </c>
      <c r="G232" s="900">
        <v>1</v>
      </c>
      <c r="H232" s="901"/>
      <c r="I232" s="902"/>
      <c r="J232" s="897"/>
      <c r="K232" s="903"/>
      <c r="L232" s="899">
        <f t="shared" si="12"/>
        <v>35</v>
      </c>
      <c r="M232" s="899"/>
      <c r="N232" s="904"/>
      <c r="O232" s="905"/>
      <c r="P232" s="899"/>
      <c r="Q232" s="899"/>
      <c r="R232" s="898"/>
      <c r="S232" s="899"/>
      <c r="T232" s="899"/>
      <c r="U232" s="904"/>
      <c r="V232" s="905"/>
      <c r="W232" s="902"/>
      <c r="X232" s="897"/>
      <c r="Y232" s="898"/>
      <c r="Z232" s="902"/>
      <c r="AA232" s="902"/>
      <c r="AB232" s="902"/>
      <c r="AC232" s="902"/>
    </row>
    <row r="233" spans="1:29" ht="16.3" hidden="1" outlineLevel="1" thickBot="1">
      <c r="A233" s="897" t="s">
        <v>1608</v>
      </c>
      <c r="B233" s="898" t="s">
        <v>19</v>
      </c>
      <c r="C233" s="898">
        <v>69</v>
      </c>
      <c r="D233" s="899">
        <v>600</v>
      </c>
      <c r="E233" s="1335">
        <v>90</v>
      </c>
      <c r="F233" s="899">
        <f t="shared" si="13"/>
        <v>89.7</v>
      </c>
      <c r="G233" s="900">
        <v>1</v>
      </c>
      <c r="H233" s="901"/>
      <c r="I233" s="902"/>
      <c r="J233" s="897"/>
      <c r="K233" s="903"/>
      <c r="L233" s="899">
        <f t="shared" si="12"/>
        <v>21</v>
      </c>
      <c r="M233" s="899"/>
      <c r="N233" s="904"/>
      <c r="O233" s="905"/>
      <c r="P233" s="899"/>
      <c r="Q233" s="899"/>
      <c r="R233" s="898"/>
      <c r="S233" s="899"/>
      <c r="T233" s="899"/>
      <c r="U233" s="904"/>
      <c r="V233" s="905"/>
      <c r="W233" s="902"/>
      <c r="X233" s="897"/>
      <c r="Y233" s="898"/>
      <c r="Z233" s="902"/>
      <c r="AA233" s="902"/>
      <c r="AB233" s="902"/>
      <c r="AC233" s="902"/>
    </row>
    <row r="234" spans="1:29" ht="16.3" hidden="1" outlineLevel="1" thickBot="1">
      <c r="A234" s="897" t="s">
        <v>948</v>
      </c>
      <c r="B234" s="898" t="s">
        <v>1628</v>
      </c>
      <c r="C234" s="898">
        <v>175</v>
      </c>
      <c r="D234" s="899">
        <v>700</v>
      </c>
      <c r="E234" s="1335">
        <v>200</v>
      </c>
      <c r="F234" s="899">
        <f t="shared" si="13"/>
        <v>227.5</v>
      </c>
      <c r="G234" s="900">
        <v>1</v>
      </c>
      <c r="H234" s="901"/>
      <c r="I234" s="902"/>
      <c r="J234" s="897"/>
      <c r="K234" s="903"/>
      <c r="L234" s="899">
        <f t="shared" si="12"/>
        <v>25</v>
      </c>
      <c r="M234" s="899"/>
      <c r="N234" s="904"/>
      <c r="O234" s="905"/>
      <c r="P234" s="899"/>
      <c r="Q234" s="899"/>
      <c r="R234" s="898"/>
      <c r="S234" s="899"/>
      <c r="T234" s="899"/>
      <c r="U234" s="904"/>
      <c r="V234" s="905"/>
      <c r="W234" s="902"/>
      <c r="X234" s="897"/>
      <c r="Y234" s="898"/>
      <c r="Z234" s="902"/>
      <c r="AA234" s="902"/>
      <c r="AB234" s="902"/>
      <c r="AC234" s="902"/>
    </row>
    <row r="235" spans="1:29" ht="16.3" hidden="1" outlineLevel="1" thickBot="1">
      <c r="A235" s="897" t="s">
        <v>1693</v>
      </c>
      <c r="B235" s="898" t="s">
        <v>21</v>
      </c>
      <c r="C235" s="898">
        <v>135</v>
      </c>
      <c r="D235" s="899">
        <v>200</v>
      </c>
      <c r="E235" s="1335">
        <v>200</v>
      </c>
      <c r="F235" s="899">
        <f t="shared" si="13"/>
        <v>175.5</v>
      </c>
      <c r="G235" s="900">
        <v>1</v>
      </c>
      <c r="H235" s="901"/>
      <c r="I235" s="902"/>
      <c r="J235" s="897"/>
      <c r="K235" s="903"/>
      <c r="L235" s="899">
        <f t="shared" si="12"/>
        <v>65</v>
      </c>
      <c r="M235" s="899"/>
      <c r="N235" s="904"/>
      <c r="O235" s="905"/>
      <c r="P235" s="899"/>
      <c r="Q235" s="899"/>
      <c r="R235" s="898"/>
      <c r="S235" s="899"/>
      <c r="T235" s="899"/>
      <c r="U235" s="904"/>
      <c r="V235" s="905"/>
      <c r="W235" s="902"/>
      <c r="X235" s="897"/>
      <c r="Y235" s="898"/>
      <c r="Z235" s="902"/>
      <c r="AA235" s="902"/>
      <c r="AB235" s="902"/>
      <c r="AC235" s="902"/>
    </row>
    <row r="236" spans="1:29" ht="16.3" hidden="1" outlineLevel="1" thickBot="1">
      <c r="A236" s="897" t="s">
        <v>1716</v>
      </c>
      <c r="B236" s="898" t="s">
        <v>25</v>
      </c>
      <c r="C236" s="898">
        <v>69</v>
      </c>
      <c r="D236" s="899">
        <v>600</v>
      </c>
      <c r="E236" s="1335">
        <v>100</v>
      </c>
      <c r="F236" s="899">
        <f t="shared" si="13"/>
        <v>89.7</v>
      </c>
      <c r="G236" s="900">
        <v>1</v>
      </c>
      <c r="H236" s="901"/>
      <c r="I236" s="902"/>
      <c r="J236" s="897"/>
      <c r="K236" s="903"/>
      <c r="L236" s="899">
        <f t="shared" si="12"/>
        <v>31</v>
      </c>
      <c r="M236" s="899"/>
      <c r="N236" s="904"/>
      <c r="O236" s="905"/>
      <c r="P236" s="899"/>
      <c r="Q236" s="899"/>
      <c r="R236" s="898"/>
      <c r="S236" s="899"/>
      <c r="T236" s="899"/>
      <c r="U236" s="904"/>
      <c r="V236" s="905"/>
      <c r="W236" s="902"/>
      <c r="X236" s="897"/>
      <c r="Y236" s="898"/>
      <c r="Z236" s="902"/>
      <c r="AA236" s="902"/>
      <c r="AB236" s="902"/>
      <c r="AC236" s="902"/>
    </row>
    <row r="237" spans="1:29" ht="16.3" hidden="1" outlineLevel="1" thickBot="1">
      <c r="A237" s="897" t="s">
        <v>71</v>
      </c>
      <c r="B237" s="898" t="s">
        <v>71</v>
      </c>
      <c r="C237" s="898">
        <v>2185</v>
      </c>
      <c r="D237" s="899">
        <v>4900</v>
      </c>
      <c r="E237" s="1335">
        <v>2800</v>
      </c>
      <c r="F237" s="899">
        <f t="shared" si="13"/>
        <v>2840.5</v>
      </c>
      <c r="G237" s="900">
        <v>1</v>
      </c>
      <c r="H237" s="901"/>
      <c r="I237" s="902"/>
      <c r="J237" s="897"/>
      <c r="K237" s="903"/>
      <c r="L237" s="899">
        <f t="shared" si="12"/>
        <v>615</v>
      </c>
      <c r="M237" s="899"/>
      <c r="N237" s="904"/>
      <c r="O237" s="905"/>
      <c r="P237" s="899"/>
      <c r="Q237" s="899"/>
      <c r="R237" s="898"/>
      <c r="S237" s="899"/>
      <c r="T237" s="899"/>
      <c r="U237" s="904"/>
      <c r="V237" s="905"/>
      <c r="W237" s="902"/>
      <c r="X237" s="897"/>
      <c r="Y237" s="898"/>
      <c r="Z237" s="902"/>
      <c r="AA237" s="902"/>
      <c r="AB237" s="902"/>
      <c r="AC237" s="902"/>
    </row>
    <row r="238" spans="1:29" ht="16.3" hidden="1" outlineLevel="1" thickBot="1">
      <c r="A238" s="897" t="s">
        <v>1800</v>
      </c>
      <c r="B238" s="898" t="s">
        <v>1801</v>
      </c>
      <c r="C238" s="898">
        <v>6325</v>
      </c>
      <c r="D238" s="899">
        <v>7700</v>
      </c>
      <c r="E238" s="1335">
        <v>7000</v>
      </c>
      <c r="F238" s="899">
        <f t="shared" si="13"/>
        <v>8222.5</v>
      </c>
      <c r="G238" s="900">
        <v>1</v>
      </c>
      <c r="H238" s="901"/>
      <c r="I238" s="902"/>
      <c r="J238" s="897"/>
      <c r="K238" s="903"/>
      <c r="L238" s="899">
        <f t="shared" si="12"/>
        <v>675</v>
      </c>
      <c r="M238" s="899"/>
      <c r="N238" s="904"/>
      <c r="O238" s="905"/>
      <c r="P238" s="899"/>
      <c r="Q238" s="899"/>
      <c r="R238" s="898"/>
      <c r="S238" s="899"/>
      <c r="T238" s="899"/>
      <c r="U238" s="904"/>
      <c r="V238" s="905"/>
      <c r="W238" s="902"/>
      <c r="X238" s="897"/>
      <c r="Y238" s="898"/>
      <c r="Z238" s="902"/>
      <c r="AA238" s="902"/>
      <c r="AB238" s="902"/>
      <c r="AC238" s="902"/>
    </row>
    <row r="239" spans="1:29" ht="16.3" hidden="1" outlineLevel="1" thickBot="1">
      <c r="A239" s="897" t="s">
        <v>1807</v>
      </c>
      <c r="B239" s="898" t="s">
        <v>30</v>
      </c>
      <c r="C239" s="898">
        <v>460</v>
      </c>
      <c r="D239" s="899">
        <v>850</v>
      </c>
      <c r="E239" s="1335">
        <v>600</v>
      </c>
      <c r="F239" s="899">
        <f t="shared" si="13"/>
        <v>598</v>
      </c>
      <c r="G239" s="900">
        <v>1</v>
      </c>
      <c r="H239" s="901"/>
      <c r="I239" s="902"/>
      <c r="J239" s="897"/>
      <c r="K239" s="903"/>
      <c r="L239" s="899">
        <f t="shared" si="12"/>
        <v>140</v>
      </c>
      <c r="M239" s="899"/>
      <c r="N239" s="904"/>
      <c r="O239" s="905"/>
      <c r="P239" s="899"/>
      <c r="Q239" s="899"/>
      <c r="R239" s="898"/>
      <c r="S239" s="899"/>
      <c r="T239" s="899"/>
      <c r="U239" s="904"/>
      <c r="V239" s="905"/>
      <c r="W239" s="902"/>
      <c r="X239" s="897"/>
      <c r="Y239" s="898"/>
      <c r="Z239" s="902"/>
      <c r="AA239" s="902"/>
      <c r="AB239" s="902"/>
      <c r="AC239" s="902"/>
    </row>
    <row r="240" spans="1:29" ht="16.3" hidden="1" outlineLevel="1" thickBot="1">
      <c r="A240" s="897" t="s">
        <v>1813</v>
      </c>
      <c r="B240" s="898" t="s">
        <v>505</v>
      </c>
      <c r="C240" s="898">
        <v>69</v>
      </c>
      <c r="D240" s="899">
        <v>600</v>
      </c>
      <c r="E240" s="1335">
        <v>600</v>
      </c>
      <c r="F240" s="899">
        <f t="shared" si="13"/>
        <v>89.7</v>
      </c>
      <c r="G240" s="900">
        <v>1</v>
      </c>
      <c r="H240" s="901"/>
      <c r="I240" s="902"/>
      <c r="J240" s="897"/>
      <c r="K240" s="903"/>
      <c r="L240" s="899">
        <f t="shared" si="12"/>
        <v>531</v>
      </c>
      <c r="M240" s="899"/>
      <c r="N240" s="904"/>
      <c r="O240" s="905"/>
      <c r="P240" s="899"/>
      <c r="Q240" s="899"/>
      <c r="R240" s="898"/>
      <c r="S240" s="899"/>
      <c r="T240" s="899"/>
      <c r="U240" s="904"/>
      <c r="V240" s="905"/>
      <c r="W240" s="902"/>
      <c r="X240" s="897"/>
      <c r="Y240" s="898"/>
      <c r="Z240" s="902"/>
      <c r="AA240" s="902"/>
      <c r="AB240" s="902"/>
      <c r="AC240" s="902"/>
    </row>
    <row r="241" spans="1:29" ht="16.3" hidden="1" outlineLevel="1" thickBot="1">
      <c r="A241" s="897" t="s">
        <v>945</v>
      </c>
      <c r="B241" s="898" t="s">
        <v>2748</v>
      </c>
      <c r="C241" s="898">
        <v>230</v>
      </c>
      <c r="D241" s="899">
        <v>600</v>
      </c>
      <c r="E241" s="1335">
        <v>600</v>
      </c>
      <c r="F241" s="899">
        <f t="shared" si="13"/>
        <v>299</v>
      </c>
      <c r="G241" s="900">
        <v>1</v>
      </c>
      <c r="H241" s="901"/>
      <c r="I241" s="902"/>
      <c r="J241" s="897"/>
      <c r="K241" s="903"/>
      <c r="L241" s="899">
        <f t="shared" si="12"/>
        <v>370</v>
      </c>
      <c r="M241" s="899"/>
      <c r="N241" s="904"/>
      <c r="O241" s="905"/>
      <c r="P241" s="899"/>
      <c r="Q241" s="899"/>
      <c r="R241" s="898"/>
      <c r="S241" s="899"/>
      <c r="T241" s="899"/>
      <c r="U241" s="904"/>
      <c r="V241" s="905"/>
      <c r="W241" s="902"/>
      <c r="X241" s="897"/>
      <c r="Y241" s="898"/>
      <c r="Z241" s="902"/>
      <c r="AA241" s="902"/>
      <c r="AB241" s="902"/>
      <c r="AC241" s="902"/>
    </row>
    <row r="242" spans="1:29" ht="16.3" hidden="1" outlineLevel="1" thickBot="1">
      <c r="A242" s="897" t="s">
        <v>1613</v>
      </c>
      <c r="B242" s="898" t="s">
        <v>32</v>
      </c>
      <c r="C242" s="898">
        <v>69</v>
      </c>
      <c r="D242" s="899">
        <v>200</v>
      </c>
      <c r="E242" s="1335">
        <v>200</v>
      </c>
      <c r="F242" s="899">
        <f t="shared" si="13"/>
        <v>89.7</v>
      </c>
      <c r="G242" s="900">
        <v>1</v>
      </c>
      <c r="H242" s="901"/>
      <c r="I242" s="902"/>
      <c r="J242" s="897"/>
      <c r="K242" s="903"/>
      <c r="L242" s="899">
        <f t="shared" si="12"/>
        <v>131</v>
      </c>
      <c r="M242" s="899"/>
      <c r="N242" s="904"/>
      <c r="O242" s="905"/>
      <c r="P242" s="899"/>
      <c r="Q242" s="899"/>
      <c r="R242" s="898"/>
      <c r="S242" s="899"/>
      <c r="T242" s="899"/>
      <c r="U242" s="904"/>
      <c r="V242" s="905"/>
      <c r="W242" s="902"/>
      <c r="X242" s="897"/>
      <c r="Y242" s="898"/>
      <c r="Z242" s="902"/>
      <c r="AA242" s="902"/>
      <c r="AB242" s="902"/>
      <c r="AC242" s="902"/>
    </row>
    <row r="243" spans="1:29" ht="16.3" hidden="1" outlineLevel="1" thickBot="1">
      <c r="A243" s="897" t="s">
        <v>1824</v>
      </c>
      <c r="B243" s="898" t="s">
        <v>861</v>
      </c>
      <c r="C243" s="898">
        <v>135</v>
      </c>
      <c r="D243" s="899">
        <v>600</v>
      </c>
      <c r="E243" s="1335">
        <v>600</v>
      </c>
      <c r="F243" s="899">
        <f t="shared" si="13"/>
        <v>175.5</v>
      </c>
      <c r="G243" s="900">
        <v>1</v>
      </c>
      <c r="H243" s="901"/>
      <c r="I243" s="902"/>
      <c r="J243" s="897"/>
      <c r="K243" s="903"/>
      <c r="L243" s="899">
        <f t="shared" si="12"/>
        <v>465</v>
      </c>
      <c r="M243" s="899"/>
      <c r="N243" s="904"/>
      <c r="O243" s="905"/>
      <c r="P243" s="899"/>
      <c r="Q243" s="899"/>
      <c r="R243" s="898"/>
      <c r="S243" s="899"/>
      <c r="T243" s="899"/>
      <c r="U243" s="904"/>
      <c r="V243" s="905"/>
      <c r="W243" s="902"/>
      <c r="X243" s="897"/>
      <c r="Y243" s="898"/>
      <c r="Z243" s="902"/>
      <c r="AA243" s="902"/>
      <c r="AB243" s="902"/>
      <c r="AC243" s="902"/>
    </row>
    <row r="244" spans="1:29" ht="16.3" hidden="1" outlineLevel="1" thickBot="1">
      <c r="A244" s="897" t="s">
        <v>527</v>
      </c>
      <c r="B244" s="898" t="s">
        <v>1831</v>
      </c>
      <c r="C244" s="898">
        <v>340</v>
      </c>
      <c r="D244" s="899">
        <v>1200</v>
      </c>
      <c r="E244" s="1335">
        <v>450</v>
      </c>
      <c r="F244" s="899">
        <f t="shared" si="13"/>
        <v>442</v>
      </c>
      <c r="G244" s="900">
        <v>1</v>
      </c>
      <c r="H244" s="901"/>
      <c r="I244" s="902"/>
      <c r="J244" s="897"/>
      <c r="K244" s="903"/>
      <c r="L244" s="899">
        <f t="shared" si="12"/>
        <v>110</v>
      </c>
      <c r="M244" s="899"/>
      <c r="N244" s="904"/>
      <c r="O244" s="905"/>
      <c r="P244" s="899"/>
      <c r="Q244" s="899"/>
      <c r="R244" s="898"/>
      <c r="S244" s="899"/>
      <c r="T244" s="899"/>
      <c r="U244" s="904"/>
      <c r="V244" s="905"/>
      <c r="W244" s="902"/>
      <c r="X244" s="897"/>
      <c r="Y244" s="898"/>
      <c r="Z244" s="902"/>
      <c r="AA244" s="902"/>
      <c r="AB244" s="902"/>
      <c r="AC244" s="902"/>
    </row>
    <row r="245" spans="1:29" ht="16.3" hidden="1" outlineLevel="1" thickBot="1">
      <c r="A245" s="897" t="s">
        <v>1861</v>
      </c>
      <c r="B245" s="898" t="s">
        <v>1862</v>
      </c>
      <c r="C245" s="898">
        <v>175</v>
      </c>
      <c r="D245" s="899">
        <v>1200</v>
      </c>
      <c r="E245" s="1335">
        <v>300</v>
      </c>
      <c r="F245" s="899">
        <f t="shared" si="13"/>
        <v>227.5</v>
      </c>
      <c r="G245" s="900">
        <v>1</v>
      </c>
      <c r="H245" s="901"/>
      <c r="I245" s="902"/>
      <c r="J245" s="897"/>
      <c r="K245" s="903"/>
      <c r="L245" s="899">
        <f t="shared" si="12"/>
        <v>125</v>
      </c>
      <c r="M245" s="899"/>
      <c r="N245" s="904"/>
      <c r="O245" s="905"/>
      <c r="P245" s="899"/>
      <c r="Q245" s="899"/>
      <c r="R245" s="898"/>
      <c r="S245" s="899"/>
      <c r="T245" s="899"/>
      <c r="U245" s="904"/>
      <c r="V245" s="905"/>
      <c r="W245" s="902"/>
      <c r="X245" s="897"/>
      <c r="Y245" s="898"/>
      <c r="Z245" s="902"/>
      <c r="AA245" s="902"/>
      <c r="AB245" s="902"/>
      <c r="AC245" s="902"/>
    </row>
    <row r="246" spans="1:29" ht="16.3" hidden="1" outlineLevel="1" thickBot="1">
      <c r="A246" s="897" t="s">
        <v>746</v>
      </c>
      <c r="B246" s="898" t="s">
        <v>746</v>
      </c>
      <c r="C246" s="898">
        <v>1610</v>
      </c>
      <c r="D246" s="899">
        <v>3700</v>
      </c>
      <c r="E246" s="1335">
        <v>2000</v>
      </c>
      <c r="F246" s="899">
        <f t="shared" si="13"/>
        <v>2093</v>
      </c>
      <c r="G246" s="900">
        <v>1</v>
      </c>
      <c r="H246" s="901"/>
      <c r="I246" s="902"/>
      <c r="J246" s="897"/>
      <c r="K246" s="903"/>
      <c r="L246" s="899">
        <f t="shared" si="12"/>
        <v>390</v>
      </c>
      <c r="M246" s="899"/>
      <c r="N246" s="904"/>
      <c r="O246" s="905"/>
      <c r="P246" s="899"/>
      <c r="Q246" s="899"/>
      <c r="R246" s="898"/>
      <c r="S246" s="899"/>
      <c r="T246" s="899"/>
      <c r="U246" s="904"/>
      <c r="V246" s="905"/>
      <c r="W246" s="902"/>
      <c r="X246" s="897"/>
      <c r="Y246" s="898"/>
      <c r="Z246" s="902"/>
      <c r="AA246" s="902"/>
      <c r="AB246" s="902"/>
      <c r="AC246" s="902"/>
    </row>
    <row r="247" spans="1:29" ht="16.3" hidden="1" outlineLevel="1" thickBot="1">
      <c r="A247" s="897" t="s">
        <v>1726</v>
      </c>
      <c r="B247" s="898" t="s">
        <v>66</v>
      </c>
      <c r="C247" s="898">
        <v>1610</v>
      </c>
      <c r="D247" s="899">
        <v>2900</v>
      </c>
      <c r="E247" s="1335">
        <v>2000</v>
      </c>
      <c r="F247" s="899">
        <f t="shared" si="13"/>
        <v>2093</v>
      </c>
      <c r="G247" s="900">
        <v>1</v>
      </c>
      <c r="H247" s="901"/>
      <c r="I247" s="902"/>
      <c r="J247" s="897"/>
      <c r="K247" s="903"/>
      <c r="L247" s="899">
        <f t="shared" si="12"/>
        <v>390</v>
      </c>
      <c r="M247" s="899"/>
      <c r="N247" s="904"/>
      <c r="O247" s="905"/>
      <c r="P247" s="899"/>
      <c r="Q247" s="899"/>
      <c r="R247" s="898"/>
      <c r="S247" s="899"/>
      <c r="T247" s="899"/>
      <c r="U247" s="904"/>
      <c r="V247" s="905"/>
      <c r="W247" s="902"/>
      <c r="X247" s="897"/>
      <c r="Y247" s="898"/>
      <c r="Z247" s="902"/>
      <c r="AA247" s="902"/>
      <c r="AB247" s="902"/>
      <c r="AC247" s="902"/>
    </row>
    <row r="248" spans="1:29" ht="16.3" hidden="1" outlineLevel="1" thickBot="1">
      <c r="A248" s="897" t="s">
        <v>54</v>
      </c>
      <c r="B248" s="898" t="s">
        <v>54</v>
      </c>
      <c r="C248" s="898">
        <v>1150</v>
      </c>
      <c r="D248" s="899">
        <v>1900</v>
      </c>
      <c r="E248" s="1335">
        <v>1900</v>
      </c>
      <c r="F248" s="899">
        <f t="shared" si="13"/>
        <v>1495</v>
      </c>
      <c r="G248" s="900">
        <v>1</v>
      </c>
      <c r="H248" s="901"/>
      <c r="I248" s="902"/>
      <c r="J248" s="897"/>
      <c r="K248" s="903"/>
      <c r="L248" s="899">
        <f t="shared" si="12"/>
        <v>750</v>
      </c>
      <c r="M248" s="899"/>
      <c r="N248" s="904"/>
      <c r="O248" s="905"/>
      <c r="P248" s="899"/>
      <c r="Q248" s="899"/>
      <c r="R248" s="898"/>
      <c r="S248" s="899"/>
      <c r="T248" s="899"/>
      <c r="U248" s="904"/>
      <c r="V248" s="905"/>
      <c r="W248" s="902"/>
      <c r="X248" s="897"/>
      <c r="Y248" s="898"/>
      <c r="Z248" s="902"/>
      <c r="AA248" s="902"/>
      <c r="AB248" s="902"/>
      <c r="AC248" s="902"/>
    </row>
    <row r="249" spans="1:29" ht="16.3" hidden="1" outlineLevel="1" thickBot="1">
      <c r="A249" s="897" t="s">
        <v>674</v>
      </c>
      <c r="B249" s="898" t="s">
        <v>674</v>
      </c>
      <c r="C249" s="898">
        <v>1955</v>
      </c>
      <c r="D249" s="899">
        <v>3800</v>
      </c>
      <c r="E249" s="1335">
        <v>3800</v>
      </c>
      <c r="F249" s="899">
        <f t="shared" si="13"/>
        <v>2541.5</v>
      </c>
      <c r="G249" s="900">
        <v>1</v>
      </c>
      <c r="H249" s="901"/>
      <c r="I249" s="902"/>
      <c r="J249" s="897"/>
      <c r="K249" s="903"/>
      <c r="L249" s="899">
        <f t="shared" si="12"/>
        <v>1845</v>
      </c>
      <c r="M249" s="899"/>
      <c r="N249" s="904"/>
      <c r="O249" s="905"/>
      <c r="P249" s="899"/>
      <c r="Q249" s="899"/>
      <c r="R249" s="898"/>
      <c r="S249" s="899"/>
      <c r="T249" s="899"/>
      <c r="U249" s="904"/>
      <c r="V249" s="905"/>
      <c r="W249" s="902"/>
      <c r="X249" s="897"/>
      <c r="Y249" s="898"/>
      <c r="Z249" s="902"/>
      <c r="AA249" s="902"/>
      <c r="AB249" s="902"/>
      <c r="AC249" s="902"/>
    </row>
    <row r="250" spans="1:29" ht="16.3" hidden="1" outlineLevel="1" thickBot="1">
      <c r="A250" s="897" t="s">
        <v>1592</v>
      </c>
      <c r="B250" s="898" t="s">
        <v>53</v>
      </c>
      <c r="C250" s="898">
        <v>1380</v>
      </c>
      <c r="D250" s="899">
        <v>3200</v>
      </c>
      <c r="E250" s="1335">
        <v>3200</v>
      </c>
      <c r="F250" s="899">
        <f t="shared" si="13"/>
        <v>1794</v>
      </c>
      <c r="G250" s="900">
        <v>1</v>
      </c>
      <c r="H250" s="901"/>
      <c r="I250" s="902"/>
      <c r="J250" s="897"/>
      <c r="K250" s="903"/>
      <c r="L250" s="899">
        <f t="shared" si="12"/>
        <v>1820</v>
      </c>
      <c r="M250" s="899"/>
      <c r="N250" s="904"/>
      <c r="O250" s="905"/>
      <c r="P250" s="899"/>
      <c r="Q250" s="899"/>
      <c r="R250" s="898"/>
      <c r="S250" s="899"/>
      <c r="T250" s="899"/>
      <c r="U250" s="904"/>
      <c r="V250" s="905"/>
      <c r="W250" s="902"/>
      <c r="X250" s="897"/>
      <c r="Y250" s="898"/>
      <c r="Z250" s="902"/>
      <c r="AA250" s="902"/>
      <c r="AB250" s="902"/>
      <c r="AC250" s="902"/>
    </row>
    <row r="251" spans="1:29" ht="16.3" hidden="1" outlineLevel="1" thickBot="1">
      <c r="A251" s="897" t="s">
        <v>1717</v>
      </c>
      <c r="B251" s="898" t="s">
        <v>506</v>
      </c>
      <c r="C251" s="898">
        <v>1610</v>
      </c>
      <c r="D251" s="899">
        <v>2900</v>
      </c>
      <c r="E251" s="1335">
        <v>2900</v>
      </c>
      <c r="F251" s="899">
        <f t="shared" si="13"/>
        <v>2093</v>
      </c>
      <c r="G251" s="900">
        <v>1</v>
      </c>
      <c r="H251" s="901"/>
      <c r="I251" s="902"/>
      <c r="J251" s="897"/>
      <c r="K251" s="903"/>
      <c r="L251" s="899">
        <f t="shared" si="12"/>
        <v>1290</v>
      </c>
      <c r="M251" s="899"/>
      <c r="N251" s="904"/>
      <c r="O251" s="905"/>
      <c r="P251" s="899"/>
      <c r="Q251" s="899"/>
      <c r="R251" s="898"/>
      <c r="S251" s="899"/>
      <c r="T251" s="899"/>
      <c r="U251" s="904"/>
      <c r="V251" s="905"/>
      <c r="W251" s="902"/>
      <c r="X251" s="897"/>
      <c r="Y251" s="898"/>
      <c r="Z251" s="902"/>
      <c r="AA251" s="902"/>
      <c r="AB251" s="902"/>
      <c r="AC251" s="902"/>
    </row>
    <row r="252" spans="1:29" ht="16.3" hidden="1" outlineLevel="1" thickBot="1">
      <c r="A252" s="897" t="s">
        <v>1481</v>
      </c>
      <c r="B252" s="898" t="s">
        <v>65</v>
      </c>
      <c r="C252" s="898">
        <v>1610</v>
      </c>
      <c r="D252" s="899">
        <v>3100</v>
      </c>
      <c r="E252" s="1335">
        <v>3100</v>
      </c>
      <c r="F252" s="899">
        <f t="shared" si="13"/>
        <v>2093</v>
      </c>
      <c r="G252" s="900">
        <v>1</v>
      </c>
      <c r="H252" s="901"/>
      <c r="I252" s="902"/>
      <c r="J252" s="897"/>
      <c r="K252" s="903"/>
      <c r="L252" s="899">
        <f t="shared" si="12"/>
        <v>1490</v>
      </c>
      <c r="M252" s="899"/>
      <c r="N252" s="904"/>
      <c r="O252" s="905"/>
      <c r="P252" s="899"/>
      <c r="Q252" s="899"/>
      <c r="R252" s="898"/>
      <c r="S252" s="899"/>
      <c r="T252" s="899"/>
      <c r="U252" s="904"/>
      <c r="V252" s="905"/>
      <c r="W252" s="902"/>
      <c r="X252" s="897"/>
      <c r="Y252" s="898"/>
      <c r="Z252" s="902"/>
      <c r="AA252" s="902"/>
      <c r="AB252" s="902"/>
      <c r="AC252" s="902"/>
    </row>
    <row r="253" spans="1:29" ht="16.3" hidden="1" outlineLevel="1" thickBot="1">
      <c r="A253" s="897" t="s">
        <v>1127</v>
      </c>
      <c r="B253" s="898" t="s">
        <v>72</v>
      </c>
      <c r="C253" s="898">
        <v>8500</v>
      </c>
      <c r="D253" s="899">
        <v>10000</v>
      </c>
      <c r="E253" s="1335">
        <v>10000</v>
      </c>
      <c r="F253" s="899">
        <f t="shared" si="13"/>
        <v>11050</v>
      </c>
      <c r="G253" s="897">
        <v>5</v>
      </c>
      <c r="H253" s="901"/>
      <c r="I253" s="902"/>
      <c r="J253" s="897"/>
      <c r="K253" s="903"/>
      <c r="L253" s="899">
        <f t="shared" si="12"/>
        <v>1500</v>
      </c>
      <c r="M253" s="899"/>
      <c r="N253" s="904"/>
      <c r="O253" s="905"/>
      <c r="P253" s="899"/>
      <c r="Q253" s="899"/>
      <c r="R253" s="898"/>
      <c r="S253" s="899"/>
      <c r="T253" s="899"/>
      <c r="U253" s="904"/>
      <c r="V253" s="905"/>
      <c r="W253" s="902"/>
      <c r="X253" s="897"/>
      <c r="Y253" s="898"/>
      <c r="Z253" s="902"/>
      <c r="AA253" s="902"/>
      <c r="AB253" s="902"/>
      <c r="AC253" s="902"/>
    </row>
    <row r="254" spans="1:29" ht="16.3" hidden="1" outlineLevel="1" thickBot="1">
      <c r="A254" s="897" t="s">
        <v>1403</v>
      </c>
      <c r="B254" s="898" t="s">
        <v>77</v>
      </c>
      <c r="C254" s="898">
        <v>4350</v>
      </c>
      <c r="D254" s="899">
        <v>5500</v>
      </c>
      <c r="E254" s="1335">
        <v>5500</v>
      </c>
      <c r="F254" s="899">
        <f t="shared" si="13"/>
        <v>5655</v>
      </c>
      <c r="G254" s="897">
        <v>17</v>
      </c>
      <c r="H254" s="901"/>
      <c r="I254" s="912"/>
      <c r="J254" s="913"/>
      <c r="K254" s="903"/>
      <c r="L254" s="899">
        <f t="shared" si="12"/>
        <v>1150</v>
      </c>
      <c r="M254" s="899"/>
      <c r="N254" s="904"/>
      <c r="O254" s="905"/>
      <c r="P254" s="899"/>
      <c r="Q254" s="899"/>
      <c r="R254" s="898"/>
      <c r="S254" s="899"/>
      <c r="T254" s="899"/>
      <c r="U254" s="904"/>
      <c r="V254" s="905"/>
      <c r="W254" s="902"/>
      <c r="X254" s="897"/>
      <c r="Y254" s="898"/>
      <c r="Z254" s="902"/>
      <c r="AA254" s="902"/>
      <c r="AB254" s="902"/>
      <c r="AC254" s="902"/>
    </row>
    <row r="255" spans="1:29" ht="16.3" hidden="1" outlineLevel="1" thickBot="1">
      <c r="A255" s="897" t="s">
        <v>1792</v>
      </c>
      <c r="B255" s="898" t="s">
        <v>2356</v>
      </c>
      <c r="C255" s="898">
        <v>2530</v>
      </c>
      <c r="D255" s="899">
        <v>3200</v>
      </c>
      <c r="E255" s="1335">
        <v>3200</v>
      </c>
      <c r="F255" s="899">
        <f t="shared" si="13"/>
        <v>3289</v>
      </c>
      <c r="G255" s="900">
        <v>1</v>
      </c>
      <c r="H255" s="901"/>
      <c r="I255" s="912"/>
      <c r="J255" s="913"/>
      <c r="K255" s="903"/>
      <c r="L255" s="899">
        <f t="shared" si="12"/>
        <v>670</v>
      </c>
      <c r="M255" s="899"/>
      <c r="N255" s="904"/>
      <c r="O255" s="905"/>
      <c r="P255" s="899"/>
      <c r="Q255" s="899"/>
      <c r="R255" s="898"/>
      <c r="S255" s="899"/>
      <c r="T255" s="899"/>
      <c r="U255" s="904"/>
      <c r="V255" s="905"/>
      <c r="W255" s="902"/>
      <c r="X255" s="897"/>
      <c r="Y255" s="898"/>
      <c r="Z255" s="902"/>
      <c r="AA255" s="902"/>
      <c r="AB255" s="902"/>
      <c r="AC255" s="902"/>
    </row>
    <row r="256" spans="1:29" ht="16.3" hidden="1" outlineLevel="1" thickBot="1">
      <c r="A256" s="897" t="s">
        <v>1507</v>
      </c>
      <c r="B256" s="898" t="s">
        <v>1508</v>
      </c>
      <c r="C256" s="898">
        <v>1380</v>
      </c>
      <c r="D256" s="899">
        <v>4500</v>
      </c>
      <c r="E256" s="1335">
        <v>1700</v>
      </c>
      <c r="F256" s="899">
        <f t="shared" si="13"/>
        <v>1794</v>
      </c>
      <c r="G256" s="900">
        <v>1</v>
      </c>
      <c r="H256" s="901"/>
      <c r="I256" s="918"/>
      <c r="J256" s="913"/>
      <c r="K256" s="903"/>
      <c r="L256" s="899">
        <f t="shared" si="12"/>
        <v>320</v>
      </c>
      <c r="M256" s="899"/>
      <c r="N256" s="904"/>
      <c r="O256" s="905"/>
      <c r="P256" s="899"/>
      <c r="Q256" s="899"/>
      <c r="R256" s="898"/>
      <c r="S256" s="899"/>
      <c r="T256" s="899"/>
      <c r="U256" s="904"/>
      <c r="V256" s="905"/>
      <c r="W256" s="902"/>
      <c r="X256" s="897"/>
      <c r="Y256" s="898"/>
      <c r="Z256" s="902"/>
      <c r="AA256" s="902"/>
      <c r="AB256" s="902"/>
      <c r="AC256" s="902"/>
    </row>
    <row r="257" spans="1:29" ht="16.3" hidden="1" outlineLevel="1" thickBot="1">
      <c r="A257" s="897" t="s">
        <v>662</v>
      </c>
      <c r="B257" s="898"/>
      <c r="C257" s="898"/>
      <c r="D257" s="899"/>
      <c r="E257" s="1335"/>
      <c r="F257" s="899">
        <f t="shared" si="13"/>
        <v>0</v>
      </c>
      <c r="G257" s="900">
        <v>1</v>
      </c>
      <c r="H257" s="901"/>
      <c r="I257" s="902"/>
      <c r="J257" s="897"/>
      <c r="K257" s="903"/>
      <c r="L257" s="899">
        <f t="shared" si="12"/>
        <v>0</v>
      </c>
      <c r="M257" s="899"/>
      <c r="N257" s="904"/>
      <c r="O257" s="905"/>
      <c r="P257" s="899"/>
      <c r="Q257" s="899"/>
      <c r="R257" s="898"/>
      <c r="S257" s="899"/>
      <c r="T257" s="899"/>
      <c r="U257" s="904"/>
      <c r="V257" s="905"/>
      <c r="W257" s="902"/>
      <c r="X257" s="897"/>
      <c r="Y257" s="898"/>
      <c r="Z257" s="902"/>
      <c r="AA257" s="902"/>
      <c r="AB257" s="902"/>
      <c r="AC257" s="902"/>
    </row>
    <row r="258" spans="1:29" ht="16.3" hidden="1" outlineLevel="1" thickBot="1">
      <c r="A258" s="897" t="s">
        <v>1530</v>
      </c>
      <c r="B258" s="898" t="s">
        <v>1530</v>
      </c>
      <c r="C258" s="898">
        <v>1724.9999999999998</v>
      </c>
      <c r="D258" s="899">
        <v>2900</v>
      </c>
      <c r="E258" s="1335">
        <v>2900</v>
      </c>
      <c r="F258" s="899">
        <f t="shared" si="13"/>
        <v>2242.5</v>
      </c>
      <c r="G258" s="900">
        <v>1</v>
      </c>
      <c r="H258" s="901"/>
      <c r="I258" s="902"/>
      <c r="J258" s="897"/>
      <c r="K258" s="903"/>
      <c r="L258" s="899">
        <f t="shared" si="12"/>
        <v>1175.0000000000002</v>
      </c>
      <c r="M258" s="899"/>
      <c r="N258" s="904"/>
      <c r="O258" s="905"/>
      <c r="P258" s="899"/>
      <c r="Q258" s="899"/>
      <c r="R258" s="898"/>
      <c r="S258" s="899"/>
      <c r="T258" s="899"/>
      <c r="U258" s="904"/>
      <c r="V258" s="905"/>
      <c r="W258" s="902"/>
      <c r="X258" s="897"/>
      <c r="Y258" s="898"/>
      <c r="Z258" s="902"/>
      <c r="AA258" s="902"/>
      <c r="AB258" s="902"/>
      <c r="AC258" s="902"/>
    </row>
    <row r="259" spans="1:29" ht="16.3" hidden="1" outlineLevel="1" thickBot="1">
      <c r="A259" s="897" t="s">
        <v>1531</v>
      </c>
      <c r="B259" s="898" t="s">
        <v>1531</v>
      </c>
      <c r="C259" s="898">
        <v>1724.9999999999998</v>
      </c>
      <c r="D259" s="899">
        <v>2900</v>
      </c>
      <c r="E259" s="1335">
        <v>2900</v>
      </c>
      <c r="F259" s="899">
        <f t="shared" si="13"/>
        <v>2242.5</v>
      </c>
      <c r="G259" s="900">
        <v>1</v>
      </c>
      <c r="H259" s="901"/>
      <c r="I259" s="902"/>
      <c r="J259" s="897"/>
      <c r="K259" s="903"/>
      <c r="L259" s="899">
        <f t="shared" si="12"/>
        <v>1175.0000000000002</v>
      </c>
      <c r="M259" s="899"/>
      <c r="N259" s="904"/>
      <c r="O259" s="905"/>
      <c r="P259" s="899"/>
      <c r="Q259" s="899"/>
      <c r="R259" s="898"/>
      <c r="S259" s="899"/>
      <c r="T259" s="899"/>
      <c r="U259" s="904"/>
      <c r="V259" s="905"/>
      <c r="W259" s="902"/>
      <c r="X259" s="897"/>
      <c r="Y259" s="898"/>
      <c r="Z259" s="902"/>
      <c r="AA259" s="902"/>
      <c r="AB259" s="902"/>
      <c r="AC259" s="902"/>
    </row>
    <row r="260" spans="1:29" ht="16.3" hidden="1" outlineLevel="1" thickBot="1">
      <c r="A260" s="897" t="s">
        <v>1595</v>
      </c>
      <c r="B260" s="898" t="s">
        <v>484</v>
      </c>
      <c r="C260" s="898">
        <v>1380</v>
      </c>
      <c r="D260" s="899">
        <v>3200</v>
      </c>
      <c r="E260" s="1335">
        <v>3200</v>
      </c>
      <c r="F260" s="899">
        <f t="shared" si="13"/>
        <v>1794</v>
      </c>
      <c r="G260" s="900">
        <v>1</v>
      </c>
      <c r="H260" s="901"/>
      <c r="I260" s="912"/>
      <c r="J260" s="913"/>
      <c r="K260" s="903"/>
      <c r="L260" s="899">
        <f t="shared" si="12"/>
        <v>1820</v>
      </c>
      <c r="M260" s="899"/>
      <c r="N260" s="904"/>
      <c r="O260" s="905"/>
      <c r="P260" s="899"/>
      <c r="Q260" s="899"/>
      <c r="R260" s="898"/>
      <c r="S260" s="899"/>
      <c r="T260" s="899"/>
      <c r="U260" s="904"/>
      <c r="V260" s="905"/>
      <c r="W260" s="902"/>
      <c r="X260" s="897"/>
      <c r="Y260" s="898"/>
      <c r="Z260" s="902"/>
      <c r="AA260" s="902"/>
      <c r="AB260" s="902"/>
      <c r="AC260" s="902"/>
    </row>
    <row r="261" spans="1:29" ht="16.3" hidden="1" outlineLevel="1" thickBot="1">
      <c r="A261" s="897" t="s">
        <v>1599</v>
      </c>
      <c r="B261" s="898" t="s">
        <v>482</v>
      </c>
      <c r="C261" s="898">
        <v>1380</v>
      </c>
      <c r="D261" s="899">
        <v>3200</v>
      </c>
      <c r="E261" s="1335">
        <v>3200</v>
      </c>
      <c r="F261" s="899">
        <f t="shared" si="13"/>
        <v>1794</v>
      </c>
      <c r="G261" s="900">
        <v>1</v>
      </c>
      <c r="H261" s="901"/>
      <c r="I261" s="912"/>
      <c r="J261" s="913"/>
      <c r="K261" s="903"/>
      <c r="L261" s="899">
        <f t="shared" si="12"/>
        <v>1820</v>
      </c>
      <c r="M261" s="899"/>
      <c r="N261" s="904"/>
      <c r="O261" s="905"/>
      <c r="P261" s="899"/>
      <c r="Q261" s="899"/>
      <c r="R261" s="898"/>
      <c r="S261" s="899"/>
      <c r="T261" s="899"/>
      <c r="U261" s="904"/>
      <c r="V261" s="905"/>
      <c r="W261" s="902"/>
      <c r="X261" s="897"/>
      <c r="Y261" s="898"/>
      <c r="Z261" s="902"/>
      <c r="AA261" s="902"/>
      <c r="AB261" s="902"/>
      <c r="AC261" s="902"/>
    </row>
    <row r="262" spans="1:29" ht="16.3" hidden="1" outlineLevel="1" thickBot="1">
      <c r="A262" s="897" t="s">
        <v>1373</v>
      </c>
      <c r="B262" s="898" t="s">
        <v>1374</v>
      </c>
      <c r="C262" s="898">
        <v>207</v>
      </c>
      <c r="D262" s="899">
        <v>600</v>
      </c>
      <c r="E262" s="1335">
        <v>600</v>
      </c>
      <c r="F262" s="899">
        <f t="shared" si="13"/>
        <v>269.10000000000002</v>
      </c>
      <c r="G262" s="900">
        <v>1</v>
      </c>
      <c r="H262" s="901"/>
      <c r="I262" s="915"/>
      <c r="J262" s="916"/>
      <c r="K262" s="903"/>
      <c r="L262" s="899">
        <f t="shared" si="12"/>
        <v>393</v>
      </c>
      <c r="M262" s="899"/>
      <c r="N262" s="904"/>
      <c r="O262" s="905"/>
      <c r="P262" s="899"/>
      <c r="Q262" s="899"/>
      <c r="R262" s="898"/>
      <c r="S262" s="899"/>
      <c r="T262" s="899"/>
      <c r="U262" s="904"/>
      <c r="V262" s="905"/>
      <c r="W262" s="902"/>
      <c r="X262" s="897"/>
      <c r="Y262" s="898"/>
      <c r="Z262" s="902"/>
      <c r="AA262" s="902"/>
      <c r="AB262" s="902"/>
      <c r="AC262" s="902"/>
    </row>
    <row r="263" spans="1:29" ht="16.3" collapsed="1" thickBot="1">
      <c r="A263" s="924" t="s">
        <v>1131</v>
      </c>
      <c r="B263" s="892" t="s">
        <v>5883</v>
      </c>
      <c r="C263" s="892">
        <f>SUM(C264:C271)</f>
        <v>11008</v>
      </c>
      <c r="D263" s="893">
        <f>SUM(D264:D271)</f>
        <v>18800</v>
      </c>
      <c r="E263" s="1344">
        <v>12990</v>
      </c>
      <c r="F263" s="893">
        <f>SUM(F264:F271)</f>
        <v>14310.4</v>
      </c>
      <c r="G263" s="894">
        <v>1</v>
      </c>
      <c r="H263" s="901"/>
      <c r="I263" s="902" t="str">
        <f>IF(H263="x",CONCATENATE(A263,"; "),"")</f>
        <v/>
      </c>
      <c r="J263" s="897"/>
      <c r="K263" s="903"/>
      <c r="L263" s="899">
        <f t="shared" si="12"/>
        <v>1982</v>
      </c>
      <c r="M263" s="899"/>
      <c r="N263" s="904"/>
      <c r="O263" s="905"/>
      <c r="P263" s="899"/>
      <c r="Q263" s="899"/>
      <c r="R263" s="898"/>
      <c r="S263" s="899"/>
      <c r="T263" s="899"/>
      <c r="U263" s="904"/>
      <c r="V263" s="905"/>
      <c r="W263" s="902"/>
      <c r="X263" s="897"/>
      <c r="Y263" s="898"/>
      <c r="Z263" s="902"/>
      <c r="AA263" s="902"/>
      <c r="AB263" s="902"/>
      <c r="AC263" s="902"/>
    </row>
    <row r="264" spans="1:29" ht="16.3" hidden="1" outlineLevel="1" thickBot="1">
      <c r="A264" s="897" t="s">
        <v>1613</v>
      </c>
      <c r="B264" s="898" t="s">
        <v>32</v>
      </c>
      <c r="C264" s="898">
        <v>69</v>
      </c>
      <c r="D264" s="899">
        <v>200</v>
      </c>
      <c r="E264" s="1335">
        <v>200</v>
      </c>
      <c r="F264" s="899">
        <f t="shared" ref="F264:F271" si="14">C264*1.3</f>
        <v>89.7</v>
      </c>
      <c r="G264" s="900">
        <v>1</v>
      </c>
      <c r="H264" s="901"/>
      <c r="I264" s="902"/>
      <c r="J264" s="910"/>
      <c r="K264" s="903"/>
      <c r="L264" s="899">
        <f t="shared" si="12"/>
        <v>131</v>
      </c>
      <c r="M264" s="903"/>
      <c r="N264" s="903"/>
      <c r="O264" s="903"/>
      <c r="P264" s="903"/>
      <c r="Q264" s="902"/>
      <c r="R264" s="902"/>
      <c r="S264" s="903"/>
      <c r="T264" s="902"/>
      <c r="U264" s="902"/>
      <c r="V264" s="902"/>
      <c r="W264" s="902"/>
      <c r="X264" s="902"/>
      <c r="Y264" s="902"/>
      <c r="Z264" s="902"/>
      <c r="AA264" s="902"/>
      <c r="AB264" s="902"/>
      <c r="AC264" s="902"/>
    </row>
    <row r="265" spans="1:29" ht="16.3" hidden="1" outlineLevel="1" thickBot="1">
      <c r="A265" s="897" t="s">
        <v>945</v>
      </c>
      <c r="B265" s="898" t="s">
        <v>2748</v>
      </c>
      <c r="C265" s="898">
        <v>230</v>
      </c>
      <c r="D265" s="899">
        <v>600</v>
      </c>
      <c r="E265" s="1335">
        <v>600</v>
      </c>
      <c r="F265" s="899">
        <f t="shared" si="14"/>
        <v>299</v>
      </c>
      <c r="G265" s="900">
        <v>1</v>
      </c>
      <c r="H265" s="901"/>
      <c r="I265" s="902"/>
      <c r="J265" s="897"/>
      <c r="K265" s="903"/>
      <c r="L265" s="899">
        <f t="shared" si="12"/>
        <v>370</v>
      </c>
      <c r="M265" s="899"/>
      <c r="N265" s="904"/>
      <c r="O265" s="905"/>
      <c r="P265" s="899"/>
      <c r="Q265" s="899"/>
      <c r="R265" s="898"/>
      <c r="S265" s="899"/>
      <c r="T265" s="899"/>
      <c r="U265" s="904"/>
      <c r="V265" s="905"/>
      <c r="W265" s="902"/>
      <c r="X265" s="897"/>
      <c r="Y265" s="898"/>
      <c r="Z265" s="902"/>
      <c r="AA265" s="902"/>
      <c r="AB265" s="902"/>
      <c r="AC265" s="902"/>
    </row>
    <row r="266" spans="1:29" ht="16.3" hidden="1" outlineLevel="1" thickBot="1">
      <c r="A266" s="897" t="s">
        <v>1813</v>
      </c>
      <c r="B266" s="898" t="s">
        <v>505</v>
      </c>
      <c r="C266" s="898">
        <v>69</v>
      </c>
      <c r="D266" s="899">
        <v>600</v>
      </c>
      <c r="E266" s="1335">
        <v>600</v>
      </c>
      <c r="F266" s="899">
        <f t="shared" si="14"/>
        <v>89.7</v>
      </c>
      <c r="G266" s="900">
        <v>1</v>
      </c>
      <c r="H266" s="901"/>
      <c r="I266" s="902"/>
      <c r="J266" s="897"/>
      <c r="K266" s="903"/>
      <c r="L266" s="899">
        <f t="shared" si="12"/>
        <v>531</v>
      </c>
      <c r="M266" s="899"/>
      <c r="N266" s="904"/>
      <c r="O266" s="905"/>
      <c r="P266" s="899"/>
      <c r="Q266" s="899"/>
      <c r="R266" s="898"/>
      <c r="S266" s="899"/>
      <c r="T266" s="899"/>
      <c r="U266" s="904"/>
      <c r="V266" s="905"/>
      <c r="W266" s="902"/>
      <c r="X266" s="897"/>
      <c r="Y266" s="898"/>
      <c r="Z266" s="902"/>
      <c r="AA266" s="902"/>
      <c r="AB266" s="902"/>
      <c r="AC266" s="902"/>
    </row>
    <row r="267" spans="1:29" ht="16.3" hidden="1" outlineLevel="1" thickBot="1">
      <c r="A267" s="897" t="s">
        <v>1545</v>
      </c>
      <c r="B267" s="898" t="s">
        <v>1546</v>
      </c>
      <c r="C267" s="898">
        <v>1380</v>
      </c>
      <c r="D267" s="899">
        <v>4200</v>
      </c>
      <c r="E267" s="1335">
        <v>4200</v>
      </c>
      <c r="F267" s="899">
        <f t="shared" si="14"/>
        <v>1794</v>
      </c>
      <c r="G267" s="900">
        <v>1</v>
      </c>
      <c r="H267" s="901"/>
      <c r="I267" s="902"/>
      <c r="J267" s="897"/>
      <c r="K267" s="903"/>
      <c r="L267" s="899">
        <f t="shared" si="12"/>
        <v>2820</v>
      </c>
      <c r="M267" s="899"/>
      <c r="N267" s="904"/>
      <c r="O267" s="905"/>
      <c r="P267" s="899"/>
      <c r="Q267" s="899"/>
      <c r="R267" s="898"/>
      <c r="S267" s="899"/>
      <c r="T267" s="899"/>
      <c r="U267" s="904"/>
      <c r="V267" s="905"/>
      <c r="W267" s="902"/>
      <c r="X267" s="897"/>
      <c r="Y267" s="898"/>
      <c r="Z267" s="902"/>
      <c r="AA267" s="902"/>
      <c r="AB267" s="902"/>
      <c r="AC267" s="902"/>
    </row>
    <row r="268" spans="1:29" ht="16.3" hidden="1" outlineLevel="1" thickBot="1">
      <c r="A268" s="897" t="s">
        <v>1800</v>
      </c>
      <c r="B268" s="898" t="s">
        <v>1801</v>
      </c>
      <c r="C268" s="898">
        <v>6325</v>
      </c>
      <c r="D268" s="899">
        <v>7700</v>
      </c>
      <c r="E268" s="1335">
        <v>7700</v>
      </c>
      <c r="F268" s="899">
        <f t="shared" si="14"/>
        <v>8222.5</v>
      </c>
      <c r="G268" s="897">
        <v>1</v>
      </c>
      <c r="H268" s="901"/>
      <c r="I268" s="902"/>
      <c r="J268" s="897"/>
      <c r="K268" s="903"/>
      <c r="L268" s="899">
        <f t="shared" si="12"/>
        <v>1375</v>
      </c>
      <c r="M268" s="899"/>
      <c r="N268" s="904"/>
      <c r="O268" s="905"/>
      <c r="P268" s="899"/>
      <c r="Q268" s="899"/>
      <c r="R268" s="898"/>
      <c r="S268" s="899"/>
      <c r="T268" s="899"/>
      <c r="U268" s="904"/>
      <c r="V268" s="905"/>
      <c r="W268" s="902"/>
      <c r="X268" s="897"/>
      <c r="Y268" s="898"/>
      <c r="Z268" s="902"/>
      <c r="AA268" s="902"/>
      <c r="AB268" s="902"/>
      <c r="AC268" s="902"/>
    </row>
    <row r="269" spans="1:29" ht="16.3" hidden="1" outlineLevel="1" thickBot="1">
      <c r="A269" s="897" t="s">
        <v>1726</v>
      </c>
      <c r="B269" s="898" t="s">
        <v>66</v>
      </c>
      <c r="C269" s="898">
        <v>1610</v>
      </c>
      <c r="D269" s="899">
        <v>2900</v>
      </c>
      <c r="E269" s="1335">
        <v>2900</v>
      </c>
      <c r="F269" s="899">
        <f t="shared" si="14"/>
        <v>2093</v>
      </c>
      <c r="G269" s="897">
        <v>1</v>
      </c>
      <c r="H269" s="901"/>
      <c r="I269" s="912"/>
      <c r="J269" s="921"/>
      <c r="K269" s="903"/>
      <c r="L269" s="899">
        <f t="shared" si="12"/>
        <v>1290</v>
      </c>
      <c r="M269" s="899"/>
      <c r="N269" s="904"/>
      <c r="O269" s="905"/>
      <c r="P269" s="899"/>
      <c r="Q269" s="899"/>
      <c r="R269" s="898"/>
      <c r="S269" s="899"/>
      <c r="T269" s="899"/>
      <c r="U269" s="904"/>
      <c r="V269" s="905"/>
      <c r="W269" s="902"/>
      <c r="X269" s="897"/>
      <c r="Y269" s="898"/>
      <c r="Z269" s="902"/>
      <c r="AA269" s="902"/>
      <c r="AB269" s="902"/>
      <c r="AC269" s="902"/>
    </row>
    <row r="270" spans="1:29" ht="16.3" hidden="1" outlineLevel="1" thickBot="1">
      <c r="A270" s="897" t="s">
        <v>54</v>
      </c>
      <c r="B270" s="898" t="s">
        <v>54</v>
      </c>
      <c r="C270" s="898">
        <v>1150</v>
      </c>
      <c r="D270" s="899">
        <v>1900</v>
      </c>
      <c r="E270" s="1335">
        <v>1900</v>
      </c>
      <c r="F270" s="899">
        <f t="shared" si="14"/>
        <v>1495</v>
      </c>
      <c r="G270" s="897">
        <v>1</v>
      </c>
      <c r="H270" s="901"/>
      <c r="I270" s="902"/>
      <c r="J270" s="897"/>
      <c r="K270" s="903"/>
      <c r="L270" s="899">
        <f t="shared" si="12"/>
        <v>750</v>
      </c>
      <c r="M270" s="899"/>
      <c r="N270" s="904"/>
      <c r="O270" s="905"/>
      <c r="P270" s="899"/>
      <c r="Q270" s="899"/>
      <c r="R270" s="898"/>
      <c r="S270" s="899"/>
      <c r="T270" s="899"/>
      <c r="U270" s="904"/>
      <c r="V270" s="905"/>
      <c r="W270" s="902"/>
      <c r="X270" s="897"/>
      <c r="Y270" s="898"/>
      <c r="Z270" s="902"/>
      <c r="AA270" s="902"/>
      <c r="AB270" s="902"/>
      <c r="AC270" s="902"/>
    </row>
    <row r="271" spans="1:29" ht="16.3" hidden="1" outlineLevel="1" thickBot="1">
      <c r="A271" s="918" t="s">
        <v>948</v>
      </c>
      <c r="B271" s="918" t="s">
        <v>1628</v>
      </c>
      <c r="C271" s="898">
        <v>175</v>
      </c>
      <c r="D271" s="899">
        <v>700</v>
      </c>
      <c r="E271" s="1335">
        <v>700</v>
      </c>
      <c r="F271" s="899">
        <f t="shared" si="14"/>
        <v>227.5</v>
      </c>
      <c r="G271" s="897">
        <v>1</v>
      </c>
      <c r="H271" s="901"/>
      <c r="I271" s="918"/>
      <c r="J271" s="913"/>
      <c r="K271" s="903"/>
      <c r="L271" s="899">
        <f t="shared" si="12"/>
        <v>525</v>
      </c>
      <c r="M271" s="899"/>
      <c r="N271" s="904"/>
      <c r="O271" s="905"/>
      <c r="P271" s="899"/>
      <c r="Q271" s="899"/>
      <c r="R271" s="898"/>
      <c r="S271" s="899"/>
      <c r="T271" s="899"/>
      <c r="U271" s="904"/>
      <c r="V271" s="905"/>
      <c r="W271" s="902"/>
      <c r="X271" s="897"/>
      <c r="Y271" s="898"/>
      <c r="Z271" s="902"/>
      <c r="AA271" s="902"/>
      <c r="AB271" s="902"/>
      <c r="AC271" s="902"/>
    </row>
    <row r="272" spans="1:29" ht="16.3" collapsed="1" thickBot="1">
      <c r="A272" s="925" t="s">
        <v>1132</v>
      </c>
      <c r="B272" s="907" t="s">
        <v>5884</v>
      </c>
      <c r="C272" s="907">
        <f>SUM(C273:C283)</f>
        <v>30778</v>
      </c>
      <c r="D272" s="908">
        <f>SUM(D273:D283)</f>
        <v>46000</v>
      </c>
      <c r="E272" s="1340">
        <v>37990</v>
      </c>
      <c r="F272" s="908">
        <f>SUM(F273:F283)</f>
        <v>40011.4</v>
      </c>
      <c r="G272" s="909">
        <v>7</v>
      </c>
      <c r="H272" s="901"/>
      <c r="I272" s="902" t="str">
        <f>IF(H272="x",CONCATENATE(A272,"; "),"")</f>
        <v/>
      </c>
      <c r="J272" s="897"/>
      <c r="K272" s="903"/>
      <c r="L272" s="899">
        <f t="shared" si="12"/>
        <v>7212</v>
      </c>
      <c r="M272" s="899"/>
      <c r="N272" s="904"/>
      <c r="O272" s="905"/>
      <c r="P272" s="899"/>
      <c r="Q272" s="899"/>
      <c r="R272" s="898"/>
      <c r="S272" s="899"/>
      <c r="T272" s="899"/>
      <c r="U272" s="904"/>
      <c r="V272" s="905"/>
      <c r="W272" s="902"/>
      <c r="X272" s="897"/>
      <c r="Y272" s="898"/>
      <c r="Z272" s="902"/>
      <c r="AA272" s="902"/>
      <c r="AB272" s="902"/>
      <c r="AC272" s="902"/>
    </row>
    <row r="273" spans="1:29" hidden="1" outlineLevel="1">
      <c r="A273" s="897" t="s">
        <v>1531</v>
      </c>
      <c r="B273" s="898" t="s">
        <v>1531</v>
      </c>
      <c r="C273" s="898">
        <v>1724.9999999999998</v>
      </c>
      <c r="D273" s="899">
        <v>2900</v>
      </c>
      <c r="E273" s="1335">
        <v>2900</v>
      </c>
      <c r="F273" s="899">
        <f t="shared" ref="F273:F282" si="15">C273*1.3</f>
        <v>2242.5</v>
      </c>
      <c r="G273" s="900">
        <v>1</v>
      </c>
      <c r="H273" s="901"/>
      <c r="I273" s="902"/>
      <c r="J273" s="910"/>
      <c r="K273" s="903"/>
      <c r="L273" s="899">
        <f t="shared" si="12"/>
        <v>1175.0000000000002</v>
      </c>
      <c r="M273" s="903"/>
      <c r="N273" s="903"/>
      <c r="O273" s="903"/>
      <c r="P273" s="903"/>
      <c r="Q273" s="902"/>
      <c r="R273" s="902"/>
      <c r="S273" s="903"/>
      <c r="T273" s="902"/>
      <c r="U273" s="902"/>
      <c r="V273" s="902"/>
      <c r="W273" s="902"/>
      <c r="X273" s="902"/>
      <c r="Y273" s="902"/>
      <c r="Z273" s="902"/>
      <c r="AA273" s="902"/>
      <c r="AB273" s="902"/>
      <c r="AC273" s="902"/>
    </row>
    <row r="274" spans="1:29" hidden="1" outlineLevel="1">
      <c r="A274" s="897" t="s">
        <v>1813</v>
      </c>
      <c r="B274" s="898" t="s">
        <v>505</v>
      </c>
      <c r="C274" s="898">
        <v>69</v>
      </c>
      <c r="D274" s="899">
        <v>600</v>
      </c>
      <c r="E274" s="1335">
        <v>350</v>
      </c>
      <c r="F274" s="899">
        <f t="shared" si="15"/>
        <v>89.7</v>
      </c>
      <c r="G274" s="900">
        <v>1</v>
      </c>
      <c r="H274" s="901"/>
      <c r="I274" s="902"/>
      <c r="J274" s="897"/>
      <c r="K274" s="903"/>
      <c r="L274" s="899">
        <f t="shared" si="12"/>
        <v>281</v>
      </c>
      <c r="M274" s="899"/>
      <c r="N274" s="904"/>
      <c r="O274" s="905"/>
      <c r="P274" s="899"/>
      <c r="Q274" s="899"/>
      <c r="R274" s="898"/>
      <c r="S274" s="899"/>
      <c r="T274" s="899"/>
      <c r="U274" s="904"/>
      <c r="V274" s="905"/>
      <c r="W274" s="902"/>
      <c r="X274" s="897"/>
      <c r="Y274" s="898"/>
      <c r="Z274" s="902"/>
      <c r="AA274" s="902"/>
      <c r="AB274" s="902"/>
      <c r="AC274" s="902"/>
    </row>
    <row r="275" spans="1:29" hidden="1" outlineLevel="1">
      <c r="A275" s="897" t="s">
        <v>1613</v>
      </c>
      <c r="B275" s="898" t="s">
        <v>32</v>
      </c>
      <c r="C275" s="898">
        <v>69</v>
      </c>
      <c r="D275" s="899">
        <v>200</v>
      </c>
      <c r="E275" s="1335">
        <v>200</v>
      </c>
      <c r="F275" s="899">
        <f t="shared" si="15"/>
        <v>89.7</v>
      </c>
      <c r="G275" s="900">
        <v>1</v>
      </c>
      <c r="H275" s="901"/>
      <c r="I275" s="902"/>
      <c r="J275" s="897"/>
      <c r="K275" s="903"/>
      <c r="L275" s="899">
        <f t="shared" si="12"/>
        <v>131</v>
      </c>
      <c r="M275" s="899"/>
      <c r="N275" s="904"/>
      <c r="O275" s="905"/>
      <c r="P275" s="899"/>
      <c r="Q275" s="899"/>
      <c r="R275" s="898"/>
      <c r="S275" s="899"/>
      <c r="T275" s="899"/>
      <c r="U275" s="904"/>
      <c r="V275" s="905"/>
      <c r="W275" s="902"/>
      <c r="X275" s="897"/>
      <c r="Y275" s="898"/>
      <c r="Z275" s="902"/>
      <c r="AA275" s="902"/>
      <c r="AB275" s="902"/>
      <c r="AC275" s="902"/>
    </row>
    <row r="276" spans="1:29" hidden="1" outlineLevel="1">
      <c r="A276" s="897" t="s">
        <v>1127</v>
      </c>
      <c r="B276" s="898" t="s">
        <v>72</v>
      </c>
      <c r="C276" s="898">
        <v>8500</v>
      </c>
      <c r="D276" s="899">
        <v>10000</v>
      </c>
      <c r="E276" s="1335">
        <v>10000</v>
      </c>
      <c r="F276" s="899">
        <f t="shared" si="15"/>
        <v>11050</v>
      </c>
      <c r="G276" s="897">
        <v>5</v>
      </c>
      <c r="H276" s="901"/>
      <c r="I276" s="902"/>
      <c r="J276" s="897"/>
      <c r="K276" s="903"/>
      <c r="L276" s="899">
        <f t="shared" si="12"/>
        <v>1500</v>
      </c>
      <c r="M276" s="899"/>
      <c r="N276" s="904"/>
      <c r="O276" s="905"/>
      <c r="P276" s="899"/>
      <c r="Q276" s="899"/>
      <c r="R276" s="898"/>
      <c r="S276" s="899"/>
      <c r="T276" s="899"/>
      <c r="U276" s="904"/>
      <c r="V276" s="905"/>
      <c r="W276" s="902"/>
      <c r="X276" s="897"/>
      <c r="Y276" s="898"/>
      <c r="Z276" s="902"/>
      <c r="AA276" s="902"/>
      <c r="AB276" s="902"/>
      <c r="AC276" s="902"/>
    </row>
    <row r="277" spans="1:29" hidden="1" outlineLevel="1">
      <c r="A277" s="897" t="s">
        <v>54</v>
      </c>
      <c r="B277" s="898" t="s">
        <v>54</v>
      </c>
      <c r="C277" s="898">
        <v>1150</v>
      </c>
      <c r="D277" s="899">
        <v>1900</v>
      </c>
      <c r="E277" s="1335">
        <v>1900</v>
      </c>
      <c r="F277" s="899">
        <f t="shared" si="15"/>
        <v>1495</v>
      </c>
      <c r="G277" s="897">
        <v>1</v>
      </c>
      <c r="H277" s="901"/>
      <c r="I277" s="902"/>
      <c r="J277" s="897"/>
      <c r="K277" s="903"/>
      <c r="L277" s="899">
        <f t="shared" si="12"/>
        <v>750</v>
      </c>
      <c r="M277" s="899"/>
      <c r="N277" s="904"/>
      <c r="O277" s="905"/>
      <c r="P277" s="899"/>
      <c r="Q277" s="899"/>
      <c r="R277" s="898"/>
      <c r="S277" s="899"/>
      <c r="T277" s="899"/>
      <c r="U277" s="904"/>
      <c r="V277" s="905"/>
      <c r="W277" s="902"/>
      <c r="X277" s="897"/>
      <c r="Y277" s="898"/>
      <c r="Z277" s="902"/>
      <c r="AA277" s="902"/>
      <c r="AB277" s="902"/>
      <c r="AC277" s="902"/>
    </row>
    <row r="278" spans="1:29" hidden="1" outlineLevel="1">
      <c r="A278" s="897" t="s">
        <v>746</v>
      </c>
      <c r="B278" s="898" t="s">
        <v>746</v>
      </c>
      <c r="C278" s="898">
        <v>1610</v>
      </c>
      <c r="D278" s="899">
        <v>3700</v>
      </c>
      <c r="E278" s="1335">
        <v>3700</v>
      </c>
      <c r="F278" s="899">
        <f t="shared" si="15"/>
        <v>2093</v>
      </c>
      <c r="G278" s="897">
        <v>1</v>
      </c>
      <c r="H278" s="901"/>
      <c r="I278" s="902"/>
      <c r="J278" s="897"/>
      <c r="K278" s="903"/>
      <c r="L278" s="899">
        <f t="shared" si="12"/>
        <v>2090</v>
      </c>
      <c r="M278" s="899"/>
      <c r="N278" s="904"/>
      <c r="O278" s="905"/>
      <c r="P278" s="899"/>
      <c r="Q278" s="899"/>
      <c r="R278" s="898"/>
      <c r="S278" s="899"/>
      <c r="T278" s="899"/>
      <c r="U278" s="904"/>
      <c r="V278" s="905"/>
      <c r="W278" s="902"/>
      <c r="X278" s="897"/>
      <c r="Y278" s="898"/>
      <c r="Z278" s="902"/>
      <c r="AA278" s="902"/>
      <c r="AB278" s="902"/>
      <c r="AC278" s="902"/>
    </row>
    <row r="279" spans="1:29" hidden="1" outlineLevel="1">
      <c r="A279" s="897" t="s">
        <v>1717</v>
      </c>
      <c r="B279" s="898" t="s">
        <v>506</v>
      </c>
      <c r="C279" s="898">
        <v>1610</v>
      </c>
      <c r="D279" s="899">
        <v>2900</v>
      </c>
      <c r="E279" s="1335">
        <v>2900</v>
      </c>
      <c r="F279" s="899">
        <f t="shared" si="15"/>
        <v>2093</v>
      </c>
      <c r="G279" s="897">
        <v>1</v>
      </c>
      <c r="H279" s="901"/>
      <c r="I279" s="902"/>
      <c r="J279" s="897"/>
      <c r="K279" s="903"/>
      <c r="L279" s="899">
        <f t="shared" si="12"/>
        <v>1290</v>
      </c>
      <c r="M279" s="899"/>
      <c r="N279" s="904"/>
      <c r="O279" s="905"/>
      <c r="P279" s="899"/>
      <c r="Q279" s="899"/>
      <c r="R279" s="898"/>
      <c r="S279" s="899"/>
      <c r="T279" s="899"/>
      <c r="U279" s="904"/>
      <c r="V279" s="905"/>
      <c r="W279" s="902"/>
      <c r="X279" s="897"/>
      <c r="Y279" s="898"/>
      <c r="Z279" s="902"/>
      <c r="AA279" s="902"/>
      <c r="AB279" s="902"/>
      <c r="AC279" s="902"/>
    </row>
    <row r="280" spans="1:29" hidden="1" outlineLevel="1">
      <c r="A280" s="897" t="s">
        <v>1481</v>
      </c>
      <c r="B280" s="898" t="s">
        <v>65</v>
      </c>
      <c r="C280" s="898">
        <v>1610</v>
      </c>
      <c r="D280" s="899">
        <v>3100</v>
      </c>
      <c r="E280" s="1335">
        <v>3100</v>
      </c>
      <c r="F280" s="899">
        <f t="shared" si="15"/>
        <v>2093</v>
      </c>
      <c r="G280" s="897">
        <v>1</v>
      </c>
      <c r="H280" s="901"/>
      <c r="I280" s="902"/>
      <c r="J280" s="897"/>
      <c r="K280" s="903"/>
      <c r="L280" s="899">
        <f t="shared" si="12"/>
        <v>1490</v>
      </c>
      <c r="M280" s="899"/>
      <c r="N280" s="904"/>
      <c r="O280" s="905"/>
      <c r="P280" s="899"/>
      <c r="Q280" s="899"/>
      <c r="R280" s="898"/>
      <c r="S280" s="899"/>
      <c r="T280" s="899"/>
      <c r="U280" s="904"/>
      <c r="V280" s="905"/>
      <c r="W280" s="902"/>
      <c r="X280" s="897"/>
      <c r="Y280" s="898"/>
      <c r="Z280" s="902"/>
      <c r="AA280" s="902"/>
      <c r="AB280" s="902"/>
      <c r="AC280" s="902"/>
    </row>
    <row r="281" spans="1:29" hidden="1" outlineLevel="1">
      <c r="A281" s="897" t="s">
        <v>674</v>
      </c>
      <c r="B281" s="898" t="s">
        <v>674</v>
      </c>
      <c r="C281" s="898">
        <v>1955</v>
      </c>
      <c r="D281" s="899">
        <v>3800</v>
      </c>
      <c r="E281" s="1335">
        <v>3800</v>
      </c>
      <c r="F281" s="899">
        <f t="shared" si="15"/>
        <v>2541.5</v>
      </c>
      <c r="G281" s="897">
        <v>1</v>
      </c>
      <c r="H281" s="901"/>
      <c r="I281" s="902"/>
      <c r="J281" s="897"/>
      <c r="K281" s="903"/>
      <c r="L281" s="899">
        <f t="shared" si="12"/>
        <v>1845</v>
      </c>
      <c r="M281" s="899"/>
      <c r="N281" s="904"/>
      <c r="O281" s="905"/>
      <c r="P281" s="899"/>
      <c r="Q281" s="899"/>
      <c r="R281" s="898"/>
      <c r="S281" s="899"/>
      <c r="T281" s="899"/>
      <c r="U281" s="904"/>
      <c r="V281" s="905"/>
      <c r="W281" s="902"/>
      <c r="X281" s="897"/>
      <c r="Y281" s="898"/>
      <c r="Z281" s="902"/>
      <c r="AA281" s="902"/>
      <c r="AB281" s="902"/>
      <c r="AC281" s="902"/>
    </row>
    <row r="282" spans="1:29" hidden="1" outlineLevel="1">
      <c r="A282" s="897" t="s">
        <v>1792</v>
      </c>
      <c r="B282" s="898" t="s">
        <v>2356</v>
      </c>
      <c r="C282" s="898">
        <v>2530</v>
      </c>
      <c r="D282" s="899">
        <v>3200</v>
      </c>
      <c r="E282" s="1335">
        <v>3200</v>
      </c>
      <c r="F282" s="899">
        <f t="shared" si="15"/>
        <v>3289</v>
      </c>
      <c r="G282" s="897">
        <v>1</v>
      </c>
      <c r="H282" s="901"/>
      <c r="I282" s="902"/>
      <c r="J282" s="897"/>
      <c r="K282" s="903"/>
      <c r="L282" s="899">
        <f t="shared" ref="L282:L345" si="16">E282-C282</f>
        <v>670</v>
      </c>
      <c r="M282" s="899"/>
      <c r="N282" s="904"/>
      <c r="O282" s="905"/>
      <c r="P282" s="899"/>
      <c r="Q282" s="899"/>
      <c r="R282" s="898"/>
      <c r="S282" s="899"/>
      <c r="T282" s="899"/>
      <c r="U282" s="904"/>
      <c r="V282" s="905"/>
      <c r="W282" s="902"/>
      <c r="X282" s="897"/>
      <c r="Y282" s="898"/>
      <c r="Z282" s="902"/>
      <c r="AA282" s="902"/>
      <c r="AB282" s="902"/>
      <c r="AC282" s="902"/>
    </row>
    <row r="283" spans="1:29" ht="16.3" hidden="1" outlineLevel="1" thickBot="1">
      <c r="A283" s="897" t="s">
        <v>688</v>
      </c>
      <c r="B283" s="898" t="s">
        <v>1738</v>
      </c>
      <c r="C283" s="898">
        <v>9950</v>
      </c>
      <c r="D283" s="899">
        <v>13700</v>
      </c>
      <c r="E283" s="1335">
        <v>13700</v>
      </c>
      <c r="F283" s="899">
        <f>C283*1.3</f>
        <v>12935</v>
      </c>
      <c r="G283" s="897">
        <v>7</v>
      </c>
      <c r="H283" s="901"/>
      <c r="I283" s="902"/>
      <c r="J283" s="897"/>
      <c r="K283" s="903"/>
      <c r="L283" s="899">
        <f t="shared" si="16"/>
        <v>3750</v>
      </c>
      <c r="M283" s="899"/>
      <c r="N283" s="904"/>
      <c r="O283" s="905"/>
      <c r="P283" s="899"/>
      <c r="Q283" s="899"/>
      <c r="R283" s="898"/>
      <c r="S283" s="899"/>
      <c r="T283" s="899"/>
      <c r="U283" s="904"/>
      <c r="V283" s="905"/>
      <c r="W283" s="902"/>
      <c r="X283" s="897"/>
      <c r="Y283" s="898"/>
      <c r="Z283" s="902"/>
      <c r="AA283" s="902"/>
      <c r="AB283" s="902"/>
      <c r="AC283" s="902"/>
    </row>
    <row r="284" spans="1:29" ht="16.3" collapsed="1" thickBot="1">
      <c r="A284" s="924" t="s">
        <v>1133</v>
      </c>
      <c r="B284" s="892" t="s">
        <v>5885</v>
      </c>
      <c r="C284" s="892">
        <f>SUM(C285:C289)</f>
        <v>22474</v>
      </c>
      <c r="D284" s="893">
        <f>SUM(D285:D289)</f>
        <v>30200</v>
      </c>
      <c r="E284" s="1344">
        <v>27900</v>
      </c>
      <c r="F284" s="893">
        <f>SUM(F285:F289)</f>
        <v>29216.2</v>
      </c>
      <c r="G284" s="894">
        <v>7</v>
      </c>
      <c r="H284" s="901"/>
      <c r="I284" s="902" t="str">
        <f>IF(H284="x",CONCATENATE(A284,"; "),"")</f>
        <v/>
      </c>
      <c r="J284" s="897"/>
      <c r="K284" s="903"/>
      <c r="L284" s="899">
        <f t="shared" si="16"/>
        <v>5426</v>
      </c>
      <c r="M284" s="899"/>
      <c r="N284" s="904"/>
      <c r="O284" s="905"/>
      <c r="P284" s="899"/>
      <c r="Q284" s="899"/>
      <c r="R284" s="898"/>
      <c r="S284" s="899"/>
      <c r="T284" s="899"/>
      <c r="U284" s="904"/>
      <c r="V284" s="905"/>
      <c r="W284" s="902"/>
      <c r="X284" s="897"/>
      <c r="Y284" s="898"/>
      <c r="Z284" s="902"/>
      <c r="AA284" s="902"/>
      <c r="AB284" s="902"/>
      <c r="AC284" s="902"/>
    </row>
    <row r="285" spans="1:29" hidden="1" outlineLevel="1">
      <c r="A285" s="897" t="s">
        <v>508</v>
      </c>
      <c r="B285" s="898" t="s">
        <v>508</v>
      </c>
      <c r="C285" s="898">
        <v>69</v>
      </c>
      <c r="D285" s="899">
        <v>300</v>
      </c>
      <c r="E285" s="1335">
        <v>300</v>
      </c>
      <c r="F285" s="899">
        <f>C285*1.3</f>
        <v>89.7</v>
      </c>
      <c r="G285" s="897">
        <v>1</v>
      </c>
      <c r="H285" s="901"/>
      <c r="I285" s="915"/>
      <c r="J285" s="916"/>
      <c r="K285" s="903"/>
      <c r="L285" s="899">
        <f t="shared" si="16"/>
        <v>231</v>
      </c>
      <c r="M285" s="903"/>
      <c r="N285" s="903"/>
      <c r="O285" s="903"/>
      <c r="P285" s="903"/>
      <c r="Q285" s="902"/>
      <c r="R285" s="902"/>
      <c r="S285" s="903"/>
      <c r="T285" s="902"/>
      <c r="U285" s="902"/>
      <c r="V285" s="902"/>
      <c r="W285" s="902"/>
      <c r="X285" s="902"/>
      <c r="Y285" s="902"/>
      <c r="Z285" s="902"/>
      <c r="AA285" s="902"/>
      <c r="AB285" s="902"/>
      <c r="AC285" s="902"/>
    </row>
    <row r="286" spans="1:29" hidden="1" outlineLevel="1">
      <c r="A286" s="897" t="s">
        <v>576</v>
      </c>
      <c r="B286" s="898" t="s">
        <v>1389</v>
      </c>
      <c r="C286" s="898">
        <v>1954.9999999999998</v>
      </c>
      <c r="D286" s="899">
        <v>2900</v>
      </c>
      <c r="E286" s="1335">
        <v>2900</v>
      </c>
      <c r="F286" s="899">
        <f>C286*1.3</f>
        <v>2541.5</v>
      </c>
      <c r="G286" s="897">
        <v>1</v>
      </c>
      <c r="H286" s="901"/>
      <c r="I286" s="912"/>
      <c r="J286" s="913"/>
      <c r="K286" s="903"/>
      <c r="L286" s="899">
        <f t="shared" si="16"/>
        <v>945.00000000000023</v>
      </c>
      <c r="M286" s="899"/>
      <c r="N286" s="904"/>
      <c r="O286" s="905"/>
      <c r="P286" s="899"/>
      <c r="Q286" s="899"/>
      <c r="R286" s="898"/>
      <c r="S286" s="899"/>
      <c r="T286" s="899"/>
      <c r="U286" s="904"/>
      <c r="V286" s="905"/>
      <c r="W286" s="902"/>
      <c r="X286" s="897"/>
      <c r="Y286" s="898"/>
      <c r="Z286" s="902"/>
      <c r="AA286" s="902"/>
      <c r="AB286" s="902"/>
      <c r="AC286" s="902"/>
    </row>
    <row r="287" spans="1:29" hidden="1" outlineLevel="1">
      <c r="A287" s="897" t="s">
        <v>102</v>
      </c>
      <c r="B287" s="898" t="s">
        <v>1469</v>
      </c>
      <c r="C287" s="898">
        <v>2500</v>
      </c>
      <c r="D287" s="899">
        <v>4400</v>
      </c>
      <c r="E287" s="1335">
        <v>4400</v>
      </c>
      <c r="F287" s="899">
        <f>C287*1.3</f>
        <v>3250</v>
      </c>
      <c r="G287" s="897">
        <v>3</v>
      </c>
      <c r="H287" s="901"/>
      <c r="I287" s="918"/>
      <c r="J287" s="913"/>
      <c r="K287" s="903"/>
      <c r="L287" s="899">
        <f t="shared" si="16"/>
        <v>1900</v>
      </c>
      <c r="M287" s="899"/>
      <c r="N287" s="904"/>
      <c r="O287" s="905"/>
      <c r="P287" s="899"/>
      <c r="Q287" s="899"/>
      <c r="R287" s="898"/>
      <c r="S287" s="899"/>
      <c r="T287" s="899"/>
      <c r="U287" s="904"/>
      <c r="V287" s="905"/>
      <c r="W287" s="902"/>
      <c r="X287" s="897"/>
      <c r="Y287" s="898"/>
      <c r="Z287" s="902"/>
      <c r="AA287" s="902"/>
      <c r="AB287" s="902"/>
      <c r="AC287" s="902"/>
    </row>
    <row r="288" spans="1:29" hidden="1" outlineLevel="1">
      <c r="A288" s="897" t="s">
        <v>688</v>
      </c>
      <c r="B288" s="898" t="s">
        <v>1738</v>
      </c>
      <c r="C288" s="898">
        <v>9950</v>
      </c>
      <c r="D288" s="899">
        <v>13700</v>
      </c>
      <c r="E288" s="1335">
        <v>13700</v>
      </c>
      <c r="F288" s="899">
        <f>C288*1.3</f>
        <v>12935</v>
      </c>
      <c r="G288" s="897">
        <v>7</v>
      </c>
      <c r="H288" s="901"/>
      <c r="I288" s="912"/>
      <c r="J288" s="913"/>
      <c r="K288" s="903"/>
      <c r="L288" s="899">
        <f t="shared" si="16"/>
        <v>3750</v>
      </c>
      <c r="M288" s="899"/>
      <c r="N288" s="904"/>
      <c r="O288" s="905"/>
      <c r="P288" s="899"/>
      <c r="Q288" s="899"/>
      <c r="R288" s="898"/>
      <c r="S288" s="899"/>
      <c r="T288" s="899"/>
      <c r="U288" s="904"/>
      <c r="V288" s="905"/>
      <c r="W288" s="902"/>
      <c r="X288" s="897"/>
      <c r="Y288" s="898"/>
      <c r="Z288" s="902"/>
      <c r="AA288" s="902"/>
      <c r="AB288" s="902"/>
      <c r="AC288" s="902"/>
    </row>
    <row r="289" spans="1:29" ht="16.3" hidden="1" outlineLevel="1" thickBot="1">
      <c r="A289" s="897" t="s">
        <v>792</v>
      </c>
      <c r="B289" s="898" t="s">
        <v>1703</v>
      </c>
      <c r="C289" s="898">
        <v>8000</v>
      </c>
      <c r="D289" s="899">
        <v>8900</v>
      </c>
      <c r="E289" s="1335">
        <v>8900</v>
      </c>
      <c r="F289" s="899">
        <f>C289*1.3</f>
        <v>10400</v>
      </c>
      <c r="G289" s="897">
        <v>7</v>
      </c>
      <c r="H289" s="901"/>
      <c r="I289" s="912"/>
      <c r="J289" s="913"/>
      <c r="K289" s="903"/>
      <c r="L289" s="899">
        <f t="shared" si="16"/>
        <v>900</v>
      </c>
      <c r="M289" s="899"/>
      <c r="N289" s="904"/>
      <c r="O289" s="905"/>
      <c r="P289" s="899"/>
      <c r="Q289" s="899"/>
      <c r="R289" s="898"/>
      <c r="S289" s="899"/>
      <c r="T289" s="899"/>
      <c r="U289" s="904"/>
      <c r="V289" s="905"/>
      <c r="W289" s="902"/>
      <c r="X289" s="897"/>
      <c r="Y289" s="898"/>
      <c r="Z289" s="902"/>
      <c r="AA289" s="902"/>
      <c r="AB289" s="902"/>
      <c r="AC289" s="902"/>
    </row>
    <row r="290" spans="1:29" ht="16.3" collapsed="1" thickBot="1">
      <c r="A290" s="925" t="s">
        <v>1134</v>
      </c>
      <c r="B290" s="907" t="s">
        <v>5885</v>
      </c>
      <c r="C290" s="907">
        <f>SUM(C291:C296)</f>
        <v>17579</v>
      </c>
      <c r="D290" s="908">
        <f>SUM(D291:D296)</f>
        <v>28100</v>
      </c>
      <c r="E290" s="1333">
        <v>26500</v>
      </c>
      <c r="F290" s="908">
        <f>SUM(F291:F296)</f>
        <v>22852.7</v>
      </c>
      <c r="G290" s="909">
        <v>7</v>
      </c>
      <c r="H290" s="901"/>
      <c r="I290" s="902"/>
      <c r="J290" s="897"/>
      <c r="K290" s="903"/>
      <c r="L290" s="899">
        <f t="shared" si="16"/>
        <v>8921</v>
      </c>
      <c r="M290" s="899"/>
      <c r="N290" s="904"/>
      <c r="O290" s="905"/>
      <c r="P290" s="899"/>
      <c r="Q290" s="899"/>
      <c r="R290" s="898"/>
      <c r="S290" s="899"/>
      <c r="T290" s="899"/>
      <c r="U290" s="904"/>
      <c r="V290" s="905"/>
      <c r="W290" s="902"/>
      <c r="X290" s="897"/>
      <c r="Y290" s="898"/>
      <c r="Z290" s="902"/>
      <c r="AA290" s="902"/>
      <c r="AB290" s="902"/>
      <c r="AC290" s="902"/>
    </row>
    <row r="291" spans="1:29" hidden="1" outlineLevel="1">
      <c r="A291" s="897" t="s">
        <v>508</v>
      </c>
      <c r="B291" s="898" t="s">
        <v>508</v>
      </c>
      <c r="C291" s="898">
        <v>69</v>
      </c>
      <c r="D291" s="899">
        <v>300</v>
      </c>
      <c r="E291" s="1332">
        <v>300</v>
      </c>
      <c r="F291" s="899">
        <f t="shared" ref="F291:F296" si="17">C291*1.3</f>
        <v>89.7</v>
      </c>
      <c r="G291" s="897">
        <v>1</v>
      </c>
      <c r="H291" s="901"/>
      <c r="I291" s="902"/>
      <c r="J291" s="902"/>
      <c r="K291" s="903"/>
      <c r="L291" s="899">
        <f t="shared" si="16"/>
        <v>231</v>
      </c>
      <c r="M291" s="903"/>
      <c r="N291" s="903"/>
      <c r="O291" s="903"/>
      <c r="P291" s="903"/>
      <c r="Q291" s="902"/>
      <c r="R291" s="902"/>
      <c r="S291" s="903"/>
      <c r="T291" s="902"/>
      <c r="U291" s="902"/>
      <c r="V291" s="902"/>
      <c r="W291" s="902"/>
      <c r="X291" s="902"/>
      <c r="Y291" s="902"/>
      <c r="Z291" s="902"/>
      <c r="AA291" s="902"/>
      <c r="AB291" s="902"/>
      <c r="AC291" s="902"/>
    </row>
    <row r="292" spans="1:29" hidden="1" outlineLevel="1">
      <c r="A292" s="897" t="s">
        <v>576</v>
      </c>
      <c r="B292" s="898" t="s">
        <v>1389</v>
      </c>
      <c r="C292" s="898">
        <v>1954.9999999999998</v>
      </c>
      <c r="D292" s="899">
        <v>2900</v>
      </c>
      <c r="E292" s="1332">
        <v>2600</v>
      </c>
      <c r="F292" s="899">
        <f t="shared" si="17"/>
        <v>2541.5</v>
      </c>
      <c r="G292" s="897">
        <v>1</v>
      </c>
      <c r="H292" s="901"/>
      <c r="I292" s="902"/>
      <c r="J292" s="897"/>
      <c r="K292" s="903"/>
      <c r="L292" s="899">
        <f t="shared" si="16"/>
        <v>645.00000000000023</v>
      </c>
      <c r="M292" s="899"/>
      <c r="N292" s="904"/>
      <c r="O292" s="905"/>
      <c r="P292" s="899"/>
      <c r="Q292" s="899"/>
      <c r="R292" s="898"/>
      <c r="S292" s="899"/>
      <c r="T292" s="899"/>
      <c r="U292" s="904"/>
      <c r="V292" s="905"/>
      <c r="W292" s="902"/>
      <c r="X292" s="897"/>
      <c r="Y292" s="898"/>
      <c r="Z292" s="902"/>
      <c r="AA292" s="902"/>
      <c r="AB292" s="902"/>
      <c r="AC292" s="902"/>
    </row>
    <row r="293" spans="1:29" hidden="1" outlineLevel="1">
      <c r="A293" s="897" t="s">
        <v>102</v>
      </c>
      <c r="B293" s="898" t="s">
        <v>1469</v>
      </c>
      <c r="C293" s="898">
        <v>2500</v>
      </c>
      <c r="D293" s="899">
        <v>4400</v>
      </c>
      <c r="E293" s="1332">
        <v>3300</v>
      </c>
      <c r="F293" s="899">
        <f t="shared" si="17"/>
        <v>3250</v>
      </c>
      <c r="G293" s="897">
        <v>3</v>
      </c>
      <c r="H293" s="901"/>
      <c r="I293" s="902"/>
      <c r="J293" s="897"/>
      <c r="K293" s="903"/>
      <c r="L293" s="899">
        <f t="shared" si="16"/>
        <v>800</v>
      </c>
      <c r="M293" s="899"/>
      <c r="N293" s="904"/>
      <c r="O293" s="905"/>
      <c r="P293" s="899"/>
      <c r="Q293" s="899"/>
      <c r="R293" s="898"/>
      <c r="S293" s="899"/>
      <c r="T293" s="899"/>
      <c r="U293" s="904"/>
      <c r="V293" s="905"/>
      <c r="W293" s="902"/>
      <c r="X293" s="897"/>
      <c r="Y293" s="898"/>
      <c r="Z293" s="902"/>
      <c r="AA293" s="902"/>
      <c r="AB293" s="902"/>
      <c r="AC293" s="902"/>
    </row>
    <row r="294" spans="1:29" hidden="1" outlineLevel="1">
      <c r="A294" s="897" t="s">
        <v>688</v>
      </c>
      <c r="B294" s="898" t="s">
        <v>1738</v>
      </c>
      <c r="C294" s="898">
        <v>9950</v>
      </c>
      <c r="D294" s="899">
        <v>13700</v>
      </c>
      <c r="E294" s="1332">
        <v>13600</v>
      </c>
      <c r="F294" s="899">
        <f t="shared" si="17"/>
        <v>12935</v>
      </c>
      <c r="G294" s="897">
        <v>7</v>
      </c>
      <c r="H294" s="901"/>
      <c r="I294" s="902"/>
      <c r="J294" s="897"/>
      <c r="K294" s="903"/>
      <c r="L294" s="899">
        <f t="shared" si="16"/>
        <v>3650</v>
      </c>
      <c r="M294" s="899"/>
      <c r="N294" s="904"/>
      <c r="O294" s="905"/>
      <c r="P294" s="899"/>
      <c r="Q294" s="899"/>
      <c r="R294" s="898"/>
      <c r="S294" s="899"/>
      <c r="T294" s="899"/>
      <c r="U294" s="904"/>
      <c r="V294" s="905"/>
      <c r="W294" s="902"/>
      <c r="X294" s="897"/>
      <c r="Y294" s="898"/>
      <c r="Z294" s="902"/>
      <c r="AA294" s="902"/>
      <c r="AB294" s="902"/>
      <c r="AC294" s="902"/>
    </row>
    <row r="295" spans="1:29" hidden="1" outlineLevel="1">
      <c r="A295" s="897" t="s">
        <v>1729</v>
      </c>
      <c r="B295" s="898" t="s">
        <v>1730</v>
      </c>
      <c r="C295" s="898">
        <v>1380</v>
      </c>
      <c r="D295" s="899">
        <v>2800</v>
      </c>
      <c r="E295" s="1332">
        <v>1800</v>
      </c>
      <c r="F295" s="899">
        <f t="shared" si="17"/>
        <v>1794</v>
      </c>
      <c r="G295" s="897">
        <v>1</v>
      </c>
      <c r="H295" s="901"/>
      <c r="I295" s="1026"/>
      <c r="J295" s="921"/>
      <c r="K295" s="903"/>
      <c r="L295" s="899">
        <f t="shared" si="16"/>
        <v>420</v>
      </c>
      <c r="M295" s="899"/>
      <c r="N295" s="904"/>
      <c r="O295" s="905"/>
      <c r="P295" s="899"/>
      <c r="Q295" s="899"/>
      <c r="R295" s="898"/>
      <c r="S295" s="899"/>
      <c r="T295" s="899"/>
      <c r="U295" s="904"/>
      <c r="V295" s="905"/>
      <c r="W295" s="902"/>
      <c r="X295" s="897"/>
      <c r="Y295" s="898"/>
      <c r="Z295" s="902"/>
      <c r="AA295" s="902"/>
      <c r="AB295" s="902"/>
      <c r="AC295" s="902"/>
    </row>
    <row r="296" spans="1:29" ht="16.3" hidden="1" outlineLevel="1" thickBot="1">
      <c r="A296" s="897" t="s">
        <v>1731</v>
      </c>
      <c r="B296" s="898" t="s">
        <v>2350</v>
      </c>
      <c r="C296" s="898">
        <v>1724.9999999999998</v>
      </c>
      <c r="D296" s="899">
        <v>4000</v>
      </c>
      <c r="E296" s="1332">
        <v>4000</v>
      </c>
      <c r="F296" s="899">
        <f t="shared" si="17"/>
        <v>2242.5</v>
      </c>
      <c r="G296" s="897">
        <v>1</v>
      </c>
      <c r="H296" s="901"/>
      <c r="I296" s="1026"/>
      <c r="J296" s="1027"/>
      <c r="K296" s="903"/>
      <c r="L296" s="899">
        <f t="shared" si="16"/>
        <v>2275</v>
      </c>
      <c r="M296" s="899"/>
      <c r="N296" s="904"/>
      <c r="O296" s="905"/>
      <c r="P296" s="899"/>
      <c r="Q296" s="899"/>
      <c r="R296" s="898"/>
      <c r="S296" s="899"/>
      <c r="T296" s="899"/>
      <c r="U296" s="904"/>
      <c r="V296" s="905"/>
      <c r="W296" s="902"/>
      <c r="X296" s="897"/>
      <c r="Y296" s="898"/>
      <c r="Z296" s="902"/>
      <c r="AA296" s="902"/>
      <c r="AB296" s="902"/>
      <c r="AC296" s="902"/>
    </row>
    <row r="297" spans="1:29" ht="16.3" collapsed="1" thickBot="1">
      <c r="A297" s="924" t="s">
        <v>1135</v>
      </c>
      <c r="B297" s="1049" t="s">
        <v>5886</v>
      </c>
      <c r="C297" s="1049">
        <f>SUM(C298:C305)</f>
        <v>28929</v>
      </c>
      <c r="D297" s="1050">
        <f>SUM(D298:D305)</f>
        <v>43700</v>
      </c>
      <c r="E297" s="1342">
        <v>41500</v>
      </c>
      <c r="F297" s="1050">
        <f>SUM(F298:F305)</f>
        <v>37607.699999999997</v>
      </c>
      <c r="G297" s="1051">
        <v>7</v>
      </c>
      <c r="H297" s="901"/>
      <c r="I297" s="902" t="str">
        <f>IF(H297="x",CONCATENATE(A297,"; "),"")</f>
        <v/>
      </c>
      <c r="J297" s="897"/>
      <c r="K297" s="903"/>
      <c r="L297" s="899">
        <f t="shared" si="16"/>
        <v>12571</v>
      </c>
      <c r="M297" s="899"/>
      <c r="N297" s="904"/>
      <c r="O297" s="905"/>
      <c r="P297" s="899"/>
      <c r="Q297" s="899"/>
      <c r="R297" s="898"/>
      <c r="S297" s="899"/>
      <c r="T297" s="899"/>
      <c r="U297" s="904"/>
      <c r="V297" s="905"/>
      <c r="W297" s="902"/>
      <c r="X297" s="897"/>
      <c r="Y297" s="898"/>
      <c r="Z297" s="902"/>
      <c r="AA297" s="902"/>
      <c r="AB297" s="902"/>
      <c r="AC297" s="902"/>
    </row>
    <row r="298" spans="1:29" ht="16.3" hidden="1" outlineLevel="1" thickBot="1">
      <c r="A298" s="897" t="s">
        <v>508</v>
      </c>
      <c r="B298" s="898" t="s">
        <v>508</v>
      </c>
      <c r="C298" s="898">
        <v>69</v>
      </c>
      <c r="D298" s="899">
        <v>300</v>
      </c>
      <c r="E298" s="1332">
        <v>300</v>
      </c>
      <c r="F298" s="899">
        <f t="shared" ref="F298:F305" si="18">C298*1.3</f>
        <v>89.7</v>
      </c>
      <c r="G298" s="897">
        <v>1</v>
      </c>
      <c r="H298" s="901"/>
      <c r="I298" s="902"/>
      <c r="J298" s="902"/>
      <c r="K298" s="903"/>
      <c r="L298" s="899">
        <f t="shared" si="16"/>
        <v>231</v>
      </c>
      <c r="M298" s="903"/>
      <c r="N298" s="903"/>
      <c r="O298" s="903"/>
      <c r="P298" s="903"/>
      <c r="Q298" s="902"/>
      <c r="R298" s="902"/>
      <c r="S298" s="903"/>
      <c r="T298" s="902"/>
      <c r="U298" s="902"/>
      <c r="V298" s="902"/>
      <c r="W298" s="902"/>
      <c r="X298" s="902"/>
      <c r="Y298" s="902"/>
      <c r="Z298" s="902"/>
      <c r="AA298" s="902"/>
      <c r="AB298" s="902"/>
      <c r="AC298" s="902"/>
    </row>
    <row r="299" spans="1:29" ht="16.3" hidden="1" outlineLevel="1" thickBot="1">
      <c r="A299" s="897" t="s">
        <v>576</v>
      </c>
      <c r="B299" s="898" t="s">
        <v>1389</v>
      </c>
      <c r="C299" s="898">
        <v>1954.9999999999998</v>
      </c>
      <c r="D299" s="899">
        <v>2900</v>
      </c>
      <c r="E299" s="1332">
        <v>2500</v>
      </c>
      <c r="F299" s="899">
        <f t="shared" si="18"/>
        <v>2541.5</v>
      </c>
      <c r="G299" s="897">
        <v>1</v>
      </c>
      <c r="H299" s="901"/>
      <c r="I299" s="902"/>
      <c r="J299" s="897"/>
      <c r="K299" s="903"/>
      <c r="L299" s="899">
        <f t="shared" si="16"/>
        <v>545.00000000000023</v>
      </c>
      <c r="M299" s="899"/>
      <c r="N299" s="904"/>
      <c r="O299" s="905"/>
      <c r="P299" s="899"/>
      <c r="Q299" s="899"/>
      <c r="R299" s="898"/>
      <c r="S299" s="899"/>
      <c r="T299" s="899"/>
      <c r="U299" s="904"/>
      <c r="V299" s="905"/>
      <c r="W299" s="902"/>
      <c r="X299" s="897"/>
      <c r="Y299" s="898"/>
      <c r="Z299" s="902"/>
      <c r="AA299" s="902"/>
      <c r="AB299" s="902"/>
      <c r="AC299" s="902"/>
    </row>
    <row r="300" spans="1:29" ht="16.3" hidden="1" outlineLevel="1" thickBot="1">
      <c r="A300" s="897" t="s">
        <v>102</v>
      </c>
      <c r="B300" s="898" t="s">
        <v>1469</v>
      </c>
      <c r="C300" s="898">
        <v>2500</v>
      </c>
      <c r="D300" s="899">
        <v>4400</v>
      </c>
      <c r="E300" s="1332">
        <v>3300</v>
      </c>
      <c r="F300" s="899">
        <f t="shared" si="18"/>
        <v>3250</v>
      </c>
      <c r="G300" s="897">
        <v>3</v>
      </c>
      <c r="H300" s="901"/>
      <c r="I300" s="902"/>
      <c r="J300" s="897"/>
      <c r="K300" s="903"/>
      <c r="L300" s="899">
        <f t="shared" si="16"/>
        <v>800</v>
      </c>
      <c r="M300" s="899"/>
      <c r="N300" s="904"/>
      <c r="O300" s="905"/>
      <c r="P300" s="899"/>
      <c r="Q300" s="899"/>
      <c r="R300" s="898"/>
      <c r="S300" s="899"/>
      <c r="T300" s="899"/>
      <c r="U300" s="904"/>
      <c r="V300" s="905"/>
      <c r="W300" s="902"/>
      <c r="X300" s="897"/>
      <c r="Y300" s="898"/>
      <c r="Z300" s="902"/>
      <c r="AA300" s="902"/>
      <c r="AB300" s="902"/>
      <c r="AC300" s="902"/>
    </row>
    <row r="301" spans="1:29" ht="16.3" hidden="1" outlineLevel="1" thickBot="1">
      <c r="A301" s="897" t="s">
        <v>688</v>
      </c>
      <c r="B301" s="898" t="s">
        <v>1738</v>
      </c>
      <c r="C301" s="898">
        <v>9950</v>
      </c>
      <c r="D301" s="899">
        <v>13700</v>
      </c>
      <c r="E301" s="1332">
        <v>13000</v>
      </c>
      <c r="F301" s="899">
        <f t="shared" si="18"/>
        <v>12935</v>
      </c>
      <c r="G301" s="897">
        <v>7</v>
      </c>
      <c r="H301" s="901"/>
      <c r="I301" s="902"/>
      <c r="J301" s="897"/>
      <c r="K301" s="903"/>
      <c r="L301" s="899">
        <f t="shared" si="16"/>
        <v>3050</v>
      </c>
      <c r="M301" s="899"/>
      <c r="N301" s="904"/>
      <c r="O301" s="905"/>
      <c r="P301" s="899"/>
      <c r="Q301" s="899"/>
      <c r="R301" s="898"/>
      <c r="S301" s="899"/>
      <c r="T301" s="899"/>
      <c r="U301" s="904"/>
      <c r="V301" s="905"/>
      <c r="W301" s="902"/>
      <c r="X301" s="897"/>
      <c r="Y301" s="898"/>
      <c r="Z301" s="902"/>
      <c r="AA301" s="902"/>
      <c r="AB301" s="902"/>
      <c r="AC301" s="902"/>
    </row>
    <row r="302" spans="1:29" ht="16.3" hidden="1" outlineLevel="1" thickBot="1">
      <c r="A302" s="897" t="s">
        <v>792</v>
      </c>
      <c r="B302" s="898" t="s">
        <v>1703</v>
      </c>
      <c r="C302" s="898">
        <v>8000</v>
      </c>
      <c r="D302" s="899">
        <v>8900</v>
      </c>
      <c r="E302" s="1332">
        <v>8900</v>
      </c>
      <c r="F302" s="899">
        <f t="shared" si="18"/>
        <v>10400</v>
      </c>
      <c r="G302" s="897">
        <v>7</v>
      </c>
      <c r="H302" s="901"/>
      <c r="I302" s="902"/>
      <c r="J302" s="897"/>
      <c r="K302" s="903"/>
      <c r="L302" s="899">
        <f t="shared" si="16"/>
        <v>900</v>
      </c>
      <c r="M302" s="899"/>
      <c r="N302" s="904"/>
      <c r="O302" s="905"/>
      <c r="P302" s="899"/>
      <c r="Q302" s="899"/>
      <c r="R302" s="898"/>
      <c r="S302" s="899"/>
      <c r="T302" s="899"/>
      <c r="U302" s="904"/>
      <c r="V302" s="905"/>
      <c r="W302" s="902"/>
      <c r="X302" s="897"/>
      <c r="Y302" s="898"/>
      <c r="Z302" s="902"/>
      <c r="AA302" s="902"/>
      <c r="AB302" s="902"/>
      <c r="AC302" s="902"/>
    </row>
    <row r="303" spans="1:29" ht="16.3" hidden="1" outlineLevel="1" thickBot="1">
      <c r="A303" s="897" t="s">
        <v>1436</v>
      </c>
      <c r="B303" s="898" t="s">
        <v>1437</v>
      </c>
      <c r="C303" s="898">
        <v>2200</v>
      </c>
      <c r="D303" s="899">
        <v>3900</v>
      </c>
      <c r="E303" s="1332">
        <v>3900</v>
      </c>
      <c r="F303" s="899">
        <f t="shared" si="18"/>
        <v>2860</v>
      </c>
      <c r="G303" s="897">
        <v>1</v>
      </c>
      <c r="H303" s="901"/>
      <c r="I303" s="918"/>
      <c r="J303" s="921"/>
      <c r="K303" s="903"/>
      <c r="L303" s="899">
        <f t="shared" si="16"/>
        <v>1700</v>
      </c>
      <c r="M303" s="899"/>
      <c r="N303" s="904"/>
      <c r="O303" s="905"/>
      <c r="P303" s="899"/>
      <c r="Q303" s="899"/>
      <c r="R303" s="898"/>
      <c r="S303" s="899"/>
      <c r="T303" s="899"/>
      <c r="U303" s="904"/>
      <c r="V303" s="905"/>
      <c r="W303" s="902"/>
      <c r="X303" s="897"/>
      <c r="Y303" s="898"/>
      <c r="Z303" s="902"/>
      <c r="AA303" s="902"/>
      <c r="AB303" s="902"/>
      <c r="AC303" s="902"/>
    </row>
    <row r="304" spans="1:29" ht="16.3" hidden="1" outlineLevel="1" thickBot="1">
      <c r="A304" s="897" t="s">
        <v>1462</v>
      </c>
      <c r="B304" s="898" t="s">
        <v>1463</v>
      </c>
      <c r="C304" s="898">
        <v>2530</v>
      </c>
      <c r="D304" s="899">
        <v>4800</v>
      </c>
      <c r="E304" s="1332">
        <v>4800</v>
      </c>
      <c r="F304" s="899">
        <f t="shared" si="18"/>
        <v>3289</v>
      </c>
      <c r="G304" s="897">
        <v>3</v>
      </c>
      <c r="H304" s="901"/>
      <c r="I304" s="912"/>
      <c r="J304" s="913"/>
      <c r="K304" s="903"/>
      <c r="L304" s="899">
        <f t="shared" si="16"/>
        <v>2270</v>
      </c>
      <c r="M304" s="899"/>
      <c r="N304" s="904"/>
      <c r="O304" s="905"/>
      <c r="P304" s="899"/>
      <c r="Q304" s="899"/>
      <c r="R304" s="898"/>
      <c r="S304" s="899"/>
      <c r="T304" s="899"/>
      <c r="U304" s="904"/>
      <c r="V304" s="905"/>
      <c r="W304" s="902"/>
      <c r="X304" s="897"/>
      <c r="Y304" s="898"/>
      <c r="Z304" s="902"/>
      <c r="AA304" s="902"/>
      <c r="AB304" s="902"/>
      <c r="AC304" s="902"/>
    </row>
    <row r="305" spans="1:29" ht="16.3" hidden="1" outlineLevel="1" thickBot="1">
      <c r="A305" s="897" t="s">
        <v>1464</v>
      </c>
      <c r="B305" s="898" t="s">
        <v>1465</v>
      </c>
      <c r="C305" s="898">
        <v>1724.9999999999998</v>
      </c>
      <c r="D305" s="899">
        <v>4800</v>
      </c>
      <c r="E305" s="1332">
        <v>4800</v>
      </c>
      <c r="F305" s="899">
        <f t="shared" si="18"/>
        <v>2242.5</v>
      </c>
      <c r="G305" s="897">
        <v>3</v>
      </c>
      <c r="H305" s="901"/>
      <c r="I305" s="912"/>
      <c r="J305" s="913"/>
      <c r="K305" s="903"/>
      <c r="L305" s="899">
        <f t="shared" si="16"/>
        <v>3075</v>
      </c>
      <c r="M305" s="899"/>
      <c r="N305" s="904"/>
      <c r="O305" s="905"/>
      <c r="P305" s="899"/>
      <c r="Q305" s="899"/>
      <c r="R305" s="898"/>
      <c r="S305" s="899"/>
      <c r="T305" s="899"/>
      <c r="U305" s="904"/>
      <c r="V305" s="905"/>
      <c r="W305" s="902"/>
      <c r="X305" s="897"/>
      <c r="Y305" s="898"/>
      <c r="Z305" s="902"/>
      <c r="AA305" s="902"/>
      <c r="AB305" s="902"/>
      <c r="AC305" s="902"/>
    </row>
    <row r="306" spans="1:29" ht="16.3" collapsed="1" thickBot="1">
      <c r="A306" s="925" t="s">
        <v>1136</v>
      </c>
      <c r="B306" s="907" t="s">
        <v>5886</v>
      </c>
      <c r="C306" s="907">
        <f>SUM(C307:C315)</f>
        <v>29504</v>
      </c>
      <c r="D306" s="908">
        <f>SUM(D307:D315)</f>
        <v>45700</v>
      </c>
      <c r="E306" s="1333">
        <v>41500</v>
      </c>
      <c r="F306" s="908">
        <f>SUM(F307:F315)</f>
        <v>38355.199999999997</v>
      </c>
      <c r="G306" s="909">
        <v>7</v>
      </c>
      <c r="H306" s="901"/>
      <c r="I306" s="902" t="str">
        <f>IF(H306="x",CONCATENATE(A306,"; "),"")</f>
        <v/>
      </c>
      <c r="J306" s="897"/>
      <c r="K306" s="903"/>
      <c r="L306" s="899">
        <f t="shared" si="16"/>
        <v>11996</v>
      </c>
      <c r="M306" s="899"/>
      <c r="N306" s="904"/>
      <c r="O306" s="905"/>
      <c r="P306" s="899"/>
      <c r="Q306" s="899"/>
      <c r="R306" s="898"/>
      <c r="S306" s="899"/>
      <c r="T306" s="899"/>
      <c r="U306" s="904"/>
      <c r="V306" s="905"/>
      <c r="W306" s="902"/>
      <c r="X306" s="897"/>
      <c r="Y306" s="898"/>
      <c r="Z306" s="902"/>
      <c r="AA306" s="902"/>
      <c r="AB306" s="902"/>
      <c r="AC306" s="902"/>
    </row>
    <row r="307" spans="1:29" ht="16.3" hidden="1" outlineLevel="1" thickBot="1">
      <c r="A307" s="897" t="s">
        <v>508</v>
      </c>
      <c r="B307" s="898" t="s">
        <v>508</v>
      </c>
      <c r="C307" s="898">
        <v>69</v>
      </c>
      <c r="D307" s="899">
        <v>300</v>
      </c>
      <c r="E307" s="1335">
        <v>300</v>
      </c>
      <c r="F307" s="899">
        <f t="shared" ref="F307:F315" si="19">C307*1.3</f>
        <v>89.7</v>
      </c>
      <c r="G307" s="897">
        <v>1</v>
      </c>
      <c r="H307" s="901"/>
      <c r="I307" s="902"/>
      <c r="J307" s="902"/>
      <c r="K307" s="903"/>
      <c r="L307" s="899">
        <f t="shared" si="16"/>
        <v>231</v>
      </c>
      <c r="M307" s="903"/>
      <c r="N307" s="903"/>
      <c r="O307" s="903"/>
      <c r="P307" s="903"/>
      <c r="Q307" s="902"/>
      <c r="R307" s="902"/>
      <c r="S307" s="903"/>
      <c r="T307" s="902"/>
      <c r="U307" s="902"/>
      <c r="V307" s="902"/>
      <c r="W307" s="902"/>
      <c r="X307" s="902"/>
      <c r="Y307" s="902"/>
      <c r="Z307" s="902"/>
      <c r="AA307" s="902"/>
      <c r="AB307" s="902"/>
      <c r="AC307" s="902"/>
    </row>
    <row r="308" spans="1:29" ht="16.3" hidden="1" outlineLevel="1" thickBot="1">
      <c r="A308" s="897" t="s">
        <v>576</v>
      </c>
      <c r="B308" s="898" t="s">
        <v>1389</v>
      </c>
      <c r="C308" s="898">
        <v>1954.9999999999998</v>
      </c>
      <c r="D308" s="899">
        <v>2900</v>
      </c>
      <c r="E308" s="1335">
        <v>2900</v>
      </c>
      <c r="F308" s="899">
        <f t="shared" si="19"/>
        <v>2541.5</v>
      </c>
      <c r="G308" s="897">
        <v>1</v>
      </c>
      <c r="H308" s="901"/>
      <c r="I308" s="902"/>
      <c r="J308" s="897"/>
      <c r="K308" s="903"/>
      <c r="L308" s="899">
        <f t="shared" si="16"/>
        <v>945.00000000000023</v>
      </c>
      <c r="M308" s="899"/>
      <c r="N308" s="904"/>
      <c r="O308" s="905"/>
      <c r="P308" s="899"/>
      <c r="Q308" s="899"/>
      <c r="R308" s="898"/>
      <c r="S308" s="899"/>
      <c r="T308" s="899"/>
      <c r="U308" s="904"/>
      <c r="V308" s="905"/>
      <c r="W308" s="902"/>
      <c r="X308" s="897"/>
      <c r="Y308" s="898"/>
      <c r="Z308" s="902"/>
      <c r="AA308" s="902"/>
      <c r="AB308" s="902"/>
      <c r="AC308" s="902"/>
    </row>
    <row r="309" spans="1:29" ht="16.3" hidden="1" outlineLevel="1" thickBot="1">
      <c r="A309" s="897" t="s">
        <v>102</v>
      </c>
      <c r="B309" s="898" t="s">
        <v>1469</v>
      </c>
      <c r="C309" s="898">
        <v>2500</v>
      </c>
      <c r="D309" s="899">
        <v>4400</v>
      </c>
      <c r="E309" s="1335">
        <v>4400</v>
      </c>
      <c r="F309" s="899">
        <f t="shared" si="19"/>
        <v>3250</v>
      </c>
      <c r="G309" s="897">
        <v>3</v>
      </c>
      <c r="H309" s="901"/>
      <c r="I309" s="902"/>
      <c r="J309" s="897"/>
      <c r="K309" s="903"/>
      <c r="L309" s="899">
        <f t="shared" si="16"/>
        <v>1900</v>
      </c>
      <c r="M309" s="899"/>
      <c r="N309" s="904"/>
      <c r="O309" s="905"/>
      <c r="P309" s="899"/>
      <c r="Q309" s="899"/>
      <c r="R309" s="898"/>
      <c r="S309" s="899"/>
      <c r="T309" s="899"/>
      <c r="U309" s="904"/>
      <c r="V309" s="905"/>
      <c r="W309" s="902"/>
      <c r="X309" s="897"/>
      <c r="Y309" s="898"/>
      <c r="Z309" s="902"/>
      <c r="AA309" s="902"/>
      <c r="AB309" s="902"/>
      <c r="AC309" s="902"/>
    </row>
    <row r="310" spans="1:29" ht="16.3" hidden="1" outlineLevel="1" thickBot="1">
      <c r="A310" s="897" t="s">
        <v>688</v>
      </c>
      <c r="B310" s="898" t="s">
        <v>1738</v>
      </c>
      <c r="C310" s="898">
        <v>9950</v>
      </c>
      <c r="D310" s="899">
        <v>13700</v>
      </c>
      <c r="E310" s="1335">
        <v>13000</v>
      </c>
      <c r="F310" s="899">
        <f t="shared" si="19"/>
        <v>12935</v>
      </c>
      <c r="G310" s="897">
        <v>7</v>
      </c>
      <c r="H310" s="901"/>
      <c r="I310" s="902"/>
      <c r="J310" s="897"/>
      <c r="K310" s="903"/>
      <c r="L310" s="899">
        <f t="shared" si="16"/>
        <v>3050</v>
      </c>
      <c r="M310" s="899"/>
      <c r="N310" s="904"/>
      <c r="O310" s="905"/>
      <c r="P310" s="899"/>
      <c r="Q310" s="899"/>
      <c r="R310" s="898"/>
      <c r="S310" s="899"/>
      <c r="T310" s="899"/>
      <c r="U310" s="904"/>
      <c r="V310" s="905"/>
      <c r="W310" s="902"/>
      <c r="X310" s="897"/>
      <c r="Y310" s="898"/>
      <c r="Z310" s="902"/>
      <c r="AA310" s="902"/>
      <c r="AB310" s="902"/>
      <c r="AC310" s="902"/>
    </row>
    <row r="311" spans="1:29" ht="16.3" hidden="1" outlineLevel="1" thickBot="1">
      <c r="A311" s="897" t="s">
        <v>792</v>
      </c>
      <c r="B311" s="898" t="s">
        <v>1703</v>
      </c>
      <c r="C311" s="898">
        <v>8000</v>
      </c>
      <c r="D311" s="899">
        <v>8900</v>
      </c>
      <c r="E311" s="1335">
        <v>8900</v>
      </c>
      <c r="F311" s="899">
        <f t="shared" si="19"/>
        <v>10400</v>
      </c>
      <c r="G311" s="897">
        <v>7</v>
      </c>
      <c r="H311" s="901"/>
      <c r="I311" s="902"/>
      <c r="J311" s="897"/>
      <c r="K311" s="903"/>
      <c r="L311" s="899">
        <f t="shared" si="16"/>
        <v>900</v>
      </c>
      <c r="M311" s="899"/>
      <c r="N311" s="904"/>
      <c r="O311" s="905"/>
      <c r="P311" s="899"/>
      <c r="Q311" s="899"/>
      <c r="R311" s="898"/>
      <c r="S311" s="899"/>
      <c r="T311" s="899"/>
      <c r="U311" s="904"/>
      <c r="V311" s="905"/>
      <c r="W311" s="902"/>
      <c r="X311" s="897"/>
      <c r="Y311" s="898"/>
      <c r="Z311" s="902"/>
      <c r="AA311" s="902"/>
      <c r="AB311" s="902"/>
      <c r="AC311" s="902"/>
    </row>
    <row r="312" spans="1:29" ht="16.3" hidden="1" outlineLevel="1" thickBot="1">
      <c r="A312" s="897" t="s">
        <v>1729</v>
      </c>
      <c r="B312" s="898" t="s">
        <v>1730</v>
      </c>
      <c r="C312" s="898">
        <v>1380</v>
      </c>
      <c r="D312" s="899">
        <v>2800</v>
      </c>
      <c r="E312" s="1335">
        <v>2800</v>
      </c>
      <c r="F312" s="899">
        <f t="shared" si="19"/>
        <v>1794</v>
      </c>
      <c r="G312" s="897">
        <v>1</v>
      </c>
      <c r="H312" s="901"/>
      <c r="I312" s="902"/>
      <c r="J312" s="897"/>
      <c r="K312" s="903"/>
      <c r="L312" s="899">
        <f t="shared" si="16"/>
        <v>1420</v>
      </c>
      <c r="M312" s="899"/>
      <c r="N312" s="904"/>
      <c r="O312" s="905"/>
      <c r="P312" s="899"/>
      <c r="Q312" s="899"/>
      <c r="R312" s="898"/>
      <c r="S312" s="899"/>
      <c r="T312" s="899"/>
      <c r="U312" s="904"/>
      <c r="V312" s="905"/>
      <c r="W312" s="902"/>
      <c r="X312" s="897"/>
      <c r="Y312" s="898"/>
      <c r="Z312" s="902"/>
      <c r="AA312" s="902"/>
      <c r="AB312" s="902"/>
      <c r="AC312" s="902"/>
    </row>
    <row r="313" spans="1:29" ht="16.3" hidden="1" outlineLevel="1" thickBot="1">
      <c r="A313" s="897" t="s">
        <v>1731</v>
      </c>
      <c r="B313" s="898" t="s">
        <v>2350</v>
      </c>
      <c r="C313" s="898">
        <v>1724.9999999999998</v>
      </c>
      <c r="D313" s="899">
        <v>4000</v>
      </c>
      <c r="E313" s="1335">
        <v>2300</v>
      </c>
      <c r="F313" s="899">
        <f t="shared" si="19"/>
        <v>2242.5</v>
      </c>
      <c r="G313" s="897">
        <v>1</v>
      </c>
      <c r="H313" s="901"/>
      <c r="I313" s="902"/>
      <c r="J313" s="897"/>
      <c r="K313" s="903"/>
      <c r="L313" s="899">
        <f t="shared" si="16"/>
        <v>575.00000000000023</v>
      </c>
      <c r="M313" s="899"/>
      <c r="N313" s="904"/>
      <c r="O313" s="905"/>
      <c r="P313" s="899"/>
      <c r="Q313" s="899"/>
      <c r="R313" s="898"/>
      <c r="S313" s="899"/>
      <c r="T313" s="899"/>
      <c r="U313" s="904"/>
      <c r="V313" s="905"/>
      <c r="W313" s="902"/>
      <c r="X313" s="897"/>
      <c r="Y313" s="898"/>
      <c r="Z313" s="902"/>
      <c r="AA313" s="902"/>
      <c r="AB313" s="902"/>
      <c r="AC313" s="902"/>
    </row>
    <row r="314" spans="1:29" ht="16.3" hidden="1" outlineLevel="1" thickBot="1">
      <c r="A314" s="897" t="s">
        <v>1436</v>
      </c>
      <c r="B314" s="898" t="s">
        <v>1437</v>
      </c>
      <c r="C314" s="898">
        <v>2200</v>
      </c>
      <c r="D314" s="899">
        <v>3900</v>
      </c>
      <c r="E314" s="1335">
        <v>2900</v>
      </c>
      <c r="F314" s="899">
        <f t="shared" si="19"/>
        <v>2860</v>
      </c>
      <c r="G314" s="897">
        <v>1</v>
      </c>
      <c r="H314" s="901"/>
      <c r="I314" s="902"/>
      <c r="J314" s="897"/>
      <c r="K314" s="903"/>
      <c r="L314" s="899">
        <f t="shared" si="16"/>
        <v>700</v>
      </c>
      <c r="M314" s="899"/>
      <c r="N314" s="904"/>
      <c r="O314" s="905"/>
      <c r="P314" s="899"/>
      <c r="Q314" s="899"/>
      <c r="R314" s="898"/>
      <c r="S314" s="899"/>
      <c r="T314" s="899"/>
      <c r="U314" s="904"/>
      <c r="V314" s="905"/>
      <c r="W314" s="902"/>
      <c r="X314" s="897"/>
      <c r="Y314" s="898"/>
      <c r="Z314" s="902"/>
      <c r="AA314" s="902"/>
      <c r="AB314" s="902"/>
      <c r="AC314" s="902"/>
    </row>
    <row r="315" spans="1:29" ht="16.3" hidden="1" outlineLevel="1" thickBot="1">
      <c r="A315" s="897" t="s">
        <v>1464</v>
      </c>
      <c r="B315" s="898" t="s">
        <v>1465</v>
      </c>
      <c r="C315" s="898">
        <v>1724.9999999999998</v>
      </c>
      <c r="D315" s="899">
        <v>4800</v>
      </c>
      <c r="E315" s="1335">
        <v>4000</v>
      </c>
      <c r="F315" s="899">
        <f t="shared" si="19"/>
        <v>2242.5</v>
      </c>
      <c r="G315" s="897">
        <v>3</v>
      </c>
      <c r="H315" s="901"/>
      <c r="I315" s="902"/>
      <c r="J315" s="897"/>
      <c r="K315" s="903"/>
      <c r="L315" s="899">
        <f t="shared" si="16"/>
        <v>2275</v>
      </c>
      <c r="M315" s="899"/>
      <c r="N315" s="904"/>
      <c r="O315" s="905"/>
      <c r="P315" s="899"/>
      <c r="Q315" s="899"/>
      <c r="R315" s="898"/>
      <c r="S315" s="899"/>
      <c r="T315" s="899"/>
      <c r="U315" s="904"/>
      <c r="V315" s="905"/>
      <c r="W315" s="902"/>
      <c r="X315" s="897"/>
      <c r="Y315" s="898"/>
      <c r="Z315" s="902"/>
      <c r="AA315" s="902"/>
      <c r="AB315" s="902"/>
      <c r="AC315" s="902"/>
    </row>
    <row r="316" spans="1:29" ht="16.3" collapsed="1" thickBot="1">
      <c r="A316" s="917" t="s">
        <v>950</v>
      </c>
      <c r="B316" s="892" t="s">
        <v>2763</v>
      </c>
      <c r="C316" s="892">
        <f>SUM(C317:C370)</f>
        <v>72844</v>
      </c>
      <c r="D316" s="892">
        <f>SUM(D317:D370)</f>
        <v>127740</v>
      </c>
      <c r="E316" s="1345">
        <v>97900</v>
      </c>
      <c r="F316" s="892">
        <f>SUM(F317:F370)</f>
        <v>94698.099999999991</v>
      </c>
      <c r="G316" s="894">
        <v>7</v>
      </c>
      <c r="H316" s="901"/>
      <c r="I316" s="902" t="str">
        <f>IF(H316="x",CONCATENATE(A316,"; "),"")</f>
        <v/>
      </c>
      <c r="J316" s="897"/>
      <c r="K316" s="903"/>
      <c r="L316" s="899">
        <f t="shared" si="16"/>
        <v>25056</v>
      </c>
      <c r="M316" s="899"/>
      <c r="N316" s="904"/>
      <c r="O316" s="905"/>
      <c r="P316" s="899"/>
      <c r="Q316" s="899"/>
      <c r="R316" s="898"/>
      <c r="S316" s="899"/>
      <c r="T316" s="899"/>
      <c r="U316" s="904"/>
      <c r="V316" s="905"/>
      <c r="W316" s="902"/>
      <c r="X316" s="897"/>
      <c r="Y316" s="898"/>
      <c r="Z316" s="902"/>
      <c r="AA316" s="902"/>
      <c r="AB316" s="902"/>
      <c r="AC316" s="902"/>
    </row>
    <row r="317" spans="1:29" ht="16.3" hidden="1" outlineLevel="1" thickBot="1">
      <c r="A317" s="897" t="s">
        <v>1391</v>
      </c>
      <c r="B317" s="926" t="s">
        <v>1392</v>
      </c>
      <c r="C317" s="898">
        <v>69</v>
      </c>
      <c r="D317" s="899">
        <v>400</v>
      </c>
      <c r="E317" s="1335">
        <v>400</v>
      </c>
      <c r="F317" s="899">
        <f t="shared" ref="F317:F326" si="20">C317*1.3</f>
        <v>89.7</v>
      </c>
      <c r="G317" s="900"/>
      <c r="H317" s="901"/>
      <c r="I317" s="902"/>
      <c r="J317" s="910"/>
      <c r="K317" s="903"/>
      <c r="L317" s="899">
        <f t="shared" si="16"/>
        <v>331</v>
      </c>
      <c r="M317" s="903"/>
      <c r="N317" s="903"/>
      <c r="O317" s="903"/>
      <c r="P317" s="903"/>
      <c r="Q317" s="902"/>
      <c r="R317" s="902"/>
      <c r="S317" s="903"/>
      <c r="T317" s="902"/>
      <c r="U317" s="902"/>
      <c r="V317" s="902"/>
      <c r="W317" s="902"/>
      <c r="X317" s="902"/>
      <c r="Y317" s="902"/>
      <c r="Z317" s="902"/>
      <c r="AA317" s="902"/>
      <c r="AB317" s="902"/>
      <c r="AC317" s="902"/>
    </row>
    <row r="318" spans="1:29" ht="16.3" hidden="1" outlineLevel="1" thickBot="1">
      <c r="A318" s="897" t="s">
        <v>1395</v>
      </c>
      <c r="B318" s="926" t="s">
        <v>1396</v>
      </c>
      <c r="C318" s="898">
        <v>69</v>
      </c>
      <c r="D318" s="899">
        <v>400</v>
      </c>
      <c r="E318" s="1335">
        <v>400</v>
      </c>
      <c r="F318" s="899">
        <f t="shared" si="20"/>
        <v>89.7</v>
      </c>
      <c r="G318" s="900"/>
      <c r="H318" s="901"/>
      <c r="I318" s="902"/>
      <c r="J318" s="910"/>
      <c r="K318" s="903"/>
      <c r="L318" s="899">
        <f t="shared" si="16"/>
        <v>331</v>
      </c>
      <c r="M318" s="903"/>
      <c r="N318" s="903"/>
      <c r="O318" s="903"/>
      <c r="P318" s="903"/>
      <c r="Q318" s="902"/>
      <c r="R318" s="902"/>
      <c r="S318" s="903"/>
      <c r="T318" s="902"/>
      <c r="U318" s="902"/>
      <c r="V318" s="902"/>
      <c r="W318" s="902"/>
      <c r="X318" s="902"/>
      <c r="Y318" s="902"/>
      <c r="Z318" s="902"/>
      <c r="AA318" s="902"/>
      <c r="AB318" s="902"/>
      <c r="AC318" s="902"/>
    </row>
    <row r="319" spans="1:29" ht="16.3" hidden="1" outlineLevel="1" thickBot="1">
      <c r="A319" s="897" t="s">
        <v>1611</v>
      </c>
      <c r="B319" s="926" t="s">
        <v>1612</v>
      </c>
      <c r="C319" s="898">
        <v>125</v>
      </c>
      <c r="D319" s="899">
        <v>200</v>
      </c>
      <c r="E319" s="1335">
        <v>200</v>
      </c>
      <c r="F319" s="899">
        <f t="shared" si="20"/>
        <v>162.5</v>
      </c>
      <c r="G319" s="900"/>
      <c r="H319" s="901"/>
      <c r="I319" s="902"/>
      <c r="J319" s="897"/>
      <c r="K319" s="903"/>
      <c r="L319" s="899">
        <f t="shared" si="16"/>
        <v>75</v>
      </c>
      <c r="M319" s="903"/>
      <c r="N319" s="903"/>
      <c r="O319" s="903"/>
      <c r="P319" s="903"/>
      <c r="Q319" s="902"/>
      <c r="R319" s="902"/>
      <c r="S319" s="903"/>
      <c r="T319" s="902"/>
      <c r="U319" s="902"/>
      <c r="V319" s="902"/>
      <c r="W319" s="902"/>
      <c r="X319" s="902"/>
      <c r="Y319" s="902"/>
      <c r="Z319" s="902"/>
      <c r="AA319" s="902"/>
      <c r="AB319" s="902"/>
      <c r="AC319" s="902"/>
    </row>
    <row r="320" spans="1:29" ht="16.3" hidden="1" outlineLevel="1" thickBot="1">
      <c r="A320" s="897" t="s">
        <v>1621</v>
      </c>
      <c r="B320" s="926" t="s">
        <v>2346</v>
      </c>
      <c r="C320" s="898">
        <v>175</v>
      </c>
      <c r="D320" s="899">
        <v>400</v>
      </c>
      <c r="E320" s="1335">
        <v>400</v>
      </c>
      <c r="F320" s="899">
        <f t="shared" si="20"/>
        <v>227.5</v>
      </c>
      <c r="G320" s="900"/>
      <c r="H320" s="901"/>
      <c r="I320" s="902"/>
      <c r="J320" s="897"/>
      <c r="K320" s="903"/>
      <c r="L320" s="899">
        <f t="shared" si="16"/>
        <v>225</v>
      </c>
      <c r="M320" s="903"/>
      <c r="N320" s="903"/>
      <c r="O320" s="903"/>
      <c r="P320" s="903"/>
      <c r="Q320" s="902"/>
      <c r="R320" s="902"/>
      <c r="S320" s="903"/>
      <c r="T320" s="902"/>
      <c r="U320" s="902"/>
      <c r="V320" s="902"/>
      <c r="W320" s="902"/>
      <c r="X320" s="902"/>
      <c r="Y320" s="902"/>
      <c r="Z320" s="902"/>
      <c r="AA320" s="902"/>
      <c r="AB320" s="902"/>
      <c r="AC320" s="902"/>
    </row>
    <row r="321" spans="1:29" ht="16.3" hidden="1" outlineLevel="1" thickBot="1">
      <c r="A321" s="897" t="s">
        <v>649</v>
      </c>
      <c r="B321" s="926" t="s">
        <v>649</v>
      </c>
      <c r="C321" s="898">
        <v>460</v>
      </c>
      <c r="D321" s="899">
        <v>1400</v>
      </c>
      <c r="E321" s="1335">
        <v>1400</v>
      </c>
      <c r="F321" s="899">
        <f t="shared" si="20"/>
        <v>598</v>
      </c>
      <c r="G321" s="900"/>
      <c r="H321" s="901"/>
      <c r="I321" s="902"/>
      <c r="J321" s="897"/>
      <c r="K321" s="903"/>
      <c r="L321" s="899">
        <f t="shared" si="16"/>
        <v>940</v>
      </c>
      <c r="M321" s="903"/>
      <c r="N321" s="903"/>
      <c r="O321" s="903"/>
      <c r="P321" s="903"/>
      <c r="Q321" s="902"/>
      <c r="R321" s="902"/>
      <c r="S321" s="903"/>
      <c r="T321" s="902"/>
      <c r="U321" s="902"/>
      <c r="V321" s="902"/>
      <c r="W321" s="902"/>
      <c r="X321" s="902"/>
      <c r="Y321" s="902"/>
      <c r="Z321" s="902"/>
      <c r="AA321" s="902"/>
      <c r="AB321" s="902"/>
      <c r="AC321" s="902"/>
    </row>
    <row r="322" spans="1:29" ht="16.3" hidden="1" outlineLevel="1" thickBot="1">
      <c r="A322" s="897" t="s">
        <v>1371</v>
      </c>
      <c r="B322" s="926" t="s">
        <v>1372</v>
      </c>
      <c r="C322" s="898">
        <v>2415</v>
      </c>
      <c r="D322" s="899">
        <v>5800</v>
      </c>
      <c r="E322" s="1335">
        <v>5800</v>
      </c>
      <c r="F322" s="899">
        <f t="shared" si="20"/>
        <v>3139.5</v>
      </c>
      <c r="G322" s="900"/>
      <c r="H322" s="901"/>
      <c r="I322" s="902"/>
      <c r="J322" s="902"/>
      <c r="K322" s="903"/>
      <c r="L322" s="899">
        <f t="shared" si="16"/>
        <v>3385</v>
      </c>
      <c r="M322" s="903"/>
      <c r="N322" s="903"/>
      <c r="O322" s="903"/>
      <c r="P322" s="903"/>
      <c r="Q322" s="902"/>
      <c r="R322" s="902"/>
      <c r="S322" s="903"/>
      <c r="T322" s="902"/>
      <c r="U322" s="902"/>
      <c r="V322" s="902"/>
      <c r="W322" s="902"/>
      <c r="X322" s="902"/>
      <c r="Y322" s="902"/>
      <c r="Z322" s="902"/>
      <c r="AA322" s="902"/>
      <c r="AB322" s="902"/>
      <c r="AC322" s="902"/>
    </row>
    <row r="323" spans="1:29" ht="16.3" hidden="1" outlineLevel="1" thickBot="1">
      <c r="A323" s="897" t="s">
        <v>1522</v>
      </c>
      <c r="B323" s="926" t="s">
        <v>31</v>
      </c>
      <c r="C323" s="898">
        <v>1150</v>
      </c>
      <c r="D323" s="899">
        <v>2800</v>
      </c>
      <c r="E323" s="1335">
        <v>2800</v>
      </c>
      <c r="F323" s="899">
        <f t="shared" si="20"/>
        <v>1495</v>
      </c>
      <c r="G323" s="900"/>
      <c r="H323" s="901"/>
      <c r="I323" s="902"/>
      <c r="J323" s="902"/>
      <c r="K323" s="903"/>
      <c r="L323" s="899">
        <f t="shared" si="16"/>
        <v>1650</v>
      </c>
      <c r="M323" s="903"/>
      <c r="N323" s="903"/>
      <c r="O323" s="903"/>
      <c r="P323" s="903"/>
      <c r="Q323" s="902"/>
      <c r="R323" s="902"/>
      <c r="S323" s="903"/>
      <c r="T323" s="902"/>
      <c r="U323" s="902"/>
      <c r="V323" s="902"/>
      <c r="W323" s="902"/>
      <c r="X323" s="902"/>
      <c r="Y323" s="902"/>
      <c r="Z323" s="902"/>
      <c r="AA323" s="902"/>
      <c r="AB323" s="902"/>
      <c r="AC323" s="902"/>
    </row>
    <row r="324" spans="1:29" ht="16.3" hidden="1" outlineLevel="1" thickBot="1">
      <c r="A324" s="897" t="s">
        <v>681</v>
      </c>
      <c r="B324" s="926" t="s">
        <v>15</v>
      </c>
      <c r="C324" s="898">
        <v>69</v>
      </c>
      <c r="D324" s="899">
        <v>250</v>
      </c>
      <c r="E324" s="1335">
        <v>250</v>
      </c>
      <c r="F324" s="899">
        <f t="shared" si="20"/>
        <v>89.7</v>
      </c>
      <c r="G324" s="897"/>
      <c r="H324" s="901"/>
      <c r="I324" s="902"/>
      <c r="J324" s="902"/>
      <c r="K324" s="903"/>
      <c r="L324" s="899">
        <f t="shared" si="16"/>
        <v>181</v>
      </c>
      <c r="M324" s="903"/>
      <c r="N324" s="903"/>
      <c r="O324" s="903"/>
      <c r="P324" s="903"/>
      <c r="Q324" s="902"/>
      <c r="R324" s="902"/>
      <c r="S324" s="903"/>
      <c r="T324" s="902"/>
      <c r="U324" s="902"/>
      <c r="V324" s="902"/>
      <c r="W324" s="902"/>
      <c r="X324" s="902"/>
      <c r="Y324" s="902"/>
      <c r="Z324" s="902"/>
      <c r="AA324" s="902"/>
      <c r="AB324" s="902"/>
      <c r="AC324" s="902"/>
    </row>
    <row r="325" spans="1:29" ht="16.3" hidden="1" outlineLevel="1" thickBot="1">
      <c r="A325" s="897" t="s">
        <v>1826</v>
      </c>
      <c r="B325" s="926" t="s">
        <v>1827</v>
      </c>
      <c r="C325" s="898">
        <v>69</v>
      </c>
      <c r="D325" s="899">
        <v>640</v>
      </c>
      <c r="E325" s="1335">
        <v>640</v>
      </c>
      <c r="F325" s="899">
        <f t="shared" si="20"/>
        <v>89.7</v>
      </c>
      <c r="G325" s="897"/>
      <c r="H325" s="901"/>
      <c r="I325" s="902"/>
      <c r="J325" s="902"/>
      <c r="K325" s="903"/>
      <c r="L325" s="899">
        <f t="shared" si="16"/>
        <v>571</v>
      </c>
      <c r="M325" s="903"/>
      <c r="N325" s="903"/>
      <c r="O325" s="903"/>
      <c r="P325" s="903"/>
      <c r="Q325" s="902"/>
      <c r="R325" s="902"/>
      <c r="S325" s="903"/>
      <c r="T325" s="902"/>
      <c r="U325" s="902"/>
      <c r="V325" s="902"/>
      <c r="W325" s="902"/>
      <c r="X325" s="902"/>
      <c r="Y325" s="902"/>
      <c r="Z325" s="902"/>
      <c r="AA325" s="902"/>
      <c r="AB325" s="902"/>
      <c r="AC325" s="902"/>
    </row>
    <row r="326" spans="1:29" ht="16.3" hidden="1" outlineLevel="1" thickBot="1">
      <c r="A326" s="897" t="s">
        <v>684</v>
      </c>
      <c r="B326" s="926" t="s">
        <v>1538</v>
      </c>
      <c r="C326" s="898">
        <v>69</v>
      </c>
      <c r="D326" s="899">
        <v>200</v>
      </c>
      <c r="E326" s="1335">
        <v>200</v>
      </c>
      <c r="F326" s="899">
        <f t="shared" si="20"/>
        <v>89.7</v>
      </c>
      <c r="G326" s="897">
        <v>1</v>
      </c>
      <c r="H326" s="901"/>
      <c r="I326" s="902"/>
      <c r="J326" s="902"/>
      <c r="K326" s="903"/>
      <c r="L326" s="899">
        <f t="shared" si="16"/>
        <v>131</v>
      </c>
      <c r="M326" s="903"/>
      <c r="N326" s="903"/>
      <c r="O326" s="903"/>
      <c r="P326" s="903"/>
      <c r="Q326" s="902"/>
      <c r="R326" s="902"/>
      <c r="S326" s="903"/>
      <c r="T326" s="902"/>
      <c r="U326" s="902"/>
      <c r="V326" s="902"/>
      <c r="W326" s="902"/>
      <c r="X326" s="902"/>
      <c r="Y326" s="902"/>
      <c r="Z326" s="902"/>
      <c r="AA326" s="902"/>
      <c r="AB326" s="902"/>
      <c r="AC326" s="902"/>
    </row>
    <row r="327" spans="1:29" ht="16.3" hidden="1" outlineLevel="1" thickBot="1">
      <c r="A327" s="897" t="s">
        <v>685</v>
      </c>
      <c r="B327" s="926" t="s">
        <v>1539</v>
      </c>
      <c r="C327" s="898">
        <v>69</v>
      </c>
      <c r="D327" s="899">
        <v>200</v>
      </c>
      <c r="E327" s="1335">
        <v>200</v>
      </c>
      <c r="F327" s="899">
        <f t="shared" ref="F327:F354" si="21">C327*1.3</f>
        <v>89.7</v>
      </c>
      <c r="G327" s="897"/>
      <c r="H327" s="901"/>
      <c r="I327" s="902"/>
      <c r="J327" s="902"/>
      <c r="K327" s="903"/>
      <c r="L327" s="899">
        <f t="shared" si="16"/>
        <v>131</v>
      </c>
      <c r="M327" s="903"/>
      <c r="N327" s="903"/>
      <c r="O327" s="903"/>
      <c r="P327" s="927"/>
      <c r="Q327" s="902"/>
      <c r="R327" s="902"/>
      <c r="S327" s="927"/>
      <c r="T327" s="902"/>
      <c r="U327" s="902"/>
      <c r="V327" s="902"/>
      <c r="W327" s="902"/>
      <c r="X327" s="902"/>
      <c r="Y327" s="902"/>
      <c r="Z327" s="902"/>
      <c r="AA327" s="902"/>
      <c r="AB327" s="902"/>
      <c r="AC327" s="902"/>
    </row>
    <row r="328" spans="1:29" ht="16.3" hidden="1" outlineLevel="1" thickBot="1">
      <c r="A328" s="897" t="s">
        <v>1607</v>
      </c>
      <c r="B328" s="926" t="s">
        <v>22</v>
      </c>
      <c r="C328" s="898">
        <v>135</v>
      </c>
      <c r="D328" s="899">
        <v>200</v>
      </c>
      <c r="E328" s="1335">
        <v>200</v>
      </c>
      <c r="F328" s="899">
        <f t="shared" si="21"/>
        <v>175.5</v>
      </c>
      <c r="G328" s="897">
        <v>1</v>
      </c>
      <c r="H328" s="901"/>
      <c r="I328" s="902"/>
      <c r="J328" s="902"/>
      <c r="K328" s="903"/>
      <c r="L328" s="899">
        <f t="shared" si="16"/>
        <v>65</v>
      </c>
      <c r="M328" s="903"/>
      <c r="N328" s="903"/>
      <c r="O328" s="903"/>
      <c r="P328" s="928"/>
      <c r="Q328" s="928"/>
      <c r="R328" s="902"/>
      <c r="S328" s="928"/>
      <c r="T328" s="928"/>
      <c r="U328" s="902"/>
      <c r="V328" s="902"/>
      <c r="W328" s="902"/>
      <c r="X328" s="902"/>
      <c r="Y328" s="902"/>
      <c r="Z328" s="902"/>
      <c r="AA328" s="902"/>
      <c r="AB328" s="902"/>
      <c r="AC328" s="902"/>
    </row>
    <row r="329" spans="1:29" ht="16.3" hidden="1" outlineLevel="1" thickBot="1">
      <c r="A329" s="897" t="s">
        <v>1608</v>
      </c>
      <c r="B329" s="926" t="s">
        <v>19</v>
      </c>
      <c r="C329" s="898">
        <v>69</v>
      </c>
      <c r="D329" s="899">
        <v>600</v>
      </c>
      <c r="E329" s="1335">
        <v>600</v>
      </c>
      <c r="F329" s="899">
        <f t="shared" si="21"/>
        <v>89.7</v>
      </c>
      <c r="G329" s="897"/>
      <c r="H329" s="901"/>
      <c r="I329" s="902"/>
      <c r="J329" s="902"/>
      <c r="K329" s="903"/>
      <c r="L329" s="899">
        <f t="shared" si="16"/>
        <v>531</v>
      </c>
      <c r="M329" s="903"/>
      <c r="N329" s="903"/>
      <c r="O329" s="903"/>
      <c r="P329" s="902"/>
      <c r="Q329" s="902"/>
      <c r="R329" s="902"/>
      <c r="S329" s="902"/>
      <c r="T329" s="902"/>
      <c r="U329" s="902"/>
      <c r="V329" s="902"/>
      <c r="W329" s="902"/>
      <c r="X329" s="902"/>
      <c r="Y329" s="902"/>
      <c r="Z329" s="902"/>
      <c r="AA329" s="902"/>
      <c r="AB329" s="902"/>
      <c r="AC329" s="902"/>
    </row>
    <row r="330" spans="1:29" ht="16.3" hidden="1" outlineLevel="1" thickBot="1">
      <c r="A330" s="897" t="s">
        <v>508</v>
      </c>
      <c r="B330" s="926" t="s">
        <v>508</v>
      </c>
      <c r="C330" s="898">
        <v>69</v>
      </c>
      <c r="D330" s="899">
        <v>300</v>
      </c>
      <c r="E330" s="1335">
        <v>300</v>
      </c>
      <c r="F330" s="899">
        <f t="shared" si="21"/>
        <v>89.7</v>
      </c>
      <c r="G330" s="897">
        <v>1</v>
      </c>
      <c r="H330" s="901"/>
      <c r="I330" s="902"/>
      <c r="J330" s="902"/>
      <c r="K330" s="903"/>
      <c r="L330" s="899">
        <f t="shared" si="16"/>
        <v>231</v>
      </c>
      <c r="M330" s="903"/>
      <c r="N330" s="903"/>
      <c r="O330" s="903"/>
      <c r="P330" s="902"/>
      <c r="Q330" s="902"/>
      <c r="R330" s="902"/>
      <c r="S330" s="902"/>
      <c r="T330" s="902"/>
      <c r="U330" s="902"/>
      <c r="V330" s="902"/>
      <c r="W330" s="902"/>
      <c r="X330" s="902"/>
      <c r="Y330" s="902"/>
      <c r="Z330" s="902"/>
      <c r="AA330" s="902"/>
      <c r="AB330" s="902"/>
      <c r="AC330" s="902"/>
    </row>
    <row r="331" spans="1:29" ht="16.3" hidden="1" outlineLevel="1" thickBot="1">
      <c r="A331" s="897" t="s">
        <v>1693</v>
      </c>
      <c r="B331" s="926" t="s">
        <v>21</v>
      </c>
      <c r="C331" s="898">
        <v>135</v>
      </c>
      <c r="D331" s="899">
        <v>200</v>
      </c>
      <c r="E331" s="1335">
        <v>200</v>
      </c>
      <c r="F331" s="899">
        <f t="shared" si="21"/>
        <v>175.5</v>
      </c>
      <c r="G331" s="897">
        <v>1</v>
      </c>
      <c r="H331" s="901"/>
      <c r="I331" s="902"/>
      <c r="J331" s="902"/>
      <c r="K331" s="903"/>
      <c r="L331" s="899">
        <f t="shared" si="16"/>
        <v>65</v>
      </c>
      <c r="M331" s="903"/>
      <c r="N331" s="903"/>
      <c r="O331" s="903"/>
      <c r="P331" s="902"/>
      <c r="Q331" s="902"/>
      <c r="R331" s="902"/>
      <c r="S331" s="902"/>
      <c r="T331" s="902"/>
      <c r="U331" s="902"/>
      <c r="V331" s="902"/>
      <c r="W331" s="902"/>
      <c r="X331" s="902"/>
      <c r="Y331" s="902"/>
      <c r="Z331" s="902"/>
      <c r="AA331" s="902"/>
      <c r="AB331" s="902"/>
      <c r="AC331" s="902"/>
    </row>
    <row r="332" spans="1:29" ht="16.3" hidden="1" outlineLevel="1" thickBot="1">
      <c r="A332" s="897" t="s">
        <v>1716</v>
      </c>
      <c r="B332" s="926" t="s">
        <v>25</v>
      </c>
      <c r="C332" s="898">
        <v>69</v>
      </c>
      <c r="D332" s="899">
        <v>600</v>
      </c>
      <c r="E332" s="1335">
        <v>600</v>
      </c>
      <c r="F332" s="899">
        <f t="shared" si="21"/>
        <v>89.7</v>
      </c>
      <c r="G332" s="897">
        <v>1</v>
      </c>
      <c r="H332" s="901"/>
      <c r="I332" s="902"/>
      <c r="J332" s="902"/>
      <c r="K332" s="903"/>
      <c r="L332" s="899">
        <f t="shared" si="16"/>
        <v>531</v>
      </c>
      <c r="M332" s="903"/>
      <c r="N332" s="903"/>
      <c r="O332" s="903"/>
      <c r="P332" s="902"/>
      <c r="Q332" s="902"/>
      <c r="R332" s="902"/>
      <c r="S332" s="902"/>
      <c r="T332" s="902"/>
      <c r="U332" s="902"/>
      <c r="V332" s="902"/>
      <c r="W332" s="902"/>
      <c r="X332" s="902"/>
      <c r="Y332" s="902"/>
      <c r="Z332" s="902"/>
      <c r="AA332" s="902"/>
      <c r="AB332" s="902"/>
      <c r="AC332" s="902"/>
    </row>
    <row r="333" spans="1:29" ht="16.3" hidden="1" outlineLevel="1" thickBot="1">
      <c r="A333" s="897" t="s">
        <v>71</v>
      </c>
      <c r="B333" s="926" t="s">
        <v>71</v>
      </c>
      <c r="C333" s="898">
        <v>2185</v>
      </c>
      <c r="D333" s="899">
        <v>4900</v>
      </c>
      <c r="E333" s="1335">
        <v>4900</v>
      </c>
      <c r="F333" s="899">
        <f t="shared" si="21"/>
        <v>2840.5</v>
      </c>
      <c r="G333" s="897">
        <v>1</v>
      </c>
      <c r="H333" s="901"/>
      <c r="I333" s="902"/>
      <c r="J333" s="902"/>
      <c r="K333" s="903"/>
      <c r="L333" s="899">
        <f t="shared" si="16"/>
        <v>2715</v>
      </c>
      <c r="M333" s="903"/>
      <c r="N333" s="903"/>
      <c r="O333" s="927"/>
      <c r="P333" s="902"/>
      <c r="Q333" s="902"/>
      <c r="R333" s="902"/>
      <c r="S333" s="902"/>
      <c r="T333" s="902"/>
      <c r="U333" s="902"/>
      <c r="V333" s="902"/>
      <c r="W333" s="902"/>
      <c r="X333" s="902"/>
      <c r="Y333" s="902"/>
      <c r="Z333" s="902"/>
      <c r="AA333" s="902"/>
      <c r="AB333" s="902"/>
      <c r="AC333" s="902"/>
    </row>
    <row r="334" spans="1:29" ht="16.3" hidden="1" outlineLevel="1" thickBot="1">
      <c r="A334" s="897" t="s">
        <v>1800</v>
      </c>
      <c r="B334" s="926" t="s">
        <v>1801</v>
      </c>
      <c r="C334" s="898">
        <v>6325</v>
      </c>
      <c r="D334" s="899">
        <v>7700</v>
      </c>
      <c r="E334" s="1335">
        <v>7700</v>
      </c>
      <c r="F334" s="899">
        <f t="shared" si="21"/>
        <v>8222.5</v>
      </c>
      <c r="G334" s="897">
        <v>1</v>
      </c>
      <c r="H334" s="901"/>
      <c r="I334" s="902"/>
      <c r="J334" s="902"/>
      <c r="K334" s="903"/>
      <c r="L334" s="899">
        <f t="shared" si="16"/>
        <v>1375</v>
      </c>
      <c r="M334" s="903"/>
      <c r="N334" s="903"/>
      <c r="O334" s="927"/>
      <c r="P334" s="902"/>
      <c r="Q334" s="902"/>
      <c r="R334" s="902"/>
      <c r="S334" s="902"/>
      <c r="T334" s="902"/>
      <c r="U334" s="902"/>
      <c r="V334" s="902"/>
      <c r="W334" s="902"/>
      <c r="X334" s="902"/>
      <c r="Y334" s="902"/>
      <c r="Z334" s="902"/>
      <c r="AA334" s="902"/>
      <c r="AB334" s="902"/>
      <c r="AC334" s="902"/>
    </row>
    <row r="335" spans="1:29" ht="16.3" hidden="1" outlineLevel="1" thickBot="1">
      <c r="A335" s="897" t="s">
        <v>1807</v>
      </c>
      <c r="B335" s="926" t="s">
        <v>30</v>
      </c>
      <c r="C335" s="898">
        <v>460</v>
      </c>
      <c r="D335" s="899">
        <v>850</v>
      </c>
      <c r="E335" s="1335">
        <v>850</v>
      </c>
      <c r="F335" s="899">
        <f t="shared" si="21"/>
        <v>598</v>
      </c>
      <c r="G335" s="897"/>
      <c r="H335" s="901"/>
      <c r="I335" s="902"/>
      <c r="J335" s="902"/>
      <c r="K335" s="903"/>
      <c r="L335" s="899">
        <f t="shared" si="16"/>
        <v>390</v>
      </c>
      <c r="M335" s="903"/>
      <c r="N335" s="903"/>
      <c r="O335" s="927"/>
      <c r="P335" s="902"/>
      <c r="Q335" s="902"/>
      <c r="R335" s="902"/>
      <c r="S335" s="902"/>
      <c r="T335" s="902"/>
      <c r="U335" s="902"/>
      <c r="V335" s="902"/>
      <c r="W335" s="902"/>
      <c r="X335" s="902"/>
      <c r="Y335" s="902"/>
      <c r="Z335" s="902"/>
      <c r="AA335" s="902"/>
      <c r="AB335" s="902"/>
      <c r="AC335" s="902"/>
    </row>
    <row r="336" spans="1:29" ht="16.3" hidden="1" outlineLevel="1" thickBot="1">
      <c r="A336" s="897" t="s">
        <v>1813</v>
      </c>
      <c r="B336" s="926" t="s">
        <v>505</v>
      </c>
      <c r="C336" s="898">
        <v>69</v>
      </c>
      <c r="D336" s="899">
        <v>600</v>
      </c>
      <c r="E336" s="1335">
        <v>600</v>
      </c>
      <c r="F336" s="899">
        <f t="shared" si="21"/>
        <v>89.7</v>
      </c>
      <c r="G336" s="897"/>
      <c r="H336" s="901"/>
      <c r="I336" s="902"/>
      <c r="J336" s="902"/>
      <c r="K336" s="903"/>
      <c r="L336" s="899">
        <f t="shared" si="16"/>
        <v>531</v>
      </c>
      <c r="M336" s="903"/>
      <c r="N336" s="903"/>
      <c r="O336" s="927"/>
      <c r="P336" s="902"/>
      <c r="Q336" s="902"/>
      <c r="R336" s="902"/>
      <c r="S336" s="902"/>
      <c r="T336" s="902"/>
      <c r="U336" s="902"/>
      <c r="V336" s="902"/>
      <c r="W336" s="902"/>
      <c r="X336" s="902"/>
      <c r="Y336" s="902"/>
      <c r="Z336" s="902"/>
      <c r="AA336" s="902"/>
      <c r="AB336" s="902"/>
      <c r="AC336" s="902"/>
    </row>
    <row r="337" spans="1:29" ht="16.3" hidden="1" outlineLevel="1" thickBot="1">
      <c r="A337" s="897" t="s">
        <v>1824</v>
      </c>
      <c r="B337" s="926" t="s">
        <v>861</v>
      </c>
      <c r="C337" s="898">
        <v>135</v>
      </c>
      <c r="D337" s="899">
        <v>600</v>
      </c>
      <c r="E337" s="1335">
        <v>600</v>
      </c>
      <c r="F337" s="899">
        <f t="shared" si="21"/>
        <v>175.5</v>
      </c>
      <c r="G337" s="900"/>
      <c r="H337" s="901"/>
      <c r="I337" s="902"/>
      <c r="J337" s="902"/>
      <c r="K337" s="903"/>
      <c r="L337" s="899">
        <f t="shared" si="16"/>
        <v>465</v>
      </c>
      <c r="M337" s="903"/>
      <c r="N337" s="903"/>
      <c r="O337" s="927"/>
      <c r="P337" s="902"/>
      <c r="Q337" s="902"/>
      <c r="R337" s="902"/>
      <c r="S337" s="902"/>
      <c r="T337" s="902"/>
      <c r="U337" s="902"/>
      <c r="V337" s="902"/>
      <c r="W337" s="902"/>
      <c r="X337" s="902"/>
      <c r="Y337" s="902"/>
      <c r="Z337" s="902"/>
      <c r="AA337" s="902"/>
      <c r="AB337" s="902"/>
      <c r="AC337" s="902"/>
    </row>
    <row r="338" spans="1:29" ht="16.3" hidden="1" outlineLevel="1" thickBot="1">
      <c r="A338" s="897" t="s">
        <v>527</v>
      </c>
      <c r="B338" s="926" t="s">
        <v>1831</v>
      </c>
      <c r="C338" s="898">
        <v>340</v>
      </c>
      <c r="D338" s="899">
        <v>1200</v>
      </c>
      <c r="E338" s="1335">
        <v>1200</v>
      </c>
      <c r="F338" s="899">
        <f t="shared" si="21"/>
        <v>442</v>
      </c>
      <c r="G338" s="897"/>
      <c r="H338" s="901"/>
      <c r="I338" s="902"/>
      <c r="J338" s="902"/>
      <c r="K338" s="903"/>
      <c r="L338" s="899">
        <f t="shared" si="16"/>
        <v>860</v>
      </c>
      <c r="M338" s="903"/>
      <c r="N338" s="903"/>
      <c r="O338" s="927"/>
      <c r="P338" s="902"/>
      <c r="Q338" s="902"/>
      <c r="R338" s="902"/>
      <c r="S338" s="902"/>
      <c r="T338" s="902"/>
      <c r="U338" s="902"/>
      <c r="V338" s="902"/>
      <c r="W338" s="902"/>
      <c r="X338" s="902"/>
      <c r="Y338" s="902"/>
      <c r="Z338" s="902"/>
      <c r="AA338" s="902"/>
      <c r="AB338" s="902"/>
      <c r="AC338" s="902"/>
    </row>
    <row r="339" spans="1:29" ht="16.3" hidden="1" outlineLevel="1" thickBot="1">
      <c r="A339" s="897" t="s">
        <v>1861</v>
      </c>
      <c r="B339" s="926" t="s">
        <v>1862</v>
      </c>
      <c r="C339" s="898">
        <v>175</v>
      </c>
      <c r="D339" s="899">
        <v>1200</v>
      </c>
      <c r="E339" s="1335">
        <v>1200</v>
      </c>
      <c r="F339" s="899">
        <f t="shared" si="21"/>
        <v>227.5</v>
      </c>
      <c r="G339" s="897"/>
      <c r="H339" s="901"/>
      <c r="I339" s="902"/>
      <c r="J339" s="897"/>
      <c r="K339" s="903"/>
      <c r="L339" s="899">
        <f t="shared" si="16"/>
        <v>1025</v>
      </c>
      <c r="M339" s="899"/>
      <c r="N339" s="904"/>
      <c r="O339" s="905"/>
      <c r="P339" s="899"/>
      <c r="Q339" s="899"/>
      <c r="R339" s="898"/>
      <c r="S339" s="899"/>
      <c r="T339" s="899"/>
      <c r="U339" s="904"/>
      <c r="V339" s="905"/>
      <c r="W339" s="902"/>
      <c r="X339" s="897"/>
      <c r="Y339" s="898"/>
      <c r="Z339" s="902"/>
      <c r="AA339" s="902"/>
      <c r="AB339" s="902"/>
      <c r="AC339" s="902"/>
    </row>
    <row r="340" spans="1:29" ht="16.3" hidden="1" outlineLevel="1" thickBot="1">
      <c r="A340" s="897" t="s">
        <v>1592</v>
      </c>
      <c r="B340" s="926" t="s">
        <v>53</v>
      </c>
      <c r="C340" s="898">
        <v>1380</v>
      </c>
      <c r="D340" s="899">
        <v>3200</v>
      </c>
      <c r="E340" s="1335">
        <v>3200</v>
      </c>
      <c r="F340" s="899">
        <f t="shared" si="21"/>
        <v>1794</v>
      </c>
      <c r="G340" s="897"/>
      <c r="H340" s="901"/>
      <c r="I340" s="902"/>
      <c r="J340" s="897"/>
      <c r="K340" s="903"/>
      <c r="L340" s="899">
        <f t="shared" si="16"/>
        <v>1820</v>
      </c>
      <c r="M340" s="899"/>
      <c r="N340" s="904"/>
      <c r="O340" s="905"/>
      <c r="P340" s="899"/>
      <c r="Q340" s="899"/>
      <c r="R340" s="898"/>
      <c r="S340" s="899"/>
      <c r="T340" s="899"/>
      <c r="U340" s="904"/>
      <c r="V340" s="905"/>
      <c r="W340" s="902"/>
      <c r="X340" s="897"/>
      <c r="Y340" s="898"/>
      <c r="Z340" s="902"/>
      <c r="AA340" s="902"/>
      <c r="AB340" s="902"/>
      <c r="AC340" s="902"/>
    </row>
    <row r="341" spans="1:29" ht="16.3" hidden="1" outlineLevel="1" thickBot="1">
      <c r="A341" s="897" t="s">
        <v>746</v>
      </c>
      <c r="B341" s="926" t="s">
        <v>746</v>
      </c>
      <c r="C341" s="898">
        <v>1610</v>
      </c>
      <c r="D341" s="899">
        <v>3700</v>
      </c>
      <c r="E341" s="1335">
        <v>3700</v>
      </c>
      <c r="F341" s="899">
        <f t="shared" si="21"/>
        <v>2093</v>
      </c>
      <c r="G341" s="900">
        <v>1</v>
      </c>
      <c r="H341" s="901"/>
      <c r="I341" s="912"/>
      <c r="J341" s="913"/>
      <c r="K341" s="912"/>
      <c r="L341" s="899">
        <f t="shared" si="16"/>
        <v>2090</v>
      </c>
      <c r="M341" s="899"/>
      <c r="N341" s="904"/>
      <c r="O341" s="905"/>
      <c r="P341" s="899"/>
      <c r="Q341" s="899"/>
      <c r="R341" s="898"/>
      <c r="S341" s="899"/>
      <c r="T341" s="899"/>
      <c r="U341" s="904"/>
      <c r="V341" s="905"/>
      <c r="W341" s="902"/>
      <c r="X341" s="897"/>
      <c r="Y341" s="898"/>
      <c r="Z341" s="902"/>
      <c r="AA341" s="902"/>
      <c r="AB341" s="902"/>
      <c r="AC341" s="902"/>
    </row>
    <row r="342" spans="1:29" ht="16.3" hidden="1" outlineLevel="1" thickBot="1">
      <c r="A342" s="897" t="s">
        <v>674</v>
      </c>
      <c r="B342" s="926" t="s">
        <v>674</v>
      </c>
      <c r="C342" s="898">
        <v>1954.9999999999998</v>
      </c>
      <c r="D342" s="899">
        <v>2900</v>
      </c>
      <c r="E342" s="1335">
        <v>2900</v>
      </c>
      <c r="F342" s="899">
        <f t="shared" si="21"/>
        <v>2541.5</v>
      </c>
      <c r="G342" s="897">
        <v>1</v>
      </c>
      <c r="H342" s="901"/>
      <c r="I342" s="912"/>
      <c r="J342" s="913"/>
      <c r="K342" s="912"/>
      <c r="L342" s="899">
        <f t="shared" si="16"/>
        <v>945.00000000000023</v>
      </c>
      <c r="M342" s="899"/>
      <c r="N342" s="904"/>
      <c r="O342" s="905"/>
      <c r="P342" s="899"/>
      <c r="Q342" s="899"/>
      <c r="R342" s="898"/>
      <c r="S342" s="899"/>
      <c r="T342" s="899"/>
      <c r="U342" s="904"/>
      <c r="V342" s="905"/>
      <c r="W342" s="902"/>
      <c r="X342" s="897"/>
      <c r="Y342" s="898"/>
      <c r="Z342" s="902"/>
      <c r="AA342" s="902"/>
      <c r="AB342" s="902"/>
      <c r="AC342" s="902"/>
    </row>
    <row r="343" spans="1:29" ht="16.3" hidden="1" outlineLevel="1" thickBot="1">
      <c r="A343" s="897" t="s">
        <v>1726</v>
      </c>
      <c r="B343" s="926" t="s">
        <v>66</v>
      </c>
      <c r="C343" s="898">
        <v>1610</v>
      </c>
      <c r="D343" s="899">
        <v>2900</v>
      </c>
      <c r="E343" s="1335">
        <v>2900</v>
      </c>
      <c r="F343" s="899">
        <f t="shared" si="21"/>
        <v>2093</v>
      </c>
      <c r="G343" s="897">
        <v>1</v>
      </c>
      <c r="H343" s="901"/>
      <c r="I343" s="912"/>
      <c r="J343" s="960"/>
      <c r="K343" s="912"/>
      <c r="L343" s="899">
        <f t="shared" si="16"/>
        <v>1290</v>
      </c>
      <c r="M343" s="930"/>
      <c r="N343" s="904"/>
      <c r="O343" s="931"/>
      <c r="P343" s="930"/>
      <c r="Q343" s="930"/>
      <c r="R343" s="932"/>
      <c r="S343" s="930"/>
      <c r="T343" s="930"/>
      <c r="U343" s="904"/>
      <c r="V343" s="931"/>
      <c r="W343" s="933"/>
      <c r="X343" s="897"/>
      <c r="Y343" s="932"/>
      <c r="Z343" s="902"/>
      <c r="AA343" s="902"/>
      <c r="AB343" s="902"/>
      <c r="AC343" s="902"/>
    </row>
    <row r="344" spans="1:29" ht="16.3" hidden="1" outlineLevel="1" thickBot="1">
      <c r="A344" s="897" t="s">
        <v>1481</v>
      </c>
      <c r="B344" s="926" t="s">
        <v>65</v>
      </c>
      <c r="C344" s="898">
        <v>1609.9999999999998</v>
      </c>
      <c r="D344" s="899">
        <v>3100</v>
      </c>
      <c r="E344" s="1335">
        <v>3100</v>
      </c>
      <c r="F344" s="899">
        <f t="shared" si="21"/>
        <v>2093</v>
      </c>
      <c r="G344" s="897">
        <v>1</v>
      </c>
      <c r="H344" s="901"/>
      <c r="I344" s="912"/>
      <c r="J344" s="960"/>
      <c r="K344" s="912"/>
      <c r="L344" s="899">
        <f t="shared" si="16"/>
        <v>1490.0000000000002</v>
      </c>
      <c r="M344" s="930"/>
      <c r="N344" s="904"/>
      <c r="O344" s="931"/>
      <c r="P344" s="930"/>
      <c r="Q344" s="930"/>
      <c r="R344" s="932"/>
      <c r="S344" s="930"/>
      <c r="T344" s="930"/>
      <c r="U344" s="904"/>
      <c r="V344" s="931"/>
      <c r="W344" s="933"/>
      <c r="X344" s="897"/>
      <c r="Y344" s="932"/>
      <c r="Z344" s="902"/>
      <c r="AA344" s="902"/>
      <c r="AB344" s="902"/>
      <c r="AC344" s="902"/>
    </row>
    <row r="345" spans="1:29" ht="16.3" hidden="1" outlineLevel="1" thickBot="1">
      <c r="A345" s="897" t="s">
        <v>1717</v>
      </c>
      <c r="B345" s="926" t="s">
        <v>506</v>
      </c>
      <c r="C345" s="898">
        <v>1609.9999999999998</v>
      </c>
      <c r="D345" s="899">
        <v>2900</v>
      </c>
      <c r="E345" s="1335">
        <v>2900</v>
      </c>
      <c r="F345" s="899">
        <f t="shared" si="21"/>
        <v>2093</v>
      </c>
      <c r="G345" s="897"/>
      <c r="H345" s="901"/>
      <c r="I345" s="912"/>
      <c r="J345" s="960"/>
      <c r="K345" s="912"/>
      <c r="L345" s="899">
        <f t="shared" si="16"/>
        <v>1290.0000000000002</v>
      </c>
      <c r="M345" s="930"/>
      <c r="N345" s="904"/>
      <c r="O345" s="931"/>
      <c r="P345" s="930"/>
      <c r="Q345" s="930"/>
      <c r="R345" s="932"/>
      <c r="S345" s="930"/>
      <c r="T345" s="930"/>
      <c r="U345" s="904"/>
      <c r="V345" s="931"/>
      <c r="W345" s="933"/>
      <c r="X345" s="897"/>
      <c r="Y345" s="932"/>
      <c r="Z345" s="902"/>
      <c r="AA345" s="902"/>
      <c r="AB345" s="902"/>
      <c r="AC345" s="902"/>
    </row>
    <row r="346" spans="1:29" ht="16.3" hidden="1" outlineLevel="1" thickBot="1">
      <c r="A346" s="897" t="s">
        <v>1397</v>
      </c>
      <c r="B346" s="926" t="s">
        <v>38</v>
      </c>
      <c r="C346" s="898">
        <v>345</v>
      </c>
      <c r="D346" s="899">
        <v>500</v>
      </c>
      <c r="E346" s="1335">
        <v>500</v>
      </c>
      <c r="F346" s="899">
        <f t="shared" si="21"/>
        <v>448.5</v>
      </c>
      <c r="G346" s="897"/>
      <c r="H346" s="901"/>
      <c r="I346" s="902"/>
      <c r="J346" s="897"/>
      <c r="K346" s="903"/>
      <c r="L346" s="899">
        <f t="shared" ref="L346:L409" si="22">E346-C346</f>
        <v>155</v>
      </c>
      <c r="M346" s="899"/>
      <c r="N346" s="904"/>
      <c r="O346" s="905"/>
      <c r="P346" s="899"/>
      <c r="Q346" s="899"/>
      <c r="R346" s="898"/>
      <c r="S346" s="899"/>
      <c r="T346" s="899"/>
      <c r="U346" s="904"/>
      <c r="V346" s="905"/>
      <c r="W346" s="902"/>
      <c r="X346" s="897"/>
      <c r="Y346" s="898"/>
      <c r="Z346" s="902"/>
      <c r="AA346" s="902"/>
      <c r="AB346" s="902"/>
      <c r="AC346" s="902"/>
    </row>
    <row r="347" spans="1:29" ht="16.3" hidden="1" outlineLevel="1" thickBot="1">
      <c r="A347" s="897" t="s">
        <v>54</v>
      </c>
      <c r="B347" s="926" t="s">
        <v>54</v>
      </c>
      <c r="C347" s="898">
        <v>1150</v>
      </c>
      <c r="D347" s="899">
        <v>1900</v>
      </c>
      <c r="E347" s="1335">
        <v>1900</v>
      </c>
      <c r="F347" s="899">
        <f t="shared" si="21"/>
        <v>1495</v>
      </c>
      <c r="G347" s="918">
        <v>1</v>
      </c>
      <c r="H347" s="901"/>
      <c r="I347" s="902"/>
      <c r="J347" s="897"/>
      <c r="K347" s="903"/>
      <c r="L347" s="899">
        <f t="shared" si="22"/>
        <v>750</v>
      </c>
      <c r="M347" s="899"/>
      <c r="N347" s="904"/>
      <c r="O347" s="905"/>
      <c r="P347" s="899"/>
      <c r="Q347" s="899"/>
      <c r="R347" s="898"/>
      <c r="S347" s="899"/>
      <c r="T347" s="899"/>
      <c r="U347" s="904"/>
      <c r="V347" s="905"/>
      <c r="W347" s="902"/>
      <c r="X347" s="897"/>
      <c r="Y347" s="898"/>
      <c r="Z347" s="902"/>
      <c r="AA347" s="902"/>
      <c r="AB347" s="902"/>
      <c r="AC347" s="902"/>
    </row>
    <row r="348" spans="1:29" ht="16.3" hidden="1" outlineLevel="1" thickBot="1">
      <c r="A348" s="897" t="s">
        <v>1606</v>
      </c>
      <c r="B348" s="926" t="s">
        <v>1332</v>
      </c>
      <c r="C348" s="898">
        <v>69</v>
      </c>
      <c r="D348" s="899">
        <v>300</v>
      </c>
      <c r="E348" s="1335">
        <v>300</v>
      </c>
      <c r="F348" s="899">
        <f t="shared" si="21"/>
        <v>89.7</v>
      </c>
      <c r="G348" s="897"/>
      <c r="H348" s="901"/>
      <c r="I348" s="902"/>
      <c r="J348" s="897"/>
      <c r="K348" s="903"/>
      <c r="L348" s="899">
        <f t="shared" si="22"/>
        <v>231</v>
      </c>
      <c r="M348" s="899"/>
      <c r="N348" s="904"/>
      <c r="O348" s="905"/>
      <c r="P348" s="899"/>
      <c r="Q348" s="899"/>
      <c r="R348" s="898"/>
      <c r="S348" s="899"/>
      <c r="T348" s="899"/>
      <c r="U348" s="904"/>
      <c r="V348" s="905"/>
      <c r="W348" s="902"/>
      <c r="X348" s="897"/>
      <c r="Y348" s="898"/>
      <c r="Z348" s="902"/>
      <c r="AA348" s="902"/>
      <c r="AB348" s="902"/>
      <c r="AC348" s="902"/>
    </row>
    <row r="349" spans="1:29" ht="16.3" hidden="1" outlineLevel="1" thickBot="1">
      <c r="A349" s="897" t="s">
        <v>1493</v>
      </c>
      <c r="B349" s="926" t="s">
        <v>509</v>
      </c>
      <c r="C349" s="898">
        <v>3600</v>
      </c>
      <c r="D349" s="899">
        <v>4500</v>
      </c>
      <c r="E349" s="1335">
        <v>4500</v>
      </c>
      <c r="F349" s="899">
        <f t="shared" si="21"/>
        <v>4680</v>
      </c>
      <c r="G349" s="897">
        <v>1</v>
      </c>
      <c r="H349" s="901"/>
      <c r="I349" s="912"/>
      <c r="J349" s="913"/>
      <c r="K349" s="912"/>
      <c r="L349" s="899">
        <f t="shared" si="22"/>
        <v>900</v>
      </c>
      <c r="M349" s="899"/>
      <c r="N349" s="904"/>
      <c r="O349" s="905"/>
      <c r="P349" s="899"/>
      <c r="Q349" s="899"/>
      <c r="R349" s="898"/>
      <c r="S349" s="899"/>
      <c r="T349" s="899"/>
      <c r="U349" s="904"/>
      <c r="V349" s="905"/>
      <c r="W349" s="902"/>
      <c r="X349" s="897"/>
      <c r="Y349" s="898"/>
      <c r="Z349" s="902"/>
      <c r="AA349" s="902"/>
      <c r="AB349" s="902"/>
      <c r="AC349" s="902"/>
    </row>
    <row r="350" spans="1:29" ht="16.3" hidden="1" outlineLevel="1" thickBot="1">
      <c r="A350" s="897" t="s">
        <v>1503</v>
      </c>
      <c r="B350" s="926" t="s">
        <v>2753</v>
      </c>
      <c r="C350" s="898">
        <v>4485</v>
      </c>
      <c r="D350" s="899">
        <v>6500</v>
      </c>
      <c r="E350" s="1335">
        <v>6000</v>
      </c>
      <c r="F350" s="899">
        <v>5831</v>
      </c>
      <c r="G350" s="897">
        <v>1</v>
      </c>
      <c r="H350" s="901"/>
      <c r="I350" s="912"/>
      <c r="J350" s="960"/>
      <c r="K350" s="912"/>
      <c r="L350" s="899">
        <f t="shared" si="22"/>
        <v>1515</v>
      </c>
      <c r="M350" s="930"/>
      <c r="N350" s="904"/>
      <c r="O350" s="931"/>
      <c r="P350" s="930"/>
      <c r="Q350" s="930"/>
      <c r="R350" s="932"/>
      <c r="S350" s="930"/>
      <c r="T350" s="930"/>
      <c r="U350" s="904"/>
      <c r="V350" s="931"/>
      <c r="W350" s="933"/>
      <c r="X350" s="897"/>
      <c r="Y350" s="932"/>
      <c r="Z350" s="902"/>
      <c r="AA350" s="902"/>
      <c r="AB350" s="902"/>
      <c r="AC350" s="902"/>
    </row>
    <row r="351" spans="1:29" s="935" customFormat="1" ht="15.8" hidden="1" customHeight="1" outlineLevel="1">
      <c r="A351" s="897" t="s">
        <v>1527</v>
      </c>
      <c r="B351" s="926" t="s">
        <v>2752</v>
      </c>
      <c r="C351" s="898">
        <v>130</v>
      </c>
      <c r="D351" s="899">
        <v>600</v>
      </c>
      <c r="E351" s="1335">
        <v>600</v>
      </c>
      <c r="F351" s="899">
        <f t="shared" si="21"/>
        <v>169</v>
      </c>
      <c r="G351" s="897">
        <v>1</v>
      </c>
      <c r="H351" s="901"/>
      <c r="I351" s="912"/>
      <c r="J351" s="913"/>
      <c r="K351" s="912"/>
      <c r="L351" s="899">
        <f t="shared" si="22"/>
        <v>470</v>
      </c>
      <c r="M351" s="912"/>
      <c r="N351" s="902"/>
      <c r="O351" s="902"/>
      <c r="P351" s="902"/>
      <c r="Q351" s="912"/>
      <c r="R351" s="912"/>
      <c r="S351" s="903"/>
      <c r="T351" s="934"/>
      <c r="U351" s="903"/>
      <c r="V351" s="903"/>
      <c r="W351" s="903"/>
      <c r="X351" s="903"/>
      <c r="Y351" s="903"/>
      <c r="Z351" s="903"/>
      <c r="AA351" s="903"/>
      <c r="AB351" s="903"/>
      <c r="AC351" s="903"/>
    </row>
    <row r="352" spans="1:29" ht="16.3" hidden="1" outlineLevel="1" thickBot="1">
      <c r="A352" s="897" t="s">
        <v>945</v>
      </c>
      <c r="B352" s="926" t="s">
        <v>2748</v>
      </c>
      <c r="C352" s="898">
        <v>230</v>
      </c>
      <c r="D352" s="899">
        <v>600</v>
      </c>
      <c r="E352" s="1335">
        <v>600</v>
      </c>
      <c r="F352" s="899">
        <f t="shared" si="21"/>
        <v>299</v>
      </c>
      <c r="G352" s="897"/>
      <c r="H352" s="901"/>
      <c r="I352" s="902"/>
      <c r="J352" s="897"/>
      <c r="K352" s="903"/>
      <c r="L352" s="899">
        <f t="shared" si="22"/>
        <v>370</v>
      </c>
      <c r="M352" s="899"/>
      <c r="N352" s="904"/>
      <c r="O352" s="905"/>
      <c r="P352" s="899"/>
      <c r="Q352" s="899"/>
      <c r="R352" s="898"/>
      <c r="S352" s="899"/>
      <c r="T352" s="899"/>
      <c r="U352" s="904"/>
      <c r="V352" s="905"/>
      <c r="W352" s="902"/>
      <c r="X352" s="897"/>
      <c r="Y352" s="898"/>
      <c r="Z352" s="902"/>
      <c r="AA352" s="902"/>
      <c r="AB352" s="902"/>
      <c r="AC352" s="902"/>
    </row>
    <row r="353" spans="1:29" ht="16.3" hidden="1" outlineLevel="1" thickBot="1">
      <c r="A353" s="897" t="s">
        <v>1545</v>
      </c>
      <c r="B353" s="926" t="s">
        <v>1546</v>
      </c>
      <c r="C353" s="898">
        <v>1380</v>
      </c>
      <c r="D353" s="899">
        <v>4200</v>
      </c>
      <c r="E353" s="1335">
        <v>4200</v>
      </c>
      <c r="F353" s="899">
        <f t="shared" si="21"/>
        <v>1794</v>
      </c>
      <c r="G353" s="897"/>
      <c r="H353" s="901"/>
      <c r="I353" s="902"/>
      <c r="J353" s="897"/>
      <c r="K353" s="903"/>
      <c r="L353" s="899">
        <f t="shared" si="22"/>
        <v>2820</v>
      </c>
      <c r="M353" s="899"/>
      <c r="N353" s="904"/>
      <c r="O353" s="905"/>
      <c r="P353" s="899"/>
      <c r="Q353" s="899"/>
      <c r="R353" s="898"/>
      <c r="S353" s="899"/>
      <c r="T353" s="899"/>
      <c r="U353" s="904"/>
      <c r="V353" s="905"/>
      <c r="W353" s="902"/>
      <c r="X353" s="897"/>
      <c r="Y353" s="898"/>
      <c r="Z353" s="902"/>
      <c r="AA353" s="902"/>
      <c r="AB353" s="902"/>
      <c r="AC353" s="902"/>
    </row>
    <row r="354" spans="1:29" ht="16.3" hidden="1" outlineLevel="1" thickBot="1">
      <c r="A354" s="897" t="s">
        <v>1569</v>
      </c>
      <c r="B354" s="926" t="s">
        <v>27</v>
      </c>
      <c r="C354" s="898">
        <v>69</v>
      </c>
      <c r="D354" s="899">
        <v>600</v>
      </c>
      <c r="E354" s="1335">
        <v>600</v>
      </c>
      <c r="F354" s="899">
        <f t="shared" si="21"/>
        <v>89.7</v>
      </c>
      <c r="G354" s="897"/>
      <c r="H354" s="901"/>
      <c r="I354" s="902"/>
      <c r="J354" s="897"/>
      <c r="K354" s="903"/>
      <c r="L354" s="899">
        <f t="shared" si="22"/>
        <v>531</v>
      </c>
      <c r="M354" s="899"/>
      <c r="N354" s="904"/>
      <c r="O354" s="905"/>
      <c r="P354" s="899"/>
      <c r="Q354" s="899"/>
      <c r="R354" s="898"/>
      <c r="S354" s="899"/>
      <c r="T354" s="899"/>
      <c r="U354" s="904"/>
      <c r="V354" s="905"/>
      <c r="W354" s="902"/>
      <c r="X354" s="897"/>
      <c r="Y354" s="898"/>
      <c r="Z354" s="902"/>
      <c r="AA354" s="902"/>
      <c r="AB354" s="902"/>
      <c r="AC354" s="902"/>
    </row>
    <row r="355" spans="1:29" ht="16.3" hidden="1" outlineLevel="1" thickBot="1">
      <c r="A355" s="897" t="s">
        <v>1613</v>
      </c>
      <c r="B355" s="926" t="s">
        <v>2751</v>
      </c>
      <c r="C355" s="898">
        <v>69</v>
      </c>
      <c r="D355" s="899">
        <v>200</v>
      </c>
      <c r="E355" s="1335">
        <v>200</v>
      </c>
      <c r="F355" s="899">
        <v>90</v>
      </c>
      <c r="G355" s="897"/>
      <c r="H355" s="901"/>
      <c r="I355" s="933"/>
      <c r="J355" s="897"/>
      <c r="K355" s="903"/>
      <c r="L355" s="899">
        <f t="shared" si="22"/>
        <v>131</v>
      </c>
      <c r="M355" s="930"/>
      <c r="N355" s="904"/>
      <c r="O355" s="931"/>
      <c r="P355" s="930"/>
      <c r="Q355" s="930"/>
      <c r="R355" s="932"/>
      <c r="S355" s="930"/>
      <c r="T355" s="930"/>
      <c r="U355" s="904"/>
      <c r="V355" s="931"/>
      <c r="W355" s="933"/>
      <c r="X355" s="897"/>
      <c r="Y355" s="932"/>
      <c r="Z355" s="902"/>
      <c r="AA355" s="902"/>
      <c r="AB355" s="902"/>
      <c r="AC355" s="902"/>
    </row>
    <row r="356" spans="1:29" ht="16.3" hidden="1" outlineLevel="1" thickBot="1">
      <c r="A356" s="897" t="s">
        <v>1498</v>
      </c>
      <c r="B356" s="926" t="s">
        <v>734</v>
      </c>
      <c r="C356" s="898">
        <v>1725</v>
      </c>
      <c r="D356" s="899">
        <v>3500</v>
      </c>
      <c r="E356" s="1335">
        <v>3500</v>
      </c>
      <c r="F356" s="899">
        <f>C356*1.3</f>
        <v>2242.5</v>
      </c>
      <c r="G356" s="897">
        <v>2</v>
      </c>
      <c r="H356" s="901"/>
      <c r="I356" s="902"/>
      <c r="J356" s="897"/>
      <c r="K356" s="899"/>
      <c r="L356" s="899">
        <f t="shared" si="22"/>
        <v>1775</v>
      </c>
      <c r="M356" s="899"/>
      <c r="N356" s="904"/>
      <c r="O356" s="905"/>
      <c r="P356" s="899"/>
      <c r="Q356" s="899"/>
      <c r="R356" s="898"/>
      <c r="S356" s="899"/>
      <c r="T356" s="899"/>
      <c r="U356" s="904"/>
      <c r="V356" s="905"/>
      <c r="W356" s="902"/>
      <c r="X356" s="897"/>
      <c r="Y356" s="898"/>
      <c r="Z356" s="902"/>
      <c r="AA356" s="902"/>
      <c r="AB356" s="902"/>
      <c r="AC356" s="902"/>
    </row>
    <row r="357" spans="1:29" ht="16.3" hidden="1" outlineLevel="1" thickBot="1">
      <c r="A357" s="897" t="s">
        <v>1492</v>
      </c>
      <c r="B357" s="926" t="s">
        <v>2755</v>
      </c>
      <c r="C357" s="898">
        <v>253</v>
      </c>
      <c r="D357" s="899">
        <v>500</v>
      </c>
      <c r="E357" s="1335">
        <v>500</v>
      </c>
      <c r="F357" s="899">
        <v>329</v>
      </c>
      <c r="G357" s="897"/>
      <c r="H357" s="901"/>
      <c r="I357" s="933"/>
      <c r="J357" s="897"/>
      <c r="K357" s="903"/>
      <c r="L357" s="899">
        <f t="shared" si="22"/>
        <v>247</v>
      </c>
      <c r="M357" s="930"/>
      <c r="N357" s="904"/>
      <c r="O357" s="931"/>
      <c r="P357" s="930"/>
      <c r="Q357" s="930"/>
      <c r="R357" s="932"/>
      <c r="S357" s="930"/>
      <c r="T357" s="930"/>
      <c r="U357" s="904"/>
      <c r="V357" s="931"/>
      <c r="W357" s="933"/>
      <c r="X357" s="897"/>
      <c r="Y357" s="932"/>
      <c r="Z357" s="902"/>
      <c r="AA357" s="902"/>
      <c r="AB357" s="902"/>
      <c r="AC357" s="902"/>
    </row>
    <row r="358" spans="1:29" ht="16.3" hidden="1" outlineLevel="1" thickBot="1">
      <c r="A358" s="897" t="s">
        <v>1650</v>
      </c>
      <c r="B358" s="926" t="s">
        <v>24</v>
      </c>
      <c r="C358" s="898">
        <v>125</v>
      </c>
      <c r="D358" s="899">
        <v>200</v>
      </c>
      <c r="E358" s="1335">
        <v>200</v>
      </c>
      <c r="F358" s="899">
        <f t="shared" ref="F358:F370" si="23">C358*1.3</f>
        <v>162.5</v>
      </c>
      <c r="G358" s="897"/>
      <c r="H358" s="901"/>
      <c r="I358" s="902"/>
      <c r="J358" s="902"/>
      <c r="K358" s="903"/>
      <c r="L358" s="899">
        <f t="shared" si="22"/>
        <v>75</v>
      </c>
      <c r="M358" s="903"/>
      <c r="N358" s="903"/>
      <c r="O358" s="903"/>
      <c r="P358" s="903"/>
      <c r="Q358" s="902"/>
      <c r="R358" s="902"/>
      <c r="S358" s="903"/>
      <c r="T358" s="902"/>
      <c r="U358" s="902"/>
      <c r="V358" s="902"/>
      <c r="W358" s="902"/>
      <c r="X358" s="902"/>
      <c r="Y358" s="902"/>
      <c r="Z358" s="902"/>
      <c r="AA358" s="902"/>
      <c r="AB358" s="902"/>
      <c r="AC358" s="902"/>
    </row>
    <row r="359" spans="1:29" ht="17" hidden="1" customHeight="1" outlineLevel="1">
      <c r="A359" s="897" t="s">
        <v>2351</v>
      </c>
      <c r="B359" s="926" t="s">
        <v>2757</v>
      </c>
      <c r="C359" s="898">
        <v>1150</v>
      </c>
      <c r="D359" s="899">
        <v>2000</v>
      </c>
      <c r="E359" s="1335">
        <v>2000</v>
      </c>
      <c r="F359" s="899">
        <f t="shared" si="23"/>
        <v>1495</v>
      </c>
      <c r="G359" s="897">
        <v>1</v>
      </c>
      <c r="H359" s="901"/>
      <c r="I359" s="912"/>
      <c r="J359" s="913"/>
      <c r="K359" s="903"/>
      <c r="L359" s="899">
        <f t="shared" si="22"/>
        <v>850</v>
      </c>
      <c r="M359" s="903"/>
      <c r="N359" s="903"/>
      <c r="O359" s="927"/>
      <c r="P359" s="902"/>
      <c r="Q359" s="902"/>
      <c r="R359" s="902"/>
      <c r="S359" s="902"/>
      <c r="T359" s="902"/>
      <c r="U359" s="902"/>
      <c r="V359" s="902"/>
      <c r="W359" s="902"/>
      <c r="X359" s="902"/>
      <c r="Y359" s="902"/>
      <c r="Z359" s="902"/>
      <c r="AA359" s="902"/>
      <c r="AB359" s="902"/>
      <c r="AC359" s="902"/>
    </row>
    <row r="360" spans="1:29" ht="16.3" hidden="1" outlineLevel="1" thickBot="1">
      <c r="A360" s="897" t="s">
        <v>1440</v>
      </c>
      <c r="B360" s="926" t="s">
        <v>2758</v>
      </c>
      <c r="C360" s="898">
        <v>69</v>
      </c>
      <c r="D360" s="899">
        <v>500</v>
      </c>
      <c r="E360" s="1335">
        <v>500</v>
      </c>
      <c r="F360" s="899">
        <f t="shared" si="23"/>
        <v>89.7</v>
      </c>
      <c r="G360" s="897"/>
      <c r="H360" s="901"/>
      <c r="I360" s="902"/>
      <c r="J360" s="897"/>
      <c r="K360" s="903"/>
      <c r="L360" s="899">
        <f t="shared" si="22"/>
        <v>431</v>
      </c>
      <c r="M360" s="899"/>
      <c r="N360" s="904"/>
      <c r="O360" s="905"/>
      <c r="P360" s="899"/>
      <c r="Q360" s="899"/>
      <c r="R360" s="898"/>
      <c r="S360" s="899"/>
      <c r="T360" s="899"/>
      <c r="U360" s="904"/>
      <c r="V360" s="905"/>
      <c r="W360" s="902"/>
      <c r="X360" s="897"/>
      <c r="Y360" s="898"/>
      <c r="Z360" s="902"/>
      <c r="AA360" s="902"/>
      <c r="AB360" s="902"/>
      <c r="AC360" s="902"/>
    </row>
    <row r="361" spans="1:29" ht="16.3" hidden="1" outlineLevel="1" thickBot="1">
      <c r="A361" s="897" t="s">
        <v>1815</v>
      </c>
      <c r="B361" s="926" t="s">
        <v>2760</v>
      </c>
      <c r="C361" s="898">
        <v>3680</v>
      </c>
      <c r="D361" s="899">
        <v>5400</v>
      </c>
      <c r="E361" s="1335">
        <v>5400</v>
      </c>
      <c r="F361" s="899">
        <f t="shared" si="23"/>
        <v>4784</v>
      </c>
      <c r="G361" s="897">
        <v>1</v>
      </c>
      <c r="H361" s="901"/>
      <c r="I361" s="933"/>
      <c r="J361" s="897"/>
      <c r="K361" s="903"/>
      <c r="L361" s="899">
        <f t="shared" si="22"/>
        <v>1720</v>
      </c>
      <c r="M361" s="903"/>
      <c r="N361" s="903"/>
      <c r="O361" s="927"/>
      <c r="P361" s="933"/>
      <c r="Q361" s="933"/>
      <c r="R361" s="933"/>
      <c r="S361" s="933"/>
      <c r="T361" s="933"/>
      <c r="U361" s="933"/>
      <c r="V361" s="933"/>
      <c r="W361" s="933"/>
      <c r="X361" s="933"/>
      <c r="Y361" s="933"/>
      <c r="Z361" s="902"/>
      <c r="AA361" s="902"/>
      <c r="AB361" s="902"/>
      <c r="AC361" s="902"/>
    </row>
    <row r="362" spans="1:29" ht="16.3" hidden="1" outlineLevel="1" thickBot="1">
      <c r="A362" s="897" t="s">
        <v>1782</v>
      </c>
      <c r="B362" s="926" t="s">
        <v>2355</v>
      </c>
      <c r="C362" s="898">
        <v>600</v>
      </c>
      <c r="D362" s="899">
        <v>1300</v>
      </c>
      <c r="E362" s="1335">
        <v>1300</v>
      </c>
      <c r="F362" s="899">
        <f t="shared" si="23"/>
        <v>780</v>
      </c>
      <c r="G362" s="897">
        <v>1</v>
      </c>
      <c r="H362" s="901"/>
      <c r="I362" s="902"/>
      <c r="J362" s="897"/>
      <c r="K362" s="903"/>
      <c r="L362" s="899">
        <f t="shared" si="22"/>
        <v>700</v>
      </c>
      <c r="M362" s="899"/>
      <c r="N362" s="904"/>
      <c r="O362" s="905"/>
      <c r="P362" s="899"/>
      <c r="Q362" s="899"/>
      <c r="R362" s="898"/>
      <c r="S362" s="899"/>
      <c r="T362" s="899"/>
      <c r="U362" s="904"/>
      <c r="V362" s="905"/>
      <c r="W362" s="902"/>
      <c r="X362" s="897"/>
      <c r="Y362" s="898"/>
      <c r="Z362" s="902"/>
      <c r="AA362" s="902"/>
      <c r="AB362" s="902"/>
      <c r="AC362" s="902"/>
    </row>
    <row r="363" spans="1:29" s="942" customFormat="1" ht="16.3" hidden="1" outlineLevel="1" thickBot="1">
      <c r="A363" s="937" t="s">
        <v>576</v>
      </c>
      <c r="B363" s="938" t="s">
        <v>1389</v>
      </c>
      <c r="C363" s="939">
        <v>1954.9999999999998</v>
      </c>
      <c r="D363" s="940">
        <v>2900</v>
      </c>
      <c r="E363" s="1341">
        <v>2900</v>
      </c>
      <c r="F363" s="940">
        <f t="shared" si="23"/>
        <v>2541.5</v>
      </c>
      <c r="G363" s="937"/>
      <c r="H363" s="901"/>
      <c r="I363" s="944"/>
      <c r="J363" s="927"/>
      <c r="K363" s="944"/>
      <c r="L363" s="899">
        <f t="shared" si="22"/>
        <v>945.00000000000023</v>
      </c>
      <c r="M363" s="1029"/>
      <c r="N363" s="905"/>
      <c r="O363" s="905"/>
      <c r="P363" s="905"/>
      <c r="Q363" s="944"/>
      <c r="R363" s="944"/>
      <c r="S363" s="927"/>
      <c r="T363" s="941"/>
      <c r="U363" s="927"/>
      <c r="V363" s="927"/>
      <c r="W363" s="927"/>
      <c r="X363" s="927"/>
      <c r="Y363" s="927"/>
      <c r="Z363" s="927"/>
      <c r="AA363" s="927"/>
      <c r="AB363" s="927"/>
      <c r="AC363" s="927"/>
    </row>
    <row r="364" spans="1:29" ht="16.3" hidden="1" outlineLevel="1" thickBot="1">
      <c r="A364" s="897" t="s">
        <v>1436</v>
      </c>
      <c r="B364" s="926" t="s">
        <v>1437</v>
      </c>
      <c r="C364" s="898">
        <v>2200</v>
      </c>
      <c r="D364" s="899">
        <v>3900</v>
      </c>
      <c r="E364" s="1335">
        <v>3900</v>
      </c>
      <c r="F364" s="899">
        <f t="shared" si="23"/>
        <v>2860</v>
      </c>
      <c r="G364" s="897">
        <v>1</v>
      </c>
      <c r="H364" s="901"/>
      <c r="I364" s="933"/>
      <c r="J364" s="897"/>
      <c r="K364" s="903"/>
      <c r="L364" s="899">
        <f t="shared" si="22"/>
        <v>1700</v>
      </c>
      <c r="M364" s="903"/>
      <c r="N364" s="903"/>
      <c r="O364" s="927"/>
      <c r="P364" s="933"/>
      <c r="Q364" s="933"/>
      <c r="R364" s="933"/>
      <c r="S364" s="933"/>
      <c r="T364" s="933"/>
      <c r="U364" s="933"/>
      <c r="V364" s="933"/>
      <c r="W364" s="933"/>
      <c r="X364" s="933"/>
      <c r="Y364" s="933"/>
      <c r="Z364" s="902"/>
      <c r="AA364" s="902"/>
      <c r="AB364" s="902"/>
      <c r="AC364" s="902"/>
    </row>
    <row r="365" spans="1:29" ht="16.3" hidden="1" outlineLevel="1" thickBot="1">
      <c r="A365" s="897" t="s">
        <v>1464</v>
      </c>
      <c r="B365" s="926" t="s">
        <v>1465</v>
      </c>
      <c r="C365" s="898">
        <v>1724.9999999999998</v>
      </c>
      <c r="D365" s="899">
        <v>4800</v>
      </c>
      <c r="E365" s="1335">
        <v>4800</v>
      </c>
      <c r="F365" s="899">
        <f t="shared" si="23"/>
        <v>2242.5</v>
      </c>
      <c r="G365" s="897">
        <v>3</v>
      </c>
      <c r="H365" s="901"/>
      <c r="I365" s="902"/>
      <c r="J365" s="897"/>
      <c r="K365" s="903"/>
      <c r="L365" s="899">
        <f t="shared" si="22"/>
        <v>3075</v>
      </c>
      <c r="M365" s="899"/>
      <c r="N365" s="904"/>
      <c r="O365" s="905"/>
      <c r="P365" s="899"/>
      <c r="Q365" s="899"/>
      <c r="R365" s="898"/>
      <c r="S365" s="899"/>
      <c r="T365" s="899"/>
      <c r="U365" s="904"/>
      <c r="V365" s="905"/>
      <c r="W365" s="902"/>
      <c r="X365" s="897"/>
      <c r="Y365" s="898"/>
      <c r="Z365" s="902"/>
      <c r="AA365" s="902"/>
      <c r="AB365" s="902"/>
      <c r="AC365" s="902"/>
    </row>
    <row r="366" spans="1:29" ht="16.3" hidden="1" outlineLevel="1" thickBot="1">
      <c r="A366" s="897" t="s">
        <v>102</v>
      </c>
      <c r="B366" s="926" t="s">
        <v>1469</v>
      </c>
      <c r="C366" s="898">
        <v>2500</v>
      </c>
      <c r="D366" s="899">
        <v>4400</v>
      </c>
      <c r="E366" s="1335">
        <v>4400</v>
      </c>
      <c r="F366" s="899">
        <f t="shared" si="23"/>
        <v>3250</v>
      </c>
      <c r="G366" s="897">
        <v>3</v>
      </c>
      <c r="H366" s="901"/>
      <c r="I366" s="902"/>
      <c r="J366" s="897"/>
      <c r="K366" s="903"/>
      <c r="L366" s="899">
        <f t="shared" si="22"/>
        <v>1900</v>
      </c>
      <c r="M366" s="899"/>
      <c r="N366" s="904"/>
      <c r="O366" s="905"/>
      <c r="P366" s="899"/>
      <c r="Q366" s="899"/>
      <c r="R366" s="898"/>
      <c r="S366" s="899"/>
      <c r="T366" s="899"/>
      <c r="U366" s="904"/>
      <c r="V366" s="905"/>
      <c r="W366" s="902"/>
      <c r="X366" s="897"/>
      <c r="Y366" s="898"/>
      <c r="Z366" s="902"/>
      <c r="AA366" s="902"/>
      <c r="AB366" s="902"/>
      <c r="AC366" s="902"/>
    </row>
    <row r="367" spans="1:29" ht="16.3" hidden="1" outlineLevel="1" thickBot="1">
      <c r="A367" s="897" t="s">
        <v>688</v>
      </c>
      <c r="B367" s="926" t="s">
        <v>1738</v>
      </c>
      <c r="C367" s="898">
        <v>9950</v>
      </c>
      <c r="D367" s="899">
        <v>13700</v>
      </c>
      <c r="E367" s="1335">
        <v>13700</v>
      </c>
      <c r="F367" s="899">
        <f t="shared" si="23"/>
        <v>12935</v>
      </c>
      <c r="G367" s="897">
        <v>7</v>
      </c>
      <c r="H367" s="901"/>
      <c r="I367" s="902"/>
      <c r="J367" s="897"/>
      <c r="K367" s="903"/>
      <c r="L367" s="899">
        <f t="shared" si="22"/>
        <v>3750</v>
      </c>
      <c r="M367" s="899"/>
      <c r="N367" s="904"/>
      <c r="O367" s="905"/>
      <c r="P367" s="899"/>
      <c r="Q367" s="899"/>
      <c r="R367" s="898"/>
      <c r="S367" s="899"/>
      <c r="T367" s="899"/>
      <c r="U367" s="904"/>
      <c r="V367" s="905"/>
      <c r="W367" s="902"/>
      <c r="X367" s="897"/>
      <c r="Y367" s="898"/>
      <c r="Z367" s="902"/>
      <c r="AA367" s="902"/>
      <c r="AB367" s="902"/>
      <c r="AC367" s="902"/>
    </row>
    <row r="368" spans="1:29" ht="16.3" hidden="1" outlineLevel="1" thickBot="1">
      <c r="A368" s="918" t="s">
        <v>948</v>
      </c>
      <c r="B368" s="918" t="s">
        <v>1628</v>
      </c>
      <c r="C368" s="898">
        <v>175</v>
      </c>
      <c r="D368" s="899">
        <v>700</v>
      </c>
      <c r="E368" s="1335">
        <v>700</v>
      </c>
      <c r="F368" s="899">
        <f t="shared" si="23"/>
        <v>227.5</v>
      </c>
      <c r="G368" s="897">
        <v>1</v>
      </c>
      <c r="H368" s="901"/>
      <c r="I368" s="918"/>
      <c r="J368" s="902"/>
      <c r="K368" s="903"/>
      <c r="L368" s="899">
        <f t="shared" si="22"/>
        <v>525</v>
      </c>
      <c r="M368" s="903"/>
      <c r="N368" s="903"/>
      <c r="O368" s="927"/>
      <c r="P368" s="902"/>
      <c r="Q368" s="902"/>
      <c r="R368" s="902"/>
      <c r="S368" s="902"/>
      <c r="T368" s="902"/>
      <c r="U368" s="902"/>
      <c r="V368" s="902"/>
      <c r="W368" s="902"/>
      <c r="X368" s="902"/>
      <c r="Y368" s="902"/>
      <c r="Z368" s="902"/>
      <c r="AA368" s="902"/>
      <c r="AB368" s="902"/>
      <c r="AC368" s="902"/>
    </row>
    <row r="369" spans="1:54" ht="16.3" hidden="1" outlineLevel="1" thickBot="1">
      <c r="A369" s="897" t="s">
        <v>792</v>
      </c>
      <c r="B369" s="926" t="s">
        <v>2761</v>
      </c>
      <c r="C369" s="932">
        <v>8000</v>
      </c>
      <c r="D369" s="930">
        <v>8900</v>
      </c>
      <c r="E369" s="1346">
        <v>8900</v>
      </c>
      <c r="F369" s="899">
        <f t="shared" si="23"/>
        <v>10400</v>
      </c>
      <c r="G369" s="897">
        <v>7</v>
      </c>
      <c r="H369" s="901"/>
      <c r="I369" s="912"/>
      <c r="J369" s="960"/>
      <c r="K369" s="903"/>
      <c r="L369" s="899">
        <f t="shared" si="22"/>
        <v>900</v>
      </c>
      <c r="M369" s="930"/>
      <c r="N369" s="904"/>
      <c r="O369" s="931"/>
      <c r="P369" s="930"/>
      <c r="Q369" s="930"/>
      <c r="R369" s="932"/>
      <c r="S369" s="930"/>
      <c r="T369" s="930"/>
      <c r="U369" s="904"/>
      <c r="V369" s="931"/>
      <c r="W369" s="933"/>
      <c r="X369" s="897"/>
      <c r="Y369" s="932"/>
      <c r="Z369" s="933"/>
      <c r="AA369" s="933"/>
      <c r="AB369" s="933"/>
      <c r="AC369" s="933"/>
      <c r="AD369" s="933"/>
      <c r="AE369" s="933"/>
      <c r="AF369" s="933"/>
      <c r="AG369" s="933"/>
      <c r="AH369" s="933"/>
      <c r="AI369" s="933"/>
      <c r="AJ369" s="933"/>
      <c r="AK369" s="933"/>
      <c r="AL369" s="933"/>
      <c r="AM369" s="933"/>
      <c r="AN369" s="933"/>
      <c r="AO369" s="933"/>
      <c r="AP369" s="933"/>
      <c r="AQ369" s="933"/>
      <c r="AR369" s="933"/>
      <c r="AS369" s="933"/>
      <c r="AT369" s="933"/>
      <c r="AU369" s="933"/>
      <c r="AV369" s="933"/>
      <c r="AW369" s="933"/>
      <c r="AX369" s="933"/>
      <c r="AY369" s="933"/>
      <c r="AZ369" s="933"/>
      <c r="BA369" s="933"/>
      <c r="BB369" s="933"/>
    </row>
    <row r="370" spans="1:54" ht="16.3" hidden="1" outlineLevel="1" thickBot="1">
      <c r="A370" s="897" t="s">
        <v>1462</v>
      </c>
      <c r="B370" s="926" t="s">
        <v>1463</v>
      </c>
      <c r="C370" s="898">
        <v>2530</v>
      </c>
      <c r="D370" s="899">
        <v>4800</v>
      </c>
      <c r="E370" s="1335">
        <v>4800</v>
      </c>
      <c r="F370" s="899">
        <f t="shared" si="23"/>
        <v>3289</v>
      </c>
      <c r="G370" s="897">
        <v>3</v>
      </c>
      <c r="H370" s="901"/>
      <c r="I370" s="902"/>
      <c r="J370" s="897"/>
      <c r="K370" s="903"/>
      <c r="L370" s="899">
        <f t="shared" si="22"/>
        <v>2270</v>
      </c>
      <c r="M370" s="899"/>
      <c r="N370" s="933"/>
      <c r="O370" s="933"/>
      <c r="P370" s="933"/>
      <c r="Q370" s="933"/>
      <c r="R370" s="898"/>
      <c r="S370" s="899"/>
      <c r="T370" s="899"/>
      <c r="U370" s="904"/>
      <c r="V370" s="905"/>
      <c r="W370" s="902"/>
      <c r="X370" s="897"/>
      <c r="Y370" s="898"/>
      <c r="Z370" s="902"/>
      <c r="AA370" s="902"/>
      <c r="AB370" s="902"/>
      <c r="AC370" s="902"/>
    </row>
    <row r="371" spans="1:54" ht="16.3" collapsed="1" thickBot="1">
      <c r="A371" s="906" t="s">
        <v>951</v>
      </c>
      <c r="B371" s="907" t="s">
        <v>5887</v>
      </c>
      <c r="C371" s="907">
        <f>SUM(C372:C461)</f>
        <v>81486</v>
      </c>
      <c r="D371" s="907">
        <f>SUM(D372:D461)</f>
        <v>195030</v>
      </c>
      <c r="E371" s="1340">
        <v>99900</v>
      </c>
      <c r="F371" s="907">
        <f>SUM(F372:F461)</f>
        <v>104140.29999999997</v>
      </c>
      <c r="G371" s="909">
        <v>7</v>
      </c>
      <c r="H371" s="901"/>
      <c r="I371" s="902" t="str">
        <f>IF(H371="x",CONCATENATE(A371,"; "),"")</f>
        <v/>
      </c>
      <c r="J371" s="897"/>
      <c r="K371" s="903"/>
      <c r="L371" s="899">
        <f t="shared" si="22"/>
        <v>18414</v>
      </c>
      <c r="M371" s="902"/>
      <c r="N371" s="902"/>
      <c r="O371" s="902"/>
      <c r="P371" s="902"/>
      <c r="Q371" s="902"/>
      <c r="R371" s="902"/>
      <c r="S371" s="902"/>
      <c r="T371" s="902"/>
      <c r="U371" s="902"/>
      <c r="V371" s="902"/>
      <c r="W371" s="902"/>
      <c r="X371" s="902"/>
      <c r="Y371" s="902"/>
      <c r="Z371" s="902"/>
      <c r="AA371" s="902"/>
      <c r="AB371" s="902"/>
      <c r="AC371" s="902"/>
    </row>
    <row r="372" spans="1:54" hidden="1" outlineLevel="1">
      <c r="A372" s="897" t="s">
        <v>1391</v>
      </c>
      <c r="B372" s="926" t="s">
        <v>1392</v>
      </c>
      <c r="C372" s="898">
        <v>69</v>
      </c>
      <c r="D372" s="899">
        <v>400</v>
      </c>
      <c r="E372" s="1335">
        <v>400</v>
      </c>
      <c r="F372" s="899">
        <f t="shared" ref="F372:F380" si="24">C372*1.3</f>
        <v>89.7</v>
      </c>
      <c r="G372" s="900"/>
      <c r="H372" s="901"/>
      <c r="I372" s="902"/>
      <c r="J372" s="910"/>
      <c r="K372" s="903"/>
      <c r="L372" s="899">
        <f t="shared" si="22"/>
        <v>331</v>
      </c>
      <c r="M372" s="903"/>
      <c r="N372" s="903"/>
      <c r="O372" s="903"/>
      <c r="P372" s="902"/>
      <c r="Q372" s="902"/>
      <c r="R372" s="902"/>
      <c r="S372" s="903"/>
      <c r="T372" s="902"/>
      <c r="U372" s="902"/>
      <c r="V372" s="902"/>
      <c r="W372" s="902"/>
      <c r="X372" s="902"/>
      <c r="Y372" s="902"/>
      <c r="Z372" s="902"/>
      <c r="AA372" s="902"/>
      <c r="AB372" s="902"/>
      <c r="AC372" s="902"/>
    </row>
    <row r="373" spans="1:54" hidden="1" outlineLevel="1">
      <c r="A373" s="897" t="s">
        <v>1395</v>
      </c>
      <c r="B373" s="926" t="s">
        <v>1396</v>
      </c>
      <c r="C373" s="898">
        <v>69</v>
      </c>
      <c r="D373" s="899">
        <v>400</v>
      </c>
      <c r="E373" s="1335">
        <v>400</v>
      </c>
      <c r="F373" s="899">
        <f t="shared" si="24"/>
        <v>89.7</v>
      </c>
      <c r="G373" s="900"/>
      <c r="H373" s="901"/>
      <c r="I373" s="902"/>
      <c r="J373" s="910"/>
      <c r="K373" s="903"/>
      <c r="L373" s="899">
        <f t="shared" si="22"/>
        <v>331</v>
      </c>
      <c r="M373" s="903"/>
      <c r="N373" s="903"/>
      <c r="O373" s="903"/>
      <c r="P373" s="902"/>
      <c r="Q373" s="902"/>
      <c r="R373" s="902"/>
      <c r="S373" s="903"/>
      <c r="T373" s="902"/>
      <c r="U373" s="902"/>
      <c r="V373" s="902"/>
      <c r="W373" s="902"/>
      <c r="X373" s="902"/>
      <c r="Y373" s="902"/>
      <c r="Z373" s="902"/>
      <c r="AA373" s="902"/>
      <c r="AB373" s="902"/>
      <c r="AC373" s="902"/>
    </row>
    <row r="374" spans="1:54" hidden="1" outlineLevel="1">
      <c r="A374" s="897" t="s">
        <v>1611</v>
      </c>
      <c r="B374" s="926" t="s">
        <v>1612</v>
      </c>
      <c r="C374" s="898">
        <v>125</v>
      </c>
      <c r="D374" s="899">
        <v>200</v>
      </c>
      <c r="E374" s="1335">
        <v>200</v>
      </c>
      <c r="F374" s="899">
        <f t="shared" si="24"/>
        <v>162.5</v>
      </c>
      <c r="G374" s="900"/>
      <c r="H374" s="901"/>
      <c r="I374" s="902"/>
      <c r="J374" s="897"/>
      <c r="K374" s="903"/>
      <c r="L374" s="899">
        <f t="shared" si="22"/>
        <v>75</v>
      </c>
      <c r="M374" s="903"/>
      <c r="N374" s="903"/>
      <c r="O374" s="903"/>
      <c r="P374" s="902"/>
      <c r="Q374" s="902"/>
      <c r="R374" s="902"/>
      <c r="S374" s="903"/>
      <c r="T374" s="902"/>
      <c r="U374" s="902"/>
      <c r="V374" s="902"/>
      <c r="W374" s="902"/>
      <c r="X374" s="902"/>
      <c r="Y374" s="902"/>
      <c r="Z374" s="902"/>
      <c r="AA374" s="902"/>
      <c r="AB374" s="902"/>
      <c r="AC374" s="902"/>
    </row>
    <row r="375" spans="1:54" hidden="1" outlineLevel="1">
      <c r="A375" s="897" t="s">
        <v>1621</v>
      </c>
      <c r="B375" s="926" t="s">
        <v>2346</v>
      </c>
      <c r="C375" s="898">
        <v>175</v>
      </c>
      <c r="D375" s="899">
        <v>400</v>
      </c>
      <c r="E375" s="1335">
        <v>400</v>
      </c>
      <c r="F375" s="899">
        <f t="shared" si="24"/>
        <v>227.5</v>
      </c>
      <c r="G375" s="900"/>
      <c r="H375" s="901"/>
      <c r="I375" s="902"/>
      <c r="J375" s="897"/>
      <c r="K375" s="903"/>
      <c r="L375" s="899">
        <f t="shared" si="22"/>
        <v>225</v>
      </c>
      <c r="M375" s="903"/>
      <c r="N375" s="903"/>
      <c r="O375" s="903"/>
      <c r="P375" s="902"/>
      <c r="Q375" s="902"/>
      <c r="R375" s="902"/>
      <c r="S375" s="903"/>
      <c r="T375" s="902"/>
      <c r="U375" s="902"/>
      <c r="V375" s="902"/>
      <c r="W375" s="902"/>
      <c r="X375" s="902"/>
      <c r="Y375" s="902"/>
      <c r="Z375" s="902"/>
      <c r="AA375" s="902"/>
      <c r="AB375" s="902"/>
      <c r="AC375" s="902"/>
    </row>
    <row r="376" spans="1:54" hidden="1" outlineLevel="1">
      <c r="A376" s="897" t="s">
        <v>649</v>
      </c>
      <c r="B376" s="926" t="s">
        <v>649</v>
      </c>
      <c r="C376" s="898">
        <v>460</v>
      </c>
      <c r="D376" s="899">
        <v>1400</v>
      </c>
      <c r="E376" s="1335">
        <v>1400</v>
      </c>
      <c r="F376" s="899">
        <f t="shared" si="24"/>
        <v>598</v>
      </c>
      <c r="G376" s="900"/>
      <c r="H376" s="901"/>
      <c r="I376" s="902"/>
      <c r="J376" s="897"/>
      <c r="K376" s="903"/>
      <c r="L376" s="899">
        <f t="shared" si="22"/>
        <v>940</v>
      </c>
      <c r="M376" s="903"/>
      <c r="N376" s="903"/>
      <c r="O376" s="903"/>
      <c r="P376" s="902"/>
      <c r="Q376" s="902"/>
      <c r="R376" s="902"/>
      <c r="S376" s="903"/>
      <c r="T376" s="902"/>
      <c r="U376" s="902"/>
      <c r="V376" s="902"/>
      <c r="W376" s="902"/>
      <c r="X376" s="902"/>
      <c r="Y376" s="902"/>
      <c r="Z376" s="902"/>
      <c r="AA376" s="902"/>
      <c r="AB376" s="902"/>
      <c r="AC376" s="902"/>
    </row>
    <row r="377" spans="1:54" hidden="1" outlineLevel="1">
      <c r="A377" s="897" t="s">
        <v>1371</v>
      </c>
      <c r="B377" s="926" t="s">
        <v>1372</v>
      </c>
      <c r="C377" s="898">
        <v>2415</v>
      </c>
      <c r="D377" s="899">
        <v>5800</v>
      </c>
      <c r="E377" s="1335">
        <v>5800</v>
      </c>
      <c r="F377" s="899">
        <f t="shared" si="24"/>
        <v>3139.5</v>
      </c>
      <c r="G377" s="900"/>
      <c r="H377" s="901"/>
      <c r="I377" s="902"/>
      <c r="J377" s="897"/>
      <c r="K377" s="903"/>
      <c r="L377" s="899">
        <f t="shared" si="22"/>
        <v>3385</v>
      </c>
      <c r="M377" s="903"/>
      <c r="N377" s="903"/>
      <c r="O377" s="903"/>
      <c r="P377" s="902"/>
      <c r="Q377" s="902"/>
      <c r="R377" s="902"/>
      <c r="S377" s="903"/>
      <c r="T377" s="902"/>
      <c r="U377" s="902"/>
      <c r="V377" s="902"/>
      <c r="W377" s="902"/>
      <c r="X377" s="902"/>
      <c r="Y377" s="902"/>
      <c r="Z377" s="902"/>
      <c r="AA377" s="902"/>
      <c r="AB377" s="902"/>
      <c r="AC377" s="902"/>
    </row>
    <row r="378" spans="1:54" hidden="1" outlineLevel="1">
      <c r="A378" s="897" t="s">
        <v>1522</v>
      </c>
      <c r="B378" s="926" t="s">
        <v>31</v>
      </c>
      <c r="C378" s="898">
        <v>1150</v>
      </c>
      <c r="D378" s="899">
        <v>2800</v>
      </c>
      <c r="E378" s="1335">
        <v>2800</v>
      </c>
      <c r="F378" s="899">
        <f t="shared" si="24"/>
        <v>1495</v>
      </c>
      <c r="G378" s="900"/>
      <c r="H378" s="901"/>
      <c r="I378" s="902"/>
      <c r="J378" s="897"/>
      <c r="K378" s="903"/>
      <c r="L378" s="899">
        <f t="shared" si="22"/>
        <v>1650</v>
      </c>
      <c r="M378" s="903"/>
      <c r="N378" s="903"/>
      <c r="O378" s="903"/>
      <c r="P378" s="902"/>
      <c r="Q378" s="902"/>
      <c r="R378" s="902"/>
      <c r="S378" s="903"/>
      <c r="T378" s="902"/>
      <c r="U378" s="902"/>
      <c r="V378" s="902"/>
      <c r="W378" s="902"/>
      <c r="X378" s="902"/>
      <c r="Y378" s="902"/>
      <c r="Z378" s="902"/>
      <c r="AA378" s="902"/>
      <c r="AB378" s="902"/>
      <c r="AC378" s="902"/>
    </row>
    <row r="379" spans="1:54" hidden="1" outlineLevel="1">
      <c r="A379" s="897" t="s">
        <v>681</v>
      </c>
      <c r="B379" s="926" t="s">
        <v>15</v>
      </c>
      <c r="C379" s="898">
        <v>69</v>
      </c>
      <c r="D379" s="899">
        <v>250</v>
      </c>
      <c r="E379" s="1335">
        <v>250</v>
      </c>
      <c r="F379" s="899">
        <f t="shared" si="24"/>
        <v>89.7</v>
      </c>
      <c r="G379" s="900"/>
      <c r="H379" s="901"/>
      <c r="I379" s="902"/>
      <c r="J379" s="897"/>
      <c r="K379" s="903"/>
      <c r="L379" s="899">
        <f t="shared" si="22"/>
        <v>181</v>
      </c>
      <c r="M379" s="903"/>
      <c r="N379" s="903"/>
      <c r="O379" s="903"/>
      <c r="P379" s="902"/>
      <c r="Q379" s="902"/>
      <c r="R379" s="902"/>
      <c r="S379" s="903"/>
      <c r="T379" s="902"/>
      <c r="U379" s="902"/>
      <c r="V379" s="902"/>
      <c r="W379" s="902"/>
      <c r="X379" s="902"/>
      <c r="Y379" s="902"/>
      <c r="Z379" s="902"/>
      <c r="AA379" s="902"/>
      <c r="AB379" s="902"/>
      <c r="AC379" s="902"/>
    </row>
    <row r="380" spans="1:54" hidden="1" outlineLevel="1">
      <c r="A380" s="897" t="s">
        <v>1826</v>
      </c>
      <c r="B380" s="926" t="s">
        <v>1827</v>
      </c>
      <c r="C380" s="898">
        <v>69</v>
      </c>
      <c r="D380" s="899">
        <v>640</v>
      </c>
      <c r="E380" s="1335">
        <v>640</v>
      </c>
      <c r="F380" s="899">
        <f t="shared" si="24"/>
        <v>89.7</v>
      </c>
      <c r="G380" s="900"/>
      <c r="H380" s="901"/>
      <c r="I380" s="902"/>
      <c r="J380" s="897"/>
      <c r="K380" s="903"/>
      <c r="L380" s="899">
        <f t="shared" si="22"/>
        <v>571</v>
      </c>
      <c r="M380" s="903"/>
      <c r="N380" s="903"/>
      <c r="O380" s="903"/>
      <c r="P380" s="902"/>
      <c r="Q380" s="902"/>
      <c r="R380" s="902"/>
      <c r="S380" s="927"/>
      <c r="T380" s="902"/>
      <c r="U380" s="902"/>
      <c r="V380" s="902"/>
      <c r="W380" s="902"/>
      <c r="X380" s="902"/>
      <c r="Y380" s="902"/>
      <c r="Z380" s="902"/>
      <c r="AA380" s="902"/>
      <c r="AB380" s="902"/>
      <c r="AC380" s="902"/>
    </row>
    <row r="381" spans="1:54" hidden="1" outlineLevel="1">
      <c r="A381" s="897" t="s">
        <v>684</v>
      </c>
      <c r="B381" s="926" t="s">
        <v>1538</v>
      </c>
      <c r="C381" s="898">
        <v>69</v>
      </c>
      <c r="D381" s="899">
        <v>200</v>
      </c>
      <c r="E381" s="1335">
        <v>200</v>
      </c>
      <c r="F381" s="899">
        <v>90</v>
      </c>
      <c r="G381" s="900"/>
      <c r="H381" s="901"/>
      <c r="I381" s="902"/>
      <c r="J381" s="897"/>
      <c r="K381" s="903"/>
      <c r="L381" s="899">
        <f t="shared" si="22"/>
        <v>131</v>
      </c>
      <c r="M381" s="903"/>
      <c r="N381" s="903"/>
      <c r="O381" s="903"/>
      <c r="P381" s="902"/>
      <c r="Q381" s="902"/>
      <c r="R381" s="902"/>
      <c r="S381" s="928"/>
      <c r="T381" s="928"/>
      <c r="U381" s="902"/>
      <c r="V381" s="902"/>
      <c r="W381" s="902"/>
      <c r="X381" s="902"/>
      <c r="Y381" s="902"/>
      <c r="Z381" s="902"/>
      <c r="AA381" s="902"/>
      <c r="AB381" s="902"/>
      <c r="AC381" s="902"/>
    </row>
    <row r="382" spans="1:54" hidden="1" outlineLevel="1">
      <c r="A382" s="897" t="s">
        <v>685</v>
      </c>
      <c r="B382" s="926" t="s">
        <v>1539</v>
      </c>
      <c r="C382" s="898">
        <v>69</v>
      </c>
      <c r="D382" s="899">
        <v>200</v>
      </c>
      <c r="E382" s="1335">
        <v>200</v>
      </c>
      <c r="F382" s="899">
        <f t="shared" ref="F382:F397" si="25">C382*1.3</f>
        <v>89.7</v>
      </c>
      <c r="G382" s="900"/>
      <c r="H382" s="901"/>
      <c r="I382" s="902"/>
      <c r="J382" s="897"/>
      <c r="K382" s="903"/>
      <c r="L382" s="899">
        <f t="shared" si="22"/>
        <v>131</v>
      </c>
      <c r="M382" s="903"/>
      <c r="N382" s="903"/>
      <c r="O382" s="903"/>
      <c r="P382" s="902"/>
      <c r="Q382" s="902"/>
      <c r="R382" s="902"/>
      <c r="S382" s="927"/>
      <c r="T382" s="902"/>
      <c r="U382" s="902"/>
      <c r="V382" s="902"/>
      <c r="W382" s="902"/>
      <c r="X382" s="902"/>
      <c r="Y382" s="902"/>
      <c r="Z382" s="902"/>
      <c r="AA382" s="902"/>
      <c r="AB382" s="902"/>
      <c r="AC382" s="902"/>
    </row>
    <row r="383" spans="1:54" hidden="1" outlineLevel="1">
      <c r="A383" s="897" t="s">
        <v>1607</v>
      </c>
      <c r="B383" s="926" t="s">
        <v>22</v>
      </c>
      <c r="C383" s="898">
        <v>135</v>
      </c>
      <c r="D383" s="899">
        <v>200</v>
      </c>
      <c r="E383" s="1335">
        <v>200</v>
      </c>
      <c r="F383" s="899">
        <f t="shared" si="25"/>
        <v>175.5</v>
      </c>
      <c r="G383" s="900"/>
      <c r="H383" s="901"/>
      <c r="I383" s="902"/>
      <c r="J383" s="897"/>
      <c r="K383" s="903"/>
      <c r="L383" s="899">
        <f t="shared" si="22"/>
        <v>65</v>
      </c>
      <c r="M383" s="903"/>
      <c r="N383" s="903"/>
      <c r="O383" s="903"/>
      <c r="P383" s="902"/>
      <c r="Q383" s="902"/>
      <c r="R383" s="902"/>
      <c r="S383" s="902"/>
      <c r="T383" s="902"/>
      <c r="U383" s="902"/>
      <c r="V383" s="902"/>
      <c r="W383" s="902"/>
      <c r="X383" s="902"/>
      <c r="Y383" s="902"/>
      <c r="Z383" s="902"/>
      <c r="AA383" s="902"/>
      <c r="AB383" s="902"/>
      <c r="AC383" s="902"/>
    </row>
    <row r="384" spans="1:54" hidden="1" outlineLevel="1">
      <c r="A384" s="897" t="s">
        <v>1608</v>
      </c>
      <c r="B384" s="926" t="s">
        <v>19</v>
      </c>
      <c r="C384" s="898">
        <v>69</v>
      </c>
      <c r="D384" s="899">
        <v>600</v>
      </c>
      <c r="E384" s="1335">
        <v>600</v>
      </c>
      <c r="F384" s="899">
        <f t="shared" si="25"/>
        <v>89.7</v>
      </c>
      <c r="G384" s="900"/>
      <c r="H384" s="901"/>
      <c r="I384" s="902"/>
      <c r="J384" s="897"/>
      <c r="K384" s="903"/>
      <c r="L384" s="899">
        <f t="shared" si="22"/>
        <v>531</v>
      </c>
      <c r="M384" s="903"/>
      <c r="N384" s="903"/>
      <c r="O384" s="903"/>
      <c r="P384" s="902"/>
      <c r="Q384" s="902"/>
      <c r="R384" s="902"/>
      <c r="S384" s="902"/>
      <c r="T384" s="902"/>
      <c r="U384" s="902"/>
      <c r="V384" s="902"/>
      <c r="W384" s="902"/>
      <c r="X384" s="902"/>
      <c r="Y384" s="902"/>
      <c r="Z384" s="902"/>
      <c r="AA384" s="902"/>
      <c r="AB384" s="902"/>
      <c r="AC384" s="902"/>
    </row>
    <row r="385" spans="1:29" hidden="1" outlineLevel="1">
      <c r="A385" s="897" t="s">
        <v>508</v>
      </c>
      <c r="B385" s="926" t="s">
        <v>508</v>
      </c>
      <c r="C385" s="898">
        <v>69</v>
      </c>
      <c r="D385" s="899">
        <v>300</v>
      </c>
      <c r="E385" s="1335">
        <v>300</v>
      </c>
      <c r="F385" s="899">
        <f t="shared" si="25"/>
        <v>89.7</v>
      </c>
      <c r="G385" s="897">
        <v>1</v>
      </c>
      <c r="H385" s="901"/>
      <c r="I385" s="902"/>
      <c r="J385" s="897"/>
      <c r="K385" s="903"/>
      <c r="L385" s="899">
        <f t="shared" si="22"/>
        <v>231</v>
      </c>
      <c r="M385" s="903"/>
      <c r="N385" s="903"/>
      <c r="O385" s="927"/>
      <c r="P385" s="902"/>
      <c r="Q385" s="902"/>
      <c r="R385" s="902"/>
      <c r="S385" s="902"/>
      <c r="T385" s="902"/>
      <c r="U385" s="902"/>
      <c r="V385" s="902"/>
      <c r="W385" s="902"/>
      <c r="X385" s="902"/>
      <c r="Y385" s="902"/>
      <c r="Z385" s="902"/>
      <c r="AA385" s="902"/>
      <c r="AB385" s="902"/>
      <c r="AC385" s="902"/>
    </row>
    <row r="386" spans="1:29" ht="16.5" hidden="1" customHeight="1" outlineLevel="1">
      <c r="A386" s="897" t="s">
        <v>1693</v>
      </c>
      <c r="B386" s="926" t="s">
        <v>21</v>
      </c>
      <c r="C386" s="898">
        <v>135</v>
      </c>
      <c r="D386" s="899">
        <v>200</v>
      </c>
      <c r="E386" s="1335">
        <v>200</v>
      </c>
      <c r="F386" s="899">
        <f t="shared" si="25"/>
        <v>175.5</v>
      </c>
      <c r="G386" s="897">
        <v>1</v>
      </c>
      <c r="H386" s="901"/>
      <c r="I386" s="902"/>
      <c r="J386" s="897"/>
      <c r="K386" s="903"/>
      <c r="L386" s="899">
        <f t="shared" si="22"/>
        <v>65</v>
      </c>
      <c r="M386" s="903"/>
      <c r="N386" s="903"/>
      <c r="O386" s="927"/>
      <c r="P386" s="902"/>
      <c r="Q386" s="902"/>
      <c r="R386" s="902"/>
      <c r="S386" s="902"/>
      <c r="T386" s="902"/>
      <c r="U386" s="902"/>
      <c r="V386" s="902"/>
      <c r="W386" s="902"/>
      <c r="X386" s="902"/>
      <c r="Y386" s="902"/>
      <c r="Z386" s="902"/>
      <c r="AA386" s="902"/>
      <c r="AB386" s="902"/>
      <c r="AC386" s="902"/>
    </row>
    <row r="387" spans="1:29" ht="15.8" hidden="1" customHeight="1" outlineLevel="1">
      <c r="A387" s="897" t="s">
        <v>1716</v>
      </c>
      <c r="B387" s="926" t="s">
        <v>25</v>
      </c>
      <c r="C387" s="898">
        <v>69</v>
      </c>
      <c r="D387" s="899">
        <v>600</v>
      </c>
      <c r="E387" s="1335">
        <v>600</v>
      </c>
      <c r="F387" s="899">
        <f t="shared" si="25"/>
        <v>89.7</v>
      </c>
      <c r="G387" s="897">
        <v>1</v>
      </c>
      <c r="H387" s="901"/>
      <c r="I387" s="902"/>
      <c r="J387" s="897"/>
      <c r="K387" s="903"/>
      <c r="L387" s="899">
        <f t="shared" si="22"/>
        <v>531</v>
      </c>
      <c r="M387" s="903"/>
      <c r="N387" s="903"/>
      <c r="O387" s="927"/>
      <c r="P387" s="902"/>
      <c r="Q387" s="902"/>
      <c r="R387" s="902"/>
      <c r="S387" s="902"/>
      <c r="T387" s="902"/>
      <c r="U387" s="902"/>
      <c r="V387" s="902"/>
      <c r="W387" s="902"/>
      <c r="X387" s="902"/>
      <c r="Y387" s="902"/>
      <c r="Z387" s="902"/>
      <c r="AA387" s="902"/>
      <c r="AB387" s="902"/>
      <c r="AC387" s="902"/>
    </row>
    <row r="388" spans="1:29" ht="16.5" hidden="1" customHeight="1" outlineLevel="1">
      <c r="A388" s="897" t="s">
        <v>71</v>
      </c>
      <c r="B388" s="926" t="s">
        <v>71</v>
      </c>
      <c r="C388" s="898">
        <v>2185</v>
      </c>
      <c r="D388" s="899">
        <v>4900</v>
      </c>
      <c r="E388" s="1335">
        <v>4900</v>
      </c>
      <c r="F388" s="899">
        <f t="shared" si="25"/>
        <v>2840.5</v>
      </c>
      <c r="G388" s="897">
        <v>1</v>
      </c>
      <c r="H388" s="901"/>
      <c r="I388" s="902"/>
      <c r="J388" s="897"/>
      <c r="K388" s="903"/>
      <c r="L388" s="899">
        <f t="shared" si="22"/>
        <v>2715</v>
      </c>
      <c r="M388" s="902"/>
      <c r="N388" s="927"/>
      <c r="O388" s="927"/>
      <c r="P388" s="902"/>
      <c r="Q388" s="902"/>
      <c r="R388" s="902"/>
      <c r="S388" s="902"/>
      <c r="T388" s="902"/>
      <c r="U388" s="902"/>
      <c r="V388" s="902"/>
      <c r="W388" s="902"/>
      <c r="X388" s="902"/>
      <c r="Y388" s="902"/>
      <c r="Z388" s="902"/>
      <c r="AA388" s="902"/>
      <c r="AB388" s="902"/>
      <c r="AC388" s="902"/>
    </row>
    <row r="389" spans="1:29" ht="15.8" hidden="1" customHeight="1" outlineLevel="1">
      <c r="A389" s="897" t="s">
        <v>1800</v>
      </c>
      <c r="B389" s="926" t="s">
        <v>1801</v>
      </c>
      <c r="C389" s="898">
        <v>6325</v>
      </c>
      <c r="D389" s="899">
        <v>7700</v>
      </c>
      <c r="E389" s="1335">
        <v>7700</v>
      </c>
      <c r="F389" s="899">
        <f t="shared" si="25"/>
        <v>8222.5</v>
      </c>
      <c r="G389" s="897">
        <v>1</v>
      </c>
      <c r="H389" s="901"/>
      <c r="I389" s="902"/>
      <c r="J389" s="897"/>
      <c r="K389" s="903"/>
      <c r="L389" s="899">
        <f t="shared" si="22"/>
        <v>1375</v>
      </c>
      <c r="M389" s="927"/>
      <c r="N389" s="928"/>
      <c r="O389" s="928"/>
      <c r="P389" s="902"/>
      <c r="Q389" s="902"/>
      <c r="R389" s="902"/>
      <c r="S389" s="902"/>
      <c r="T389" s="902"/>
      <c r="U389" s="902"/>
      <c r="V389" s="902"/>
      <c r="W389" s="902"/>
      <c r="X389" s="902"/>
      <c r="Y389" s="902"/>
      <c r="Z389" s="902"/>
      <c r="AA389" s="902"/>
      <c r="AB389" s="902"/>
      <c r="AC389" s="902"/>
    </row>
    <row r="390" spans="1:29" hidden="1" outlineLevel="1">
      <c r="A390" s="897" t="s">
        <v>1807</v>
      </c>
      <c r="B390" s="926" t="s">
        <v>30</v>
      </c>
      <c r="C390" s="898">
        <v>460</v>
      </c>
      <c r="D390" s="899">
        <v>850</v>
      </c>
      <c r="E390" s="1335">
        <v>850</v>
      </c>
      <c r="F390" s="899">
        <f t="shared" si="25"/>
        <v>598</v>
      </c>
      <c r="G390" s="900"/>
      <c r="H390" s="901"/>
      <c r="I390" s="902"/>
      <c r="J390" s="897"/>
      <c r="K390" s="903"/>
      <c r="L390" s="899">
        <f t="shared" si="22"/>
        <v>390</v>
      </c>
      <c r="M390" s="927"/>
      <c r="N390" s="927"/>
      <c r="O390" s="927"/>
      <c r="P390" s="902"/>
      <c r="Q390" s="902"/>
      <c r="R390" s="902"/>
      <c r="S390" s="902"/>
      <c r="T390" s="902"/>
      <c r="U390" s="902"/>
      <c r="V390" s="902"/>
      <c r="W390" s="902"/>
      <c r="X390" s="902"/>
      <c r="Y390" s="902"/>
      <c r="Z390" s="902"/>
      <c r="AA390" s="902"/>
      <c r="AB390" s="902"/>
      <c r="AC390" s="902"/>
    </row>
    <row r="391" spans="1:29" hidden="1" outlineLevel="1">
      <c r="A391" s="897" t="s">
        <v>1813</v>
      </c>
      <c r="B391" s="926" t="s">
        <v>505</v>
      </c>
      <c r="C391" s="898">
        <v>69</v>
      </c>
      <c r="D391" s="899">
        <v>600</v>
      </c>
      <c r="E391" s="1335">
        <v>600</v>
      </c>
      <c r="F391" s="899">
        <f t="shared" si="25"/>
        <v>89.7</v>
      </c>
      <c r="G391" s="900"/>
      <c r="H391" s="901"/>
      <c r="I391" s="902"/>
      <c r="J391" s="897"/>
      <c r="K391" s="903"/>
      <c r="L391" s="899">
        <f t="shared" si="22"/>
        <v>531</v>
      </c>
      <c r="M391" s="927"/>
      <c r="N391" s="927"/>
      <c r="O391" s="927"/>
      <c r="P391" s="902"/>
      <c r="Q391" s="902"/>
      <c r="R391" s="902"/>
      <c r="S391" s="902"/>
      <c r="T391" s="902"/>
      <c r="U391" s="902"/>
      <c r="V391" s="902"/>
      <c r="W391" s="902"/>
      <c r="X391" s="902"/>
      <c r="Y391" s="902"/>
      <c r="Z391" s="902"/>
      <c r="AA391" s="902"/>
      <c r="AB391" s="902"/>
      <c r="AC391" s="902"/>
    </row>
    <row r="392" spans="1:29" hidden="1" outlineLevel="1">
      <c r="A392" s="897" t="s">
        <v>1824</v>
      </c>
      <c r="B392" s="926" t="s">
        <v>861</v>
      </c>
      <c r="C392" s="898">
        <v>135</v>
      </c>
      <c r="D392" s="899">
        <v>600</v>
      </c>
      <c r="E392" s="1335">
        <v>600</v>
      </c>
      <c r="F392" s="899">
        <f t="shared" si="25"/>
        <v>175.5</v>
      </c>
      <c r="G392" s="900"/>
      <c r="H392" s="901"/>
      <c r="I392" s="902"/>
      <c r="J392" s="897"/>
      <c r="K392" s="903"/>
      <c r="L392" s="899">
        <f t="shared" si="22"/>
        <v>465</v>
      </c>
      <c r="M392" s="927"/>
      <c r="N392" s="927"/>
      <c r="O392" s="927"/>
      <c r="P392" s="902"/>
      <c r="Q392" s="902"/>
      <c r="R392" s="902"/>
      <c r="S392" s="902"/>
      <c r="T392" s="902"/>
      <c r="U392" s="902"/>
      <c r="V392" s="902"/>
      <c r="W392" s="902"/>
      <c r="X392" s="902"/>
      <c r="Y392" s="902"/>
      <c r="Z392" s="902"/>
      <c r="AA392" s="902"/>
      <c r="AB392" s="902"/>
      <c r="AC392" s="902"/>
    </row>
    <row r="393" spans="1:29" hidden="1" outlineLevel="1">
      <c r="A393" s="897" t="s">
        <v>527</v>
      </c>
      <c r="B393" s="926" t="s">
        <v>1831</v>
      </c>
      <c r="C393" s="898">
        <v>340</v>
      </c>
      <c r="D393" s="899">
        <v>1200</v>
      </c>
      <c r="E393" s="1335">
        <v>1200</v>
      </c>
      <c r="F393" s="899">
        <f t="shared" si="25"/>
        <v>442</v>
      </c>
      <c r="G393" s="900"/>
      <c r="H393" s="901"/>
      <c r="I393" s="902"/>
      <c r="J393" s="897"/>
      <c r="K393" s="903"/>
      <c r="L393" s="899">
        <f t="shared" si="22"/>
        <v>860</v>
      </c>
      <c r="M393" s="927"/>
      <c r="N393" s="927"/>
      <c r="O393" s="927"/>
      <c r="P393" s="902"/>
      <c r="Q393" s="902"/>
      <c r="R393" s="902"/>
      <c r="S393" s="902"/>
      <c r="T393" s="902"/>
      <c r="U393" s="902"/>
      <c r="V393" s="902"/>
      <c r="W393" s="902"/>
      <c r="X393" s="902"/>
      <c r="Y393" s="902"/>
      <c r="Z393" s="902"/>
      <c r="AA393" s="902"/>
      <c r="AB393" s="902"/>
      <c r="AC393" s="902"/>
    </row>
    <row r="394" spans="1:29" hidden="1" outlineLevel="1">
      <c r="A394" s="897" t="s">
        <v>1861</v>
      </c>
      <c r="B394" s="926" t="s">
        <v>1862</v>
      </c>
      <c r="C394" s="898">
        <v>175</v>
      </c>
      <c r="D394" s="899">
        <v>1200</v>
      </c>
      <c r="E394" s="1335">
        <v>1200</v>
      </c>
      <c r="F394" s="899">
        <f t="shared" si="25"/>
        <v>227.5</v>
      </c>
      <c r="G394" s="900"/>
      <c r="H394" s="901"/>
      <c r="I394" s="902"/>
      <c r="J394" s="897"/>
      <c r="K394" s="903"/>
      <c r="L394" s="899">
        <f t="shared" si="22"/>
        <v>1025</v>
      </c>
      <c r="M394" s="927"/>
      <c r="N394" s="927"/>
      <c r="O394" s="927"/>
      <c r="P394" s="902"/>
      <c r="Q394" s="902"/>
      <c r="R394" s="902"/>
      <c r="S394" s="902"/>
      <c r="T394" s="902"/>
      <c r="U394" s="902"/>
      <c r="V394" s="902"/>
      <c r="W394" s="902"/>
      <c r="X394" s="902"/>
      <c r="Y394" s="902"/>
      <c r="Z394" s="902"/>
      <c r="AA394" s="902"/>
      <c r="AB394" s="902"/>
      <c r="AC394" s="902"/>
    </row>
    <row r="395" spans="1:29" hidden="1" outlineLevel="1">
      <c r="A395" s="897" t="s">
        <v>54</v>
      </c>
      <c r="B395" s="926" t="s">
        <v>54</v>
      </c>
      <c r="C395" s="898">
        <v>1150</v>
      </c>
      <c r="D395" s="899">
        <v>1900</v>
      </c>
      <c r="E395" s="1335">
        <v>1900</v>
      </c>
      <c r="F395" s="899">
        <f t="shared" si="25"/>
        <v>1495</v>
      </c>
      <c r="G395" s="918">
        <v>1</v>
      </c>
      <c r="H395" s="901"/>
      <c r="I395" s="902"/>
      <c r="J395" s="897"/>
      <c r="K395" s="903"/>
      <c r="L395" s="899">
        <f t="shared" si="22"/>
        <v>750</v>
      </c>
      <c r="M395" s="927"/>
      <c r="N395" s="927"/>
      <c r="O395" s="927"/>
      <c r="P395" s="902"/>
      <c r="Q395" s="902"/>
      <c r="R395" s="902"/>
      <c r="S395" s="902"/>
      <c r="T395" s="902"/>
      <c r="U395" s="902"/>
      <c r="V395" s="902"/>
      <c r="W395" s="902"/>
      <c r="X395" s="902"/>
      <c r="Y395" s="902"/>
      <c r="Z395" s="902"/>
      <c r="AA395" s="902"/>
      <c r="AB395" s="902"/>
      <c r="AC395" s="902"/>
    </row>
    <row r="396" spans="1:29" hidden="1" outlineLevel="1">
      <c r="A396" s="897" t="s">
        <v>1782</v>
      </c>
      <c r="B396" s="926" t="s">
        <v>2355</v>
      </c>
      <c r="C396" s="898">
        <v>600</v>
      </c>
      <c r="D396" s="899">
        <v>1300</v>
      </c>
      <c r="E396" s="1335">
        <v>1300</v>
      </c>
      <c r="F396" s="899">
        <f t="shared" si="25"/>
        <v>780</v>
      </c>
      <c r="G396" s="897">
        <v>1</v>
      </c>
      <c r="H396" s="901"/>
      <c r="I396" s="902"/>
      <c r="J396" s="897"/>
      <c r="K396" s="903"/>
      <c r="L396" s="899">
        <f t="shared" si="22"/>
        <v>700</v>
      </c>
      <c r="M396" s="927"/>
      <c r="N396" s="927"/>
      <c r="O396" s="927"/>
      <c r="P396" s="902"/>
      <c r="Q396" s="902"/>
      <c r="R396" s="902"/>
      <c r="S396" s="902"/>
      <c r="T396" s="902"/>
      <c r="U396" s="902"/>
      <c r="V396" s="902"/>
      <c r="W396" s="902"/>
      <c r="X396" s="902"/>
      <c r="Y396" s="902"/>
      <c r="Z396" s="902"/>
      <c r="AA396" s="902"/>
      <c r="AB396" s="902"/>
      <c r="AC396" s="902"/>
    </row>
    <row r="397" spans="1:29" hidden="1" outlineLevel="1">
      <c r="A397" s="897" t="s">
        <v>1397</v>
      </c>
      <c r="B397" s="926" t="s">
        <v>38</v>
      </c>
      <c r="C397" s="898">
        <v>345</v>
      </c>
      <c r="D397" s="899">
        <v>500</v>
      </c>
      <c r="E397" s="1335">
        <v>500</v>
      </c>
      <c r="F397" s="899">
        <f t="shared" si="25"/>
        <v>448.5</v>
      </c>
      <c r="G397" s="900"/>
      <c r="H397" s="901"/>
      <c r="I397" s="902"/>
      <c r="J397" s="897"/>
      <c r="K397" s="903"/>
      <c r="L397" s="899">
        <f t="shared" si="22"/>
        <v>155</v>
      </c>
      <c r="M397" s="927"/>
      <c r="N397" s="927"/>
      <c r="O397" s="927"/>
      <c r="P397" s="902"/>
      <c r="Q397" s="902"/>
      <c r="R397" s="902"/>
      <c r="S397" s="902"/>
      <c r="T397" s="902"/>
      <c r="U397" s="902"/>
      <c r="V397" s="902"/>
      <c r="W397" s="902"/>
      <c r="X397" s="902"/>
      <c r="Y397" s="902"/>
      <c r="Z397" s="902"/>
      <c r="AA397" s="902"/>
      <c r="AB397" s="902"/>
      <c r="AC397" s="902"/>
    </row>
    <row r="398" spans="1:29" hidden="1" outlineLevel="1">
      <c r="A398" s="897" t="s">
        <v>1592</v>
      </c>
      <c r="B398" s="926" t="s">
        <v>53</v>
      </c>
      <c r="C398" s="898">
        <v>1380</v>
      </c>
      <c r="D398" s="899">
        <v>3200</v>
      </c>
      <c r="E398" s="1335">
        <v>3200</v>
      </c>
      <c r="F398" s="899"/>
      <c r="G398" s="897"/>
      <c r="H398" s="901"/>
      <c r="I398" s="902"/>
      <c r="J398" s="897"/>
      <c r="K398" s="903"/>
      <c r="L398" s="899">
        <f t="shared" si="22"/>
        <v>1820</v>
      </c>
      <c r="M398" s="927"/>
      <c r="N398" s="927"/>
      <c r="O398" s="927"/>
      <c r="P398" s="902"/>
      <c r="Q398" s="902"/>
      <c r="R398" s="902"/>
      <c r="S398" s="902"/>
      <c r="T398" s="902"/>
      <c r="U398" s="902"/>
      <c r="V398" s="902"/>
      <c r="W398" s="902"/>
      <c r="X398" s="902"/>
      <c r="Y398" s="902"/>
      <c r="Z398" s="902"/>
      <c r="AA398" s="902"/>
      <c r="AB398" s="902"/>
      <c r="AC398" s="902"/>
    </row>
    <row r="399" spans="1:29" hidden="1" outlineLevel="1">
      <c r="A399" s="897" t="s">
        <v>1606</v>
      </c>
      <c r="B399" s="926" t="s">
        <v>1332</v>
      </c>
      <c r="C399" s="898">
        <v>69</v>
      </c>
      <c r="D399" s="899">
        <v>300</v>
      </c>
      <c r="E399" s="1335">
        <v>300</v>
      </c>
      <c r="F399" s="899">
        <f t="shared" ref="F399:F405" si="26">C399*1.3</f>
        <v>89.7</v>
      </c>
      <c r="G399" s="900"/>
      <c r="H399" s="901"/>
      <c r="I399" s="902"/>
      <c r="J399" s="897"/>
      <c r="K399" s="903"/>
      <c r="L399" s="899">
        <f t="shared" si="22"/>
        <v>231</v>
      </c>
      <c r="M399" s="927"/>
      <c r="N399" s="927"/>
      <c r="O399" s="927"/>
      <c r="P399" s="902"/>
      <c r="Q399" s="902"/>
      <c r="R399" s="902"/>
      <c r="S399" s="902"/>
      <c r="T399" s="902"/>
      <c r="U399" s="902"/>
      <c r="V399" s="902"/>
      <c r="W399" s="902"/>
      <c r="X399" s="902"/>
      <c r="Y399" s="902"/>
      <c r="Z399" s="902"/>
      <c r="AA399" s="902"/>
      <c r="AB399" s="902"/>
      <c r="AC399" s="902"/>
    </row>
    <row r="400" spans="1:29" hidden="1" outlineLevel="1">
      <c r="A400" s="897" t="s">
        <v>1493</v>
      </c>
      <c r="B400" s="926" t="s">
        <v>509</v>
      </c>
      <c r="C400" s="898">
        <v>3600</v>
      </c>
      <c r="D400" s="899">
        <v>4500</v>
      </c>
      <c r="E400" s="1335">
        <v>4500</v>
      </c>
      <c r="F400" s="899">
        <f t="shared" si="26"/>
        <v>4680</v>
      </c>
      <c r="G400" s="897">
        <v>1</v>
      </c>
      <c r="H400" s="901"/>
      <c r="I400" s="902"/>
      <c r="J400" s="902"/>
      <c r="K400" s="903"/>
      <c r="L400" s="899">
        <f t="shared" si="22"/>
        <v>900</v>
      </c>
      <c r="M400" s="903"/>
      <c r="N400" s="903"/>
      <c r="O400" s="927"/>
      <c r="P400" s="902"/>
      <c r="Q400" s="902"/>
      <c r="R400" s="902"/>
      <c r="S400" s="902"/>
      <c r="T400" s="902"/>
      <c r="U400" s="902"/>
      <c r="V400" s="902"/>
      <c r="W400" s="902"/>
      <c r="X400" s="902"/>
      <c r="Y400" s="902"/>
      <c r="Z400" s="902"/>
      <c r="AA400" s="902"/>
      <c r="AB400" s="902"/>
      <c r="AC400" s="902"/>
    </row>
    <row r="401" spans="1:29" hidden="1" outlineLevel="1">
      <c r="A401" s="897" t="s">
        <v>1503</v>
      </c>
      <c r="B401" s="926" t="s">
        <v>2753</v>
      </c>
      <c r="C401" s="898">
        <v>4485</v>
      </c>
      <c r="D401" s="899">
        <v>6500</v>
      </c>
      <c r="E401" s="1335">
        <v>6000</v>
      </c>
      <c r="F401" s="899">
        <f t="shared" si="26"/>
        <v>5830.5</v>
      </c>
      <c r="G401" s="897">
        <v>1</v>
      </c>
      <c r="H401" s="901"/>
      <c r="I401" s="902"/>
      <c r="J401" s="902"/>
      <c r="K401" s="903"/>
      <c r="L401" s="899">
        <f t="shared" si="22"/>
        <v>1515</v>
      </c>
      <c r="M401" s="903"/>
      <c r="N401" s="903"/>
      <c r="O401" s="927"/>
      <c r="P401" s="902"/>
      <c r="Q401" s="902"/>
      <c r="R401" s="902"/>
      <c r="S401" s="902"/>
      <c r="T401" s="902"/>
      <c r="U401" s="902"/>
      <c r="V401" s="902"/>
      <c r="W401" s="902"/>
      <c r="X401" s="902"/>
      <c r="Y401" s="902"/>
      <c r="Z401" s="902"/>
      <c r="AA401" s="902"/>
      <c r="AB401" s="902"/>
      <c r="AC401" s="902"/>
    </row>
    <row r="402" spans="1:29" hidden="1" outlineLevel="1">
      <c r="A402" s="897" t="s">
        <v>1527</v>
      </c>
      <c r="B402" s="926" t="s">
        <v>2752</v>
      </c>
      <c r="C402" s="898">
        <v>130</v>
      </c>
      <c r="D402" s="899">
        <v>600</v>
      </c>
      <c r="E402" s="1335">
        <v>600</v>
      </c>
      <c r="F402" s="899">
        <f t="shared" si="26"/>
        <v>169</v>
      </c>
      <c r="G402" s="897">
        <v>1</v>
      </c>
      <c r="H402" s="901"/>
      <c r="I402" s="902"/>
      <c r="J402" s="902"/>
      <c r="K402" s="903"/>
      <c r="L402" s="899">
        <f t="shared" si="22"/>
        <v>470</v>
      </c>
      <c r="M402" s="903"/>
      <c r="N402" s="903"/>
      <c r="O402" s="927"/>
      <c r="P402" s="902"/>
      <c r="Q402" s="902"/>
      <c r="R402" s="902"/>
      <c r="S402" s="902"/>
      <c r="T402" s="902"/>
      <c r="U402" s="902"/>
      <c r="V402" s="902"/>
      <c r="W402" s="902"/>
      <c r="X402" s="902"/>
      <c r="Y402" s="902"/>
      <c r="Z402" s="902"/>
      <c r="AA402" s="902"/>
      <c r="AB402" s="902"/>
      <c r="AC402" s="902"/>
    </row>
    <row r="403" spans="1:29" hidden="1" outlineLevel="1">
      <c r="A403" s="897" t="s">
        <v>945</v>
      </c>
      <c r="B403" s="926" t="s">
        <v>2748</v>
      </c>
      <c r="C403" s="898">
        <v>230</v>
      </c>
      <c r="D403" s="899">
        <v>600</v>
      </c>
      <c r="E403" s="1335">
        <v>600</v>
      </c>
      <c r="F403" s="899">
        <f t="shared" si="26"/>
        <v>299</v>
      </c>
      <c r="G403" s="897"/>
      <c r="H403" s="901"/>
      <c r="I403" s="902"/>
      <c r="J403" s="902"/>
      <c r="K403" s="903"/>
      <c r="L403" s="899">
        <f t="shared" si="22"/>
        <v>370</v>
      </c>
      <c r="M403" s="903"/>
      <c r="N403" s="903"/>
      <c r="O403" s="927"/>
      <c r="P403" s="902"/>
      <c r="Q403" s="902"/>
      <c r="R403" s="902"/>
      <c r="S403" s="902"/>
      <c r="T403" s="902"/>
      <c r="U403" s="902"/>
      <c r="V403" s="902"/>
      <c r="W403" s="902"/>
      <c r="X403" s="902"/>
      <c r="Y403" s="902"/>
      <c r="Z403" s="902"/>
      <c r="AA403" s="902"/>
      <c r="AB403" s="902"/>
      <c r="AC403" s="902"/>
    </row>
    <row r="404" spans="1:29" hidden="1" outlineLevel="1">
      <c r="A404" s="897" t="s">
        <v>1545</v>
      </c>
      <c r="B404" s="926" t="s">
        <v>1546</v>
      </c>
      <c r="C404" s="898">
        <v>1380</v>
      </c>
      <c r="D404" s="899">
        <v>4200</v>
      </c>
      <c r="E404" s="1335">
        <v>4200</v>
      </c>
      <c r="F404" s="899">
        <f t="shared" si="26"/>
        <v>1794</v>
      </c>
      <c r="G404" s="897"/>
      <c r="H404" s="901"/>
      <c r="I404" s="902"/>
      <c r="J404" s="902"/>
      <c r="K404" s="903"/>
      <c r="L404" s="899">
        <f t="shared" si="22"/>
        <v>2820</v>
      </c>
      <c r="M404" s="903"/>
      <c r="N404" s="903"/>
      <c r="O404" s="927"/>
      <c r="P404" s="902"/>
      <c r="Q404" s="902"/>
      <c r="R404" s="902"/>
      <c r="S404" s="902"/>
      <c r="T404" s="902"/>
      <c r="U404" s="902"/>
      <c r="V404" s="902"/>
      <c r="W404" s="902"/>
      <c r="X404" s="902"/>
      <c r="Y404" s="902"/>
      <c r="Z404" s="902"/>
      <c r="AA404" s="902"/>
      <c r="AB404" s="902"/>
      <c r="AC404" s="902"/>
    </row>
    <row r="405" spans="1:29" hidden="1" outlineLevel="1">
      <c r="A405" s="897" t="s">
        <v>1569</v>
      </c>
      <c r="B405" s="926" t="s">
        <v>27</v>
      </c>
      <c r="C405" s="898">
        <v>69</v>
      </c>
      <c r="D405" s="899">
        <v>600</v>
      </c>
      <c r="E405" s="1335">
        <v>600</v>
      </c>
      <c r="F405" s="899">
        <f t="shared" si="26"/>
        <v>89.7</v>
      </c>
      <c r="G405" s="900"/>
      <c r="H405" s="901"/>
      <c r="I405" s="902"/>
      <c r="J405" s="902"/>
      <c r="K405" s="903"/>
      <c r="L405" s="899">
        <f t="shared" si="22"/>
        <v>531</v>
      </c>
      <c r="M405" s="903"/>
      <c r="N405" s="903"/>
      <c r="O405" s="927"/>
      <c r="P405" s="902"/>
      <c r="Q405" s="902"/>
      <c r="R405" s="902"/>
      <c r="S405" s="902"/>
      <c r="T405" s="902"/>
      <c r="U405" s="902"/>
      <c r="V405" s="902"/>
      <c r="W405" s="902"/>
      <c r="X405" s="902"/>
      <c r="Y405" s="902"/>
      <c r="Z405" s="902"/>
      <c r="AA405" s="902"/>
      <c r="AB405" s="902"/>
      <c r="AC405" s="902"/>
    </row>
    <row r="406" spans="1:29" hidden="1" outlineLevel="1">
      <c r="A406" s="897" t="s">
        <v>1613</v>
      </c>
      <c r="B406" s="926" t="s">
        <v>2751</v>
      </c>
      <c r="C406" s="898">
        <v>69</v>
      </c>
      <c r="D406" s="899">
        <v>200</v>
      </c>
      <c r="E406" s="1335">
        <v>200</v>
      </c>
      <c r="F406" s="899">
        <v>90</v>
      </c>
      <c r="G406" s="897"/>
      <c r="H406" s="901"/>
      <c r="I406" s="902"/>
      <c r="J406" s="897"/>
      <c r="K406" s="903"/>
      <c r="L406" s="899">
        <f t="shared" si="22"/>
        <v>131</v>
      </c>
      <c r="M406" s="899"/>
      <c r="N406" s="904"/>
      <c r="O406" s="905"/>
      <c r="P406" s="899"/>
      <c r="Q406" s="899"/>
      <c r="R406" s="898"/>
      <c r="S406" s="899"/>
      <c r="T406" s="899"/>
      <c r="U406" s="904"/>
      <c r="V406" s="905"/>
      <c r="W406" s="902"/>
      <c r="X406" s="897"/>
      <c r="Y406" s="898"/>
      <c r="Z406" s="902"/>
      <c r="AA406" s="902"/>
      <c r="AB406" s="902"/>
      <c r="AC406" s="902"/>
    </row>
    <row r="407" spans="1:29" hidden="1" outlineLevel="1">
      <c r="A407" s="897" t="s">
        <v>1498</v>
      </c>
      <c r="B407" s="926" t="s">
        <v>734</v>
      </c>
      <c r="C407" s="898">
        <v>1725</v>
      </c>
      <c r="D407" s="899">
        <v>3500</v>
      </c>
      <c r="E407" s="1335">
        <v>3500</v>
      </c>
      <c r="F407" s="899">
        <f>C407*1.3</f>
        <v>2242.5</v>
      </c>
      <c r="G407" s="897">
        <v>2</v>
      </c>
      <c r="H407" s="919"/>
      <c r="I407" s="912"/>
      <c r="J407" s="913"/>
      <c r="K407" s="912"/>
      <c r="L407" s="899">
        <f t="shared" si="22"/>
        <v>1775</v>
      </c>
      <c r="M407" s="899"/>
      <c r="N407" s="904"/>
      <c r="O407" s="905"/>
      <c r="P407" s="899"/>
      <c r="Q407" s="899"/>
      <c r="R407" s="898"/>
      <c r="S407" s="899"/>
      <c r="T407" s="899"/>
      <c r="U407" s="904"/>
      <c r="V407" s="905"/>
      <c r="W407" s="902"/>
      <c r="X407" s="897"/>
      <c r="Y407" s="898"/>
      <c r="Z407" s="902"/>
      <c r="AA407" s="902"/>
      <c r="AB407" s="902"/>
      <c r="AC407" s="902"/>
    </row>
    <row r="408" spans="1:29" hidden="1" outlineLevel="1">
      <c r="A408" s="897" t="s">
        <v>1492</v>
      </c>
      <c r="B408" s="926" t="s">
        <v>2755</v>
      </c>
      <c r="C408" s="898">
        <v>253</v>
      </c>
      <c r="D408" s="899">
        <v>500</v>
      </c>
      <c r="E408" s="1335">
        <v>500</v>
      </c>
      <c r="F408" s="899">
        <v>329</v>
      </c>
      <c r="G408" s="897"/>
      <c r="H408" s="929"/>
      <c r="I408" s="912"/>
      <c r="J408" s="960"/>
      <c r="K408" s="912"/>
      <c r="L408" s="899">
        <f t="shared" si="22"/>
        <v>247</v>
      </c>
      <c r="M408" s="930"/>
      <c r="N408" s="904"/>
      <c r="O408" s="931"/>
      <c r="P408" s="930"/>
      <c r="Q408" s="930"/>
      <c r="R408" s="932"/>
      <c r="S408" s="930"/>
      <c r="T408" s="930"/>
      <c r="U408" s="904"/>
      <c r="V408" s="931"/>
      <c r="W408" s="933"/>
      <c r="X408" s="897"/>
      <c r="Y408" s="932"/>
      <c r="Z408" s="902"/>
      <c r="AA408" s="902"/>
      <c r="AB408" s="902"/>
      <c r="AC408" s="902"/>
    </row>
    <row r="409" spans="1:29" s="942" customFormat="1" ht="15.8" hidden="1" customHeight="1" outlineLevel="1">
      <c r="A409" s="937" t="s">
        <v>1650</v>
      </c>
      <c r="B409" s="938" t="s">
        <v>2756</v>
      </c>
      <c r="C409" s="939">
        <v>125</v>
      </c>
      <c r="D409" s="940">
        <v>200</v>
      </c>
      <c r="E409" s="1341">
        <v>200</v>
      </c>
      <c r="F409" s="940">
        <v>163</v>
      </c>
      <c r="G409" s="937"/>
      <c r="H409" s="943"/>
      <c r="I409" s="944"/>
      <c r="J409" s="1030"/>
      <c r="K409" s="944"/>
      <c r="L409" s="899">
        <f t="shared" si="22"/>
        <v>75</v>
      </c>
      <c r="M409" s="944"/>
      <c r="N409" s="905"/>
      <c r="O409" s="905"/>
      <c r="P409" s="905"/>
      <c r="Q409" s="944"/>
      <c r="R409" s="944"/>
      <c r="S409" s="927"/>
      <c r="T409" s="941"/>
      <c r="U409" s="927"/>
      <c r="V409" s="927"/>
      <c r="W409" s="927"/>
      <c r="X409" s="927"/>
      <c r="Y409" s="927"/>
      <c r="Z409" s="927"/>
      <c r="AA409" s="927"/>
      <c r="AB409" s="927"/>
      <c r="AC409" s="927"/>
    </row>
    <row r="410" spans="1:29" hidden="1" outlineLevel="1">
      <c r="A410" s="897" t="s">
        <v>2351</v>
      </c>
      <c r="B410" s="926" t="s">
        <v>2757</v>
      </c>
      <c r="C410" s="898">
        <v>1150</v>
      </c>
      <c r="D410" s="899">
        <v>2000</v>
      </c>
      <c r="E410" s="1335">
        <v>2000</v>
      </c>
      <c r="F410" s="899">
        <f>C410*1.3</f>
        <v>1495</v>
      </c>
      <c r="G410" s="897">
        <v>1</v>
      </c>
      <c r="H410" s="901"/>
      <c r="I410" s="902"/>
      <c r="J410" s="897"/>
      <c r="K410" s="903"/>
      <c r="L410" s="899">
        <f t="shared" ref="L410:L473" si="27">E410-C410</f>
        <v>850</v>
      </c>
      <c r="M410" s="899"/>
      <c r="N410" s="904"/>
      <c r="O410" s="905"/>
      <c r="P410" s="899"/>
      <c r="Q410" s="899"/>
      <c r="R410" s="898"/>
      <c r="S410" s="899"/>
      <c r="T410" s="899"/>
      <c r="U410" s="904"/>
      <c r="V410" s="905"/>
      <c r="W410" s="902"/>
      <c r="X410" s="897"/>
      <c r="Y410" s="898"/>
      <c r="Z410" s="902"/>
      <c r="AA410" s="902"/>
      <c r="AB410" s="902"/>
      <c r="AC410" s="902"/>
    </row>
    <row r="411" spans="1:29" hidden="1" outlineLevel="1">
      <c r="A411" s="897" t="s">
        <v>1440</v>
      </c>
      <c r="B411" s="926" t="s">
        <v>2759</v>
      </c>
      <c r="C411" s="898">
        <v>69</v>
      </c>
      <c r="D411" s="899">
        <v>500</v>
      </c>
      <c r="E411" s="1335">
        <v>500</v>
      </c>
      <c r="F411" s="899">
        <v>90</v>
      </c>
      <c r="G411" s="897"/>
      <c r="H411" s="901"/>
      <c r="I411" s="902"/>
      <c r="J411" s="897"/>
      <c r="K411" s="903"/>
      <c r="L411" s="899">
        <f t="shared" si="27"/>
        <v>431</v>
      </c>
      <c r="M411" s="899"/>
      <c r="N411" s="904"/>
      <c r="O411" s="905"/>
      <c r="P411" s="899"/>
      <c r="Q411" s="899"/>
      <c r="R411" s="898"/>
      <c r="S411" s="899"/>
      <c r="T411" s="899"/>
      <c r="U411" s="904"/>
      <c r="V411" s="905"/>
      <c r="W411" s="902"/>
      <c r="X411" s="897"/>
      <c r="Y411" s="898"/>
      <c r="Z411" s="902"/>
      <c r="AA411" s="902"/>
      <c r="AB411" s="902"/>
      <c r="AC411" s="902"/>
    </row>
    <row r="412" spans="1:29" hidden="1" outlineLevel="1">
      <c r="A412" s="897" t="s">
        <v>1815</v>
      </c>
      <c r="B412" s="926" t="s">
        <v>2760</v>
      </c>
      <c r="C412" s="898">
        <v>3680</v>
      </c>
      <c r="D412" s="899">
        <v>5400</v>
      </c>
      <c r="E412" s="1335">
        <v>5400</v>
      </c>
      <c r="F412" s="899">
        <v>4784</v>
      </c>
      <c r="G412" s="897">
        <v>1</v>
      </c>
      <c r="H412" s="901"/>
      <c r="I412" s="902"/>
      <c r="J412" s="897"/>
      <c r="K412" s="903"/>
      <c r="L412" s="899">
        <f t="shared" si="27"/>
        <v>1720</v>
      </c>
      <c r="M412" s="899"/>
      <c r="N412" s="904"/>
      <c r="O412" s="905"/>
      <c r="P412" s="899"/>
      <c r="Q412" s="899"/>
      <c r="R412" s="898"/>
      <c r="S412" s="899"/>
      <c r="T412" s="899"/>
      <c r="U412" s="904"/>
      <c r="V412" s="905"/>
      <c r="W412" s="902"/>
      <c r="X412" s="897"/>
      <c r="Y412" s="898"/>
      <c r="Z412" s="902"/>
      <c r="AA412" s="902"/>
      <c r="AB412" s="902"/>
      <c r="AC412" s="902"/>
    </row>
    <row r="413" spans="1:29" hidden="1" outlineLevel="1">
      <c r="A413" s="937" t="s">
        <v>576</v>
      </c>
      <c r="B413" s="938" t="s">
        <v>1389</v>
      </c>
      <c r="C413" s="939">
        <v>1954.9999999999998</v>
      </c>
      <c r="D413" s="940">
        <v>2900</v>
      </c>
      <c r="E413" s="1341">
        <v>2900</v>
      </c>
      <c r="F413" s="940">
        <f t="shared" ref="F413:F421" si="28">C413*1.3</f>
        <v>2541.5</v>
      </c>
      <c r="G413" s="897"/>
      <c r="H413" s="929"/>
      <c r="I413" s="912"/>
      <c r="J413" s="960"/>
      <c r="K413" s="912"/>
      <c r="L413" s="899">
        <f t="shared" si="27"/>
        <v>945.00000000000023</v>
      </c>
      <c r="M413" s="930"/>
      <c r="N413" s="904"/>
      <c r="O413" s="931"/>
      <c r="P413" s="930"/>
      <c r="Q413" s="930"/>
      <c r="R413" s="932"/>
      <c r="S413" s="930"/>
      <c r="T413" s="930"/>
      <c r="U413" s="904"/>
      <c r="V413" s="931"/>
      <c r="W413" s="933"/>
      <c r="X413" s="897"/>
      <c r="Y413" s="932"/>
      <c r="Z413" s="902"/>
      <c r="AA413" s="902"/>
      <c r="AB413" s="902"/>
      <c r="AC413" s="902"/>
    </row>
    <row r="414" spans="1:29" s="942" customFormat="1" hidden="1" outlineLevel="1">
      <c r="A414" s="897" t="s">
        <v>611</v>
      </c>
      <c r="B414" s="926" t="s">
        <v>1437</v>
      </c>
      <c r="C414" s="898">
        <v>2200</v>
      </c>
      <c r="D414" s="899">
        <v>3900</v>
      </c>
      <c r="E414" s="1335">
        <v>3900</v>
      </c>
      <c r="F414" s="899">
        <f t="shared" si="28"/>
        <v>2860</v>
      </c>
      <c r="G414" s="897">
        <v>1</v>
      </c>
      <c r="H414" s="945"/>
      <c r="I414" s="948"/>
      <c r="J414" s="1030"/>
      <c r="K414" s="944"/>
      <c r="L414" s="899">
        <f t="shared" si="27"/>
        <v>1700</v>
      </c>
      <c r="M414" s="944"/>
      <c r="N414" s="905"/>
      <c r="O414" s="905"/>
      <c r="P414" s="905"/>
      <c r="Q414" s="944"/>
      <c r="R414" s="944"/>
      <c r="S414" s="927"/>
      <c r="T414" s="941"/>
      <c r="U414" s="927"/>
      <c r="V414" s="927"/>
      <c r="W414" s="927"/>
      <c r="X414" s="927"/>
      <c r="Y414" s="927"/>
      <c r="Z414" s="927"/>
      <c r="AA414" s="927"/>
      <c r="AB414" s="927"/>
      <c r="AC414" s="927"/>
    </row>
    <row r="415" spans="1:29" hidden="1" outlineLevel="1">
      <c r="A415" s="897" t="s">
        <v>1460</v>
      </c>
      <c r="B415" s="926" t="s">
        <v>1461</v>
      </c>
      <c r="C415" s="898">
        <v>2875</v>
      </c>
      <c r="D415" s="899">
        <v>5100</v>
      </c>
      <c r="E415" s="1335">
        <v>5100</v>
      </c>
      <c r="F415" s="899">
        <f t="shared" si="28"/>
        <v>3737.5</v>
      </c>
      <c r="G415" s="897"/>
      <c r="H415" s="901"/>
      <c r="I415" s="902"/>
      <c r="J415" s="897"/>
      <c r="K415" s="903"/>
      <c r="L415" s="899">
        <f t="shared" si="27"/>
        <v>2225</v>
      </c>
      <c r="M415" s="899"/>
      <c r="N415" s="904"/>
      <c r="O415" s="905"/>
      <c r="P415" s="899"/>
      <c r="Q415" s="899"/>
      <c r="R415" s="898"/>
      <c r="S415" s="899"/>
      <c r="T415" s="899"/>
      <c r="U415" s="904"/>
      <c r="V415" s="905"/>
      <c r="W415" s="902"/>
      <c r="X415" s="897"/>
      <c r="Y415" s="898"/>
      <c r="Z415" s="902"/>
      <c r="AA415" s="902"/>
      <c r="AB415" s="902"/>
      <c r="AC415" s="902"/>
    </row>
    <row r="416" spans="1:29" hidden="1" outlineLevel="1">
      <c r="A416" s="897" t="s">
        <v>1464</v>
      </c>
      <c r="B416" s="926" t="s">
        <v>1465</v>
      </c>
      <c r="C416" s="898">
        <v>1724.9999999999998</v>
      </c>
      <c r="D416" s="899">
        <v>4800</v>
      </c>
      <c r="E416" s="1335">
        <v>4800</v>
      </c>
      <c r="F416" s="899">
        <f t="shared" si="28"/>
        <v>2242.5</v>
      </c>
      <c r="G416" s="897">
        <v>3</v>
      </c>
      <c r="H416" s="901"/>
      <c r="I416" s="902"/>
      <c r="J416" s="897"/>
      <c r="K416" s="903"/>
      <c r="L416" s="899">
        <f t="shared" si="27"/>
        <v>3075</v>
      </c>
      <c r="M416" s="899"/>
      <c r="N416" s="904"/>
      <c r="O416" s="905"/>
      <c r="P416" s="899"/>
      <c r="Q416" s="899"/>
      <c r="R416" s="898"/>
      <c r="S416" s="899"/>
      <c r="T416" s="899"/>
      <c r="U416" s="904"/>
      <c r="V416" s="905"/>
      <c r="W416" s="902"/>
      <c r="X416" s="897"/>
      <c r="Y416" s="898"/>
      <c r="Z416" s="902"/>
      <c r="AA416" s="902"/>
      <c r="AB416" s="902"/>
      <c r="AC416" s="902"/>
    </row>
    <row r="417" spans="1:54" hidden="1" outlineLevel="1">
      <c r="A417" s="897" t="s">
        <v>102</v>
      </c>
      <c r="B417" s="926" t="s">
        <v>1469</v>
      </c>
      <c r="C417" s="898">
        <v>2500</v>
      </c>
      <c r="D417" s="899">
        <v>4400</v>
      </c>
      <c r="E417" s="1335">
        <v>4400</v>
      </c>
      <c r="F417" s="899">
        <f t="shared" si="28"/>
        <v>3250</v>
      </c>
      <c r="G417" s="897">
        <v>3</v>
      </c>
      <c r="H417" s="901"/>
      <c r="I417" s="902"/>
      <c r="J417" s="897"/>
      <c r="K417" s="903"/>
      <c r="L417" s="899">
        <f t="shared" si="27"/>
        <v>1900</v>
      </c>
      <c r="M417" s="899"/>
      <c r="N417" s="904"/>
      <c r="O417" s="905"/>
      <c r="P417" s="899"/>
      <c r="Q417" s="899"/>
      <c r="R417" s="898"/>
      <c r="S417" s="899"/>
      <c r="T417" s="899"/>
      <c r="U417" s="904"/>
      <c r="V417" s="905"/>
      <c r="W417" s="902"/>
      <c r="X417" s="897"/>
      <c r="Y417" s="898"/>
      <c r="Z417" s="902"/>
      <c r="AA417" s="902"/>
      <c r="AB417" s="902"/>
      <c r="AC417" s="902"/>
    </row>
    <row r="418" spans="1:54" hidden="1" outlineLevel="1">
      <c r="A418" s="897" t="s">
        <v>688</v>
      </c>
      <c r="B418" s="926" t="s">
        <v>1738</v>
      </c>
      <c r="C418" s="898">
        <v>9950</v>
      </c>
      <c r="D418" s="899">
        <v>13700</v>
      </c>
      <c r="E418" s="1335">
        <v>13700</v>
      </c>
      <c r="F418" s="899">
        <f t="shared" si="28"/>
        <v>12935</v>
      </c>
      <c r="G418" s="897">
        <v>7</v>
      </c>
      <c r="H418" s="901"/>
      <c r="I418" s="902"/>
      <c r="J418" s="897"/>
      <c r="K418" s="903"/>
      <c r="L418" s="899">
        <f t="shared" si="27"/>
        <v>3750</v>
      </c>
      <c r="M418" s="899"/>
      <c r="N418" s="904"/>
      <c r="O418" s="905"/>
      <c r="P418" s="899"/>
      <c r="Q418" s="899"/>
      <c r="R418" s="898"/>
      <c r="S418" s="899"/>
      <c r="T418" s="899"/>
      <c r="U418" s="904"/>
      <c r="V418" s="905"/>
      <c r="W418" s="902"/>
      <c r="X418" s="897"/>
      <c r="Y418" s="898"/>
      <c r="Z418" s="902"/>
      <c r="AA418" s="902"/>
      <c r="AB418" s="902"/>
      <c r="AC418" s="902"/>
    </row>
    <row r="419" spans="1:54" hidden="1" outlineLevel="1">
      <c r="A419" s="897" t="s">
        <v>948</v>
      </c>
      <c r="B419" s="926" t="s">
        <v>1628</v>
      </c>
      <c r="C419" s="898">
        <v>175</v>
      </c>
      <c r="D419" s="899">
        <v>700</v>
      </c>
      <c r="E419" s="1335">
        <v>700</v>
      </c>
      <c r="F419" s="899">
        <f t="shared" si="28"/>
        <v>227.5</v>
      </c>
      <c r="G419" s="897">
        <v>1</v>
      </c>
      <c r="H419" s="936"/>
      <c r="J419" s="897"/>
      <c r="K419" s="903"/>
      <c r="L419" s="899">
        <f t="shared" si="27"/>
        <v>525</v>
      </c>
      <c r="M419" s="930"/>
      <c r="N419" s="904"/>
      <c r="O419" s="931"/>
      <c r="P419" s="930"/>
      <c r="Q419" s="930"/>
      <c r="R419" s="932"/>
      <c r="S419" s="930"/>
      <c r="T419" s="930"/>
      <c r="U419" s="904"/>
      <c r="V419" s="931"/>
      <c r="W419" s="933"/>
      <c r="X419" s="897"/>
      <c r="Y419" s="932"/>
      <c r="Z419" s="902"/>
      <c r="AA419" s="902"/>
      <c r="AB419" s="902"/>
      <c r="AC419" s="902"/>
    </row>
    <row r="420" spans="1:54" hidden="1" outlineLevel="1">
      <c r="A420" s="897" t="s">
        <v>792</v>
      </c>
      <c r="B420" s="926" t="s">
        <v>1703</v>
      </c>
      <c r="C420" s="898">
        <v>8000</v>
      </c>
      <c r="D420" s="899">
        <v>8900</v>
      </c>
      <c r="E420" s="1335">
        <v>8900</v>
      </c>
      <c r="F420" s="899">
        <f t="shared" si="28"/>
        <v>10400</v>
      </c>
      <c r="G420" s="897">
        <v>7</v>
      </c>
      <c r="H420" s="901"/>
      <c r="I420" s="902"/>
      <c r="J420" s="897"/>
      <c r="K420" s="899"/>
      <c r="L420" s="899">
        <f t="shared" si="27"/>
        <v>900</v>
      </c>
      <c r="M420" s="899"/>
      <c r="N420" s="904"/>
      <c r="O420" s="905"/>
      <c r="P420" s="899"/>
      <c r="Q420" s="899"/>
      <c r="R420" s="898"/>
      <c r="S420" s="899"/>
      <c r="T420" s="899"/>
      <c r="U420" s="904"/>
      <c r="V420" s="905"/>
      <c r="W420" s="902"/>
      <c r="X420" s="897"/>
      <c r="Y420" s="898"/>
      <c r="Z420" s="902"/>
      <c r="AA420" s="902"/>
      <c r="AB420" s="902"/>
      <c r="AC420" s="902"/>
    </row>
    <row r="421" spans="1:54" hidden="1" outlineLevel="1">
      <c r="A421" s="897" t="s">
        <v>1731</v>
      </c>
      <c r="B421" s="926" t="s">
        <v>2350</v>
      </c>
      <c r="C421" s="898">
        <v>1724.9999999999998</v>
      </c>
      <c r="D421" s="899">
        <v>4000</v>
      </c>
      <c r="E421" s="1335">
        <v>2300</v>
      </c>
      <c r="F421" s="899">
        <f t="shared" si="28"/>
        <v>2242.5</v>
      </c>
      <c r="G421" s="897">
        <v>1</v>
      </c>
      <c r="H421" s="901"/>
      <c r="I421" s="902"/>
      <c r="J421" s="902"/>
      <c r="K421" s="903"/>
      <c r="L421" s="899">
        <f t="shared" si="27"/>
        <v>575.00000000000023</v>
      </c>
      <c r="M421" s="903"/>
      <c r="N421" s="903"/>
      <c r="O421" s="903"/>
      <c r="P421" s="903"/>
      <c r="Q421" s="902"/>
      <c r="R421" s="902"/>
      <c r="S421" s="903"/>
      <c r="T421" s="902"/>
      <c r="U421" s="902"/>
      <c r="V421" s="902"/>
      <c r="W421" s="902"/>
      <c r="X421" s="902"/>
      <c r="Y421" s="902"/>
      <c r="Z421" s="902"/>
      <c r="AA421" s="902"/>
      <c r="AB421" s="902"/>
      <c r="AC421" s="902"/>
    </row>
    <row r="422" spans="1:54" ht="16.3" hidden="1" outlineLevel="1" thickBot="1">
      <c r="A422" s="897" t="s">
        <v>1729</v>
      </c>
      <c r="B422" s="926" t="s">
        <v>2762</v>
      </c>
      <c r="C422" s="932">
        <v>1380</v>
      </c>
      <c r="D422" s="930">
        <v>2800</v>
      </c>
      <c r="E422" s="1346">
        <v>2800</v>
      </c>
      <c r="F422" s="930">
        <v>1794</v>
      </c>
      <c r="G422" s="897">
        <v>1</v>
      </c>
      <c r="H422" s="936"/>
      <c r="I422" s="933"/>
      <c r="J422" s="897"/>
      <c r="K422" s="903"/>
      <c r="L422" s="899">
        <f t="shared" si="27"/>
        <v>1420</v>
      </c>
      <c r="M422" s="930"/>
      <c r="N422" s="904"/>
      <c r="O422" s="931"/>
      <c r="P422" s="930"/>
      <c r="Q422" s="930"/>
      <c r="R422" s="932"/>
      <c r="S422" s="930"/>
      <c r="T422" s="930"/>
      <c r="U422" s="904"/>
      <c r="V422" s="931"/>
      <c r="W422" s="933"/>
      <c r="X422" s="897"/>
      <c r="Y422" s="932"/>
      <c r="Z422" s="933"/>
      <c r="AA422" s="933"/>
      <c r="AB422" s="933"/>
      <c r="AC422" s="933"/>
      <c r="AD422" s="933"/>
      <c r="AE422" s="933"/>
      <c r="AF422" s="933"/>
      <c r="AG422" s="933"/>
      <c r="AH422" s="933"/>
      <c r="AI422" s="933"/>
      <c r="AJ422" s="933"/>
      <c r="AK422" s="933"/>
      <c r="AL422" s="933"/>
      <c r="AM422" s="933"/>
      <c r="AN422" s="933"/>
      <c r="AO422" s="933"/>
      <c r="AP422" s="933"/>
      <c r="AQ422" s="933"/>
      <c r="AR422" s="933"/>
      <c r="AS422" s="933"/>
      <c r="AT422" s="933"/>
      <c r="AU422" s="933"/>
      <c r="AV422" s="933"/>
      <c r="AW422" s="933"/>
      <c r="AX422" s="933"/>
      <c r="AY422" s="933"/>
      <c r="AZ422" s="933"/>
      <c r="BA422" s="933"/>
      <c r="BB422" s="933"/>
    </row>
    <row r="423" spans="1:54" ht="16.3" collapsed="1" thickBot="1">
      <c r="A423" s="1038" t="s">
        <v>957</v>
      </c>
      <c r="B423" s="1039" t="s">
        <v>490</v>
      </c>
      <c r="C423" s="1039"/>
      <c r="D423" s="1040">
        <v>38750</v>
      </c>
      <c r="E423" s="1347">
        <v>29900</v>
      </c>
      <c r="F423" s="1040"/>
      <c r="G423" s="1041">
        <v>1</v>
      </c>
      <c r="H423" s="929"/>
      <c r="I423" s="902" t="str">
        <f>IF(H423="x",CONCATENATE(A423,"; "),"")</f>
        <v/>
      </c>
      <c r="J423" s="960"/>
      <c r="K423" s="912"/>
      <c r="L423" s="899">
        <f t="shared" si="27"/>
        <v>29900</v>
      </c>
      <c r="M423" s="930"/>
      <c r="N423" s="904"/>
      <c r="O423" s="931"/>
      <c r="P423" s="930"/>
      <c r="Q423" s="930"/>
      <c r="R423" s="932"/>
      <c r="S423" s="930"/>
      <c r="T423" s="930"/>
      <c r="U423" s="904"/>
      <c r="V423" s="931"/>
      <c r="W423" s="933"/>
      <c r="X423" s="897"/>
      <c r="Y423" s="932"/>
      <c r="Z423" s="902"/>
      <c r="AA423" s="902"/>
      <c r="AB423" s="902"/>
      <c r="AC423" s="902"/>
    </row>
    <row r="424" spans="1:54" ht="18" hidden="1" customHeight="1" outlineLevel="1">
      <c r="A424" s="967" t="s">
        <v>1391</v>
      </c>
      <c r="B424" s="1035" t="s">
        <v>1392</v>
      </c>
      <c r="C424" s="968">
        <v>69</v>
      </c>
      <c r="D424" s="1304">
        <v>400</v>
      </c>
      <c r="E424" s="1337">
        <v>400</v>
      </c>
      <c r="F424" s="1322">
        <f t="shared" ref="F424:F431" si="29">C424*1.3</f>
        <v>89.7</v>
      </c>
      <c r="G424" s="969">
        <v>1</v>
      </c>
      <c r="H424" s="901"/>
      <c r="I424" s="902"/>
      <c r="J424" s="897"/>
      <c r="K424" s="903"/>
      <c r="L424" s="899">
        <f t="shared" si="27"/>
        <v>331</v>
      </c>
      <c r="M424" s="933"/>
      <c r="N424" s="933"/>
      <c r="O424" s="933"/>
      <c r="P424" s="933"/>
      <c r="Q424" s="933"/>
      <c r="R424" s="933"/>
      <c r="S424" s="933"/>
      <c r="T424" s="933"/>
      <c r="U424" s="933"/>
      <c r="V424" s="933"/>
      <c r="W424" s="902"/>
      <c r="X424" s="902"/>
      <c r="Y424" s="902"/>
      <c r="Z424" s="902"/>
      <c r="AA424" s="902"/>
      <c r="AB424" s="902"/>
      <c r="AC424" s="902"/>
    </row>
    <row r="425" spans="1:54" ht="16.3" hidden="1" outlineLevel="1" thickBot="1">
      <c r="A425" s="967" t="s">
        <v>1395</v>
      </c>
      <c r="B425" s="1035" t="s">
        <v>1396</v>
      </c>
      <c r="C425" s="968">
        <v>69</v>
      </c>
      <c r="D425" s="1304">
        <v>400</v>
      </c>
      <c r="E425" s="1337">
        <v>400</v>
      </c>
      <c r="F425" s="1322">
        <f t="shared" si="29"/>
        <v>89.7</v>
      </c>
      <c r="G425" s="969">
        <v>1</v>
      </c>
      <c r="H425" s="901"/>
      <c r="I425" s="902"/>
      <c r="J425" s="897"/>
      <c r="K425" s="903"/>
      <c r="L425" s="899">
        <f t="shared" si="27"/>
        <v>331</v>
      </c>
      <c r="M425" s="933"/>
      <c r="N425" s="933"/>
      <c r="O425" s="933"/>
      <c r="P425" s="933"/>
      <c r="Q425" s="933"/>
      <c r="R425" s="933"/>
      <c r="S425" s="933"/>
      <c r="T425" s="933"/>
      <c r="U425" s="933"/>
      <c r="V425" s="933"/>
      <c r="W425" s="902"/>
      <c r="X425" s="902"/>
      <c r="Y425" s="902"/>
      <c r="Z425" s="902"/>
      <c r="AA425" s="902"/>
      <c r="AB425" s="902"/>
      <c r="AC425" s="902"/>
    </row>
    <row r="426" spans="1:54" ht="16.3" hidden="1" outlineLevel="1" thickBot="1">
      <c r="A426" s="967" t="s">
        <v>1397</v>
      </c>
      <c r="B426" s="1035" t="s">
        <v>38</v>
      </c>
      <c r="C426" s="968">
        <v>345</v>
      </c>
      <c r="D426" s="1304">
        <v>500</v>
      </c>
      <c r="E426" s="1337">
        <v>500</v>
      </c>
      <c r="F426" s="1322">
        <f t="shared" si="29"/>
        <v>448.5</v>
      </c>
      <c r="G426" s="969">
        <v>1</v>
      </c>
      <c r="H426" s="901"/>
      <c r="I426" s="902"/>
      <c r="J426" s="897"/>
      <c r="K426" s="903"/>
      <c r="L426" s="899">
        <f t="shared" si="27"/>
        <v>155</v>
      </c>
      <c r="M426" s="933"/>
      <c r="N426" s="933"/>
      <c r="O426" s="933"/>
      <c r="P426" s="933"/>
      <c r="Q426" s="933"/>
      <c r="R426" s="933"/>
      <c r="S426" s="933"/>
      <c r="T426" s="933"/>
      <c r="U426" s="933"/>
      <c r="V426" s="933"/>
      <c r="W426" s="902"/>
      <c r="X426" s="902"/>
      <c r="Y426" s="902"/>
      <c r="Z426" s="902"/>
      <c r="AA426" s="902"/>
      <c r="AB426" s="902"/>
      <c r="AC426" s="902"/>
    </row>
    <row r="427" spans="1:54" ht="16.3" hidden="1" outlineLevel="1" thickBot="1">
      <c r="A427" s="967" t="s">
        <v>1606</v>
      </c>
      <c r="B427" s="1035" t="s">
        <v>1332</v>
      </c>
      <c r="C427" s="968">
        <v>69</v>
      </c>
      <c r="D427" s="1304">
        <v>300</v>
      </c>
      <c r="E427" s="1337">
        <v>300</v>
      </c>
      <c r="F427" s="1322">
        <f t="shared" si="29"/>
        <v>89.7</v>
      </c>
      <c r="G427" s="969">
        <v>1</v>
      </c>
      <c r="H427" s="901"/>
      <c r="I427" s="902"/>
      <c r="J427" s="897"/>
      <c r="K427" s="903"/>
      <c r="L427" s="899">
        <f t="shared" si="27"/>
        <v>231</v>
      </c>
      <c r="M427" s="933"/>
      <c r="N427" s="933"/>
      <c r="O427" s="933"/>
      <c r="P427" s="933"/>
      <c r="Q427" s="933"/>
      <c r="R427" s="933"/>
      <c r="S427" s="933"/>
      <c r="T427" s="933"/>
      <c r="U427" s="933"/>
      <c r="V427" s="933"/>
      <c r="W427" s="902"/>
      <c r="X427" s="902"/>
      <c r="Y427" s="902"/>
      <c r="Z427" s="902"/>
      <c r="AA427" s="902"/>
      <c r="AB427" s="902"/>
      <c r="AC427" s="902"/>
    </row>
    <row r="428" spans="1:54" ht="16.3" hidden="1" outlineLevel="1" thickBot="1">
      <c r="A428" s="967" t="s">
        <v>1611</v>
      </c>
      <c r="B428" s="1035" t="s">
        <v>1612</v>
      </c>
      <c r="C428" s="968">
        <v>125</v>
      </c>
      <c r="D428" s="1304">
        <v>200</v>
      </c>
      <c r="E428" s="1337">
        <v>200</v>
      </c>
      <c r="F428" s="1322">
        <f t="shared" si="29"/>
        <v>162.5</v>
      </c>
      <c r="G428" s="969">
        <v>1</v>
      </c>
      <c r="H428" s="901"/>
      <c r="I428" s="902"/>
      <c r="J428" s="897"/>
      <c r="K428" s="903"/>
      <c r="L428" s="899">
        <f t="shared" si="27"/>
        <v>75</v>
      </c>
      <c r="M428" s="933"/>
      <c r="N428" s="933"/>
      <c r="O428" s="933"/>
      <c r="P428" s="933"/>
      <c r="Q428" s="933"/>
      <c r="R428" s="933"/>
      <c r="S428" s="933"/>
      <c r="T428" s="933"/>
      <c r="U428" s="933"/>
      <c r="V428" s="933"/>
      <c r="W428" s="902"/>
      <c r="X428" s="902"/>
      <c r="Y428" s="902"/>
      <c r="Z428" s="902"/>
      <c r="AA428" s="902"/>
      <c r="AB428" s="902"/>
      <c r="AC428" s="902"/>
    </row>
    <row r="429" spans="1:54" ht="16.3" hidden="1" outlineLevel="1" thickBot="1">
      <c r="A429" s="967" t="s">
        <v>1621</v>
      </c>
      <c r="B429" s="1035" t="s">
        <v>2346</v>
      </c>
      <c r="C429" s="968">
        <v>175</v>
      </c>
      <c r="D429" s="1304">
        <v>400</v>
      </c>
      <c r="E429" s="1337">
        <v>400</v>
      </c>
      <c r="F429" s="1322">
        <f t="shared" si="29"/>
        <v>227.5</v>
      </c>
      <c r="G429" s="969">
        <v>1</v>
      </c>
      <c r="H429" s="901"/>
      <c r="I429" s="902"/>
      <c r="J429" s="897"/>
      <c r="K429" s="903"/>
      <c r="L429" s="899">
        <f t="shared" si="27"/>
        <v>225</v>
      </c>
      <c r="M429" s="933"/>
      <c r="N429" s="933"/>
      <c r="O429" s="933"/>
      <c r="P429" s="933"/>
      <c r="Q429" s="933"/>
      <c r="R429" s="933"/>
      <c r="S429" s="933"/>
      <c r="T429" s="933"/>
      <c r="U429" s="933"/>
      <c r="V429" s="933"/>
      <c r="W429" s="902"/>
      <c r="X429" s="902"/>
      <c r="Y429" s="902"/>
      <c r="Z429" s="902"/>
      <c r="AA429" s="902"/>
      <c r="AB429" s="902"/>
      <c r="AC429" s="902"/>
    </row>
    <row r="430" spans="1:54" ht="16.3" hidden="1" outlineLevel="1" thickBot="1">
      <c r="A430" s="967" t="s">
        <v>649</v>
      </c>
      <c r="B430" s="1035" t="s">
        <v>649</v>
      </c>
      <c r="C430" s="968">
        <v>460</v>
      </c>
      <c r="D430" s="1304">
        <v>1400</v>
      </c>
      <c r="E430" s="1337">
        <v>1400</v>
      </c>
      <c r="F430" s="1322">
        <f t="shared" si="29"/>
        <v>598</v>
      </c>
      <c r="G430" s="969">
        <v>1</v>
      </c>
      <c r="H430" s="901"/>
      <c r="I430" s="902"/>
      <c r="J430" s="897"/>
      <c r="K430" s="903"/>
      <c r="L430" s="899">
        <f t="shared" si="27"/>
        <v>940</v>
      </c>
      <c r="M430" s="933"/>
      <c r="N430" s="933"/>
      <c r="O430" s="933"/>
      <c r="P430" s="933"/>
      <c r="Q430" s="933"/>
      <c r="R430" s="933"/>
      <c r="S430" s="933"/>
      <c r="T430" s="933"/>
      <c r="U430" s="933"/>
      <c r="V430" s="933"/>
      <c r="W430" s="902"/>
      <c r="X430" s="902"/>
      <c r="Y430" s="902"/>
      <c r="Z430" s="902"/>
      <c r="AA430" s="902"/>
      <c r="AB430" s="902"/>
      <c r="AC430" s="902"/>
    </row>
    <row r="431" spans="1:54" ht="16.3" hidden="1" outlineLevel="1" thickBot="1">
      <c r="A431" s="967" t="s">
        <v>1371</v>
      </c>
      <c r="B431" s="1035" t="s">
        <v>1372</v>
      </c>
      <c r="C431" s="968">
        <v>2415</v>
      </c>
      <c r="D431" s="1304">
        <v>5800</v>
      </c>
      <c r="E431" s="1337">
        <v>5800</v>
      </c>
      <c r="F431" s="1322">
        <f t="shared" si="29"/>
        <v>3139.5</v>
      </c>
      <c r="G431" s="969">
        <v>1</v>
      </c>
      <c r="H431" s="901"/>
      <c r="I431" s="902"/>
      <c r="J431" s="897"/>
      <c r="K431" s="903"/>
      <c r="L431" s="899">
        <f t="shared" si="27"/>
        <v>3385</v>
      </c>
      <c r="M431" s="933"/>
      <c r="N431" s="933"/>
      <c r="O431" s="933"/>
      <c r="P431" s="933"/>
      <c r="Q431" s="933"/>
      <c r="R431" s="933"/>
      <c r="S431" s="933"/>
      <c r="T431" s="933"/>
      <c r="U431" s="933"/>
      <c r="V431" s="933"/>
      <c r="W431" s="902"/>
      <c r="X431" s="902"/>
      <c r="Y431" s="902"/>
      <c r="Z431" s="902"/>
      <c r="AA431" s="902"/>
      <c r="AB431" s="902"/>
      <c r="AC431" s="902"/>
    </row>
    <row r="432" spans="1:54" ht="16.3" hidden="1" outlineLevel="1" thickBot="1">
      <c r="A432" s="970" t="s">
        <v>662</v>
      </c>
      <c r="B432" s="968"/>
      <c r="C432" s="968"/>
      <c r="D432" s="1304"/>
      <c r="E432" s="1337"/>
      <c r="F432" s="1322"/>
      <c r="G432" s="969"/>
      <c r="H432" s="901"/>
      <c r="I432" s="902"/>
      <c r="J432" s="897"/>
      <c r="K432" s="903"/>
      <c r="L432" s="899">
        <f t="shared" si="27"/>
        <v>0</v>
      </c>
      <c r="M432" s="933"/>
      <c r="N432" s="933"/>
      <c r="O432" s="933"/>
      <c r="P432" s="933"/>
      <c r="Q432" s="933"/>
      <c r="R432" s="933"/>
      <c r="S432" s="933"/>
      <c r="T432" s="933"/>
      <c r="U432" s="933"/>
      <c r="V432" s="933"/>
      <c r="W432" s="902"/>
      <c r="X432" s="902"/>
      <c r="Y432" s="902"/>
      <c r="Z432" s="902"/>
      <c r="AA432" s="902"/>
      <c r="AB432" s="902"/>
      <c r="AC432" s="902"/>
    </row>
    <row r="433" spans="1:29" ht="16.3" hidden="1" outlineLevel="1" thickBot="1">
      <c r="A433" s="967" t="s">
        <v>1527</v>
      </c>
      <c r="B433" s="1035" t="s">
        <v>2752</v>
      </c>
      <c r="C433" s="968">
        <v>130</v>
      </c>
      <c r="D433" s="1304">
        <v>600</v>
      </c>
      <c r="E433" s="1337">
        <v>600</v>
      </c>
      <c r="F433" s="1322">
        <f>C433*1.3</f>
        <v>169</v>
      </c>
      <c r="G433" s="969">
        <v>1</v>
      </c>
      <c r="H433" s="901"/>
      <c r="I433" s="902"/>
      <c r="J433" s="897"/>
      <c r="K433" s="903"/>
      <c r="L433" s="899">
        <f t="shared" si="27"/>
        <v>470</v>
      </c>
      <c r="M433" s="933"/>
      <c r="N433" s="933"/>
      <c r="O433" s="933"/>
      <c r="P433" s="933"/>
      <c r="Q433" s="933"/>
      <c r="R433" s="933"/>
      <c r="S433" s="933"/>
      <c r="T433" s="933"/>
      <c r="U433" s="933"/>
      <c r="V433" s="933"/>
      <c r="W433" s="902"/>
      <c r="X433" s="902"/>
      <c r="Y433" s="902"/>
      <c r="Z433" s="902"/>
      <c r="AA433" s="902"/>
      <c r="AB433" s="902"/>
      <c r="AC433" s="902"/>
    </row>
    <row r="434" spans="1:29" ht="16.3" hidden="1" outlineLevel="1" thickBot="1">
      <c r="A434" s="967" t="s">
        <v>681</v>
      </c>
      <c r="B434" s="1035" t="s">
        <v>15</v>
      </c>
      <c r="C434" s="968">
        <v>69</v>
      </c>
      <c r="D434" s="1304">
        <v>250</v>
      </c>
      <c r="E434" s="1337">
        <v>250</v>
      </c>
      <c r="F434" s="1322">
        <f>C434*1.3</f>
        <v>89.7</v>
      </c>
      <c r="G434" s="969">
        <v>1</v>
      </c>
      <c r="H434" s="901"/>
      <c r="I434" s="902"/>
      <c r="J434" s="897"/>
      <c r="K434" s="903"/>
      <c r="L434" s="899">
        <f t="shared" si="27"/>
        <v>181</v>
      </c>
      <c r="M434" s="933"/>
      <c r="N434" s="933"/>
      <c r="O434" s="933"/>
      <c r="P434" s="933"/>
      <c r="Q434" s="933"/>
      <c r="R434" s="933"/>
      <c r="S434" s="933"/>
      <c r="T434" s="933"/>
      <c r="U434" s="933"/>
      <c r="V434" s="933"/>
      <c r="W434" s="902"/>
      <c r="X434" s="902"/>
      <c r="Y434" s="902"/>
      <c r="Z434" s="902"/>
      <c r="AA434" s="902"/>
      <c r="AB434" s="902"/>
      <c r="AC434" s="902"/>
    </row>
    <row r="435" spans="1:29" ht="16.3" hidden="1" outlineLevel="1" thickBot="1">
      <c r="A435" s="967" t="s">
        <v>1826</v>
      </c>
      <c r="B435" s="1035" t="s">
        <v>1827</v>
      </c>
      <c r="C435" s="968">
        <v>69</v>
      </c>
      <c r="D435" s="1304">
        <v>640</v>
      </c>
      <c r="E435" s="1337">
        <v>640</v>
      </c>
      <c r="F435" s="1322">
        <f>C435*1.3</f>
        <v>89.7</v>
      </c>
      <c r="G435" s="969">
        <v>1</v>
      </c>
      <c r="H435" s="901"/>
      <c r="I435" s="902"/>
      <c r="J435" s="897"/>
      <c r="K435" s="903"/>
      <c r="L435" s="899">
        <f t="shared" si="27"/>
        <v>571</v>
      </c>
      <c r="M435" s="933"/>
      <c r="N435" s="933"/>
      <c r="O435" s="933"/>
      <c r="P435" s="933"/>
      <c r="Q435" s="933"/>
      <c r="R435" s="933"/>
      <c r="S435" s="933"/>
      <c r="T435" s="933"/>
      <c r="U435" s="933"/>
      <c r="V435" s="933"/>
      <c r="W435" s="902"/>
      <c r="X435" s="902"/>
      <c r="Y435" s="902"/>
      <c r="Z435" s="902"/>
      <c r="AA435" s="902"/>
      <c r="AB435" s="902"/>
      <c r="AC435" s="902"/>
    </row>
    <row r="436" spans="1:29" ht="16.3" hidden="1" outlineLevel="1" thickBot="1">
      <c r="A436" s="967" t="s">
        <v>684</v>
      </c>
      <c r="B436" s="1035" t="s">
        <v>1538</v>
      </c>
      <c r="C436" s="968">
        <v>69</v>
      </c>
      <c r="D436" s="1304">
        <v>200</v>
      </c>
      <c r="E436" s="1337">
        <v>200</v>
      </c>
      <c r="F436" s="1322">
        <v>90</v>
      </c>
      <c r="G436" s="969">
        <v>1</v>
      </c>
      <c r="H436" s="901"/>
      <c r="I436" s="902"/>
      <c r="J436" s="897"/>
      <c r="K436" s="903"/>
      <c r="L436" s="899">
        <f t="shared" si="27"/>
        <v>131</v>
      </c>
      <c r="M436" s="933"/>
      <c r="N436" s="933"/>
      <c r="O436" s="933"/>
      <c r="P436" s="933"/>
      <c r="Q436" s="933"/>
      <c r="R436" s="933"/>
      <c r="S436" s="933"/>
      <c r="T436" s="933"/>
      <c r="U436" s="933"/>
      <c r="V436" s="933"/>
      <c r="W436" s="902"/>
      <c r="X436" s="902"/>
      <c r="Y436" s="902"/>
      <c r="Z436" s="902"/>
      <c r="AA436" s="902"/>
      <c r="AB436" s="902"/>
      <c r="AC436" s="902"/>
    </row>
    <row r="437" spans="1:29" ht="16.3" hidden="1" outlineLevel="1" thickBot="1">
      <c r="A437" s="967" t="s">
        <v>685</v>
      </c>
      <c r="B437" s="1035" t="s">
        <v>1539</v>
      </c>
      <c r="C437" s="968">
        <v>69</v>
      </c>
      <c r="D437" s="1304">
        <v>200</v>
      </c>
      <c r="E437" s="1337">
        <v>200</v>
      </c>
      <c r="F437" s="1322">
        <f t="shared" ref="F437:F443" si="30">C437*1.3</f>
        <v>89.7</v>
      </c>
      <c r="G437" s="969">
        <v>1</v>
      </c>
      <c r="H437" s="901"/>
      <c r="I437" s="902"/>
      <c r="J437" s="897"/>
      <c r="K437" s="903"/>
      <c r="L437" s="899">
        <f t="shared" si="27"/>
        <v>131</v>
      </c>
      <c r="M437" s="933"/>
      <c r="N437" s="933"/>
      <c r="O437" s="933"/>
      <c r="P437" s="933"/>
      <c r="Q437" s="933"/>
      <c r="R437" s="933"/>
      <c r="S437" s="933"/>
      <c r="T437" s="933"/>
      <c r="U437" s="933"/>
      <c r="V437" s="933"/>
      <c r="W437" s="902"/>
      <c r="X437" s="902"/>
      <c r="Y437" s="902"/>
      <c r="Z437" s="902"/>
      <c r="AA437" s="902"/>
      <c r="AB437" s="902"/>
      <c r="AC437" s="902"/>
    </row>
    <row r="438" spans="1:29" ht="16.3" hidden="1" outlineLevel="1" thickBot="1">
      <c r="A438" s="967" t="s">
        <v>945</v>
      </c>
      <c r="B438" s="1035" t="s">
        <v>2748</v>
      </c>
      <c r="C438" s="968">
        <v>230</v>
      </c>
      <c r="D438" s="1304">
        <v>600</v>
      </c>
      <c r="E438" s="1337">
        <v>600</v>
      </c>
      <c r="F438" s="1322">
        <f t="shared" si="30"/>
        <v>299</v>
      </c>
      <c r="G438" s="969">
        <v>1</v>
      </c>
      <c r="H438" s="901"/>
      <c r="I438" s="902"/>
      <c r="J438" s="897"/>
      <c r="K438" s="903"/>
      <c r="L438" s="899">
        <f t="shared" si="27"/>
        <v>370</v>
      </c>
      <c r="M438" s="933"/>
      <c r="N438" s="933"/>
      <c r="O438" s="933"/>
      <c r="P438" s="933"/>
      <c r="Q438" s="933"/>
      <c r="R438" s="933"/>
      <c r="S438" s="933"/>
      <c r="T438" s="933"/>
      <c r="U438" s="933"/>
      <c r="V438" s="933"/>
      <c r="W438" s="902"/>
      <c r="X438" s="902"/>
      <c r="Y438" s="902"/>
      <c r="Z438" s="902"/>
      <c r="AA438" s="902"/>
      <c r="AB438" s="902"/>
      <c r="AC438" s="902"/>
    </row>
    <row r="439" spans="1:29" ht="16.3" hidden="1" outlineLevel="1" thickBot="1">
      <c r="A439" s="967" t="s">
        <v>1564</v>
      </c>
      <c r="B439" s="1035" t="s">
        <v>2827</v>
      </c>
      <c r="C439" s="968">
        <v>0</v>
      </c>
      <c r="D439" s="1304">
        <v>0</v>
      </c>
      <c r="E439" s="1337">
        <f>D439*1.3</f>
        <v>0</v>
      </c>
      <c r="F439" s="1322">
        <f t="shared" si="30"/>
        <v>0</v>
      </c>
      <c r="G439" s="969">
        <v>1</v>
      </c>
      <c r="H439" s="901"/>
      <c r="I439" s="902"/>
      <c r="J439" s="897"/>
      <c r="K439" s="903"/>
      <c r="L439" s="899">
        <f t="shared" si="27"/>
        <v>0</v>
      </c>
      <c r="M439" s="933"/>
      <c r="N439" s="933"/>
      <c r="O439" s="933"/>
      <c r="P439" s="933"/>
      <c r="Q439" s="933"/>
      <c r="R439" s="933"/>
      <c r="S439" s="933"/>
      <c r="T439" s="933"/>
      <c r="U439" s="933"/>
      <c r="V439" s="933"/>
      <c r="W439" s="902"/>
      <c r="X439" s="902"/>
      <c r="Y439" s="902"/>
      <c r="Z439" s="902"/>
      <c r="AA439" s="902"/>
      <c r="AB439" s="902"/>
      <c r="AC439" s="902"/>
    </row>
    <row r="440" spans="1:29" ht="16.3" hidden="1" outlineLevel="1" thickBot="1">
      <c r="A440" s="967" t="s">
        <v>1569</v>
      </c>
      <c r="B440" s="1035" t="s">
        <v>27</v>
      </c>
      <c r="C440" s="968">
        <v>69</v>
      </c>
      <c r="D440" s="1304">
        <v>600</v>
      </c>
      <c r="E440" s="1337">
        <v>600</v>
      </c>
      <c r="F440" s="1322">
        <f t="shared" si="30"/>
        <v>89.7</v>
      </c>
      <c r="G440" s="969">
        <v>1</v>
      </c>
      <c r="H440" s="901"/>
      <c r="I440" s="902"/>
      <c r="J440" s="897"/>
      <c r="K440" s="903"/>
      <c r="L440" s="899">
        <f t="shared" si="27"/>
        <v>531</v>
      </c>
      <c r="M440" s="933"/>
      <c r="N440" s="933"/>
      <c r="O440" s="933"/>
      <c r="P440" s="933"/>
      <c r="Q440" s="933"/>
      <c r="R440" s="933"/>
      <c r="S440" s="933"/>
      <c r="T440" s="933"/>
      <c r="U440" s="933"/>
      <c r="V440" s="933"/>
      <c r="W440" s="902"/>
      <c r="X440" s="902"/>
      <c r="Y440" s="902"/>
      <c r="Z440" s="902"/>
      <c r="AA440" s="902"/>
      <c r="AB440" s="902"/>
      <c r="AC440" s="902"/>
    </row>
    <row r="441" spans="1:29" ht="16.3" hidden="1" outlineLevel="1" thickBot="1">
      <c r="A441" s="967" t="s">
        <v>1592</v>
      </c>
      <c r="B441" s="1035" t="s">
        <v>53</v>
      </c>
      <c r="C441" s="968">
        <v>1380</v>
      </c>
      <c r="D441" s="1304">
        <v>3200</v>
      </c>
      <c r="E441" s="1337">
        <v>3200</v>
      </c>
      <c r="F441" s="1322">
        <f t="shared" si="30"/>
        <v>1794</v>
      </c>
      <c r="G441" s="969">
        <v>1</v>
      </c>
      <c r="H441" s="901"/>
      <c r="I441" s="902"/>
      <c r="J441" s="897"/>
      <c r="K441" s="903"/>
      <c r="L441" s="899">
        <f t="shared" si="27"/>
        <v>1820</v>
      </c>
      <c r="M441" s="933"/>
      <c r="N441" s="933"/>
      <c r="O441" s="933"/>
      <c r="P441" s="933"/>
      <c r="Q441" s="933"/>
      <c r="R441" s="933"/>
      <c r="S441" s="933"/>
      <c r="T441" s="933"/>
      <c r="U441" s="933"/>
      <c r="V441" s="933"/>
      <c r="W441" s="902"/>
      <c r="X441" s="902"/>
      <c r="Y441" s="902"/>
      <c r="Z441" s="902"/>
      <c r="AA441" s="902"/>
      <c r="AB441" s="902"/>
      <c r="AC441" s="902"/>
    </row>
    <row r="442" spans="1:29" ht="16.3" hidden="1" outlineLevel="1" thickBot="1">
      <c r="A442" s="967" t="s">
        <v>1607</v>
      </c>
      <c r="B442" s="1035" t="s">
        <v>22</v>
      </c>
      <c r="C442" s="968">
        <v>135</v>
      </c>
      <c r="D442" s="1304">
        <v>200</v>
      </c>
      <c r="E442" s="1337">
        <v>200</v>
      </c>
      <c r="F442" s="1322">
        <f t="shared" si="30"/>
        <v>175.5</v>
      </c>
      <c r="G442" s="969">
        <v>1</v>
      </c>
      <c r="H442" s="901"/>
      <c r="I442" s="902"/>
      <c r="J442" s="897"/>
      <c r="K442" s="903"/>
      <c r="L442" s="899">
        <f t="shared" si="27"/>
        <v>65</v>
      </c>
      <c r="M442" s="933"/>
      <c r="N442" s="933"/>
      <c r="O442" s="933"/>
      <c r="P442" s="933"/>
      <c r="Q442" s="933"/>
      <c r="R442" s="933"/>
      <c r="S442" s="933"/>
      <c r="T442" s="933"/>
      <c r="U442" s="933"/>
      <c r="V442" s="933"/>
      <c r="W442" s="902"/>
      <c r="X442" s="902"/>
      <c r="Y442" s="902"/>
      <c r="Z442" s="902"/>
      <c r="AA442" s="902"/>
      <c r="AB442" s="902"/>
      <c r="AC442" s="902"/>
    </row>
    <row r="443" spans="1:29" ht="16.3" hidden="1" outlineLevel="1" thickBot="1">
      <c r="A443" s="967" t="s">
        <v>1608</v>
      </c>
      <c r="B443" s="1035" t="s">
        <v>19</v>
      </c>
      <c r="C443" s="968">
        <v>69</v>
      </c>
      <c r="D443" s="1304">
        <v>600</v>
      </c>
      <c r="E443" s="1337">
        <v>600</v>
      </c>
      <c r="F443" s="1322">
        <f t="shared" si="30"/>
        <v>89.7</v>
      </c>
      <c r="G443" s="969">
        <v>1</v>
      </c>
      <c r="H443" s="901"/>
      <c r="I443" s="902"/>
      <c r="J443" s="897"/>
      <c r="K443" s="903"/>
      <c r="L443" s="899">
        <f t="shared" si="27"/>
        <v>531</v>
      </c>
      <c r="M443" s="933"/>
      <c r="N443" s="933"/>
      <c r="O443" s="933"/>
      <c r="P443" s="933"/>
      <c r="Q443" s="933"/>
      <c r="R443" s="933"/>
      <c r="S443" s="933"/>
      <c r="T443" s="933"/>
      <c r="U443" s="933"/>
      <c r="V443" s="933"/>
      <c r="W443" s="902"/>
      <c r="X443" s="902"/>
      <c r="Y443" s="902"/>
      <c r="Z443" s="902"/>
      <c r="AA443" s="902"/>
      <c r="AB443" s="902"/>
      <c r="AC443" s="902"/>
    </row>
    <row r="444" spans="1:29" ht="16.3" hidden="1" outlineLevel="1" thickBot="1">
      <c r="A444" s="967" t="s">
        <v>1613</v>
      </c>
      <c r="B444" s="1035" t="s">
        <v>2751</v>
      </c>
      <c r="C444" s="968">
        <v>69</v>
      </c>
      <c r="D444" s="1304">
        <v>200</v>
      </c>
      <c r="E444" s="1337">
        <v>200</v>
      </c>
      <c r="F444" s="1322">
        <v>90</v>
      </c>
      <c r="G444" s="969">
        <v>1</v>
      </c>
      <c r="H444" s="901"/>
      <c r="I444" s="902"/>
      <c r="J444" s="897"/>
      <c r="K444" s="903"/>
      <c r="L444" s="899">
        <f t="shared" si="27"/>
        <v>131</v>
      </c>
      <c r="M444" s="933"/>
      <c r="N444" s="933"/>
      <c r="O444" s="933"/>
      <c r="P444" s="933"/>
      <c r="Q444" s="933"/>
      <c r="R444" s="933"/>
      <c r="S444" s="933"/>
      <c r="T444" s="933"/>
      <c r="U444" s="933"/>
      <c r="V444" s="933"/>
      <c r="W444" s="902"/>
      <c r="X444" s="902"/>
      <c r="Y444" s="902"/>
      <c r="Z444" s="902"/>
      <c r="AA444" s="902"/>
      <c r="AB444" s="902"/>
      <c r="AC444" s="902"/>
    </row>
    <row r="445" spans="1:29" ht="16.3" hidden="1" outlineLevel="1" thickBot="1">
      <c r="A445" s="967" t="s">
        <v>1492</v>
      </c>
      <c r="B445" s="1035" t="s">
        <v>2755</v>
      </c>
      <c r="C445" s="968">
        <v>253</v>
      </c>
      <c r="D445" s="1304">
        <v>500</v>
      </c>
      <c r="E445" s="1337">
        <v>500</v>
      </c>
      <c r="F445" s="1322">
        <v>329</v>
      </c>
      <c r="G445" s="969">
        <v>1</v>
      </c>
      <c r="H445" s="901"/>
      <c r="I445" s="902"/>
      <c r="J445" s="897"/>
      <c r="K445" s="903"/>
      <c r="L445" s="899">
        <f t="shared" si="27"/>
        <v>247</v>
      </c>
      <c r="M445" s="933"/>
      <c r="N445" s="933"/>
      <c r="O445" s="933"/>
      <c r="P445" s="933"/>
      <c r="Q445" s="933"/>
      <c r="R445" s="933"/>
      <c r="S445" s="933"/>
      <c r="T445" s="933"/>
      <c r="U445" s="933"/>
      <c r="V445" s="933"/>
      <c r="W445" s="902"/>
      <c r="X445" s="902"/>
      <c r="Y445" s="902"/>
      <c r="Z445" s="902"/>
      <c r="AA445" s="902"/>
      <c r="AB445" s="902"/>
      <c r="AC445" s="902"/>
    </row>
    <row r="446" spans="1:29" ht="16.3" hidden="1" outlineLevel="1" thickBot="1">
      <c r="A446" s="967" t="s">
        <v>948</v>
      </c>
      <c r="B446" s="1035" t="s">
        <v>1628</v>
      </c>
      <c r="C446" s="968">
        <v>175</v>
      </c>
      <c r="D446" s="1304">
        <v>700</v>
      </c>
      <c r="E446" s="1337">
        <v>700</v>
      </c>
      <c r="F446" s="1322">
        <f>C446*1.3</f>
        <v>227.5</v>
      </c>
      <c r="G446" s="969">
        <v>1</v>
      </c>
      <c r="H446" s="901"/>
      <c r="I446" s="902"/>
      <c r="J446" s="897"/>
      <c r="K446" s="903"/>
      <c r="L446" s="899">
        <f t="shared" si="27"/>
        <v>525</v>
      </c>
      <c r="M446" s="933"/>
      <c r="N446" s="933"/>
      <c r="O446" s="933"/>
      <c r="P446" s="933"/>
      <c r="Q446" s="933"/>
      <c r="R446" s="933"/>
      <c r="S446" s="933"/>
      <c r="T446" s="933"/>
      <c r="U446" s="933"/>
      <c r="V446" s="933"/>
      <c r="W446" s="902"/>
      <c r="X446" s="902"/>
      <c r="Y446" s="902"/>
      <c r="Z446" s="902"/>
      <c r="AA446" s="902"/>
      <c r="AB446" s="902"/>
      <c r="AC446" s="902"/>
    </row>
    <row r="447" spans="1:29" ht="16.3" hidden="1" outlineLevel="1" thickBot="1">
      <c r="A447" s="967" t="s">
        <v>1650</v>
      </c>
      <c r="B447" s="1035" t="s">
        <v>24</v>
      </c>
      <c r="C447" s="968">
        <v>125</v>
      </c>
      <c r="D447" s="1304">
        <v>200</v>
      </c>
      <c r="E447" s="1337">
        <v>200</v>
      </c>
      <c r="F447" s="1322">
        <f>C447*1.3</f>
        <v>162.5</v>
      </c>
      <c r="G447" s="969">
        <v>1</v>
      </c>
      <c r="H447" s="911"/>
      <c r="I447" s="912"/>
      <c r="J447" s="947"/>
      <c r="K447" s="903"/>
      <c r="L447" s="899">
        <f t="shared" si="27"/>
        <v>75</v>
      </c>
      <c r="M447" s="933"/>
      <c r="N447" s="933"/>
      <c r="O447" s="933"/>
      <c r="P447" s="933"/>
      <c r="Q447" s="933"/>
      <c r="R447" s="933"/>
      <c r="S447" s="933"/>
      <c r="T447" s="933"/>
      <c r="U447" s="933"/>
      <c r="V447" s="933"/>
      <c r="W447" s="933"/>
      <c r="X447" s="897"/>
      <c r="Y447" s="932"/>
      <c r="Z447" s="902"/>
      <c r="AA447" s="902"/>
      <c r="AB447" s="902"/>
      <c r="AC447" s="902"/>
    </row>
    <row r="448" spans="1:29" ht="16.3" hidden="1" outlineLevel="1" thickBot="1">
      <c r="A448" s="967" t="s">
        <v>1693</v>
      </c>
      <c r="B448" s="1035" t="s">
        <v>21</v>
      </c>
      <c r="C448" s="968">
        <v>135</v>
      </c>
      <c r="D448" s="1304">
        <v>200</v>
      </c>
      <c r="E448" s="1337">
        <v>200</v>
      </c>
      <c r="F448" s="1322">
        <f>C448*1.3</f>
        <v>175.5</v>
      </c>
      <c r="G448" s="969">
        <v>1</v>
      </c>
      <c r="H448" s="901"/>
      <c r="I448" s="902"/>
      <c r="J448" s="897"/>
      <c r="K448" s="903"/>
      <c r="L448" s="899">
        <f t="shared" si="27"/>
        <v>65</v>
      </c>
      <c r="M448" s="933"/>
      <c r="N448" s="933"/>
      <c r="O448" s="933"/>
      <c r="P448" s="933"/>
      <c r="Q448" s="933"/>
      <c r="R448" s="933"/>
      <c r="S448" s="933"/>
      <c r="T448" s="933"/>
      <c r="U448" s="933"/>
      <c r="V448" s="933"/>
      <c r="W448" s="902"/>
      <c r="X448" s="902"/>
      <c r="Y448" s="902"/>
      <c r="Z448" s="902"/>
      <c r="AA448" s="902"/>
      <c r="AB448" s="902"/>
      <c r="AC448" s="902"/>
    </row>
    <row r="449" spans="1:29" ht="16.3" hidden="1" outlineLevel="1" thickBot="1">
      <c r="A449" s="967" t="s">
        <v>1716</v>
      </c>
      <c r="B449" s="1035" t="s">
        <v>25</v>
      </c>
      <c r="C449" s="968">
        <v>69</v>
      </c>
      <c r="D449" s="1304">
        <v>600</v>
      </c>
      <c r="E449" s="1337">
        <v>600</v>
      </c>
      <c r="F449" s="1322">
        <f>C449*1.3</f>
        <v>89.7</v>
      </c>
      <c r="G449" s="969">
        <v>1</v>
      </c>
      <c r="H449" s="901"/>
      <c r="I449" s="902"/>
      <c r="J449" s="897"/>
      <c r="K449" s="903"/>
      <c r="L449" s="899">
        <f t="shared" si="27"/>
        <v>531</v>
      </c>
      <c r="M449" s="933"/>
      <c r="N449" s="933"/>
      <c r="O449" s="933"/>
      <c r="P449" s="933"/>
      <c r="Q449" s="933"/>
      <c r="R449" s="933"/>
      <c r="S449" s="933"/>
      <c r="T449" s="933"/>
      <c r="U449" s="933"/>
      <c r="V449" s="933"/>
      <c r="W449" s="902"/>
      <c r="X449" s="902"/>
      <c r="Y449" s="902"/>
      <c r="Z449" s="902"/>
      <c r="AA449" s="902"/>
      <c r="AB449" s="902"/>
      <c r="AC449" s="902"/>
    </row>
    <row r="450" spans="1:29" ht="16.3" hidden="1" outlineLevel="1" thickBot="1">
      <c r="A450" s="967" t="s">
        <v>1440</v>
      </c>
      <c r="B450" s="1035" t="s">
        <v>2759</v>
      </c>
      <c r="C450" s="972">
        <v>69</v>
      </c>
      <c r="D450" s="1306">
        <v>500</v>
      </c>
      <c r="E450" s="1348">
        <v>500</v>
      </c>
      <c r="F450" s="1324">
        <v>90</v>
      </c>
      <c r="G450" s="969">
        <v>1</v>
      </c>
      <c r="H450" s="936"/>
      <c r="I450" s="933"/>
      <c r="J450" s="897"/>
      <c r="K450" s="903"/>
      <c r="L450" s="899">
        <f t="shared" si="27"/>
        <v>431</v>
      </c>
      <c r="M450" s="933"/>
      <c r="N450" s="933"/>
      <c r="O450" s="933"/>
      <c r="P450" s="933"/>
      <c r="Q450" s="933"/>
      <c r="R450" s="933"/>
      <c r="S450" s="933"/>
      <c r="T450" s="933"/>
      <c r="U450" s="933"/>
      <c r="V450" s="933"/>
      <c r="W450" s="933"/>
      <c r="X450" s="897"/>
      <c r="Y450" s="932"/>
      <c r="Z450" s="902"/>
      <c r="AA450" s="902"/>
      <c r="AB450" s="902"/>
      <c r="AC450" s="902"/>
    </row>
    <row r="451" spans="1:29" ht="16.3" hidden="1" outlineLevel="1" thickBot="1">
      <c r="A451" s="967" t="s">
        <v>1807</v>
      </c>
      <c r="B451" s="1035" t="s">
        <v>30</v>
      </c>
      <c r="C451" s="968">
        <v>460</v>
      </c>
      <c r="D451" s="1304">
        <v>850</v>
      </c>
      <c r="E451" s="1337">
        <v>850</v>
      </c>
      <c r="F451" s="1322">
        <f t="shared" ref="F451:F458" si="31">C451*1.3</f>
        <v>598</v>
      </c>
      <c r="G451" s="969">
        <v>1</v>
      </c>
      <c r="H451" s="901"/>
      <c r="I451" s="902"/>
      <c r="J451" s="897"/>
      <c r="K451" s="903"/>
      <c r="L451" s="899">
        <f t="shared" si="27"/>
        <v>390</v>
      </c>
      <c r="M451" s="933"/>
      <c r="N451" s="933"/>
      <c r="O451" s="933"/>
      <c r="P451" s="933"/>
      <c r="Q451" s="933"/>
      <c r="R451" s="933"/>
      <c r="S451" s="933"/>
      <c r="T451" s="933"/>
      <c r="U451" s="933"/>
      <c r="V451" s="933"/>
      <c r="W451" s="902"/>
      <c r="X451" s="902"/>
      <c r="Y451" s="902"/>
      <c r="Z451" s="902"/>
      <c r="AA451" s="902"/>
      <c r="AB451" s="902"/>
      <c r="AC451" s="902"/>
    </row>
    <row r="452" spans="1:29" ht="16.3" hidden="1" outlineLevel="1" thickBot="1">
      <c r="A452" s="967" t="s">
        <v>1813</v>
      </c>
      <c r="B452" s="1035" t="s">
        <v>505</v>
      </c>
      <c r="C452" s="968">
        <v>69</v>
      </c>
      <c r="D452" s="1304">
        <v>600</v>
      </c>
      <c r="E452" s="1337">
        <v>600</v>
      </c>
      <c r="F452" s="1322">
        <f t="shared" si="31"/>
        <v>89.7</v>
      </c>
      <c r="G452" s="969">
        <v>1</v>
      </c>
      <c r="H452" s="901"/>
      <c r="I452" s="902"/>
      <c r="J452" s="897"/>
      <c r="K452" s="903"/>
      <c r="L452" s="899">
        <f t="shared" si="27"/>
        <v>531</v>
      </c>
      <c r="M452" s="933"/>
      <c r="N452" s="933"/>
      <c r="O452" s="933"/>
      <c r="P452" s="933"/>
      <c r="Q452" s="933"/>
      <c r="R452" s="933"/>
      <c r="S452" s="933"/>
      <c r="T452" s="933"/>
      <c r="U452" s="933"/>
      <c r="V452" s="933"/>
      <c r="W452" s="902"/>
      <c r="X452" s="902"/>
      <c r="Y452" s="902"/>
      <c r="Z452" s="902"/>
      <c r="AA452" s="902"/>
      <c r="AB452" s="902"/>
      <c r="AC452" s="902"/>
    </row>
    <row r="453" spans="1:29" ht="16.3" hidden="1" outlineLevel="1" thickBot="1">
      <c r="A453" s="967" t="s">
        <v>54</v>
      </c>
      <c r="B453" s="1035" t="s">
        <v>54</v>
      </c>
      <c r="C453" s="968">
        <v>1150</v>
      </c>
      <c r="D453" s="1304">
        <v>1900</v>
      </c>
      <c r="E453" s="1337">
        <v>1900</v>
      </c>
      <c r="F453" s="1322">
        <f t="shared" si="31"/>
        <v>1495</v>
      </c>
      <c r="G453" s="969">
        <v>1</v>
      </c>
      <c r="H453" s="901"/>
      <c r="I453" s="902"/>
      <c r="J453" s="897"/>
      <c r="K453" s="903"/>
      <c r="L453" s="899">
        <f t="shared" si="27"/>
        <v>750</v>
      </c>
      <c r="M453" s="933"/>
      <c r="N453" s="933"/>
      <c r="O453" s="933"/>
      <c r="P453" s="933"/>
      <c r="Q453" s="933"/>
      <c r="R453" s="933"/>
      <c r="S453" s="933"/>
      <c r="T453" s="933"/>
      <c r="U453" s="933"/>
      <c r="V453" s="933"/>
      <c r="W453" s="902"/>
      <c r="X453" s="902"/>
      <c r="Y453" s="902"/>
      <c r="Z453" s="902"/>
      <c r="AA453" s="902"/>
      <c r="AB453" s="902"/>
      <c r="AC453" s="902"/>
    </row>
    <row r="454" spans="1:29" ht="16.3" hidden="1" outlineLevel="1" thickBot="1">
      <c r="A454" s="967" t="s">
        <v>1824</v>
      </c>
      <c r="B454" s="1035" t="s">
        <v>861</v>
      </c>
      <c r="C454" s="968">
        <v>135</v>
      </c>
      <c r="D454" s="1304">
        <v>600</v>
      </c>
      <c r="E454" s="1337">
        <v>600</v>
      </c>
      <c r="F454" s="1322">
        <f t="shared" si="31"/>
        <v>175.5</v>
      </c>
      <c r="G454" s="969">
        <v>1</v>
      </c>
      <c r="H454" s="901"/>
      <c r="I454" s="902"/>
      <c r="J454" s="897"/>
      <c r="K454" s="903"/>
      <c r="L454" s="899">
        <f t="shared" si="27"/>
        <v>465</v>
      </c>
      <c r="M454" s="933"/>
      <c r="N454" s="933"/>
      <c r="O454" s="933"/>
      <c r="P454" s="933"/>
      <c r="Q454" s="933"/>
      <c r="R454" s="933"/>
      <c r="S454" s="933"/>
      <c r="T454" s="933"/>
      <c r="U454" s="933"/>
      <c r="V454" s="933"/>
      <c r="W454" s="902"/>
      <c r="X454" s="902"/>
      <c r="Y454" s="902"/>
      <c r="Z454" s="902"/>
      <c r="AA454" s="902"/>
      <c r="AB454" s="902"/>
      <c r="AC454" s="902"/>
    </row>
    <row r="455" spans="1:29" ht="16.3" hidden="1" outlineLevel="1" thickBot="1">
      <c r="A455" s="967" t="s">
        <v>527</v>
      </c>
      <c r="B455" s="1035" t="s">
        <v>1831</v>
      </c>
      <c r="C455" s="968">
        <v>340</v>
      </c>
      <c r="D455" s="1304">
        <v>1200</v>
      </c>
      <c r="E455" s="1337">
        <v>1200</v>
      </c>
      <c r="F455" s="1322">
        <f t="shared" si="31"/>
        <v>442</v>
      </c>
      <c r="G455" s="969">
        <v>1</v>
      </c>
      <c r="H455" s="901"/>
      <c r="I455" s="902"/>
      <c r="J455" s="897"/>
      <c r="K455" s="903"/>
      <c r="L455" s="899">
        <f t="shared" si="27"/>
        <v>860</v>
      </c>
      <c r="M455" s="933"/>
      <c r="N455" s="933"/>
      <c r="O455" s="933"/>
      <c r="P455" s="933"/>
      <c r="Q455" s="933"/>
      <c r="R455" s="933"/>
      <c r="S455" s="933"/>
      <c r="T455" s="933"/>
      <c r="U455" s="933"/>
      <c r="V455" s="933"/>
      <c r="W455" s="902"/>
      <c r="X455" s="902"/>
      <c r="Y455" s="902"/>
      <c r="Z455" s="902"/>
      <c r="AA455" s="902"/>
      <c r="AB455" s="902"/>
      <c r="AC455" s="902"/>
    </row>
    <row r="456" spans="1:29" ht="16.3" hidden="1" outlineLevel="1" thickBot="1">
      <c r="A456" s="967" t="s">
        <v>1861</v>
      </c>
      <c r="B456" s="1035" t="s">
        <v>1862</v>
      </c>
      <c r="C456" s="968">
        <v>175</v>
      </c>
      <c r="D456" s="1304">
        <v>1200</v>
      </c>
      <c r="E456" s="1337">
        <v>1200</v>
      </c>
      <c r="F456" s="1322">
        <f t="shared" si="31"/>
        <v>227.5</v>
      </c>
      <c r="G456" s="969">
        <v>1</v>
      </c>
      <c r="H456" s="901"/>
      <c r="I456" s="902"/>
      <c r="J456" s="897"/>
      <c r="K456" s="903"/>
      <c r="L456" s="899">
        <f t="shared" si="27"/>
        <v>1025</v>
      </c>
      <c r="M456" s="933"/>
      <c r="N456" s="933"/>
      <c r="O456" s="933"/>
      <c r="P456" s="933"/>
      <c r="Q456" s="933"/>
      <c r="R456" s="933"/>
      <c r="S456" s="933"/>
      <c r="T456" s="933"/>
      <c r="U456" s="933"/>
      <c r="V456" s="933"/>
      <c r="W456" s="902"/>
      <c r="X456" s="902"/>
      <c r="Y456" s="902"/>
      <c r="Z456" s="902"/>
      <c r="AA456" s="902"/>
      <c r="AB456" s="902"/>
      <c r="AC456" s="902"/>
    </row>
    <row r="457" spans="1:29" ht="16.3" hidden="1" outlineLevel="1" thickBot="1">
      <c r="A457" s="967" t="s">
        <v>1595</v>
      </c>
      <c r="B457" s="968" t="s">
        <v>484</v>
      </c>
      <c r="C457" s="968">
        <v>1380</v>
      </c>
      <c r="D457" s="1304">
        <v>3200</v>
      </c>
      <c r="E457" s="1337">
        <v>3200</v>
      </c>
      <c r="F457" s="1322">
        <f t="shared" si="31"/>
        <v>1794</v>
      </c>
      <c r="G457" s="969">
        <v>1</v>
      </c>
      <c r="H457" s="901"/>
      <c r="I457" s="902"/>
      <c r="J457" s="897"/>
      <c r="K457" s="903"/>
      <c r="L457" s="899">
        <f t="shared" si="27"/>
        <v>1820</v>
      </c>
      <c r="M457" s="933"/>
      <c r="N457" s="933"/>
      <c r="O457" s="933"/>
      <c r="P457" s="933"/>
      <c r="Q457" s="933"/>
      <c r="R457" s="933"/>
      <c r="S457" s="933"/>
      <c r="T457" s="933"/>
      <c r="U457" s="933"/>
      <c r="V457" s="933"/>
      <c r="W457" s="902"/>
      <c r="X457" s="902"/>
      <c r="Y457" s="902"/>
      <c r="Z457" s="902"/>
      <c r="AA457" s="902"/>
      <c r="AB457" s="902"/>
      <c r="AC457" s="902"/>
    </row>
    <row r="458" spans="1:29" ht="16.3" hidden="1" outlineLevel="1" thickBot="1">
      <c r="A458" s="967" t="s">
        <v>1599</v>
      </c>
      <c r="B458" s="968" t="s">
        <v>482</v>
      </c>
      <c r="C458" s="968">
        <v>1380</v>
      </c>
      <c r="D458" s="1304">
        <v>3200</v>
      </c>
      <c r="E458" s="1337">
        <v>3200</v>
      </c>
      <c r="F458" s="1322">
        <f t="shared" si="31"/>
        <v>1794</v>
      </c>
      <c r="G458" s="969">
        <v>1</v>
      </c>
      <c r="H458" s="901"/>
      <c r="I458" s="902"/>
      <c r="J458" s="897"/>
      <c r="K458" s="903"/>
      <c r="L458" s="899">
        <f t="shared" si="27"/>
        <v>1820</v>
      </c>
      <c r="M458" s="933"/>
      <c r="N458" s="933"/>
      <c r="O458" s="933"/>
      <c r="P458" s="933"/>
      <c r="Q458" s="933"/>
      <c r="R458" s="933"/>
      <c r="S458" s="933"/>
      <c r="T458" s="933"/>
      <c r="U458" s="933"/>
      <c r="V458" s="933"/>
      <c r="W458" s="902"/>
      <c r="X458" s="902"/>
      <c r="Y458" s="902"/>
      <c r="Z458" s="902"/>
      <c r="AA458" s="902"/>
      <c r="AB458" s="902"/>
      <c r="AC458" s="902"/>
    </row>
    <row r="459" spans="1:29" ht="31.95" hidden="1" outlineLevel="1" thickBot="1">
      <c r="A459" s="1042" t="s">
        <v>1373</v>
      </c>
      <c r="B459" s="1036" t="s">
        <v>5873</v>
      </c>
      <c r="C459" s="968">
        <v>207</v>
      </c>
      <c r="D459" s="1304">
        <v>600</v>
      </c>
      <c r="E459" s="1337">
        <v>600</v>
      </c>
      <c r="F459" s="1322">
        <f>C459*1.3</f>
        <v>269.10000000000002</v>
      </c>
      <c r="G459" s="969">
        <v>1</v>
      </c>
      <c r="H459" s="901"/>
      <c r="I459" s="902"/>
      <c r="J459" s="897"/>
      <c r="K459" s="903"/>
      <c r="L459" s="899">
        <f t="shared" si="27"/>
        <v>393</v>
      </c>
      <c r="M459" s="933"/>
      <c r="N459" s="933"/>
      <c r="O459" s="933"/>
      <c r="P459" s="933"/>
      <c r="Q459" s="933"/>
      <c r="R459" s="933"/>
      <c r="S459" s="933"/>
      <c r="T459" s="933"/>
      <c r="U459" s="933"/>
      <c r="V459" s="933"/>
      <c r="W459" s="902"/>
      <c r="X459" s="902"/>
      <c r="Y459" s="902"/>
      <c r="Z459" s="902"/>
      <c r="AA459" s="902"/>
      <c r="AB459" s="902"/>
      <c r="AC459" s="902"/>
    </row>
    <row r="460" spans="1:29" ht="16.3" hidden="1" outlineLevel="1" thickBot="1">
      <c r="A460" s="967"/>
      <c r="B460" s="968"/>
      <c r="C460" s="968"/>
      <c r="D460" s="1304"/>
      <c r="E460" s="1337"/>
      <c r="F460" s="1322"/>
      <c r="G460" s="969"/>
      <c r="H460" s="901"/>
      <c r="I460" s="902"/>
      <c r="J460" s="897"/>
      <c r="K460" s="903"/>
      <c r="L460" s="899">
        <f t="shared" si="27"/>
        <v>0</v>
      </c>
      <c r="M460" s="933"/>
      <c r="N460" s="933"/>
      <c r="O460" s="933"/>
      <c r="P460" s="933"/>
      <c r="Q460" s="933"/>
      <c r="R460" s="933"/>
      <c r="S460" s="933"/>
      <c r="T460" s="933"/>
      <c r="U460" s="933"/>
      <c r="V460" s="933"/>
      <c r="W460" s="902"/>
      <c r="X460" s="902"/>
      <c r="Y460" s="902"/>
      <c r="Z460" s="902"/>
      <c r="AA460" s="902"/>
      <c r="AB460" s="902"/>
      <c r="AC460" s="902"/>
    </row>
    <row r="461" spans="1:29" ht="16.3" hidden="1" outlineLevel="1" thickBot="1">
      <c r="A461" s="1037" t="s">
        <v>1545</v>
      </c>
      <c r="B461" s="1062" t="s">
        <v>1546</v>
      </c>
      <c r="C461" s="1019">
        <v>1380</v>
      </c>
      <c r="D461" s="1305">
        <v>4200</v>
      </c>
      <c r="E461" s="1338">
        <v>4000</v>
      </c>
      <c r="F461" s="1323">
        <f>C461*1.3</f>
        <v>1794</v>
      </c>
      <c r="G461" s="1020">
        <v>1</v>
      </c>
      <c r="H461" s="901"/>
      <c r="I461" s="902"/>
      <c r="J461" s="897"/>
      <c r="K461" s="903"/>
      <c r="L461" s="899">
        <f t="shared" si="27"/>
        <v>2620</v>
      </c>
      <c r="M461" s="933"/>
      <c r="N461" s="933"/>
      <c r="O461" s="933"/>
      <c r="P461" s="933"/>
      <c r="Q461" s="933"/>
      <c r="R461" s="933"/>
      <c r="S461" s="933"/>
      <c r="T461" s="933"/>
      <c r="U461" s="933"/>
      <c r="V461" s="933"/>
      <c r="W461" s="902"/>
      <c r="X461" s="902"/>
      <c r="Y461" s="902"/>
      <c r="Z461" s="902"/>
      <c r="AA461" s="902"/>
      <c r="AB461" s="902"/>
      <c r="AC461" s="902"/>
    </row>
    <row r="462" spans="1:29" ht="16.3" collapsed="1" thickBot="1">
      <c r="A462" s="906" t="s">
        <v>952</v>
      </c>
      <c r="B462" s="907" t="s">
        <v>5888</v>
      </c>
      <c r="C462" s="907">
        <f>SUM(C463:C500)</f>
        <v>17764</v>
      </c>
      <c r="D462" s="907">
        <f>SUM(D463:D500)</f>
        <v>42340</v>
      </c>
      <c r="E462" s="1340">
        <v>30000</v>
      </c>
      <c r="F462" s="907">
        <f>SUM(F463:F500)</f>
        <v>23094.2</v>
      </c>
      <c r="G462" s="909" t="s">
        <v>5875</v>
      </c>
      <c r="H462" s="895"/>
      <c r="I462" s="902" t="str">
        <f>IF(H462="x",CONCATENATE(A462,"; "),"")</f>
        <v/>
      </c>
      <c r="J462" s="897"/>
      <c r="K462" s="903"/>
      <c r="L462" s="899">
        <f t="shared" si="27"/>
        <v>12236</v>
      </c>
      <c r="M462" s="902"/>
      <c r="N462" s="902"/>
      <c r="O462" s="902"/>
      <c r="P462" s="902"/>
      <c r="Q462" s="902"/>
      <c r="R462" s="902"/>
      <c r="S462" s="902"/>
      <c r="T462" s="902"/>
      <c r="U462" s="902"/>
      <c r="V462" s="902"/>
      <c r="W462" s="902"/>
      <c r="X462" s="902"/>
      <c r="Y462" s="902"/>
      <c r="Z462" s="902"/>
      <c r="AA462" s="902"/>
      <c r="AB462" s="902"/>
      <c r="AC462" s="902"/>
    </row>
    <row r="463" spans="1:29" ht="16.3" hidden="1" outlineLevel="1" thickBot="1">
      <c r="A463" s="897" t="s">
        <v>1391</v>
      </c>
      <c r="B463" s="926" t="s">
        <v>1392</v>
      </c>
      <c r="C463" s="898">
        <v>69</v>
      </c>
      <c r="D463" s="899">
        <v>400</v>
      </c>
      <c r="E463" s="1335">
        <v>400</v>
      </c>
      <c r="F463" s="899">
        <f t="shared" ref="F463:F474" si="32">C463*1.3</f>
        <v>89.7</v>
      </c>
      <c r="G463" s="900">
        <v>1</v>
      </c>
      <c r="H463" s="901"/>
      <c r="I463" s="902"/>
      <c r="J463" s="910"/>
      <c r="K463" s="903"/>
      <c r="L463" s="899">
        <f t="shared" si="27"/>
        <v>331</v>
      </c>
      <c r="M463" s="903"/>
      <c r="N463" s="933"/>
      <c r="O463" s="933"/>
      <c r="P463" s="933"/>
      <c r="Q463" s="933"/>
      <c r="R463" s="933"/>
      <c r="S463" s="933"/>
      <c r="T463" s="933"/>
      <c r="U463" s="933"/>
      <c r="V463" s="933"/>
      <c r="W463" s="933"/>
      <c r="X463" s="902"/>
      <c r="Y463" s="902"/>
      <c r="Z463" s="902"/>
      <c r="AA463" s="902"/>
      <c r="AB463" s="902"/>
      <c r="AC463" s="902"/>
    </row>
    <row r="464" spans="1:29" ht="16.3" hidden="1" outlineLevel="1" thickBot="1">
      <c r="A464" s="897" t="s">
        <v>1395</v>
      </c>
      <c r="B464" s="926" t="s">
        <v>1396</v>
      </c>
      <c r="C464" s="898">
        <v>69</v>
      </c>
      <c r="D464" s="899">
        <v>400</v>
      </c>
      <c r="E464" s="1335">
        <v>400</v>
      </c>
      <c r="F464" s="899">
        <f t="shared" si="32"/>
        <v>89.7</v>
      </c>
      <c r="G464" s="900">
        <v>1</v>
      </c>
      <c r="H464" s="901"/>
      <c r="I464" s="902"/>
      <c r="J464" s="897"/>
      <c r="K464" s="903"/>
      <c r="L464" s="899">
        <f t="shared" si="27"/>
        <v>331</v>
      </c>
      <c r="M464" s="903"/>
      <c r="N464" s="903"/>
      <c r="O464" s="903"/>
      <c r="P464" s="902"/>
      <c r="Q464" s="902"/>
      <c r="R464" s="902"/>
      <c r="S464" s="903"/>
      <c r="T464" s="902"/>
      <c r="U464" s="902"/>
      <c r="V464" s="902"/>
      <c r="W464" s="902"/>
      <c r="X464" s="902"/>
      <c r="Y464" s="902"/>
      <c r="Z464" s="902"/>
      <c r="AA464" s="902"/>
      <c r="AB464" s="902"/>
      <c r="AC464" s="902"/>
    </row>
    <row r="465" spans="1:29" ht="16.3" hidden="1" outlineLevel="1" thickBot="1">
      <c r="A465" s="897" t="s">
        <v>1397</v>
      </c>
      <c r="B465" s="926" t="s">
        <v>38</v>
      </c>
      <c r="C465" s="898">
        <v>345</v>
      </c>
      <c r="D465" s="899">
        <v>500</v>
      </c>
      <c r="E465" s="1335">
        <v>500</v>
      </c>
      <c r="F465" s="899">
        <f t="shared" si="32"/>
        <v>448.5</v>
      </c>
      <c r="G465" s="900">
        <v>1</v>
      </c>
      <c r="H465" s="901"/>
      <c r="I465" s="902"/>
      <c r="J465" s="897"/>
      <c r="K465" s="903"/>
      <c r="L465" s="899">
        <f t="shared" si="27"/>
        <v>155</v>
      </c>
      <c r="M465" s="903"/>
      <c r="N465" s="903"/>
      <c r="O465" s="903"/>
      <c r="P465" s="902"/>
      <c r="Q465" s="902"/>
      <c r="R465" s="902"/>
      <c r="S465" s="903"/>
      <c r="T465" s="902"/>
      <c r="U465" s="902"/>
      <c r="V465" s="902"/>
      <c r="W465" s="902"/>
      <c r="X465" s="902"/>
      <c r="Y465" s="902"/>
      <c r="Z465" s="902"/>
      <c r="AA465" s="902"/>
      <c r="AB465" s="902"/>
      <c r="AC465" s="902"/>
    </row>
    <row r="466" spans="1:29" ht="16.3" hidden="1" outlineLevel="1" thickBot="1">
      <c r="A466" s="897" t="s">
        <v>1606</v>
      </c>
      <c r="B466" s="926" t="s">
        <v>1332</v>
      </c>
      <c r="C466" s="898">
        <v>69</v>
      </c>
      <c r="D466" s="899">
        <v>300</v>
      </c>
      <c r="E466" s="1335">
        <v>300</v>
      </c>
      <c r="F466" s="899">
        <f t="shared" si="32"/>
        <v>89.7</v>
      </c>
      <c r="G466" s="900">
        <v>1</v>
      </c>
      <c r="H466" s="901"/>
      <c r="I466" s="902"/>
      <c r="J466" s="897"/>
      <c r="K466" s="903"/>
      <c r="L466" s="899">
        <f t="shared" si="27"/>
        <v>231</v>
      </c>
      <c r="M466" s="903"/>
      <c r="N466" s="903"/>
      <c r="O466" s="903"/>
      <c r="P466" s="902"/>
      <c r="Q466" s="902"/>
      <c r="R466" s="902"/>
      <c r="S466" s="903"/>
      <c r="T466" s="902"/>
      <c r="U466" s="902"/>
      <c r="V466" s="902"/>
      <c r="W466" s="902"/>
      <c r="X466" s="902"/>
      <c r="Y466" s="902"/>
      <c r="Z466" s="902"/>
      <c r="AA466" s="902"/>
      <c r="AB466" s="902"/>
      <c r="AC466" s="902"/>
    </row>
    <row r="467" spans="1:29" ht="16.3" hidden="1" outlineLevel="1" thickBot="1">
      <c r="A467" s="897" t="s">
        <v>1611</v>
      </c>
      <c r="B467" s="926" t="s">
        <v>1612</v>
      </c>
      <c r="C467" s="898">
        <v>125</v>
      </c>
      <c r="D467" s="899">
        <v>200</v>
      </c>
      <c r="E467" s="1335">
        <v>200</v>
      </c>
      <c r="F467" s="899">
        <f t="shared" si="32"/>
        <v>162.5</v>
      </c>
      <c r="G467" s="900">
        <v>1</v>
      </c>
      <c r="H467" s="901"/>
      <c r="I467" s="902"/>
      <c r="J467" s="897"/>
      <c r="K467" s="903"/>
      <c r="L467" s="899">
        <f t="shared" si="27"/>
        <v>75</v>
      </c>
      <c r="M467" s="903"/>
      <c r="N467" s="903"/>
      <c r="O467" s="903"/>
      <c r="P467" s="902"/>
      <c r="Q467" s="902"/>
      <c r="R467" s="902"/>
      <c r="S467" s="903"/>
      <c r="T467" s="902"/>
      <c r="U467" s="902"/>
      <c r="V467" s="902"/>
      <c r="W467" s="902"/>
      <c r="X467" s="902"/>
      <c r="Y467" s="902"/>
      <c r="Z467" s="902"/>
      <c r="AA467" s="902"/>
      <c r="AB467" s="902"/>
      <c r="AC467" s="902"/>
    </row>
    <row r="468" spans="1:29" ht="16.3" hidden="1" outlineLevel="1" thickBot="1">
      <c r="A468" s="897" t="s">
        <v>1621</v>
      </c>
      <c r="B468" s="926" t="s">
        <v>2346</v>
      </c>
      <c r="C468" s="898">
        <v>175</v>
      </c>
      <c r="D468" s="899">
        <v>400</v>
      </c>
      <c r="E468" s="1335">
        <v>400</v>
      </c>
      <c r="F468" s="899">
        <f t="shared" si="32"/>
        <v>227.5</v>
      </c>
      <c r="G468" s="900">
        <v>1</v>
      </c>
      <c r="H468" s="901"/>
      <c r="I468" s="902"/>
      <c r="J468" s="897"/>
      <c r="K468" s="903"/>
      <c r="L468" s="899">
        <f t="shared" si="27"/>
        <v>225</v>
      </c>
      <c r="M468" s="903"/>
      <c r="N468" s="903"/>
      <c r="O468" s="903"/>
      <c r="P468" s="902"/>
      <c r="Q468" s="902"/>
      <c r="R468" s="902"/>
      <c r="S468" s="903"/>
      <c r="T468" s="902"/>
      <c r="U468" s="902"/>
      <c r="V468" s="902"/>
      <c r="W468" s="902"/>
      <c r="X468" s="902"/>
      <c r="Y468" s="902"/>
      <c r="Z468" s="902"/>
      <c r="AA468" s="902"/>
      <c r="AB468" s="902"/>
      <c r="AC468" s="902"/>
    </row>
    <row r="469" spans="1:29" ht="16.3" hidden="1" outlineLevel="1" thickBot="1">
      <c r="A469" s="897" t="s">
        <v>1522</v>
      </c>
      <c r="B469" s="926" t="s">
        <v>31</v>
      </c>
      <c r="C469" s="898">
        <v>1150</v>
      </c>
      <c r="D469" s="899">
        <v>2800</v>
      </c>
      <c r="E469" s="1335">
        <v>2800</v>
      </c>
      <c r="F469" s="899">
        <f t="shared" si="32"/>
        <v>1495</v>
      </c>
      <c r="G469" s="900">
        <v>1</v>
      </c>
      <c r="H469" s="901"/>
      <c r="I469" s="902"/>
      <c r="J469" s="897"/>
      <c r="K469" s="903"/>
      <c r="L469" s="899">
        <f t="shared" si="27"/>
        <v>1650</v>
      </c>
      <c r="M469" s="903"/>
      <c r="N469" s="903"/>
      <c r="O469" s="903"/>
      <c r="P469" s="902"/>
      <c r="Q469" s="902"/>
      <c r="R469" s="902"/>
      <c r="S469" s="903"/>
      <c r="T469" s="902"/>
      <c r="U469" s="902"/>
      <c r="V469" s="902"/>
      <c r="W469" s="902"/>
      <c r="X469" s="902"/>
      <c r="Y469" s="902"/>
      <c r="Z469" s="902"/>
      <c r="AA469" s="902"/>
      <c r="AB469" s="902"/>
      <c r="AC469" s="902"/>
    </row>
    <row r="470" spans="1:29" ht="16.3" hidden="1" outlineLevel="1" thickBot="1">
      <c r="A470" s="897" t="s">
        <v>649</v>
      </c>
      <c r="B470" s="926" t="s">
        <v>649</v>
      </c>
      <c r="C470" s="898">
        <v>460</v>
      </c>
      <c r="D470" s="899">
        <v>1400</v>
      </c>
      <c r="E470" s="1335">
        <v>1400</v>
      </c>
      <c r="F470" s="899">
        <f t="shared" si="32"/>
        <v>598</v>
      </c>
      <c r="G470" s="900">
        <v>1</v>
      </c>
      <c r="H470" s="901"/>
      <c r="I470" s="902"/>
      <c r="J470" s="897"/>
      <c r="K470" s="903"/>
      <c r="L470" s="899">
        <f t="shared" si="27"/>
        <v>940</v>
      </c>
      <c r="M470" s="903"/>
      <c r="N470" s="903"/>
      <c r="O470" s="903"/>
      <c r="P470" s="902"/>
      <c r="Q470" s="902"/>
      <c r="R470" s="902"/>
      <c r="S470" s="903"/>
      <c r="T470" s="902"/>
      <c r="U470" s="902"/>
      <c r="V470" s="902"/>
      <c r="W470" s="902"/>
      <c r="X470" s="902"/>
      <c r="Y470" s="902"/>
      <c r="Z470" s="902"/>
      <c r="AA470" s="902"/>
      <c r="AB470" s="902"/>
      <c r="AC470" s="902"/>
    </row>
    <row r="471" spans="1:29" ht="16.3" hidden="1" outlineLevel="1" thickBot="1">
      <c r="A471" s="897" t="s">
        <v>1371</v>
      </c>
      <c r="B471" s="926" t="s">
        <v>1372</v>
      </c>
      <c r="C471" s="898">
        <v>2415</v>
      </c>
      <c r="D471" s="899">
        <v>5800</v>
      </c>
      <c r="E471" s="1335">
        <v>5800</v>
      </c>
      <c r="F471" s="899">
        <f t="shared" si="32"/>
        <v>3139.5</v>
      </c>
      <c r="G471" s="900">
        <v>1</v>
      </c>
      <c r="H471" s="901"/>
      <c r="I471" s="902"/>
      <c r="J471" s="897"/>
      <c r="K471" s="903"/>
      <c r="L471" s="899">
        <f t="shared" si="27"/>
        <v>3385</v>
      </c>
      <c r="M471" s="903"/>
      <c r="N471" s="903"/>
      <c r="O471" s="903"/>
      <c r="P471" s="902"/>
      <c r="Q471" s="902"/>
      <c r="R471" s="902"/>
      <c r="S471" s="903"/>
      <c r="T471" s="902"/>
      <c r="U471" s="902"/>
      <c r="V471" s="902"/>
      <c r="W471" s="902"/>
      <c r="X471" s="902"/>
      <c r="Y471" s="902"/>
      <c r="Z471" s="902"/>
      <c r="AA471" s="902"/>
      <c r="AB471" s="902"/>
      <c r="AC471" s="902"/>
    </row>
    <row r="472" spans="1:29" ht="16.3" hidden="1" outlineLevel="1" thickBot="1">
      <c r="A472" s="897" t="s">
        <v>1527</v>
      </c>
      <c r="B472" s="926" t="s">
        <v>2752</v>
      </c>
      <c r="C472" s="898">
        <v>130</v>
      </c>
      <c r="D472" s="899">
        <v>600</v>
      </c>
      <c r="E472" s="1335">
        <v>600</v>
      </c>
      <c r="F472" s="899">
        <f t="shared" si="32"/>
        <v>169</v>
      </c>
      <c r="G472" s="900">
        <v>1</v>
      </c>
      <c r="H472" s="901"/>
      <c r="I472" s="902"/>
      <c r="J472" s="897"/>
      <c r="K472" s="903"/>
      <c r="L472" s="899">
        <f t="shared" si="27"/>
        <v>470</v>
      </c>
      <c r="M472" s="903"/>
      <c r="N472" s="903"/>
      <c r="O472" s="903"/>
      <c r="P472" s="902"/>
      <c r="Q472" s="902"/>
      <c r="R472" s="902"/>
      <c r="S472" s="903"/>
      <c r="T472" s="902"/>
      <c r="U472" s="902"/>
      <c r="V472" s="902"/>
      <c r="W472" s="902"/>
      <c r="X472" s="902"/>
      <c r="Y472" s="902"/>
      <c r="Z472" s="902"/>
      <c r="AA472" s="902"/>
      <c r="AB472" s="902"/>
      <c r="AC472" s="902"/>
    </row>
    <row r="473" spans="1:29" ht="16.3" hidden="1" outlineLevel="1" thickBot="1">
      <c r="A473" s="897" t="s">
        <v>681</v>
      </c>
      <c r="B473" s="926" t="s">
        <v>15</v>
      </c>
      <c r="C473" s="898">
        <v>69</v>
      </c>
      <c r="D473" s="899">
        <v>250</v>
      </c>
      <c r="E473" s="1335">
        <v>250</v>
      </c>
      <c r="F473" s="899">
        <f t="shared" si="32"/>
        <v>89.7</v>
      </c>
      <c r="G473" s="900">
        <v>1</v>
      </c>
      <c r="H473" s="901"/>
      <c r="I473" s="902"/>
      <c r="J473" s="897"/>
      <c r="K473" s="903"/>
      <c r="L473" s="899">
        <f t="shared" si="27"/>
        <v>181</v>
      </c>
      <c r="M473" s="903"/>
      <c r="N473" s="903"/>
      <c r="O473" s="903"/>
      <c r="P473" s="902"/>
      <c r="Q473" s="902"/>
      <c r="R473" s="902"/>
      <c r="S473" s="903"/>
      <c r="T473" s="902"/>
      <c r="U473" s="902"/>
      <c r="V473" s="902"/>
      <c r="W473" s="902"/>
      <c r="X473" s="902"/>
      <c r="Y473" s="902"/>
      <c r="Z473" s="902"/>
      <c r="AA473" s="902"/>
      <c r="AB473" s="902"/>
      <c r="AC473" s="902"/>
    </row>
    <row r="474" spans="1:29" ht="16.3" hidden="1" outlineLevel="1" thickBot="1">
      <c r="A474" s="897" t="s">
        <v>1826</v>
      </c>
      <c r="B474" s="926" t="s">
        <v>1827</v>
      </c>
      <c r="C474" s="898">
        <v>69</v>
      </c>
      <c r="D474" s="899">
        <v>640</v>
      </c>
      <c r="E474" s="1335">
        <v>640</v>
      </c>
      <c r="F474" s="899">
        <f t="shared" si="32"/>
        <v>89.7</v>
      </c>
      <c r="G474" s="900">
        <v>1</v>
      </c>
      <c r="H474" s="901"/>
      <c r="I474" s="902"/>
      <c r="J474" s="897"/>
      <c r="K474" s="903"/>
      <c r="L474" s="899">
        <f t="shared" ref="L474:L537" si="33">E474-C474</f>
        <v>571</v>
      </c>
      <c r="M474" s="903"/>
      <c r="N474" s="903"/>
      <c r="O474" s="903"/>
      <c r="P474" s="902"/>
      <c r="Q474" s="902"/>
      <c r="R474" s="902"/>
      <c r="S474" s="903"/>
      <c r="T474" s="902"/>
      <c r="U474" s="902"/>
      <c r="V474" s="902"/>
      <c r="W474" s="902"/>
      <c r="X474" s="902"/>
      <c r="Y474" s="902"/>
      <c r="Z474" s="902"/>
      <c r="AA474" s="902"/>
      <c r="AB474" s="902"/>
      <c r="AC474" s="902"/>
    </row>
    <row r="475" spans="1:29" ht="16.3" hidden="1" outlineLevel="1" thickBot="1">
      <c r="A475" s="897" t="s">
        <v>684</v>
      </c>
      <c r="B475" s="926" t="s">
        <v>1538</v>
      </c>
      <c r="C475" s="898">
        <v>69</v>
      </c>
      <c r="D475" s="899">
        <v>200</v>
      </c>
      <c r="E475" s="1335">
        <v>200</v>
      </c>
      <c r="F475" s="899">
        <v>90</v>
      </c>
      <c r="G475" s="900">
        <v>1</v>
      </c>
      <c r="H475" s="901"/>
      <c r="I475" s="902"/>
      <c r="J475" s="897"/>
      <c r="K475" s="903"/>
      <c r="L475" s="899">
        <f t="shared" si="33"/>
        <v>131</v>
      </c>
      <c r="M475" s="903"/>
      <c r="N475" s="903"/>
      <c r="O475" s="903"/>
      <c r="P475" s="902"/>
      <c r="Q475" s="902"/>
      <c r="R475" s="902"/>
      <c r="S475" s="903"/>
      <c r="T475" s="902"/>
      <c r="U475" s="902"/>
      <c r="V475" s="902"/>
      <c r="W475" s="902"/>
      <c r="X475" s="902"/>
      <c r="Y475" s="902"/>
      <c r="Z475" s="902"/>
      <c r="AA475" s="902"/>
      <c r="AB475" s="902"/>
      <c r="AC475" s="902"/>
    </row>
    <row r="476" spans="1:29" ht="16.3" hidden="1" outlineLevel="1" thickBot="1">
      <c r="A476" s="897" t="s">
        <v>685</v>
      </c>
      <c r="B476" s="926" t="s">
        <v>1539</v>
      </c>
      <c r="C476" s="898">
        <v>69</v>
      </c>
      <c r="D476" s="899">
        <v>200</v>
      </c>
      <c r="E476" s="1335">
        <v>200</v>
      </c>
      <c r="F476" s="899">
        <f t="shared" ref="F476:F483" si="34">C476*1.3</f>
        <v>89.7</v>
      </c>
      <c r="G476" s="900">
        <v>1</v>
      </c>
      <c r="H476" s="901"/>
      <c r="I476" s="902"/>
      <c r="J476" s="897"/>
      <c r="K476" s="903"/>
      <c r="L476" s="899">
        <f t="shared" si="33"/>
        <v>131</v>
      </c>
      <c r="M476" s="903"/>
      <c r="N476" s="903"/>
      <c r="O476" s="903"/>
      <c r="P476" s="902"/>
      <c r="Q476" s="902"/>
      <c r="R476" s="902"/>
      <c r="S476" s="903"/>
      <c r="T476" s="902"/>
      <c r="U476" s="902"/>
      <c r="V476" s="902"/>
      <c r="W476" s="902"/>
      <c r="X476" s="902"/>
      <c r="Y476" s="902"/>
      <c r="Z476" s="902"/>
      <c r="AA476" s="902"/>
      <c r="AB476" s="902"/>
      <c r="AC476" s="902"/>
    </row>
    <row r="477" spans="1:29" ht="16.3" hidden="1" outlineLevel="1" thickBot="1">
      <c r="A477" s="897" t="s">
        <v>945</v>
      </c>
      <c r="B477" s="926" t="s">
        <v>2748</v>
      </c>
      <c r="C477" s="898">
        <v>230</v>
      </c>
      <c r="D477" s="899">
        <v>600</v>
      </c>
      <c r="E477" s="1335">
        <v>600</v>
      </c>
      <c r="F477" s="899">
        <f t="shared" si="34"/>
        <v>299</v>
      </c>
      <c r="G477" s="900">
        <v>1</v>
      </c>
      <c r="H477" s="901"/>
      <c r="I477" s="902"/>
      <c r="J477" s="897"/>
      <c r="K477" s="903"/>
      <c r="L477" s="899">
        <f t="shared" si="33"/>
        <v>370</v>
      </c>
      <c r="M477" s="903"/>
      <c r="N477" s="903"/>
      <c r="O477" s="903"/>
      <c r="P477" s="902"/>
      <c r="Q477" s="902"/>
      <c r="R477" s="902"/>
      <c r="S477" s="903"/>
      <c r="T477" s="902"/>
      <c r="U477" s="902"/>
      <c r="V477" s="902"/>
      <c r="W477" s="902"/>
      <c r="X477" s="902"/>
      <c r="Y477" s="902"/>
      <c r="Z477" s="902"/>
      <c r="AA477" s="902"/>
      <c r="AB477" s="902"/>
      <c r="AC477" s="902"/>
    </row>
    <row r="478" spans="1:29" ht="16.3" hidden="1" outlineLevel="1" thickBot="1">
      <c r="A478" s="897" t="s">
        <v>1564</v>
      </c>
      <c r="B478" s="926" t="s">
        <v>2827</v>
      </c>
      <c r="C478" s="898">
        <v>0</v>
      </c>
      <c r="D478" s="899">
        <v>0</v>
      </c>
      <c r="E478" s="1335">
        <f>D478*1.3</f>
        <v>0</v>
      </c>
      <c r="F478" s="899">
        <f t="shared" si="34"/>
        <v>0</v>
      </c>
      <c r="G478" s="900">
        <v>1</v>
      </c>
      <c r="H478" s="901"/>
      <c r="I478" s="902"/>
      <c r="J478" s="897"/>
      <c r="K478" s="903"/>
      <c r="L478" s="899">
        <f t="shared" si="33"/>
        <v>0</v>
      </c>
      <c r="M478" s="903"/>
      <c r="N478" s="903"/>
      <c r="O478" s="903"/>
      <c r="P478" s="902"/>
      <c r="Q478" s="902"/>
      <c r="R478" s="902"/>
      <c r="S478" s="903"/>
      <c r="T478" s="902"/>
      <c r="U478" s="902"/>
      <c r="V478" s="902"/>
      <c r="W478" s="902"/>
      <c r="X478" s="902"/>
      <c r="Y478" s="902"/>
      <c r="Z478" s="902"/>
      <c r="AA478" s="902"/>
      <c r="AB478" s="902"/>
      <c r="AC478" s="902"/>
    </row>
    <row r="479" spans="1:29" ht="16.3" hidden="1" outlineLevel="1" thickBot="1">
      <c r="A479" s="897" t="s">
        <v>1569</v>
      </c>
      <c r="B479" s="926" t="s">
        <v>27</v>
      </c>
      <c r="C479" s="898">
        <v>69</v>
      </c>
      <c r="D479" s="899">
        <v>600</v>
      </c>
      <c r="E479" s="1335">
        <v>600</v>
      </c>
      <c r="F479" s="899">
        <f t="shared" si="34"/>
        <v>89.7</v>
      </c>
      <c r="G479" s="900">
        <v>1</v>
      </c>
      <c r="H479" s="901"/>
      <c r="I479" s="902"/>
      <c r="J479" s="897"/>
      <c r="K479" s="903"/>
      <c r="L479" s="899">
        <f t="shared" si="33"/>
        <v>531</v>
      </c>
      <c r="M479" s="903"/>
      <c r="N479" s="903"/>
      <c r="O479" s="903"/>
      <c r="P479" s="902"/>
      <c r="Q479" s="902"/>
      <c r="R479" s="902"/>
      <c r="S479" s="903"/>
      <c r="T479" s="902"/>
      <c r="U479" s="902"/>
      <c r="V479" s="902"/>
      <c r="W479" s="902"/>
      <c r="X479" s="902"/>
      <c r="Y479" s="902"/>
      <c r="Z479" s="902"/>
      <c r="AA479" s="902"/>
      <c r="AB479" s="902"/>
      <c r="AC479" s="902"/>
    </row>
    <row r="480" spans="1:29" ht="16.3" hidden="1" outlineLevel="1" thickBot="1">
      <c r="A480" s="897" t="s">
        <v>1498</v>
      </c>
      <c r="B480" s="926" t="s">
        <v>1499</v>
      </c>
      <c r="C480" s="898">
        <v>1724.9999999999998</v>
      </c>
      <c r="D480" s="899">
        <v>3500</v>
      </c>
      <c r="E480" s="1335">
        <v>3500</v>
      </c>
      <c r="F480" s="899">
        <f t="shared" si="34"/>
        <v>2242.5</v>
      </c>
      <c r="G480" s="897">
        <v>2</v>
      </c>
      <c r="H480" s="901"/>
      <c r="I480" s="902"/>
      <c r="J480" s="897"/>
      <c r="K480" s="903"/>
      <c r="L480" s="899">
        <f t="shared" si="33"/>
        <v>1775.0000000000002</v>
      </c>
      <c r="M480" s="903"/>
      <c r="N480" s="903"/>
      <c r="O480" s="903"/>
      <c r="P480" s="902"/>
      <c r="Q480" s="902"/>
      <c r="R480" s="902"/>
      <c r="S480" s="903"/>
      <c r="T480" s="902"/>
      <c r="U480" s="902"/>
      <c r="V480" s="902"/>
      <c r="W480" s="902"/>
      <c r="X480" s="902"/>
      <c r="Y480" s="902"/>
      <c r="Z480" s="902"/>
      <c r="AA480" s="902"/>
      <c r="AB480" s="902"/>
      <c r="AC480" s="902"/>
    </row>
    <row r="481" spans="1:29" ht="16.3" hidden="1" outlineLevel="1" thickBot="1">
      <c r="A481" s="897" t="s">
        <v>1592</v>
      </c>
      <c r="B481" s="926" t="s">
        <v>53</v>
      </c>
      <c r="C481" s="898">
        <v>1380</v>
      </c>
      <c r="D481" s="899">
        <v>3200</v>
      </c>
      <c r="E481" s="1335">
        <v>3200</v>
      </c>
      <c r="F481" s="899">
        <f t="shared" si="34"/>
        <v>1794</v>
      </c>
      <c r="G481" s="900">
        <v>1</v>
      </c>
      <c r="H481" s="901"/>
      <c r="I481" s="902"/>
      <c r="J481" s="897"/>
      <c r="K481" s="903"/>
      <c r="L481" s="899">
        <f t="shared" si="33"/>
        <v>1820</v>
      </c>
      <c r="M481" s="903"/>
      <c r="N481" s="903"/>
      <c r="O481" s="903"/>
      <c r="P481" s="902"/>
      <c r="Q481" s="902"/>
      <c r="R481" s="902"/>
      <c r="S481" s="903"/>
      <c r="T481" s="902"/>
      <c r="U481" s="902"/>
      <c r="V481" s="902"/>
      <c r="W481" s="902"/>
      <c r="X481" s="902"/>
      <c r="Y481" s="902"/>
      <c r="Z481" s="902"/>
      <c r="AA481" s="902"/>
      <c r="AB481" s="902"/>
      <c r="AC481" s="902"/>
    </row>
    <row r="482" spans="1:29" ht="16.3" hidden="1" outlineLevel="1" thickBot="1">
      <c r="A482" s="897" t="s">
        <v>1607</v>
      </c>
      <c r="B482" s="926" t="s">
        <v>22</v>
      </c>
      <c r="C482" s="898">
        <v>135</v>
      </c>
      <c r="D482" s="899">
        <v>200</v>
      </c>
      <c r="E482" s="1335">
        <v>200</v>
      </c>
      <c r="F482" s="899">
        <f t="shared" si="34"/>
        <v>175.5</v>
      </c>
      <c r="G482" s="900">
        <v>1</v>
      </c>
      <c r="H482" s="901"/>
      <c r="I482" s="902"/>
      <c r="J482" s="897"/>
      <c r="K482" s="903"/>
      <c r="L482" s="899">
        <f t="shared" si="33"/>
        <v>65</v>
      </c>
      <c r="M482" s="903"/>
      <c r="N482" s="903"/>
      <c r="O482" s="903"/>
      <c r="P482" s="902"/>
      <c r="Q482" s="902"/>
      <c r="R482" s="902"/>
      <c r="S482" s="903"/>
      <c r="T482" s="902"/>
      <c r="U482" s="902"/>
      <c r="V482" s="902"/>
      <c r="W482" s="902"/>
      <c r="X482" s="902"/>
      <c r="Y482" s="902"/>
      <c r="Z482" s="902"/>
      <c r="AA482" s="902"/>
      <c r="AB482" s="902"/>
      <c r="AC482" s="902"/>
    </row>
    <row r="483" spans="1:29" ht="16.3" hidden="1" outlineLevel="1" thickBot="1">
      <c r="A483" s="897" t="s">
        <v>1608</v>
      </c>
      <c r="B483" s="926" t="s">
        <v>19</v>
      </c>
      <c r="C483" s="898">
        <v>69</v>
      </c>
      <c r="D483" s="899">
        <v>600</v>
      </c>
      <c r="E483" s="1335">
        <v>600</v>
      </c>
      <c r="F483" s="899">
        <f t="shared" si="34"/>
        <v>89.7</v>
      </c>
      <c r="G483" s="900">
        <v>1</v>
      </c>
      <c r="H483" s="901"/>
      <c r="I483" s="902"/>
      <c r="J483" s="897"/>
      <c r="K483" s="903"/>
      <c r="L483" s="899">
        <f t="shared" si="33"/>
        <v>531</v>
      </c>
      <c r="M483" s="903"/>
      <c r="N483" s="903"/>
      <c r="O483" s="903"/>
      <c r="P483" s="902"/>
      <c r="Q483" s="902"/>
      <c r="R483" s="902"/>
      <c r="S483" s="903"/>
      <c r="T483" s="902"/>
      <c r="U483" s="902"/>
      <c r="V483" s="902"/>
      <c r="W483" s="902"/>
      <c r="X483" s="902"/>
      <c r="Y483" s="902"/>
      <c r="Z483" s="902"/>
      <c r="AA483" s="902"/>
      <c r="AB483" s="902"/>
      <c r="AC483" s="902"/>
    </row>
    <row r="484" spans="1:29" ht="16.3" hidden="1" outlineLevel="1" thickBot="1">
      <c r="A484" s="897" t="s">
        <v>1613</v>
      </c>
      <c r="B484" s="926" t="s">
        <v>2751</v>
      </c>
      <c r="C484" s="898">
        <v>69</v>
      </c>
      <c r="D484" s="899">
        <v>200</v>
      </c>
      <c r="E484" s="1335">
        <v>200</v>
      </c>
      <c r="F484" s="899">
        <v>90</v>
      </c>
      <c r="G484" s="900">
        <v>1</v>
      </c>
      <c r="H484" s="901"/>
      <c r="I484" s="902"/>
      <c r="J484" s="897"/>
      <c r="K484" s="903"/>
      <c r="L484" s="899">
        <f t="shared" si="33"/>
        <v>131</v>
      </c>
      <c r="M484" s="903"/>
      <c r="N484" s="903"/>
      <c r="O484" s="903"/>
      <c r="P484" s="902"/>
      <c r="Q484" s="902"/>
      <c r="R484" s="902"/>
      <c r="S484" s="903"/>
      <c r="T484" s="902"/>
      <c r="U484" s="902"/>
      <c r="V484" s="902"/>
      <c r="W484" s="902"/>
      <c r="X484" s="902"/>
      <c r="Y484" s="902"/>
      <c r="Z484" s="902"/>
      <c r="AA484" s="902"/>
      <c r="AB484" s="902"/>
      <c r="AC484" s="902"/>
    </row>
    <row r="485" spans="1:29" ht="16.3" hidden="1" outlineLevel="1" thickBot="1">
      <c r="A485" s="897" t="s">
        <v>1492</v>
      </c>
      <c r="B485" s="926" t="s">
        <v>2755</v>
      </c>
      <c r="C485" s="898">
        <v>253</v>
      </c>
      <c r="D485" s="899">
        <v>500</v>
      </c>
      <c r="E485" s="1335">
        <v>500</v>
      </c>
      <c r="F485" s="899">
        <v>329</v>
      </c>
      <c r="G485" s="900">
        <v>1</v>
      </c>
      <c r="H485" s="901"/>
      <c r="I485" s="902"/>
      <c r="J485" s="897"/>
      <c r="K485" s="903"/>
      <c r="L485" s="899">
        <f t="shared" si="33"/>
        <v>247</v>
      </c>
      <c r="M485" s="903"/>
      <c r="N485" s="903"/>
      <c r="O485" s="903"/>
      <c r="P485" s="902"/>
      <c r="Q485" s="902"/>
      <c r="R485" s="902"/>
      <c r="S485" s="903"/>
      <c r="T485" s="902"/>
      <c r="U485" s="902"/>
      <c r="V485" s="902"/>
      <c r="W485" s="902"/>
      <c r="X485" s="902"/>
      <c r="Y485" s="902"/>
      <c r="Z485" s="902"/>
      <c r="AA485" s="902"/>
      <c r="AB485" s="902"/>
      <c r="AC485" s="902"/>
    </row>
    <row r="486" spans="1:29" ht="16.3" hidden="1" outlineLevel="1" thickBot="1">
      <c r="A486" s="897" t="s">
        <v>948</v>
      </c>
      <c r="B486" s="926" t="s">
        <v>1628</v>
      </c>
      <c r="C486" s="898">
        <v>175</v>
      </c>
      <c r="D486" s="899">
        <v>700</v>
      </c>
      <c r="E486" s="1335">
        <v>700</v>
      </c>
      <c r="F486" s="899">
        <f>C486*1.3</f>
        <v>227.5</v>
      </c>
      <c r="G486" s="900">
        <v>1</v>
      </c>
      <c r="H486" s="901"/>
      <c r="I486" s="902"/>
      <c r="J486" s="897"/>
      <c r="K486" s="903"/>
      <c r="L486" s="899">
        <f t="shared" si="33"/>
        <v>525</v>
      </c>
      <c r="M486" s="903"/>
      <c r="N486" s="903"/>
      <c r="O486" s="903"/>
      <c r="P486" s="902"/>
      <c r="Q486" s="902"/>
      <c r="R486" s="902"/>
      <c r="S486" s="903"/>
      <c r="T486" s="902"/>
      <c r="U486" s="902"/>
      <c r="V486" s="902"/>
      <c r="W486" s="902"/>
      <c r="X486" s="902"/>
      <c r="Y486" s="902"/>
      <c r="Z486" s="902"/>
      <c r="AA486" s="902"/>
      <c r="AB486" s="902"/>
      <c r="AC486" s="902"/>
    </row>
    <row r="487" spans="1:29" ht="16.3" hidden="1" outlineLevel="1" thickBot="1">
      <c r="A487" s="897" t="s">
        <v>1650</v>
      </c>
      <c r="B487" s="926" t="s">
        <v>24</v>
      </c>
      <c r="C487" s="898">
        <v>125</v>
      </c>
      <c r="D487" s="899">
        <v>200</v>
      </c>
      <c r="E487" s="1335">
        <v>200</v>
      </c>
      <c r="F487" s="899">
        <f>C487*1.3</f>
        <v>162.5</v>
      </c>
      <c r="G487" s="900">
        <v>1</v>
      </c>
      <c r="H487" s="911"/>
      <c r="I487" s="912"/>
      <c r="J487" s="920"/>
      <c r="K487" s="903"/>
      <c r="L487" s="899">
        <f t="shared" si="33"/>
        <v>75</v>
      </c>
      <c r="M487" s="899"/>
      <c r="N487" s="904"/>
      <c r="O487" s="905"/>
      <c r="P487" s="899"/>
      <c r="Q487" s="899"/>
      <c r="R487" s="898"/>
      <c r="S487" s="899"/>
      <c r="T487" s="899"/>
      <c r="U487" s="904"/>
      <c r="V487" s="905"/>
      <c r="W487" s="902"/>
      <c r="X487" s="897"/>
      <c r="Y487" s="898"/>
      <c r="Z487" s="902"/>
      <c r="AA487" s="902"/>
      <c r="AB487" s="902"/>
      <c r="AC487" s="902"/>
    </row>
    <row r="488" spans="1:29" ht="16.3" hidden="1" outlineLevel="1" thickBot="1">
      <c r="A488" s="897" t="s">
        <v>1693</v>
      </c>
      <c r="B488" s="926" t="s">
        <v>21</v>
      </c>
      <c r="C488" s="898">
        <v>135</v>
      </c>
      <c r="D488" s="899">
        <v>200</v>
      </c>
      <c r="E488" s="1335">
        <v>200</v>
      </c>
      <c r="F488" s="899">
        <f>C488*1.3</f>
        <v>175.5</v>
      </c>
      <c r="G488" s="900">
        <v>1</v>
      </c>
      <c r="H488" s="901"/>
      <c r="I488" s="902"/>
      <c r="J488" s="897"/>
      <c r="K488" s="903"/>
      <c r="L488" s="899">
        <f t="shared" si="33"/>
        <v>65</v>
      </c>
      <c r="M488" s="903"/>
      <c r="N488" s="903"/>
      <c r="O488" s="903"/>
      <c r="P488" s="902"/>
      <c r="Q488" s="902"/>
      <c r="R488" s="902"/>
      <c r="S488" s="903"/>
      <c r="T488" s="902"/>
      <c r="U488" s="902"/>
      <c r="V488" s="902"/>
      <c r="W488" s="902"/>
      <c r="X488" s="902"/>
      <c r="Y488" s="902"/>
      <c r="Z488" s="902"/>
      <c r="AA488" s="902"/>
      <c r="AB488" s="902"/>
      <c r="AC488" s="902"/>
    </row>
    <row r="489" spans="1:29" ht="16.3" hidden="1" outlineLevel="1" thickBot="1">
      <c r="A489" s="897" t="s">
        <v>1716</v>
      </c>
      <c r="B489" s="926" t="s">
        <v>25</v>
      </c>
      <c r="C489" s="898">
        <v>69</v>
      </c>
      <c r="D489" s="899">
        <v>600</v>
      </c>
      <c r="E489" s="1335">
        <v>600</v>
      </c>
      <c r="F489" s="899">
        <f>C489*1.3</f>
        <v>89.7</v>
      </c>
      <c r="G489" s="900">
        <v>1</v>
      </c>
      <c r="H489" s="901"/>
      <c r="I489" s="902"/>
      <c r="J489" s="897"/>
      <c r="K489" s="903"/>
      <c r="L489" s="899">
        <f t="shared" si="33"/>
        <v>531</v>
      </c>
      <c r="M489" s="903"/>
      <c r="N489" s="903"/>
      <c r="O489" s="903"/>
      <c r="P489" s="902"/>
      <c r="Q489" s="902"/>
      <c r="R489" s="902"/>
      <c r="S489" s="903"/>
      <c r="T489" s="902"/>
      <c r="U489" s="902"/>
      <c r="V489" s="902"/>
      <c r="W489" s="902"/>
      <c r="X489" s="902"/>
      <c r="Y489" s="902"/>
      <c r="Z489" s="902"/>
      <c r="AA489" s="902"/>
      <c r="AB489" s="902"/>
      <c r="AC489" s="902"/>
    </row>
    <row r="490" spans="1:29" ht="16.3" hidden="1" outlineLevel="1" thickBot="1">
      <c r="A490" s="897" t="s">
        <v>1440</v>
      </c>
      <c r="B490" s="926" t="s">
        <v>2759</v>
      </c>
      <c r="C490" s="932">
        <v>69</v>
      </c>
      <c r="D490" s="930">
        <v>500</v>
      </c>
      <c r="E490" s="1346">
        <v>500</v>
      </c>
      <c r="F490" s="930">
        <v>90</v>
      </c>
      <c r="G490" s="900">
        <v>1</v>
      </c>
      <c r="H490" s="936"/>
      <c r="I490" s="933"/>
      <c r="J490" s="897"/>
      <c r="K490" s="903"/>
      <c r="L490" s="899">
        <f t="shared" si="33"/>
        <v>431</v>
      </c>
      <c r="M490" s="930"/>
      <c r="N490" s="904"/>
      <c r="O490" s="931"/>
      <c r="P490" s="930"/>
      <c r="Q490" s="930"/>
      <c r="R490" s="932"/>
      <c r="S490" s="930"/>
      <c r="T490" s="930"/>
      <c r="U490" s="904"/>
      <c r="V490" s="931"/>
      <c r="W490" s="933"/>
      <c r="X490" s="897"/>
      <c r="Y490" s="932"/>
      <c r="Z490" s="902"/>
      <c r="AA490" s="902"/>
      <c r="AB490" s="902"/>
      <c r="AC490" s="902"/>
    </row>
    <row r="491" spans="1:29" ht="16.3" hidden="1" outlineLevel="1" thickBot="1">
      <c r="A491" s="897" t="s">
        <v>1807</v>
      </c>
      <c r="B491" s="926" t="s">
        <v>30</v>
      </c>
      <c r="C491" s="898">
        <v>460</v>
      </c>
      <c r="D491" s="899">
        <v>850</v>
      </c>
      <c r="E491" s="1335">
        <v>850</v>
      </c>
      <c r="F491" s="899">
        <f t="shared" ref="F491:F500" si="35">C491*1.3</f>
        <v>598</v>
      </c>
      <c r="G491" s="900">
        <v>1</v>
      </c>
      <c r="H491" s="901"/>
      <c r="I491" s="902"/>
      <c r="J491" s="897"/>
      <c r="K491" s="903"/>
      <c r="L491" s="899">
        <f t="shared" si="33"/>
        <v>390</v>
      </c>
      <c r="M491" s="903"/>
      <c r="N491" s="903"/>
      <c r="O491" s="903"/>
      <c r="P491" s="902"/>
      <c r="Q491" s="902"/>
      <c r="R491" s="902"/>
      <c r="S491" s="903"/>
      <c r="T491" s="902"/>
      <c r="U491" s="902"/>
      <c r="V491" s="902"/>
      <c r="W491" s="902"/>
      <c r="X491" s="902"/>
      <c r="Y491" s="902"/>
      <c r="Z491" s="902"/>
      <c r="AA491" s="902"/>
      <c r="AB491" s="902"/>
      <c r="AC491" s="902"/>
    </row>
    <row r="492" spans="1:29" ht="16.3" hidden="1" outlineLevel="1" thickBot="1">
      <c r="A492" s="897" t="s">
        <v>1813</v>
      </c>
      <c r="B492" s="926" t="s">
        <v>505</v>
      </c>
      <c r="C492" s="898">
        <v>69</v>
      </c>
      <c r="D492" s="899">
        <v>600</v>
      </c>
      <c r="E492" s="1335">
        <v>600</v>
      </c>
      <c r="F492" s="899">
        <f t="shared" si="35"/>
        <v>89.7</v>
      </c>
      <c r="G492" s="900">
        <v>1</v>
      </c>
      <c r="H492" s="901"/>
      <c r="I492" s="902"/>
      <c r="J492" s="897"/>
      <c r="K492" s="903"/>
      <c r="L492" s="899">
        <f t="shared" si="33"/>
        <v>531</v>
      </c>
      <c r="M492" s="903"/>
      <c r="N492" s="903"/>
      <c r="O492" s="903"/>
      <c r="P492" s="902"/>
      <c r="Q492" s="902"/>
      <c r="R492" s="902"/>
      <c r="S492" s="903"/>
      <c r="T492" s="902"/>
      <c r="U492" s="902"/>
      <c r="V492" s="902"/>
      <c r="W492" s="902"/>
      <c r="X492" s="902"/>
      <c r="Y492" s="902"/>
      <c r="Z492" s="902"/>
      <c r="AA492" s="902"/>
      <c r="AB492" s="902"/>
      <c r="AC492" s="902"/>
    </row>
    <row r="493" spans="1:29" ht="16.3" hidden="1" outlineLevel="1" thickBot="1">
      <c r="A493" s="897" t="s">
        <v>54</v>
      </c>
      <c r="B493" s="926" t="s">
        <v>54</v>
      </c>
      <c r="C493" s="898">
        <v>1150</v>
      </c>
      <c r="D493" s="899">
        <v>1900</v>
      </c>
      <c r="E493" s="1335">
        <v>1900</v>
      </c>
      <c r="F493" s="899">
        <f t="shared" si="35"/>
        <v>1495</v>
      </c>
      <c r="G493" s="900">
        <v>1</v>
      </c>
      <c r="H493" s="901"/>
      <c r="I493" s="902"/>
      <c r="J493" s="897"/>
      <c r="K493" s="903"/>
      <c r="L493" s="899">
        <f t="shared" si="33"/>
        <v>750</v>
      </c>
      <c r="M493" s="903"/>
      <c r="N493" s="903"/>
      <c r="O493" s="903"/>
      <c r="P493" s="902"/>
      <c r="Q493" s="902"/>
      <c r="R493" s="902"/>
      <c r="S493" s="903"/>
      <c r="T493" s="902"/>
      <c r="U493" s="902"/>
      <c r="V493" s="902"/>
      <c r="W493" s="902"/>
      <c r="X493" s="902"/>
      <c r="Y493" s="902"/>
      <c r="Z493" s="902"/>
      <c r="AA493" s="902"/>
      <c r="AB493" s="902"/>
      <c r="AC493" s="902"/>
    </row>
    <row r="494" spans="1:29" ht="16.3" hidden="1" outlineLevel="1" thickBot="1">
      <c r="A494" s="897" t="s">
        <v>1824</v>
      </c>
      <c r="B494" s="926" t="s">
        <v>861</v>
      </c>
      <c r="C494" s="898">
        <v>135</v>
      </c>
      <c r="D494" s="899">
        <v>600</v>
      </c>
      <c r="E494" s="1335">
        <v>600</v>
      </c>
      <c r="F494" s="899">
        <f t="shared" si="35"/>
        <v>175.5</v>
      </c>
      <c r="G494" s="900">
        <v>1</v>
      </c>
      <c r="H494" s="901"/>
      <c r="I494" s="902"/>
      <c r="J494" s="897"/>
      <c r="K494" s="903"/>
      <c r="L494" s="899">
        <f t="shared" si="33"/>
        <v>465</v>
      </c>
      <c r="M494" s="903"/>
      <c r="N494" s="903"/>
      <c r="O494" s="903"/>
      <c r="P494" s="902"/>
      <c r="Q494" s="902"/>
      <c r="R494" s="902"/>
      <c r="S494" s="903"/>
      <c r="T494" s="902"/>
      <c r="U494" s="902"/>
      <c r="V494" s="902"/>
      <c r="W494" s="902"/>
      <c r="X494" s="902"/>
      <c r="Y494" s="902"/>
      <c r="Z494" s="902"/>
      <c r="AA494" s="902"/>
      <c r="AB494" s="902"/>
      <c r="AC494" s="902"/>
    </row>
    <row r="495" spans="1:29" ht="16.3" hidden="1" outlineLevel="1" thickBot="1">
      <c r="A495" s="897" t="s">
        <v>527</v>
      </c>
      <c r="B495" s="926" t="s">
        <v>1831</v>
      </c>
      <c r="C495" s="898">
        <v>340</v>
      </c>
      <c r="D495" s="899">
        <v>1200</v>
      </c>
      <c r="E495" s="1335">
        <v>1200</v>
      </c>
      <c r="F495" s="899">
        <f t="shared" si="35"/>
        <v>442</v>
      </c>
      <c r="G495" s="900">
        <v>1</v>
      </c>
      <c r="H495" s="901"/>
      <c r="I495" s="902"/>
      <c r="J495" s="897"/>
      <c r="K495" s="903"/>
      <c r="L495" s="899">
        <f t="shared" si="33"/>
        <v>860</v>
      </c>
      <c r="M495" s="903"/>
      <c r="N495" s="903"/>
      <c r="O495" s="903"/>
      <c r="P495" s="902"/>
      <c r="Q495" s="902"/>
      <c r="R495" s="902"/>
      <c r="S495" s="903"/>
      <c r="T495" s="902"/>
      <c r="U495" s="902"/>
      <c r="V495" s="902"/>
      <c r="W495" s="902"/>
      <c r="X495" s="902"/>
      <c r="Y495" s="902"/>
      <c r="Z495" s="902"/>
      <c r="AA495" s="902"/>
      <c r="AB495" s="902"/>
      <c r="AC495" s="902"/>
    </row>
    <row r="496" spans="1:29" ht="16.3" hidden="1" outlineLevel="1" thickBot="1">
      <c r="A496" s="897" t="s">
        <v>1861</v>
      </c>
      <c r="B496" s="926" t="s">
        <v>1862</v>
      </c>
      <c r="C496" s="898">
        <v>175</v>
      </c>
      <c r="D496" s="899">
        <v>1200</v>
      </c>
      <c r="E496" s="1335">
        <v>1200</v>
      </c>
      <c r="F496" s="899">
        <f t="shared" si="35"/>
        <v>227.5</v>
      </c>
      <c r="G496" s="900">
        <v>1</v>
      </c>
      <c r="H496" s="901"/>
      <c r="I496" s="902"/>
      <c r="J496" s="897"/>
      <c r="K496" s="903"/>
      <c r="L496" s="899">
        <f t="shared" si="33"/>
        <v>1025</v>
      </c>
      <c r="M496" s="903"/>
      <c r="N496" s="903"/>
      <c r="O496" s="903"/>
      <c r="P496" s="902"/>
      <c r="Q496" s="902"/>
      <c r="R496" s="902"/>
      <c r="S496" s="903"/>
      <c r="T496" s="902"/>
      <c r="U496" s="902"/>
      <c r="V496" s="902"/>
      <c r="W496" s="902"/>
      <c r="X496" s="902"/>
      <c r="Y496" s="902"/>
      <c r="Z496" s="902"/>
      <c r="AA496" s="902"/>
      <c r="AB496" s="902"/>
      <c r="AC496" s="902"/>
    </row>
    <row r="497" spans="1:29" ht="16.3" hidden="1" outlineLevel="1" thickBot="1">
      <c r="A497" s="897" t="s">
        <v>1782</v>
      </c>
      <c r="B497" s="926" t="s">
        <v>2355</v>
      </c>
      <c r="C497" s="898">
        <v>600</v>
      </c>
      <c r="D497" s="899">
        <v>1300</v>
      </c>
      <c r="E497" s="1335">
        <v>1300</v>
      </c>
      <c r="F497" s="899">
        <f t="shared" si="35"/>
        <v>780</v>
      </c>
      <c r="G497" s="900">
        <v>1</v>
      </c>
      <c r="H497" s="901"/>
      <c r="I497" s="902"/>
      <c r="J497" s="897"/>
      <c r="K497" s="903"/>
      <c r="L497" s="899">
        <f t="shared" si="33"/>
        <v>700</v>
      </c>
      <c r="M497" s="903"/>
      <c r="N497" s="903"/>
      <c r="O497" s="903"/>
      <c r="P497" s="902"/>
      <c r="Q497" s="902"/>
      <c r="R497" s="902"/>
      <c r="S497" s="903"/>
      <c r="T497" s="902"/>
      <c r="U497" s="902"/>
      <c r="V497" s="902"/>
      <c r="W497" s="902"/>
      <c r="X497" s="902"/>
      <c r="Y497" s="902"/>
      <c r="Z497" s="902"/>
      <c r="AA497" s="902"/>
      <c r="AB497" s="902"/>
      <c r="AC497" s="902"/>
    </row>
    <row r="498" spans="1:29" ht="16.3" hidden="1" outlineLevel="1" thickBot="1">
      <c r="A498" s="897" t="s">
        <v>1493</v>
      </c>
      <c r="B498" s="926" t="s">
        <v>509</v>
      </c>
      <c r="C498" s="898">
        <v>3600</v>
      </c>
      <c r="D498" s="899">
        <v>4500</v>
      </c>
      <c r="E498" s="1335">
        <v>4500</v>
      </c>
      <c r="F498" s="899">
        <f t="shared" si="35"/>
        <v>4680</v>
      </c>
      <c r="G498" s="900">
        <v>1</v>
      </c>
      <c r="H498" s="919"/>
      <c r="I498" s="912"/>
      <c r="J498" s="913"/>
      <c r="K498" s="912"/>
      <c r="L498" s="899">
        <f t="shared" si="33"/>
        <v>900</v>
      </c>
      <c r="M498" s="899"/>
      <c r="N498" s="904"/>
      <c r="O498" s="905"/>
      <c r="P498" s="899"/>
      <c r="Q498" s="899"/>
      <c r="R498" s="898"/>
      <c r="S498" s="899"/>
      <c r="T498" s="899"/>
      <c r="U498" s="904"/>
      <c r="V498" s="905"/>
      <c r="W498" s="902"/>
      <c r="X498" s="897"/>
      <c r="Y498" s="898"/>
      <c r="Z498" s="902"/>
      <c r="AA498" s="902"/>
      <c r="AB498" s="902"/>
      <c r="AC498" s="902"/>
    </row>
    <row r="499" spans="1:29" ht="16.3" hidden="1" outlineLevel="1" thickBot="1">
      <c r="A499" s="897" t="s">
        <v>508</v>
      </c>
      <c r="B499" s="926" t="s">
        <v>508</v>
      </c>
      <c r="C499" s="898">
        <v>69</v>
      </c>
      <c r="D499" s="899">
        <v>300</v>
      </c>
      <c r="E499" s="1335">
        <v>300</v>
      </c>
      <c r="F499" s="899">
        <f t="shared" si="35"/>
        <v>89.7</v>
      </c>
      <c r="G499" s="900">
        <v>1</v>
      </c>
      <c r="H499" s="901"/>
      <c r="I499" s="902"/>
      <c r="J499" s="897"/>
      <c r="K499" s="903"/>
      <c r="L499" s="899">
        <f t="shared" si="33"/>
        <v>231</v>
      </c>
      <c r="M499" s="903"/>
      <c r="N499" s="903"/>
      <c r="O499" s="903"/>
      <c r="P499" s="902"/>
      <c r="Q499" s="902"/>
      <c r="R499" s="902"/>
      <c r="S499" s="1564"/>
      <c r="T499" s="1564"/>
      <c r="U499" s="902"/>
      <c r="V499" s="902"/>
      <c r="W499" s="902"/>
      <c r="X499" s="902"/>
      <c r="Y499" s="902"/>
      <c r="Z499" s="902"/>
      <c r="AA499" s="902"/>
      <c r="AB499" s="902"/>
      <c r="AC499" s="902"/>
    </row>
    <row r="500" spans="1:29" ht="16.3" hidden="1" outlineLevel="1" thickBot="1">
      <c r="A500" s="897" t="s">
        <v>1545</v>
      </c>
      <c r="B500" s="926" t="s">
        <v>1546</v>
      </c>
      <c r="C500" s="898">
        <v>1380</v>
      </c>
      <c r="D500" s="899">
        <v>4200</v>
      </c>
      <c r="E500" s="1335">
        <v>4000</v>
      </c>
      <c r="F500" s="899">
        <f t="shared" si="35"/>
        <v>1794</v>
      </c>
      <c r="G500" s="900">
        <v>1</v>
      </c>
      <c r="H500" s="901"/>
      <c r="I500" s="902"/>
      <c r="J500" s="897"/>
      <c r="K500" s="903"/>
      <c r="L500" s="899">
        <f t="shared" si="33"/>
        <v>2620</v>
      </c>
      <c r="M500" s="903"/>
      <c r="N500" s="903"/>
      <c r="O500" s="903"/>
      <c r="P500" s="902"/>
      <c r="Q500" s="902"/>
      <c r="R500" s="902"/>
      <c r="S500" s="902"/>
      <c r="T500" s="902"/>
      <c r="U500" s="902"/>
      <c r="V500" s="902"/>
      <c r="W500" s="902"/>
      <c r="X500" s="902"/>
      <c r="Y500" s="902"/>
      <c r="Z500" s="902"/>
      <c r="AA500" s="902"/>
      <c r="AB500" s="902"/>
      <c r="AC500" s="902"/>
    </row>
    <row r="501" spans="1:29" ht="16.3" collapsed="1" thickBot="1">
      <c r="A501" s="917" t="s">
        <v>953</v>
      </c>
      <c r="B501" s="892" t="s">
        <v>5889</v>
      </c>
      <c r="C501" s="892">
        <f>SUM(C502:C542)</f>
        <v>25529</v>
      </c>
      <c r="D501" s="892">
        <f>SUM(D502:D542)</f>
        <v>52940</v>
      </c>
      <c r="E501" s="1344">
        <v>40000</v>
      </c>
      <c r="F501" s="892">
        <f>SUM(F502:F542)</f>
        <v>33189.200000000004</v>
      </c>
      <c r="G501" s="894" t="s">
        <v>5876</v>
      </c>
      <c r="H501" s="895"/>
      <c r="I501" s="902" t="str">
        <f>IF(H501="x",CONCATENATE(A501,"; "),"")</f>
        <v/>
      </c>
      <c r="J501" s="897"/>
      <c r="K501" s="903"/>
      <c r="L501" s="899">
        <f t="shared" si="33"/>
        <v>14471</v>
      </c>
      <c r="M501" s="933"/>
      <c r="N501" s="933"/>
      <c r="O501" s="933"/>
      <c r="P501" s="933"/>
      <c r="Q501" s="933"/>
      <c r="R501" s="933"/>
      <c r="S501" s="933"/>
      <c r="T501" s="933"/>
      <c r="U501" s="933"/>
      <c r="V501" s="933"/>
      <c r="W501" s="902"/>
      <c r="X501" s="902"/>
      <c r="Y501" s="902"/>
      <c r="Z501" s="902"/>
      <c r="AA501" s="902"/>
      <c r="AB501" s="902"/>
      <c r="AC501" s="902"/>
    </row>
    <row r="502" spans="1:29" ht="13.95" hidden="1" customHeight="1" outlineLevel="1">
      <c r="A502" s="897" t="s">
        <v>1391</v>
      </c>
      <c r="B502" s="926" t="s">
        <v>1392</v>
      </c>
      <c r="C502" s="898">
        <v>69</v>
      </c>
      <c r="D502" s="899">
        <v>400</v>
      </c>
      <c r="E502" s="1335">
        <v>400</v>
      </c>
      <c r="F502" s="899">
        <f t="shared" ref="F502:F512" si="36">C502*1.3</f>
        <v>89.7</v>
      </c>
      <c r="G502" s="900"/>
      <c r="H502" s="901"/>
      <c r="I502" s="902"/>
      <c r="J502" s="910"/>
      <c r="K502" s="903"/>
      <c r="L502" s="899">
        <f t="shared" si="33"/>
        <v>331</v>
      </c>
      <c r="M502" s="933"/>
      <c r="N502" s="933"/>
      <c r="O502" s="933"/>
      <c r="P502" s="933"/>
      <c r="Q502" s="933"/>
      <c r="R502" s="933"/>
      <c r="S502" s="933"/>
      <c r="T502" s="933"/>
      <c r="U502" s="933"/>
      <c r="V502" s="933"/>
      <c r="W502" s="902"/>
      <c r="X502" s="902"/>
      <c r="Y502" s="902"/>
      <c r="Z502" s="902"/>
      <c r="AA502" s="902"/>
      <c r="AB502" s="902"/>
      <c r="AC502" s="902"/>
    </row>
    <row r="503" spans="1:29" ht="13.95" hidden="1" customHeight="1" outlineLevel="1">
      <c r="A503" s="897" t="s">
        <v>1395</v>
      </c>
      <c r="B503" s="926" t="s">
        <v>1396</v>
      </c>
      <c r="C503" s="898">
        <v>69</v>
      </c>
      <c r="D503" s="899">
        <v>400</v>
      </c>
      <c r="E503" s="1335">
        <v>400</v>
      </c>
      <c r="F503" s="899">
        <f t="shared" si="36"/>
        <v>89.7</v>
      </c>
      <c r="G503" s="900"/>
      <c r="H503" s="901"/>
      <c r="I503" s="902"/>
      <c r="J503" s="897"/>
      <c r="K503" s="903"/>
      <c r="L503" s="899">
        <f t="shared" si="33"/>
        <v>331</v>
      </c>
      <c r="M503" s="933"/>
      <c r="N503" s="933"/>
      <c r="O503" s="933"/>
      <c r="P503" s="933"/>
      <c r="Q503" s="933"/>
      <c r="R503" s="933"/>
      <c r="S503" s="933"/>
      <c r="T503" s="933"/>
      <c r="U503" s="933"/>
      <c r="V503" s="933"/>
      <c r="W503" s="902"/>
      <c r="X503" s="902"/>
      <c r="Y503" s="902"/>
      <c r="Z503" s="902"/>
      <c r="AA503" s="902"/>
      <c r="AB503" s="902"/>
      <c r="AC503" s="902"/>
    </row>
    <row r="504" spans="1:29" ht="13.95" hidden="1" customHeight="1" outlineLevel="1">
      <c r="A504" s="897" t="s">
        <v>1397</v>
      </c>
      <c r="B504" s="926" t="s">
        <v>38</v>
      </c>
      <c r="C504" s="898">
        <v>345</v>
      </c>
      <c r="D504" s="899">
        <v>500</v>
      </c>
      <c r="E504" s="1335">
        <v>500</v>
      </c>
      <c r="F504" s="899">
        <f t="shared" si="36"/>
        <v>448.5</v>
      </c>
      <c r="G504" s="900"/>
      <c r="H504" s="901"/>
      <c r="I504" s="902"/>
      <c r="J504" s="897"/>
      <c r="K504" s="903"/>
      <c r="L504" s="899">
        <f t="shared" si="33"/>
        <v>155</v>
      </c>
      <c r="M504" s="933"/>
      <c r="N504" s="933"/>
      <c r="O504" s="933"/>
      <c r="P504" s="933"/>
      <c r="Q504" s="933"/>
      <c r="R504" s="933"/>
      <c r="S504" s="933"/>
      <c r="T504" s="933"/>
      <c r="U504" s="933"/>
      <c r="V504" s="933"/>
      <c r="W504" s="902"/>
      <c r="X504" s="902"/>
      <c r="Y504" s="902"/>
      <c r="Z504" s="902"/>
      <c r="AA504" s="902"/>
      <c r="AB504" s="902"/>
      <c r="AC504" s="902"/>
    </row>
    <row r="505" spans="1:29" ht="13.95" hidden="1" customHeight="1" outlineLevel="1">
      <c r="A505" s="897" t="s">
        <v>1606</v>
      </c>
      <c r="B505" s="926" t="s">
        <v>1332</v>
      </c>
      <c r="C505" s="898">
        <v>69</v>
      </c>
      <c r="D505" s="899">
        <v>300</v>
      </c>
      <c r="E505" s="1335">
        <v>300</v>
      </c>
      <c r="F505" s="899">
        <f t="shared" si="36"/>
        <v>89.7</v>
      </c>
      <c r="G505" s="900"/>
      <c r="H505" s="901"/>
      <c r="I505" s="902"/>
      <c r="J505" s="897"/>
      <c r="K505" s="903"/>
      <c r="L505" s="899">
        <f t="shared" si="33"/>
        <v>231</v>
      </c>
      <c r="M505" s="933"/>
      <c r="N505" s="933"/>
      <c r="O505" s="933"/>
      <c r="P505" s="933"/>
      <c r="Q505" s="933"/>
      <c r="R505" s="933"/>
      <c r="S505" s="933"/>
      <c r="T505" s="933"/>
      <c r="U505" s="933"/>
      <c r="V505" s="933"/>
      <c r="W505" s="902"/>
      <c r="X505" s="902"/>
      <c r="Y505" s="902"/>
      <c r="Z505" s="902"/>
      <c r="AA505" s="902"/>
      <c r="AB505" s="902"/>
      <c r="AC505" s="902"/>
    </row>
    <row r="506" spans="1:29" ht="13.95" hidden="1" customHeight="1" outlineLevel="1">
      <c r="A506" s="897" t="s">
        <v>1611</v>
      </c>
      <c r="B506" s="926" t="s">
        <v>1612</v>
      </c>
      <c r="C506" s="898">
        <v>125</v>
      </c>
      <c r="D506" s="899">
        <v>200</v>
      </c>
      <c r="E506" s="1335">
        <v>200</v>
      </c>
      <c r="F506" s="899">
        <f t="shared" si="36"/>
        <v>162.5</v>
      </c>
      <c r="G506" s="900"/>
      <c r="H506" s="901"/>
      <c r="I506" s="902"/>
      <c r="J506" s="897"/>
      <c r="K506" s="903"/>
      <c r="L506" s="899">
        <f t="shared" si="33"/>
        <v>75</v>
      </c>
      <c r="M506" s="933"/>
      <c r="N506" s="933"/>
      <c r="O506" s="933"/>
      <c r="P506" s="933"/>
      <c r="Q506" s="933"/>
      <c r="R506" s="933"/>
      <c r="S506" s="933"/>
      <c r="T506" s="933"/>
      <c r="U506" s="933"/>
      <c r="V506" s="933"/>
      <c r="W506" s="902"/>
      <c r="X506" s="902"/>
      <c r="Y506" s="902"/>
      <c r="Z506" s="902"/>
      <c r="AA506" s="902"/>
      <c r="AB506" s="902"/>
      <c r="AC506" s="902"/>
    </row>
    <row r="507" spans="1:29" ht="13.95" hidden="1" customHeight="1" outlineLevel="1">
      <c r="A507" s="897" t="s">
        <v>1621</v>
      </c>
      <c r="B507" s="926" t="s">
        <v>2346</v>
      </c>
      <c r="C507" s="898">
        <v>175</v>
      </c>
      <c r="D507" s="899">
        <v>400</v>
      </c>
      <c r="E507" s="1335">
        <v>400</v>
      </c>
      <c r="F507" s="899">
        <f t="shared" si="36"/>
        <v>227.5</v>
      </c>
      <c r="G507" s="900"/>
      <c r="H507" s="901"/>
      <c r="I507" s="902"/>
      <c r="J507" s="897"/>
      <c r="K507" s="903"/>
      <c r="L507" s="899">
        <f t="shared" si="33"/>
        <v>225</v>
      </c>
      <c r="M507" s="933"/>
      <c r="N507" s="933"/>
      <c r="O507" s="933"/>
      <c r="P507" s="933"/>
      <c r="Q507" s="933"/>
      <c r="R507" s="933"/>
      <c r="S507" s="933"/>
      <c r="T507" s="933"/>
      <c r="U507" s="933"/>
      <c r="V507" s="933"/>
      <c r="W507" s="902"/>
      <c r="X507" s="902"/>
      <c r="Y507" s="902"/>
      <c r="Z507" s="902"/>
      <c r="AA507" s="902"/>
      <c r="AB507" s="902"/>
      <c r="AC507" s="902"/>
    </row>
    <row r="508" spans="1:29" ht="13.95" hidden="1" customHeight="1" outlineLevel="1">
      <c r="A508" s="897" t="s">
        <v>649</v>
      </c>
      <c r="B508" s="926" t="s">
        <v>649</v>
      </c>
      <c r="C508" s="898">
        <v>460</v>
      </c>
      <c r="D508" s="899">
        <v>1400</v>
      </c>
      <c r="E508" s="1335">
        <v>1400</v>
      </c>
      <c r="F508" s="899">
        <f t="shared" si="36"/>
        <v>598</v>
      </c>
      <c r="G508" s="900"/>
      <c r="H508" s="901"/>
      <c r="I508" s="902"/>
      <c r="J508" s="897"/>
      <c r="K508" s="903"/>
      <c r="L508" s="899">
        <f t="shared" si="33"/>
        <v>940</v>
      </c>
      <c r="M508" s="933"/>
      <c r="N508" s="933"/>
      <c r="O508" s="933"/>
      <c r="P508" s="933"/>
      <c r="Q508" s="933"/>
      <c r="R508" s="933"/>
      <c r="S508" s="933"/>
      <c r="T508" s="933"/>
      <c r="U508" s="933"/>
      <c r="V508" s="933"/>
      <c r="W508" s="902"/>
      <c r="X508" s="902"/>
      <c r="Y508" s="902"/>
      <c r="Z508" s="902"/>
      <c r="AA508" s="902"/>
      <c r="AB508" s="902"/>
      <c r="AC508" s="902"/>
    </row>
    <row r="509" spans="1:29" ht="13.95" hidden="1" customHeight="1" outlineLevel="1">
      <c r="A509" s="897" t="s">
        <v>1371</v>
      </c>
      <c r="B509" s="926" t="s">
        <v>1372</v>
      </c>
      <c r="C509" s="898">
        <v>2415</v>
      </c>
      <c r="D509" s="899">
        <v>5800</v>
      </c>
      <c r="E509" s="1335">
        <v>5800</v>
      </c>
      <c r="F509" s="899">
        <f t="shared" si="36"/>
        <v>3139.5</v>
      </c>
      <c r="G509" s="900"/>
      <c r="H509" s="901"/>
      <c r="I509" s="902"/>
      <c r="J509" s="897"/>
      <c r="K509" s="903"/>
      <c r="L509" s="899">
        <f t="shared" si="33"/>
        <v>3385</v>
      </c>
      <c r="M509" s="933"/>
      <c r="N509" s="933"/>
      <c r="O509" s="933"/>
      <c r="P509" s="933"/>
      <c r="Q509" s="933"/>
      <c r="R509" s="933"/>
      <c r="S509" s="933"/>
      <c r="T509" s="933"/>
      <c r="U509" s="933"/>
      <c r="V509" s="933"/>
      <c r="W509" s="902"/>
      <c r="X509" s="902"/>
      <c r="Y509" s="902"/>
      <c r="Z509" s="902"/>
      <c r="AA509" s="902"/>
      <c r="AB509" s="902"/>
      <c r="AC509" s="902"/>
    </row>
    <row r="510" spans="1:29" ht="13.95" hidden="1" customHeight="1" outlineLevel="1">
      <c r="A510" s="897" t="s">
        <v>1527</v>
      </c>
      <c r="B510" s="926" t="s">
        <v>2752</v>
      </c>
      <c r="C510" s="898">
        <v>130</v>
      </c>
      <c r="D510" s="899">
        <v>600</v>
      </c>
      <c r="E510" s="1335">
        <v>600</v>
      </c>
      <c r="F510" s="899">
        <f t="shared" si="36"/>
        <v>169</v>
      </c>
      <c r="G510" s="897">
        <v>1</v>
      </c>
      <c r="H510" s="901"/>
      <c r="I510" s="902"/>
      <c r="J510" s="897"/>
      <c r="K510" s="903"/>
      <c r="L510" s="899">
        <f t="shared" si="33"/>
        <v>470</v>
      </c>
      <c r="M510" s="933"/>
      <c r="N510" s="933"/>
      <c r="O510" s="933"/>
      <c r="P510" s="933"/>
      <c r="Q510" s="933"/>
      <c r="R510" s="933"/>
      <c r="S510" s="933"/>
      <c r="T510" s="933"/>
      <c r="U510" s="933"/>
      <c r="V510" s="933"/>
      <c r="W510" s="902"/>
      <c r="X510" s="902"/>
      <c r="Y510" s="902"/>
      <c r="Z510" s="902"/>
      <c r="AA510" s="902"/>
      <c r="AB510" s="902"/>
      <c r="AC510" s="902"/>
    </row>
    <row r="511" spans="1:29" ht="13.95" hidden="1" customHeight="1" outlineLevel="1">
      <c r="A511" s="897" t="s">
        <v>681</v>
      </c>
      <c r="B511" s="926" t="s">
        <v>15</v>
      </c>
      <c r="C511" s="898">
        <v>69</v>
      </c>
      <c r="D511" s="899">
        <v>250</v>
      </c>
      <c r="E511" s="1335">
        <v>250</v>
      </c>
      <c r="F511" s="899">
        <f t="shared" si="36"/>
        <v>89.7</v>
      </c>
      <c r="G511" s="900"/>
      <c r="H511" s="901"/>
      <c r="I511" s="902"/>
      <c r="J511" s="897"/>
      <c r="K511" s="903"/>
      <c r="L511" s="899">
        <f t="shared" si="33"/>
        <v>181</v>
      </c>
      <c r="M511" s="933"/>
      <c r="N511" s="933"/>
      <c r="O511" s="933"/>
      <c r="P511" s="933"/>
      <c r="Q511" s="933"/>
      <c r="R511" s="933"/>
      <c r="S511" s="933"/>
      <c r="T511" s="933"/>
      <c r="U511" s="933"/>
      <c r="V511" s="933"/>
      <c r="W511" s="902"/>
      <c r="X511" s="902"/>
      <c r="Y511" s="902"/>
      <c r="Z511" s="902"/>
      <c r="AA511" s="902"/>
      <c r="AB511" s="902"/>
      <c r="AC511" s="902"/>
    </row>
    <row r="512" spans="1:29" ht="13.95" hidden="1" customHeight="1" outlineLevel="1">
      <c r="A512" s="897" t="s">
        <v>1826</v>
      </c>
      <c r="B512" s="926" t="s">
        <v>1827</v>
      </c>
      <c r="C512" s="898">
        <v>69</v>
      </c>
      <c r="D512" s="899">
        <v>640</v>
      </c>
      <c r="E512" s="1335">
        <v>640</v>
      </c>
      <c r="F512" s="899">
        <f t="shared" si="36"/>
        <v>89.7</v>
      </c>
      <c r="G512" s="900"/>
      <c r="H512" s="901"/>
      <c r="I512" s="902"/>
      <c r="J512" s="897"/>
      <c r="K512" s="903"/>
      <c r="L512" s="899">
        <f t="shared" si="33"/>
        <v>571</v>
      </c>
      <c r="M512" s="933"/>
      <c r="N512" s="933"/>
      <c r="O512" s="933"/>
      <c r="P512" s="933"/>
      <c r="Q512" s="933"/>
      <c r="R512" s="933"/>
      <c r="S512" s="933"/>
      <c r="T512" s="933"/>
      <c r="U512" s="933"/>
      <c r="V512" s="933"/>
      <c r="W512" s="902"/>
      <c r="X512" s="902"/>
      <c r="Y512" s="902"/>
      <c r="Z512" s="902"/>
      <c r="AA512" s="902"/>
      <c r="AB512" s="902"/>
      <c r="AC512" s="902"/>
    </row>
    <row r="513" spans="1:29" ht="13.95" hidden="1" customHeight="1" outlineLevel="1">
      <c r="A513" s="897" t="s">
        <v>684</v>
      </c>
      <c r="B513" s="926" t="s">
        <v>1538</v>
      </c>
      <c r="C513" s="898">
        <v>69</v>
      </c>
      <c r="D513" s="899">
        <v>200</v>
      </c>
      <c r="E513" s="1335">
        <v>200</v>
      </c>
      <c r="F513" s="899">
        <v>90</v>
      </c>
      <c r="G513" s="900"/>
      <c r="H513" s="901"/>
      <c r="I513" s="902"/>
      <c r="J513" s="897"/>
      <c r="K513" s="903"/>
      <c r="L513" s="899">
        <f t="shared" si="33"/>
        <v>131</v>
      </c>
      <c r="M513" s="933"/>
      <c r="N513" s="933"/>
      <c r="O513" s="933"/>
      <c r="P513" s="933"/>
      <c r="Q513" s="933"/>
      <c r="R513" s="933"/>
      <c r="S513" s="933"/>
      <c r="T513" s="933"/>
      <c r="U513" s="933"/>
      <c r="V513" s="933"/>
      <c r="W513" s="902"/>
      <c r="X513" s="902"/>
      <c r="Y513" s="902"/>
      <c r="Z513" s="902"/>
      <c r="AA513" s="902"/>
      <c r="AB513" s="902"/>
      <c r="AC513" s="902"/>
    </row>
    <row r="514" spans="1:29" ht="13.95" hidden="1" customHeight="1" outlineLevel="1">
      <c r="A514" s="897" t="s">
        <v>685</v>
      </c>
      <c r="B514" s="926" t="s">
        <v>1539</v>
      </c>
      <c r="C514" s="898">
        <v>69</v>
      </c>
      <c r="D514" s="899">
        <v>200</v>
      </c>
      <c r="E514" s="1335">
        <v>200</v>
      </c>
      <c r="F514" s="899">
        <f t="shared" ref="F514:F522" si="37">C514*1.3</f>
        <v>89.7</v>
      </c>
      <c r="G514" s="900"/>
      <c r="H514" s="901"/>
      <c r="I514" s="902"/>
      <c r="J514" s="897"/>
      <c r="K514" s="903"/>
      <c r="L514" s="899">
        <f t="shared" si="33"/>
        <v>131</v>
      </c>
      <c r="M514" s="933"/>
      <c r="N514" s="933"/>
      <c r="O514" s="933"/>
      <c r="P514" s="933"/>
      <c r="Q514" s="933"/>
      <c r="R514" s="933"/>
      <c r="S514" s="933"/>
      <c r="T514" s="933"/>
      <c r="U514" s="933"/>
      <c r="V514" s="933"/>
      <c r="W514" s="902"/>
      <c r="X514" s="902"/>
      <c r="Y514" s="902"/>
      <c r="Z514" s="902"/>
      <c r="AA514" s="902"/>
      <c r="AB514" s="902"/>
      <c r="AC514" s="902"/>
    </row>
    <row r="515" spans="1:29" ht="13.95" hidden="1" customHeight="1" outlineLevel="1">
      <c r="A515" s="897" t="s">
        <v>1522</v>
      </c>
      <c r="B515" s="926" t="s">
        <v>31</v>
      </c>
      <c r="C515" s="898">
        <v>1150</v>
      </c>
      <c r="D515" s="899">
        <v>2800</v>
      </c>
      <c r="E515" s="1335">
        <v>2800</v>
      </c>
      <c r="F515" s="899">
        <f t="shared" si="37"/>
        <v>1495</v>
      </c>
      <c r="G515" s="900">
        <v>1</v>
      </c>
      <c r="H515" s="901"/>
      <c r="I515" s="902"/>
      <c r="J515" s="897"/>
      <c r="K515" s="903"/>
      <c r="L515" s="899">
        <f t="shared" si="33"/>
        <v>1650</v>
      </c>
      <c r="M515" s="933"/>
      <c r="N515" s="933"/>
      <c r="O515" s="933"/>
      <c r="P515" s="933"/>
      <c r="Q515" s="933"/>
      <c r="R515" s="933"/>
      <c r="S515" s="933"/>
      <c r="T515" s="933"/>
      <c r="U515" s="933"/>
      <c r="V515" s="933"/>
      <c r="W515" s="902"/>
      <c r="X515" s="902"/>
      <c r="Y515" s="902"/>
      <c r="Z515" s="902"/>
      <c r="AA515" s="902"/>
      <c r="AB515" s="902"/>
      <c r="AC515" s="902"/>
    </row>
    <row r="516" spans="1:29" ht="13.95" hidden="1" customHeight="1" outlineLevel="1">
      <c r="A516" s="897" t="s">
        <v>945</v>
      </c>
      <c r="B516" s="926" t="s">
        <v>2748</v>
      </c>
      <c r="C516" s="898">
        <v>230</v>
      </c>
      <c r="D516" s="899">
        <v>600</v>
      </c>
      <c r="E516" s="1335">
        <v>600</v>
      </c>
      <c r="F516" s="899">
        <f t="shared" si="37"/>
        <v>299</v>
      </c>
      <c r="G516" s="900"/>
      <c r="H516" s="901"/>
      <c r="I516" s="902"/>
      <c r="J516" s="897"/>
      <c r="K516" s="903"/>
      <c r="L516" s="899">
        <f t="shared" si="33"/>
        <v>370</v>
      </c>
      <c r="M516" s="933"/>
      <c r="N516" s="933"/>
      <c r="O516" s="933"/>
      <c r="P516" s="933"/>
      <c r="Q516" s="933"/>
      <c r="R516" s="933"/>
      <c r="S516" s="933"/>
      <c r="T516" s="933"/>
      <c r="U516" s="933"/>
      <c r="V516" s="933"/>
      <c r="W516" s="902"/>
      <c r="X516" s="902"/>
      <c r="Y516" s="902"/>
      <c r="Z516" s="902"/>
      <c r="AA516" s="902"/>
      <c r="AB516" s="902"/>
      <c r="AC516" s="902"/>
    </row>
    <row r="517" spans="1:29" ht="13.95" hidden="1" customHeight="1" outlineLevel="1">
      <c r="A517" s="897" t="s">
        <v>1564</v>
      </c>
      <c r="B517" s="926" t="s">
        <v>2827</v>
      </c>
      <c r="C517" s="898">
        <v>0</v>
      </c>
      <c r="D517" s="899">
        <v>0</v>
      </c>
      <c r="E517" s="1335">
        <f>D517*1.3</f>
        <v>0</v>
      </c>
      <c r="F517" s="899">
        <f t="shared" si="37"/>
        <v>0</v>
      </c>
      <c r="G517" s="900"/>
      <c r="H517" s="901"/>
      <c r="I517" s="902"/>
      <c r="J517" s="897"/>
      <c r="K517" s="903"/>
      <c r="L517" s="899">
        <f t="shared" si="33"/>
        <v>0</v>
      </c>
      <c r="M517" s="933"/>
      <c r="N517" s="933"/>
      <c r="O517" s="933"/>
      <c r="P517" s="933"/>
      <c r="Q517" s="933"/>
      <c r="R517" s="933"/>
      <c r="S517" s="933"/>
      <c r="T517" s="933"/>
      <c r="U517" s="933"/>
      <c r="V517" s="933"/>
      <c r="W517" s="902"/>
      <c r="X517" s="902"/>
      <c r="Y517" s="902"/>
      <c r="Z517" s="902"/>
      <c r="AA517" s="902"/>
      <c r="AB517" s="902"/>
      <c r="AC517" s="902"/>
    </row>
    <row r="518" spans="1:29" ht="13.95" hidden="1" customHeight="1" outlineLevel="1">
      <c r="A518" s="897" t="s">
        <v>1498</v>
      </c>
      <c r="B518" s="926" t="s">
        <v>1499</v>
      </c>
      <c r="C518" s="898">
        <v>1724.9999999999998</v>
      </c>
      <c r="D518" s="899">
        <v>3500</v>
      </c>
      <c r="E518" s="1335">
        <v>3500</v>
      </c>
      <c r="F518" s="899">
        <f t="shared" si="37"/>
        <v>2242.5</v>
      </c>
      <c r="G518" s="897">
        <v>2</v>
      </c>
      <c r="H518" s="901"/>
      <c r="I518" s="902"/>
      <c r="J518" s="897"/>
      <c r="K518" s="903"/>
      <c r="L518" s="899">
        <f t="shared" si="33"/>
        <v>1775.0000000000002</v>
      </c>
      <c r="M518" s="933"/>
      <c r="N518" s="933"/>
      <c r="O518" s="933"/>
      <c r="P518" s="933"/>
      <c r="Q518" s="933"/>
      <c r="R518" s="933"/>
      <c r="S518" s="933"/>
      <c r="T518" s="933"/>
      <c r="U518" s="933"/>
      <c r="V518" s="933"/>
      <c r="W518" s="902"/>
      <c r="X518" s="902"/>
      <c r="Y518" s="902"/>
      <c r="Z518" s="902"/>
      <c r="AA518" s="902"/>
      <c r="AB518" s="902"/>
      <c r="AC518" s="902"/>
    </row>
    <row r="519" spans="1:29" ht="13.95" hidden="1" customHeight="1" outlineLevel="1">
      <c r="A519" s="897" t="s">
        <v>1569</v>
      </c>
      <c r="B519" s="926" t="s">
        <v>27</v>
      </c>
      <c r="C519" s="898">
        <v>69</v>
      </c>
      <c r="D519" s="899">
        <v>600</v>
      </c>
      <c r="E519" s="1335">
        <v>600</v>
      </c>
      <c r="F519" s="899">
        <f t="shared" si="37"/>
        <v>89.7</v>
      </c>
      <c r="G519" s="900"/>
      <c r="H519" s="901"/>
      <c r="I519" s="902"/>
      <c r="J519" s="897"/>
      <c r="K519" s="903"/>
      <c r="L519" s="899">
        <f t="shared" si="33"/>
        <v>531</v>
      </c>
      <c r="M519" s="933"/>
      <c r="N519" s="933"/>
      <c r="O519" s="933"/>
      <c r="P519" s="933"/>
      <c r="Q519" s="933"/>
      <c r="R519" s="933"/>
      <c r="S519" s="933"/>
      <c r="T519" s="933"/>
      <c r="U519" s="933"/>
      <c r="V519" s="933"/>
      <c r="W519" s="902"/>
      <c r="X519" s="902"/>
      <c r="Y519" s="902"/>
      <c r="Z519" s="902"/>
      <c r="AA519" s="902"/>
      <c r="AB519" s="902"/>
      <c r="AC519" s="902"/>
    </row>
    <row r="520" spans="1:29" ht="13.95" hidden="1" customHeight="1" outlineLevel="1">
      <c r="A520" s="897" t="s">
        <v>1592</v>
      </c>
      <c r="B520" s="926" t="s">
        <v>53</v>
      </c>
      <c r="C520" s="898">
        <v>1380</v>
      </c>
      <c r="D520" s="899">
        <v>3200</v>
      </c>
      <c r="E520" s="1335">
        <v>3200</v>
      </c>
      <c r="F520" s="899">
        <f t="shared" si="37"/>
        <v>1794</v>
      </c>
      <c r="G520" s="900"/>
      <c r="H520" s="901"/>
      <c r="I520" s="902"/>
      <c r="J520" s="897"/>
      <c r="K520" s="903"/>
      <c r="L520" s="899">
        <f t="shared" si="33"/>
        <v>1820</v>
      </c>
      <c r="M520" s="933"/>
      <c r="N520" s="933"/>
      <c r="O520" s="933"/>
      <c r="P520" s="933"/>
      <c r="Q520" s="933"/>
      <c r="R520" s="933"/>
      <c r="S520" s="933"/>
      <c r="T520" s="933"/>
      <c r="U520" s="933"/>
      <c r="V520" s="933"/>
      <c r="W520" s="902"/>
      <c r="X520" s="902"/>
      <c r="Y520" s="902"/>
      <c r="Z520" s="902"/>
      <c r="AA520" s="902"/>
      <c r="AB520" s="902"/>
      <c r="AC520" s="902"/>
    </row>
    <row r="521" spans="1:29" ht="13.95" hidden="1" customHeight="1" outlineLevel="1">
      <c r="A521" s="897" t="s">
        <v>1607</v>
      </c>
      <c r="B521" s="926" t="s">
        <v>22</v>
      </c>
      <c r="C521" s="898">
        <v>135</v>
      </c>
      <c r="D521" s="899">
        <v>200</v>
      </c>
      <c r="E521" s="1335">
        <v>200</v>
      </c>
      <c r="F521" s="899">
        <f t="shared" si="37"/>
        <v>175.5</v>
      </c>
      <c r="G521" s="900"/>
      <c r="H521" s="901"/>
      <c r="I521" s="902"/>
      <c r="J521" s="897"/>
      <c r="K521" s="903"/>
      <c r="L521" s="899">
        <f t="shared" si="33"/>
        <v>65</v>
      </c>
      <c r="M521" s="933"/>
      <c r="N521" s="933"/>
      <c r="O521" s="933"/>
      <c r="P521" s="933"/>
      <c r="Q521" s="933"/>
      <c r="R521" s="933"/>
      <c r="S521" s="933"/>
      <c r="T521" s="933"/>
      <c r="U521" s="933"/>
      <c r="V521" s="933"/>
      <c r="W521" s="902"/>
      <c r="X521" s="902"/>
      <c r="Y521" s="902"/>
      <c r="Z521" s="902"/>
      <c r="AA521" s="902"/>
      <c r="AB521" s="902"/>
      <c r="AC521" s="902"/>
    </row>
    <row r="522" spans="1:29" ht="13.95" hidden="1" customHeight="1" outlineLevel="1">
      <c r="A522" s="897" t="s">
        <v>1608</v>
      </c>
      <c r="B522" s="926" t="s">
        <v>19</v>
      </c>
      <c r="C522" s="898">
        <v>69</v>
      </c>
      <c r="D522" s="899">
        <v>600</v>
      </c>
      <c r="E522" s="1335">
        <v>600</v>
      </c>
      <c r="F522" s="899">
        <f t="shared" si="37"/>
        <v>89.7</v>
      </c>
      <c r="G522" s="900"/>
      <c r="H522" s="901"/>
      <c r="I522" s="902"/>
      <c r="J522" s="897"/>
      <c r="K522" s="903"/>
      <c r="L522" s="899">
        <f t="shared" si="33"/>
        <v>531</v>
      </c>
      <c r="M522" s="933"/>
      <c r="N522" s="933"/>
      <c r="O522" s="933"/>
      <c r="P522" s="933"/>
      <c r="Q522" s="933"/>
      <c r="R522" s="933"/>
      <c r="S522" s="933"/>
      <c r="T522" s="933"/>
      <c r="U522" s="933"/>
      <c r="V522" s="933"/>
      <c r="W522" s="902"/>
      <c r="X522" s="902"/>
      <c r="Y522" s="902"/>
      <c r="Z522" s="902"/>
      <c r="AA522" s="902"/>
      <c r="AB522" s="902"/>
      <c r="AC522" s="902"/>
    </row>
    <row r="523" spans="1:29" ht="13.95" hidden="1" customHeight="1" outlineLevel="1">
      <c r="A523" s="897" t="s">
        <v>1613</v>
      </c>
      <c r="B523" s="926" t="s">
        <v>2751</v>
      </c>
      <c r="C523" s="898">
        <v>69</v>
      </c>
      <c r="D523" s="899">
        <v>200</v>
      </c>
      <c r="E523" s="1335">
        <v>200</v>
      </c>
      <c r="F523" s="899">
        <v>90</v>
      </c>
      <c r="G523" s="897"/>
      <c r="H523" s="901"/>
      <c r="I523" s="902"/>
      <c r="J523" s="897"/>
      <c r="K523" s="903"/>
      <c r="L523" s="899">
        <f t="shared" si="33"/>
        <v>131</v>
      </c>
      <c r="M523" s="933"/>
      <c r="N523" s="933"/>
      <c r="O523" s="933"/>
      <c r="P523" s="933"/>
      <c r="Q523" s="933"/>
      <c r="R523" s="933"/>
      <c r="S523" s="933"/>
      <c r="T523" s="933"/>
      <c r="U523" s="933"/>
      <c r="V523" s="933"/>
      <c r="W523" s="902"/>
      <c r="X523" s="902"/>
      <c r="Y523" s="902"/>
      <c r="Z523" s="902"/>
      <c r="AA523" s="902"/>
      <c r="AB523" s="902"/>
      <c r="AC523" s="902"/>
    </row>
    <row r="524" spans="1:29" ht="13.95" hidden="1" customHeight="1" outlineLevel="1">
      <c r="A524" s="897" t="s">
        <v>1492</v>
      </c>
      <c r="B524" s="926" t="s">
        <v>2755</v>
      </c>
      <c r="C524" s="898">
        <v>253</v>
      </c>
      <c r="D524" s="899">
        <v>500</v>
      </c>
      <c r="E524" s="1335">
        <v>500</v>
      </c>
      <c r="F524" s="899">
        <v>329</v>
      </c>
      <c r="G524" s="900"/>
      <c r="H524" s="901"/>
      <c r="I524" s="902"/>
      <c r="J524" s="897"/>
      <c r="K524" s="903"/>
      <c r="L524" s="899">
        <f t="shared" si="33"/>
        <v>247</v>
      </c>
      <c r="M524" s="933"/>
      <c r="N524" s="933"/>
      <c r="O524" s="933"/>
      <c r="P524" s="933"/>
      <c r="Q524" s="933"/>
      <c r="R524" s="933"/>
      <c r="S524" s="933"/>
      <c r="T524" s="933"/>
      <c r="U524" s="933"/>
      <c r="V524" s="933"/>
      <c r="W524" s="902"/>
      <c r="X524" s="902"/>
      <c r="Y524" s="902"/>
      <c r="Z524" s="902"/>
      <c r="AA524" s="902"/>
      <c r="AB524" s="902"/>
      <c r="AC524" s="902"/>
    </row>
    <row r="525" spans="1:29" ht="13.95" hidden="1" customHeight="1" outlineLevel="1">
      <c r="A525" s="897" t="s">
        <v>948</v>
      </c>
      <c r="B525" s="926" t="s">
        <v>1628</v>
      </c>
      <c r="C525" s="898">
        <v>175</v>
      </c>
      <c r="D525" s="899">
        <v>700</v>
      </c>
      <c r="E525" s="1335">
        <v>700</v>
      </c>
      <c r="F525" s="899">
        <f>C525*1.3</f>
        <v>227.5</v>
      </c>
      <c r="G525" s="897">
        <v>1</v>
      </c>
      <c r="H525" s="901"/>
      <c r="I525" s="902"/>
      <c r="J525" s="897"/>
      <c r="K525" s="903"/>
      <c r="L525" s="899">
        <f t="shared" si="33"/>
        <v>525</v>
      </c>
      <c r="M525" s="933"/>
      <c r="N525" s="933"/>
      <c r="O525" s="933"/>
      <c r="P525" s="933"/>
      <c r="Q525" s="933"/>
      <c r="R525" s="933"/>
      <c r="S525" s="933"/>
      <c r="T525" s="933"/>
      <c r="U525" s="933"/>
      <c r="V525" s="933"/>
      <c r="W525" s="902"/>
      <c r="X525" s="902"/>
      <c r="Y525" s="902"/>
      <c r="Z525" s="902"/>
      <c r="AA525" s="902"/>
      <c r="AB525" s="902"/>
      <c r="AC525" s="902"/>
    </row>
    <row r="526" spans="1:29" ht="13.95" hidden="1" customHeight="1" outlineLevel="1">
      <c r="A526" s="897" t="s">
        <v>1650</v>
      </c>
      <c r="B526" s="926" t="s">
        <v>2756</v>
      </c>
      <c r="C526" s="932">
        <v>125</v>
      </c>
      <c r="D526" s="930">
        <v>200</v>
      </c>
      <c r="E526" s="1346">
        <v>200</v>
      </c>
      <c r="F526" s="930">
        <v>163</v>
      </c>
      <c r="G526" s="897"/>
      <c r="H526" s="911"/>
      <c r="I526" s="912"/>
      <c r="J526" s="947"/>
      <c r="K526" s="903"/>
      <c r="L526" s="899">
        <f t="shared" si="33"/>
        <v>75</v>
      </c>
      <c r="M526" s="933"/>
      <c r="N526" s="933"/>
      <c r="O526" s="933"/>
      <c r="P526" s="933"/>
      <c r="Q526" s="933"/>
      <c r="R526" s="933"/>
      <c r="S526" s="933"/>
      <c r="T526" s="933"/>
      <c r="U526" s="933"/>
      <c r="V526" s="933"/>
      <c r="W526" s="933"/>
      <c r="X526" s="897"/>
      <c r="Y526" s="932"/>
      <c r="Z526" s="902"/>
      <c r="AA526" s="902"/>
      <c r="AB526" s="902"/>
      <c r="AC526" s="902"/>
    </row>
    <row r="527" spans="1:29" ht="13.95" hidden="1" customHeight="1" outlineLevel="1">
      <c r="A527" s="897" t="s">
        <v>1693</v>
      </c>
      <c r="B527" s="926" t="s">
        <v>21</v>
      </c>
      <c r="C527" s="898">
        <v>135</v>
      </c>
      <c r="D527" s="899">
        <v>200</v>
      </c>
      <c r="E527" s="1335">
        <v>200</v>
      </c>
      <c r="F527" s="899">
        <f>C527*1.3</f>
        <v>175.5</v>
      </c>
      <c r="G527" s="897">
        <v>1</v>
      </c>
      <c r="H527" s="901"/>
      <c r="I527" s="902"/>
      <c r="J527" s="897"/>
      <c r="K527" s="903"/>
      <c r="L527" s="899">
        <f t="shared" si="33"/>
        <v>65</v>
      </c>
      <c r="M527" s="933"/>
      <c r="N527" s="933"/>
      <c r="O527" s="933"/>
      <c r="P527" s="933"/>
      <c r="Q527" s="933"/>
      <c r="R527" s="933"/>
      <c r="S527" s="933"/>
      <c r="T527" s="933"/>
      <c r="U527" s="933"/>
      <c r="V527" s="933"/>
      <c r="W527" s="902"/>
      <c r="X527" s="902"/>
      <c r="Y527" s="902"/>
      <c r="Z527" s="902"/>
      <c r="AA527" s="902"/>
      <c r="AB527" s="902"/>
      <c r="AC527" s="902"/>
    </row>
    <row r="528" spans="1:29" ht="13.95" hidden="1" customHeight="1" outlineLevel="1">
      <c r="A528" s="897" t="s">
        <v>1716</v>
      </c>
      <c r="B528" s="926" t="s">
        <v>25</v>
      </c>
      <c r="C528" s="898">
        <v>69</v>
      </c>
      <c r="D528" s="899">
        <v>600</v>
      </c>
      <c r="E528" s="1335">
        <v>600</v>
      </c>
      <c r="F528" s="899">
        <f>C528*1.3</f>
        <v>89.7</v>
      </c>
      <c r="G528" s="897">
        <v>1</v>
      </c>
      <c r="H528" s="901"/>
      <c r="I528" s="902"/>
      <c r="J528" s="897"/>
      <c r="K528" s="903"/>
      <c r="L528" s="899">
        <f t="shared" si="33"/>
        <v>531</v>
      </c>
      <c r="M528" s="933"/>
      <c r="N528" s="933"/>
      <c r="O528" s="933"/>
      <c r="P528" s="933"/>
      <c r="Q528" s="933"/>
      <c r="R528" s="933"/>
      <c r="S528" s="933"/>
      <c r="T528" s="933"/>
      <c r="U528" s="933"/>
      <c r="V528" s="933"/>
      <c r="W528" s="902"/>
      <c r="X528" s="902"/>
      <c r="Y528" s="902"/>
      <c r="Z528" s="902"/>
      <c r="AA528" s="902"/>
      <c r="AB528" s="902"/>
      <c r="AC528" s="902"/>
    </row>
    <row r="529" spans="1:29" ht="13.95" hidden="1" customHeight="1" outlineLevel="1">
      <c r="A529" s="897" t="s">
        <v>1440</v>
      </c>
      <c r="B529" s="926" t="s">
        <v>2759</v>
      </c>
      <c r="C529" s="932">
        <v>69</v>
      </c>
      <c r="D529" s="930">
        <v>500</v>
      </c>
      <c r="E529" s="1346">
        <v>500</v>
      </c>
      <c r="F529" s="930">
        <v>90</v>
      </c>
      <c r="G529" s="897"/>
      <c r="H529" s="936"/>
      <c r="I529" s="933"/>
      <c r="J529" s="897"/>
      <c r="K529" s="903"/>
      <c r="L529" s="899">
        <f t="shared" si="33"/>
        <v>431</v>
      </c>
      <c r="M529" s="933"/>
      <c r="N529" s="933"/>
      <c r="O529" s="933"/>
      <c r="P529" s="933"/>
      <c r="Q529" s="933"/>
      <c r="R529" s="933"/>
      <c r="S529" s="933"/>
      <c r="T529" s="933"/>
      <c r="U529" s="933"/>
      <c r="V529" s="933"/>
      <c r="W529" s="933"/>
      <c r="X529" s="897"/>
      <c r="Y529" s="932"/>
      <c r="Z529" s="902"/>
      <c r="AA529" s="902"/>
      <c r="AB529" s="902"/>
      <c r="AC529" s="902"/>
    </row>
    <row r="530" spans="1:29" ht="13.95" hidden="1" customHeight="1" outlineLevel="1">
      <c r="A530" s="897" t="s">
        <v>1807</v>
      </c>
      <c r="B530" s="926" t="s">
        <v>30</v>
      </c>
      <c r="C530" s="898">
        <v>460</v>
      </c>
      <c r="D530" s="899">
        <v>850</v>
      </c>
      <c r="E530" s="1335">
        <v>850</v>
      </c>
      <c r="F530" s="899">
        <f t="shared" ref="F530:F542" si="38">C530*1.3</f>
        <v>598</v>
      </c>
      <c r="G530" s="900"/>
      <c r="H530" s="901"/>
      <c r="I530" s="902"/>
      <c r="J530" s="897"/>
      <c r="K530" s="903"/>
      <c r="L530" s="899">
        <f t="shared" si="33"/>
        <v>390</v>
      </c>
      <c r="M530" s="933"/>
      <c r="N530" s="933"/>
      <c r="O530" s="933"/>
      <c r="P530" s="933"/>
      <c r="Q530" s="933"/>
      <c r="R530" s="933"/>
      <c r="S530" s="933"/>
      <c r="T530" s="933"/>
      <c r="U530" s="933"/>
      <c r="V530" s="933"/>
      <c r="W530" s="902"/>
      <c r="X530" s="902"/>
      <c r="Y530" s="902"/>
      <c r="Z530" s="902"/>
      <c r="AA530" s="902"/>
      <c r="AB530" s="902"/>
      <c r="AC530" s="902"/>
    </row>
    <row r="531" spans="1:29" ht="13.95" hidden="1" customHeight="1" outlineLevel="1">
      <c r="A531" s="897" t="s">
        <v>1813</v>
      </c>
      <c r="B531" s="926" t="s">
        <v>505</v>
      </c>
      <c r="C531" s="898">
        <v>69</v>
      </c>
      <c r="D531" s="899">
        <v>600</v>
      </c>
      <c r="E531" s="1335">
        <v>600</v>
      </c>
      <c r="F531" s="899">
        <f t="shared" si="38"/>
        <v>89.7</v>
      </c>
      <c r="G531" s="900"/>
      <c r="H531" s="901"/>
      <c r="I531" s="902"/>
      <c r="J531" s="897"/>
      <c r="K531" s="903"/>
      <c r="L531" s="899">
        <f t="shared" si="33"/>
        <v>531</v>
      </c>
      <c r="M531" s="933"/>
      <c r="N531" s="933"/>
      <c r="O531" s="933"/>
      <c r="P531" s="933"/>
      <c r="Q531" s="933"/>
      <c r="R531" s="933"/>
      <c r="S531" s="933"/>
      <c r="T531" s="933"/>
      <c r="U531" s="933"/>
      <c r="V531" s="933"/>
      <c r="W531" s="902"/>
      <c r="X531" s="902"/>
      <c r="Y531" s="902"/>
      <c r="Z531" s="902"/>
      <c r="AA531" s="902"/>
      <c r="AB531" s="902"/>
      <c r="AC531" s="902"/>
    </row>
    <row r="532" spans="1:29" ht="13.95" hidden="1" customHeight="1" outlineLevel="1">
      <c r="A532" s="897" t="s">
        <v>54</v>
      </c>
      <c r="B532" s="926" t="s">
        <v>54</v>
      </c>
      <c r="C532" s="898">
        <v>1150</v>
      </c>
      <c r="D532" s="899">
        <v>1900</v>
      </c>
      <c r="E532" s="1335">
        <v>1900</v>
      </c>
      <c r="F532" s="899">
        <f t="shared" si="38"/>
        <v>1495</v>
      </c>
      <c r="G532" s="918">
        <v>1</v>
      </c>
      <c r="H532" s="901"/>
      <c r="I532" s="902"/>
      <c r="J532" s="897"/>
      <c r="K532" s="903"/>
      <c r="L532" s="899">
        <f t="shared" si="33"/>
        <v>750</v>
      </c>
      <c r="M532" s="933"/>
      <c r="N532" s="933"/>
      <c r="O532" s="933"/>
      <c r="P532" s="933"/>
      <c r="Q532" s="933"/>
      <c r="R532" s="933"/>
      <c r="S532" s="933"/>
      <c r="T532" s="933"/>
      <c r="U532" s="933"/>
      <c r="V532" s="933"/>
      <c r="W532" s="902"/>
      <c r="X532" s="902"/>
      <c r="Y532" s="902"/>
      <c r="Z532" s="902"/>
      <c r="AA532" s="902"/>
      <c r="AB532" s="902"/>
      <c r="AC532" s="902"/>
    </row>
    <row r="533" spans="1:29" ht="13.95" hidden="1" customHeight="1" outlineLevel="1">
      <c r="A533" s="897" t="s">
        <v>1824</v>
      </c>
      <c r="B533" s="926" t="s">
        <v>861</v>
      </c>
      <c r="C533" s="898">
        <v>135</v>
      </c>
      <c r="D533" s="899">
        <v>600</v>
      </c>
      <c r="E533" s="1335">
        <v>600</v>
      </c>
      <c r="F533" s="899">
        <f t="shared" si="38"/>
        <v>175.5</v>
      </c>
      <c r="G533" s="900"/>
      <c r="H533" s="901"/>
      <c r="I533" s="902"/>
      <c r="J533" s="897"/>
      <c r="K533" s="903"/>
      <c r="L533" s="899">
        <f t="shared" si="33"/>
        <v>465</v>
      </c>
      <c r="M533" s="933"/>
      <c r="N533" s="933"/>
      <c r="O533" s="933"/>
      <c r="P533" s="933"/>
      <c r="Q533" s="933"/>
      <c r="R533" s="933"/>
      <c r="S533" s="933"/>
      <c r="T533" s="933"/>
      <c r="U533" s="933"/>
      <c r="V533" s="933"/>
      <c r="W533" s="902"/>
      <c r="X533" s="902"/>
      <c r="Y533" s="902"/>
      <c r="Z533" s="902"/>
      <c r="AA533" s="902"/>
      <c r="AB533" s="902"/>
      <c r="AC533" s="902"/>
    </row>
    <row r="534" spans="1:29" ht="13.95" hidden="1" customHeight="1" outlineLevel="1">
      <c r="A534" s="897" t="s">
        <v>527</v>
      </c>
      <c r="B534" s="926" t="s">
        <v>1831</v>
      </c>
      <c r="C534" s="898">
        <v>340</v>
      </c>
      <c r="D534" s="899">
        <v>1200</v>
      </c>
      <c r="E534" s="1335">
        <v>1200</v>
      </c>
      <c r="F534" s="899">
        <f t="shared" si="38"/>
        <v>442</v>
      </c>
      <c r="G534" s="900"/>
      <c r="H534" s="901"/>
      <c r="I534" s="902"/>
      <c r="J534" s="897"/>
      <c r="K534" s="903"/>
      <c r="L534" s="899">
        <f t="shared" si="33"/>
        <v>860</v>
      </c>
      <c r="M534" s="933"/>
      <c r="N534" s="933"/>
      <c r="O534" s="933"/>
      <c r="P534" s="933"/>
      <c r="Q534" s="933"/>
      <c r="R534" s="933"/>
      <c r="S534" s="933"/>
      <c r="T534" s="933"/>
      <c r="U534" s="933"/>
      <c r="V534" s="933"/>
      <c r="W534" s="902"/>
      <c r="X534" s="902"/>
      <c r="Y534" s="902"/>
      <c r="Z534" s="902"/>
      <c r="AA534" s="902"/>
      <c r="AB534" s="902"/>
      <c r="AC534" s="902"/>
    </row>
    <row r="535" spans="1:29" ht="13.95" hidden="1" customHeight="1" outlineLevel="1">
      <c r="A535" s="897" t="s">
        <v>1861</v>
      </c>
      <c r="B535" s="926" t="s">
        <v>1862</v>
      </c>
      <c r="C535" s="898">
        <v>175</v>
      </c>
      <c r="D535" s="899">
        <v>1200</v>
      </c>
      <c r="E535" s="1335">
        <v>1200</v>
      </c>
      <c r="F535" s="899">
        <f t="shared" si="38"/>
        <v>227.5</v>
      </c>
      <c r="G535" s="900"/>
      <c r="H535" s="901"/>
      <c r="I535" s="902"/>
      <c r="J535" s="897"/>
      <c r="K535" s="903"/>
      <c r="L535" s="899">
        <f t="shared" si="33"/>
        <v>1025</v>
      </c>
      <c r="M535" s="933"/>
      <c r="N535" s="933"/>
      <c r="O535" s="933"/>
      <c r="P535" s="933"/>
      <c r="Q535" s="933"/>
      <c r="R535" s="933"/>
      <c r="S535" s="933"/>
      <c r="T535" s="933"/>
      <c r="U535" s="933"/>
      <c r="V535" s="933"/>
      <c r="W535" s="902"/>
      <c r="X535" s="902"/>
      <c r="Y535" s="902"/>
      <c r="Z535" s="902"/>
      <c r="AA535" s="902"/>
      <c r="AB535" s="902"/>
      <c r="AC535" s="902"/>
    </row>
    <row r="536" spans="1:29" ht="13.95" hidden="1" customHeight="1" outlineLevel="1">
      <c r="A536" s="897" t="s">
        <v>1782</v>
      </c>
      <c r="B536" s="926" t="s">
        <v>2355</v>
      </c>
      <c r="C536" s="898">
        <v>600</v>
      </c>
      <c r="D536" s="899">
        <v>1300</v>
      </c>
      <c r="E536" s="1335">
        <v>1300</v>
      </c>
      <c r="F536" s="899">
        <f t="shared" si="38"/>
        <v>780</v>
      </c>
      <c r="G536" s="897">
        <v>1</v>
      </c>
      <c r="H536" s="901"/>
      <c r="I536" s="902"/>
      <c r="J536" s="897"/>
      <c r="K536" s="903"/>
      <c r="L536" s="899">
        <f t="shared" si="33"/>
        <v>700</v>
      </c>
      <c r="M536" s="933"/>
      <c r="N536" s="933"/>
      <c r="O536" s="933"/>
      <c r="P536" s="933"/>
      <c r="Q536" s="933"/>
      <c r="R536" s="933"/>
      <c r="S536" s="933"/>
      <c r="T536" s="933"/>
      <c r="U536" s="933"/>
      <c r="V536" s="933"/>
      <c r="W536" s="902"/>
      <c r="X536" s="902"/>
      <c r="Y536" s="902"/>
      <c r="Z536" s="902"/>
      <c r="AA536" s="902"/>
      <c r="AB536" s="902"/>
      <c r="AC536" s="902"/>
    </row>
    <row r="537" spans="1:29" ht="13.95" hidden="1" customHeight="1" outlineLevel="1">
      <c r="A537" s="897" t="s">
        <v>1493</v>
      </c>
      <c r="B537" s="926" t="s">
        <v>509</v>
      </c>
      <c r="C537" s="898">
        <v>3600</v>
      </c>
      <c r="D537" s="899">
        <v>4500</v>
      </c>
      <c r="E537" s="1335">
        <v>4500</v>
      </c>
      <c r="F537" s="899">
        <f t="shared" si="38"/>
        <v>4680</v>
      </c>
      <c r="G537" s="897">
        <v>1</v>
      </c>
      <c r="H537" s="919"/>
      <c r="I537" s="912"/>
      <c r="J537" s="913"/>
      <c r="K537" s="912"/>
      <c r="L537" s="899">
        <f t="shared" si="33"/>
        <v>900</v>
      </c>
      <c r="M537" s="933"/>
      <c r="N537" s="933"/>
      <c r="O537" s="933"/>
      <c r="P537" s="933"/>
      <c r="Q537" s="933"/>
      <c r="R537" s="933"/>
      <c r="S537" s="933"/>
      <c r="T537" s="933"/>
      <c r="U537" s="933"/>
      <c r="V537" s="933"/>
      <c r="W537" s="902"/>
      <c r="X537" s="897"/>
      <c r="Y537" s="898"/>
      <c r="Z537" s="902"/>
      <c r="AA537" s="902"/>
      <c r="AB537" s="902"/>
      <c r="AC537" s="902"/>
    </row>
    <row r="538" spans="1:29" ht="13.95" hidden="1" customHeight="1" outlineLevel="1">
      <c r="A538" s="897" t="s">
        <v>508</v>
      </c>
      <c r="B538" s="926" t="s">
        <v>508</v>
      </c>
      <c r="C538" s="898">
        <v>69</v>
      </c>
      <c r="D538" s="899">
        <v>300</v>
      </c>
      <c r="E538" s="1335">
        <v>300</v>
      </c>
      <c r="F538" s="899">
        <f t="shared" si="38"/>
        <v>89.7</v>
      </c>
      <c r="G538" s="897">
        <v>1</v>
      </c>
      <c r="H538" s="901"/>
      <c r="I538" s="902"/>
      <c r="J538" s="897"/>
      <c r="K538" s="903"/>
      <c r="L538" s="899">
        <f t="shared" ref="L538:L601" si="39">E538-C538</f>
        <v>231</v>
      </c>
      <c r="M538" s="933"/>
      <c r="N538" s="933"/>
      <c r="O538" s="933"/>
      <c r="P538" s="933"/>
      <c r="Q538" s="933"/>
      <c r="R538" s="933"/>
      <c r="S538" s="933"/>
      <c r="T538" s="933"/>
      <c r="U538" s="933"/>
      <c r="V538" s="933"/>
      <c r="W538" s="902"/>
      <c r="X538" s="902"/>
      <c r="Y538" s="902"/>
      <c r="Z538" s="902"/>
      <c r="AA538" s="902"/>
      <c r="AB538" s="902"/>
      <c r="AC538" s="902"/>
    </row>
    <row r="539" spans="1:29" ht="13.95" hidden="1" customHeight="1" outlineLevel="1">
      <c r="A539" s="897" t="s">
        <v>1545</v>
      </c>
      <c r="B539" s="926" t="s">
        <v>1546</v>
      </c>
      <c r="C539" s="898">
        <v>1380</v>
      </c>
      <c r="D539" s="899">
        <v>4200</v>
      </c>
      <c r="E539" s="1335">
        <v>4200</v>
      </c>
      <c r="F539" s="899">
        <f t="shared" si="38"/>
        <v>1794</v>
      </c>
      <c r="G539" s="897"/>
      <c r="H539" s="901"/>
      <c r="I539" s="902"/>
      <c r="J539" s="897"/>
      <c r="K539" s="903"/>
      <c r="L539" s="899">
        <f t="shared" si="39"/>
        <v>2820</v>
      </c>
      <c r="M539" s="933"/>
      <c r="N539" s="933"/>
      <c r="O539" s="933"/>
      <c r="P539" s="933"/>
      <c r="Q539" s="933"/>
      <c r="R539" s="933"/>
      <c r="S539" s="933"/>
      <c r="T539" s="933"/>
      <c r="U539" s="933"/>
      <c r="V539" s="933"/>
      <c r="W539" s="902"/>
      <c r="X539" s="902"/>
      <c r="Y539" s="902"/>
      <c r="Z539" s="902"/>
      <c r="AA539" s="902"/>
      <c r="AB539" s="902"/>
      <c r="AC539" s="902"/>
    </row>
    <row r="540" spans="1:29" ht="13.95" hidden="1" customHeight="1" outlineLevel="1">
      <c r="A540" s="897" t="s">
        <v>1567</v>
      </c>
      <c r="B540" s="926" t="s">
        <v>2828</v>
      </c>
      <c r="C540" s="898">
        <v>500</v>
      </c>
      <c r="D540" s="899">
        <v>1200</v>
      </c>
      <c r="E540" s="1335">
        <v>1200</v>
      </c>
      <c r="F540" s="899">
        <f t="shared" si="38"/>
        <v>650</v>
      </c>
      <c r="G540" s="897"/>
      <c r="H540" s="945"/>
      <c r="I540" s="948"/>
      <c r="J540" s="897"/>
      <c r="K540" s="903"/>
      <c r="L540" s="899">
        <f t="shared" si="39"/>
        <v>700</v>
      </c>
      <c r="M540" s="933"/>
      <c r="N540" s="933"/>
      <c r="O540" s="933"/>
      <c r="P540" s="933"/>
      <c r="Q540" s="933"/>
      <c r="R540" s="933"/>
      <c r="S540" s="933"/>
      <c r="T540" s="933"/>
      <c r="U540" s="933"/>
      <c r="V540" s="933"/>
      <c r="W540" s="902"/>
      <c r="X540" s="902"/>
      <c r="Y540" s="902"/>
      <c r="Z540" s="902"/>
      <c r="AA540" s="902"/>
      <c r="AB540" s="902"/>
      <c r="AC540" s="902"/>
    </row>
    <row r="541" spans="1:29" ht="13.95" hidden="1" customHeight="1" outlineLevel="1">
      <c r="A541" s="897" t="s">
        <v>1636</v>
      </c>
      <c r="B541" s="926" t="s">
        <v>198</v>
      </c>
      <c r="C541" s="898">
        <v>6000</v>
      </c>
      <c r="D541" s="899">
        <v>7700</v>
      </c>
      <c r="E541" s="1335">
        <v>7700</v>
      </c>
      <c r="F541" s="899">
        <f t="shared" si="38"/>
        <v>7800</v>
      </c>
      <c r="G541" s="897">
        <v>15</v>
      </c>
      <c r="H541" s="901"/>
      <c r="I541" s="902"/>
      <c r="J541" s="897"/>
      <c r="K541" s="903"/>
      <c r="L541" s="899">
        <f t="shared" si="39"/>
        <v>1700</v>
      </c>
      <c r="M541" s="933"/>
      <c r="N541" s="933"/>
      <c r="O541" s="933"/>
      <c r="P541" s="933"/>
      <c r="Q541" s="933"/>
      <c r="R541" s="933"/>
      <c r="S541" s="933"/>
      <c r="T541" s="933"/>
      <c r="U541" s="933"/>
      <c r="V541" s="933"/>
      <c r="W541" s="902"/>
      <c r="X541" s="902"/>
      <c r="Y541" s="902"/>
      <c r="Z541" s="902"/>
      <c r="AA541" s="902"/>
      <c r="AB541" s="902"/>
      <c r="AC541" s="902"/>
    </row>
    <row r="542" spans="1:29" ht="14.45" hidden="1" customHeight="1" outlineLevel="1" thickBot="1">
      <c r="A542" s="897" t="s">
        <v>1760</v>
      </c>
      <c r="B542" s="926" t="s">
        <v>830</v>
      </c>
      <c r="C542" s="898">
        <v>1265</v>
      </c>
      <c r="D542" s="899">
        <v>1700</v>
      </c>
      <c r="E542" s="1335">
        <v>1700</v>
      </c>
      <c r="F542" s="899">
        <f t="shared" si="38"/>
        <v>1644.5</v>
      </c>
      <c r="G542" s="897">
        <v>2</v>
      </c>
      <c r="H542" s="901"/>
      <c r="I542" s="902"/>
      <c r="J542" s="897"/>
      <c r="K542" s="903"/>
      <c r="L542" s="899">
        <f t="shared" si="39"/>
        <v>435</v>
      </c>
      <c r="M542" s="933"/>
      <c r="N542" s="933"/>
      <c r="O542" s="933"/>
      <c r="P542" s="933"/>
      <c r="Q542" s="933"/>
      <c r="R542" s="933"/>
      <c r="S542" s="933"/>
      <c r="T542" s="933"/>
      <c r="U542" s="933"/>
      <c r="V542" s="933"/>
      <c r="W542" s="902"/>
      <c r="X542" s="902"/>
      <c r="Y542" s="902"/>
      <c r="Z542" s="902"/>
      <c r="AA542" s="902"/>
      <c r="AB542" s="902"/>
      <c r="AC542" s="902"/>
    </row>
    <row r="543" spans="1:29" ht="16.3" collapsed="1" thickBot="1">
      <c r="A543" s="963" t="s">
        <v>954</v>
      </c>
      <c r="B543" s="964" t="s">
        <v>5890</v>
      </c>
      <c r="C543" s="964">
        <f>SUM(C544:C587)</f>
        <v>75555</v>
      </c>
      <c r="D543" s="965">
        <f>SUM(D544:D587)</f>
        <v>109940</v>
      </c>
      <c r="E543" s="1349">
        <v>100000</v>
      </c>
      <c r="F543" s="965">
        <f t="shared" ref="F543:F551" si="40">C543*1.3</f>
        <v>98221.5</v>
      </c>
      <c r="G543" s="966" t="s">
        <v>5874</v>
      </c>
      <c r="H543" s="895"/>
      <c r="I543" s="902" t="str">
        <f>IF(H543="x",CONCATENATE(A543,"; "),"")</f>
        <v/>
      </c>
      <c r="J543" s="897"/>
      <c r="K543" s="903"/>
      <c r="L543" s="899">
        <f t="shared" si="39"/>
        <v>24445</v>
      </c>
      <c r="M543" s="933"/>
      <c r="N543" s="933"/>
      <c r="O543" s="933"/>
      <c r="P543" s="933"/>
      <c r="Q543" s="933"/>
      <c r="R543" s="933"/>
      <c r="S543" s="933"/>
      <c r="T543" s="933"/>
      <c r="U543" s="933"/>
      <c r="V543" s="933"/>
      <c r="W543" s="902"/>
      <c r="X543" s="902"/>
      <c r="Y543" s="902"/>
      <c r="Z543" s="902"/>
      <c r="AA543" s="902"/>
      <c r="AB543" s="902"/>
      <c r="AC543" s="902"/>
    </row>
    <row r="544" spans="1:29" ht="13.95" hidden="1" customHeight="1" outlineLevel="1">
      <c r="A544" s="967" t="s">
        <v>1391</v>
      </c>
      <c r="B544" s="1035" t="s">
        <v>1392</v>
      </c>
      <c r="C544" s="968">
        <v>69</v>
      </c>
      <c r="D544" s="1304">
        <v>400</v>
      </c>
      <c r="E544" s="1337">
        <v>400</v>
      </c>
      <c r="F544" s="1322">
        <f t="shared" si="40"/>
        <v>89.7</v>
      </c>
      <c r="G544" s="969"/>
      <c r="H544" s="901"/>
      <c r="I544" s="902"/>
      <c r="J544" s="910"/>
      <c r="K544" s="903"/>
      <c r="L544" s="899">
        <f t="shared" si="39"/>
        <v>331</v>
      </c>
      <c r="M544" s="933"/>
      <c r="N544" s="933"/>
      <c r="O544" s="933"/>
      <c r="P544" s="933"/>
      <c r="Q544" s="933"/>
      <c r="R544" s="933"/>
      <c r="S544" s="933"/>
      <c r="T544" s="933"/>
      <c r="U544" s="933"/>
      <c r="V544" s="933"/>
      <c r="W544" s="902"/>
      <c r="X544" s="902"/>
      <c r="Y544" s="902"/>
      <c r="Z544" s="902"/>
      <c r="AA544" s="902"/>
      <c r="AB544" s="902"/>
      <c r="AC544" s="902"/>
    </row>
    <row r="545" spans="1:29" ht="13.95" hidden="1" customHeight="1" outlineLevel="1">
      <c r="A545" s="967" t="s">
        <v>1395</v>
      </c>
      <c r="B545" s="1035" t="s">
        <v>1396</v>
      </c>
      <c r="C545" s="968">
        <v>69</v>
      </c>
      <c r="D545" s="1304">
        <v>400</v>
      </c>
      <c r="E545" s="1337">
        <v>400</v>
      </c>
      <c r="F545" s="1322">
        <f t="shared" si="40"/>
        <v>89.7</v>
      </c>
      <c r="G545" s="969"/>
      <c r="H545" s="901"/>
      <c r="I545" s="902"/>
      <c r="J545" s="897"/>
      <c r="K545" s="903"/>
      <c r="L545" s="899">
        <f t="shared" si="39"/>
        <v>331</v>
      </c>
      <c r="M545" s="933"/>
      <c r="N545" s="933"/>
      <c r="O545" s="933"/>
      <c r="P545" s="933"/>
      <c r="Q545" s="933"/>
      <c r="R545" s="933"/>
      <c r="S545" s="933"/>
      <c r="T545" s="933"/>
      <c r="U545" s="933"/>
      <c r="V545" s="933"/>
      <c r="W545" s="902"/>
      <c r="X545" s="902"/>
      <c r="Y545" s="902"/>
      <c r="Z545" s="902"/>
      <c r="AA545" s="902"/>
      <c r="AB545" s="902"/>
      <c r="AC545" s="902"/>
    </row>
    <row r="546" spans="1:29" ht="13.95" hidden="1" customHeight="1" outlineLevel="1">
      <c r="A546" s="967" t="s">
        <v>1397</v>
      </c>
      <c r="B546" s="1035" t="s">
        <v>38</v>
      </c>
      <c r="C546" s="968">
        <v>345</v>
      </c>
      <c r="D546" s="1304">
        <v>500</v>
      </c>
      <c r="E546" s="1337">
        <v>500</v>
      </c>
      <c r="F546" s="1322">
        <f t="shared" si="40"/>
        <v>448.5</v>
      </c>
      <c r="G546" s="969"/>
      <c r="H546" s="901"/>
      <c r="I546" s="902"/>
      <c r="J546" s="897"/>
      <c r="K546" s="903"/>
      <c r="L546" s="899">
        <f t="shared" si="39"/>
        <v>155</v>
      </c>
      <c r="M546" s="933"/>
      <c r="N546" s="933"/>
      <c r="O546" s="933"/>
      <c r="P546" s="933"/>
      <c r="Q546" s="933"/>
      <c r="R546" s="933"/>
      <c r="S546" s="933"/>
      <c r="T546" s="933"/>
      <c r="U546" s="933"/>
      <c r="V546" s="933"/>
      <c r="W546" s="902"/>
      <c r="X546" s="902"/>
      <c r="Y546" s="902"/>
      <c r="Z546" s="902"/>
      <c r="AA546" s="902"/>
      <c r="AB546" s="902"/>
      <c r="AC546" s="902"/>
    </row>
    <row r="547" spans="1:29" ht="13.95" hidden="1" customHeight="1" outlineLevel="1">
      <c r="A547" s="967" t="s">
        <v>1606</v>
      </c>
      <c r="B547" s="1035" t="s">
        <v>1332</v>
      </c>
      <c r="C547" s="968">
        <v>69</v>
      </c>
      <c r="D547" s="1304">
        <v>300</v>
      </c>
      <c r="E547" s="1337">
        <v>300</v>
      </c>
      <c r="F547" s="1322">
        <f t="shared" si="40"/>
        <v>89.7</v>
      </c>
      <c r="G547" s="969"/>
      <c r="H547" s="901"/>
      <c r="I547" s="902"/>
      <c r="J547" s="897"/>
      <c r="K547" s="903"/>
      <c r="L547" s="899">
        <f t="shared" si="39"/>
        <v>231</v>
      </c>
      <c r="M547" s="933"/>
      <c r="N547" s="933"/>
      <c r="O547" s="933"/>
      <c r="P547" s="933"/>
      <c r="Q547" s="933"/>
      <c r="R547" s="933"/>
      <c r="S547" s="933"/>
      <c r="T547" s="933"/>
      <c r="U547" s="933"/>
      <c r="V547" s="933"/>
      <c r="W547" s="902"/>
      <c r="X547" s="902"/>
      <c r="Y547" s="902"/>
      <c r="Z547" s="902"/>
      <c r="AA547" s="902"/>
      <c r="AB547" s="902"/>
      <c r="AC547" s="902"/>
    </row>
    <row r="548" spans="1:29" ht="13.95" hidden="1" customHeight="1" outlineLevel="1">
      <c r="A548" s="967" t="s">
        <v>1611</v>
      </c>
      <c r="B548" s="1035" t="s">
        <v>1612</v>
      </c>
      <c r="C548" s="968">
        <v>125</v>
      </c>
      <c r="D548" s="1304">
        <v>200</v>
      </c>
      <c r="E548" s="1337">
        <v>200</v>
      </c>
      <c r="F548" s="1322">
        <f t="shared" si="40"/>
        <v>162.5</v>
      </c>
      <c r="G548" s="969"/>
      <c r="H548" s="901"/>
      <c r="I548" s="902"/>
      <c r="J548" s="897"/>
      <c r="K548" s="903"/>
      <c r="L548" s="899">
        <f t="shared" si="39"/>
        <v>75</v>
      </c>
      <c r="M548" s="933"/>
      <c r="N548" s="933"/>
      <c r="O548" s="933"/>
      <c r="P548" s="933"/>
      <c r="Q548" s="933"/>
      <c r="R548" s="933"/>
      <c r="S548" s="933"/>
      <c r="T548" s="933"/>
      <c r="U548" s="933"/>
      <c r="V548" s="933"/>
      <c r="W548" s="902"/>
      <c r="X548" s="902"/>
      <c r="Y548" s="902"/>
      <c r="Z548" s="902"/>
      <c r="AA548" s="902"/>
      <c r="AB548" s="902"/>
      <c r="AC548" s="902"/>
    </row>
    <row r="549" spans="1:29" ht="13.95" hidden="1" customHeight="1" outlineLevel="1">
      <c r="A549" s="967" t="s">
        <v>1621</v>
      </c>
      <c r="B549" s="1035" t="s">
        <v>2346</v>
      </c>
      <c r="C549" s="968">
        <v>175</v>
      </c>
      <c r="D549" s="1304">
        <v>400</v>
      </c>
      <c r="E549" s="1337">
        <v>400</v>
      </c>
      <c r="F549" s="1322">
        <f t="shared" si="40"/>
        <v>227.5</v>
      </c>
      <c r="G549" s="969"/>
      <c r="H549" s="901"/>
      <c r="I549" s="902"/>
      <c r="J549" s="897"/>
      <c r="K549" s="903"/>
      <c r="L549" s="899">
        <f t="shared" si="39"/>
        <v>225</v>
      </c>
      <c r="M549" s="933"/>
      <c r="N549" s="933"/>
      <c r="O549" s="933"/>
      <c r="P549" s="933"/>
      <c r="Q549" s="933"/>
      <c r="R549" s="933"/>
      <c r="S549" s="933"/>
      <c r="T549" s="933"/>
      <c r="U549" s="933"/>
      <c r="V549" s="933"/>
      <c r="W549" s="902"/>
      <c r="X549" s="902"/>
      <c r="Y549" s="902"/>
      <c r="Z549" s="902"/>
      <c r="AA549" s="902"/>
      <c r="AB549" s="902"/>
      <c r="AC549" s="902"/>
    </row>
    <row r="550" spans="1:29" ht="13.95" hidden="1" customHeight="1" outlineLevel="1">
      <c r="A550" s="967" t="s">
        <v>649</v>
      </c>
      <c r="B550" s="1035" t="s">
        <v>649</v>
      </c>
      <c r="C550" s="968">
        <v>460</v>
      </c>
      <c r="D550" s="1304">
        <v>1400</v>
      </c>
      <c r="E550" s="1337">
        <v>1400</v>
      </c>
      <c r="F550" s="1322">
        <f t="shared" si="40"/>
        <v>598</v>
      </c>
      <c r="G550" s="969"/>
      <c r="H550" s="901"/>
      <c r="I550" s="902"/>
      <c r="J550" s="897"/>
      <c r="K550" s="903"/>
      <c r="L550" s="899">
        <f t="shared" si="39"/>
        <v>940</v>
      </c>
      <c r="M550" s="933"/>
      <c r="N550" s="933"/>
      <c r="O550" s="933"/>
      <c r="P550" s="933"/>
      <c r="Q550" s="933"/>
      <c r="R550" s="933"/>
      <c r="S550" s="933"/>
      <c r="T550" s="933"/>
      <c r="U550" s="933"/>
      <c r="V550" s="933"/>
      <c r="W550" s="902"/>
      <c r="X550" s="902"/>
      <c r="Y550" s="902"/>
      <c r="Z550" s="902"/>
      <c r="AA550" s="902"/>
      <c r="AB550" s="902"/>
      <c r="AC550" s="902"/>
    </row>
    <row r="551" spans="1:29" ht="13.95" hidden="1" customHeight="1" outlineLevel="1">
      <c r="A551" s="967" t="s">
        <v>1371</v>
      </c>
      <c r="B551" s="1035" t="s">
        <v>1372</v>
      </c>
      <c r="C551" s="968">
        <v>2415</v>
      </c>
      <c r="D551" s="1304">
        <v>5800</v>
      </c>
      <c r="E551" s="1337">
        <v>5800</v>
      </c>
      <c r="F551" s="1322">
        <f t="shared" si="40"/>
        <v>3139.5</v>
      </c>
      <c r="G551" s="969"/>
      <c r="H551" s="901"/>
      <c r="I551" s="902"/>
      <c r="J551" s="897"/>
      <c r="K551" s="903"/>
      <c r="L551" s="899">
        <f t="shared" si="39"/>
        <v>3385</v>
      </c>
      <c r="M551" s="933"/>
      <c r="N551" s="933"/>
      <c r="O551" s="933"/>
      <c r="P551" s="933"/>
      <c r="Q551" s="933"/>
      <c r="R551" s="933"/>
      <c r="S551" s="933"/>
      <c r="T551" s="933"/>
      <c r="U551" s="933"/>
      <c r="V551" s="933"/>
      <c r="W551" s="902"/>
      <c r="X551" s="902"/>
      <c r="Y551" s="902"/>
      <c r="Z551" s="902"/>
      <c r="AA551" s="902"/>
      <c r="AB551" s="902"/>
      <c r="AC551" s="902"/>
    </row>
    <row r="552" spans="1:29" ht="13.95" hidden="1" customHeight="1" outlineLevel="1">
      <c r="A552" s="967" t="s">
        <v>662</v>
      </c>
      <c r="B552" s="968"/>
      <c r="C552" s="968"/>
      <c r="D552" s="1304"/>
      <c r="E552" s="1337"/>
      <c r="F552" s="1322"/>
      <c r="G552" s="969"/>
      <c r="H552" s="901"/>
      <c r="I552" s="902"/>
      <c r="J552" s="897"/>
      <c r="K552" s="903"/>
      <c r="L552" s="899">
        <f t="shared" si="39"/>
        <v>0</v>
      </c>
      <c r="M552" s="933"/>
      <c r="N552" s="933"/>
      <c r="O552" s="933"/>
      <c r="P552" s="933"/>
      <c r="Q552" s="933"/>
      <c r="R552" s="933"/>
      <c r="S552" s="933"/>
      <c r="T552" s="933"/>
      <c r="U552" s="933"/>
      <c r="V552" s="933"/>
      <c r="W552" s="902"/>
      <c r="X552" s="902"/>
      <c r="Y552" s="902"/>
      <c r="Z552" s="902"/>
      <c r="AA552" s="902"/>
      <c r="AB552" s="902"/>
      <c r="AC552" s="902"/>
    </row>
    <row r="553" spans="1:29" ht="13.95" hidden="1" customHeight="1" outlineLevel="1">
      <c r="A553" s="967" t="s">
        <v>1527</v>
      </c>
      <c r="B553" s="1035" t="s">
        <v>2752</v>
      </c>
      <c r="C553" s="968">
        <v>130</v>
      </c>
      <c r="D553" s="1304">
        <v>600</v>
      </c>
      <c r="E553" s="1337">
        <v>600</v>
      </c>
      <c r="F553" s="1322">
        <f>C553*1.3</f>
        <v>169</v>
      </c>
      <c r="G553" s="967">
        <v>1</v>
      </c>
      <c r="H553" s="901"/>
      <c r="I553" s="902"/>
      <c r="J553" s="897"/>
      <c r="K553" s="903"/>
      <c r="L553" s="899">
        <f t="shared" si="39"/>
        <v>470</v>
      </c>
      <c r="M553" s="933"/>
      <c r="N553" s="933"/>
      <c r="O553" s="933"/>
      <c r="P553" s="933"/>
      <c r="Q553" s="933"/>
      <c r="R553" s="933"/>
      <c r="S553" s="933"/>
      <c r="T553" s="933"/>
      <c r="U553" s="933"/>
      <c r="V553" s="933"/>
      <c r="W553" s="902"/>
      <c r="X553" s="902"/>
      <c r="Y553" s="902"/>
      <c r="Z553" s="902"/>
      <c r="AA553" s="902"/>
      <c r="AB553" s="902"/>
      <c r="AC553" s="902"/>
    </row>
    <row r="554" spans="1:29" ht="13.95" hidden="1" customHeight="1" outlineLevel="1">
      <c r="A554" s="967" t="s">
        <v>681</v>
      </c>
      <c r="B554" s="1035" t="s">
        <v>15</v>
      </c>
      <c r="C554" s="968">
        <v>69</v>
      </c>
      <c r="D554" s="1304">
        <v>250</v>
      </c>
      <c r="E554" s="1337">
        <v>250</v>
      </c>
      <c r="F554" s="1322">
        <f>C554*1.3</f>
        <v>89.7</v>
      </c>
      <c r="G554" s="969"/>
      <c r="H554" s="901"/>
      <c r="I554" s="902"/>
      <c r="J554" s="897"/>
      <c r="K554" s="903"/>
      <c r="L554" s="899">
        <f t="shared" si="39"/>
        <v>181</v>
      </c>
      <c r="M554" s="933"/>
      <c r="N554" s="933"/>
      <c r="O554" s="933"/>
      <c r="P554" s="933"/>
      <c r="Q554" s="933"/>
      <c r="R554" s="933"/>
      <c r="S554" s="933"/>
      <c r="T554" s="933"/>
      <c r="U554" s="933"/>
      <c r="V554" s="933"/>
      <c r="W554" s="902"/>
      <c r="X554" s="902"/>
      <c r="Y554" s="902"/>
      <c r="Z554" s="902"/>
      <c r="AA554" s="902"/>
      <c r="AB554" s="902"/>
      <c r="AC554" s="902"/>
    </row>
    <row r="555" spans="1:29" ht="13.95" hidden="1" customHeight="1" outlineLevel="1">
      <c r="A555" s="967" t="s">
        <v>1826</v>
      </c>
      <c r="B555" s="1035" t="s">
        <v>1827</v>
      </c>
      <c r="C555" s="968">
        <v>69</v>
      </c>
      <c r="D555" s="1304">
        <v>640</v>
      </c>
      <c r="E555" s="1337">
        <v>640</v>
      </c>
      <c r="F555" s="1322">
        <f>C555*1.3</f>
        <v>89.7</v>
      </c>
      <c r="G555" s="969"/>
      <c r="H555" s="901"/>
      <c r="I555" s="902"/>
      <c r="J555" s="897"/>
      <c r="K555" s="903"/>
      <c r="L555" s="899">
        <f t="shared" si="39"/>
        <v>571</v>
      </c>
      <c r="M555" s="933"/>
      <c r="N555" s="933"/>
      <c r="O555" s="933"/>
      <c r="P555" s="933"/>
      <c r="Q555" s="933"/>
      <c r="R555" s="933"/>
      <c r="S555" s="933"/>
      <c r="T555" s="933"/>
      <c r="U555" s="933"/>
      <c r="V555" s="933"/>
      <c r="W555" s="902"/>
      <c r="X555" s="902"/>
      <c r="Y555" s="902"/>
      <c r="Z555" s="902"/>
      <c r="AA555" s="902"/>
      <c r="AB555" s="902"/>
      <c r="AC555" s="902"/>
    </row>
    <row r="556" spans="1:29" ht="13.95" hidden="1" customHeight="1" outlineLevel="1">
      <c r="A556" s="967" t="s">
        <v>684</v>
      </c>
      <c r="B556" s="1035" t="s">
        <v>1538</v>
      </c>
      <c r="C556" s="968">
        <v>69</v>
      </c>
      <c r="D556" s="1304">
        <v>200</v>
      </c>
      <c r="E556" s="1337">
        <v>200</v>
      </c>
      <c r="F556" s="1322">
        <v>90</v>
      </c>
      <c r="G556" s="969"/>
      <c r="H556" s="901"/>
      <c r="I556" s="902"/>
      <c r="J556" s="897"/>
      <c r="K556" s="903"/>
      <c r="L556" s="899">
        <f t="shared" si="39"/>
        <v>131</v>
      </c>
      <c r="M556" s="933"/>
      <c r="N556" s="933"/>
      <c r="O556" s="933"/>
      <c r="P556" s="933"/>
      <c r="Q556" s="933"/>
      <c r="R556" s="933"/>
      <c r="S556" s="933"/>
      <c r="T556" s="933"/>
      <c r="U556" s="933"/>
      <c r="V556" s="933"/>
      <c r="W556" s="902"/>
      <c r="X556" s="902"/>
      <c r="Y556" s="902"/>
      <c r="Z556" s="902"/>
      <c r="AA556" s="902"/>
      <c r="AB556" s="902"/>
      <c r="AC556" s="902"/>
    </row>
    <row r="557" spans="1:29" ht="13.95" hidden="1" customHeight="1" outlineLevel="1">
      <c r="A557" s="967" t="s">
        <v>685</v>
      </c>
      <c r="B557" s="1035" t="s">
        <v>1539</v>
      </c>
      <c r="C557" s="968">
        <v>69</v>
      </c>
      <c r="D557" s="1304">
        <v>200</v>
      </c>
      <c r="E557" s="1337">
        <v>200</v>
      </c>
      <c r="F557" s="1322">
        <f t="shared" ref="F557:F563" si="41">C557*1.3</f>
        <v>89.7</v>
      </c>
      <c r="G557" s="969"/>
      <c r="H557" s="901"/>
      <c r="I557" s="902"/>
      <c r="J557" s="897"/>
      <c r="K557" s="903"/>
      <c r="L557" s="899">
        <f t="shared" si="39"/>
        <v>131</v>
      </c>
      <c r="M557" s="933"/>
      <c r="N557" s="933"/>
      <c r="O557" s="933"/>
      <c r="P557" s="933"/>
      <c r="Q557" s="933"/>
      <c r="R557" s="933"/>
      <c r="S557" s="933"/>
      <c r="T557" s="933"/>
      <c r="U557" s="933"/>
      <c r="V557" s="933"/>
      <c r="W557" s="902"/>
      <c r="X557" s="902"/>
      <c r="Y557" s="902"/>
      <c r="Z557" s="902"/>
      <c r="AA557" s="902"/>
      <c r="AB557" s="902"/>
      <c r="AC557" s="902"/>
    </row>
    <row r="558" spans="1:29" ht="13.95" hidden="1" customHeight="1" outlineLevel="1">
      <c r="A558" s="967" t="s">
        <v>945</v>
      </c>
      <c r="B558" s="1035" t="s">
        <v>2748</v>
      </c>
      <c r="C558" s="968">
        <v>230</v>
      </c>
      <c r="D558" s="1304">
        <v>600</v>
      </c>
      <c r="E558" s="1337">
        <v>600</v>
      </c>
      <c r="F558" s="1322">
        <f t="shared" si="41"/>
        <v>299</v>
      </c>
      <c r="G558" s="969"/>
      <c r="H558" s="901"/>
      <c r="I558" s="902"/>
      <c r="J558" s="897"/>
      <c r="K558" s="903"/>
      <c r="L558" s="899">
        <f t="shared" si="39"/>
        <v>370</v>
      </c>
      <c r="M558" s="933"/>
      <c r="N558" s="933"/>
      <c r="O558" s="933"/>
      <c r="P558" s="933"/>
      <c r="Q558" s="933"/>
      <c r="R558" s="933"/>
      <c r="S558" s="933"/>
      <c r="T558" s="933"/>
      <c r="U558" s="933"/>
      <c r="V558" s="933"/>
      <c r="W558" s="902"/>
      <c r="X558" s="902"/>
      <c r="Y558" s="902"/>
      <c r="Z558" s="902"/>
      <c r="AA558" s="902"/>
      <c r="AB558" s="902"/>
      <c r="AC558" s="902"/>
    </row>
    <row r="559" spans="1:29" ht="31.95" hidden="1" outlineLevel="1" thickBot="1">
      <c r="A559" s="967" t="s">
        <v>1564</v>
      </c>
      <c r="B559" s="1036" t="s">
        <v>2827</v>
      </c>
      <c r="C559" s="968">
        <v>0</v>
      </c>
      <c r="D559" s="1304">
        <v>0</v>
      </c>
      <c r="E559" s="1337">
        <f>D559*1.3</f>
        <v>0</v>
      </c>
      <c r="F559" s="1322">
        <f t="shared" si="41"/>
        <v>0</v>
      </c>
      <c r="G559" s="969"/>
      <c r="H559" s="901"/>
      <c r="I559" s="902"/>
      <c r="J559" s="897"/>
      <c r="K559" s="903"/>
      <c r="L559" s="899">
        <f t="shared" si="39"/>
        <v>0</v>
      </c>
      <c r="M559" s="933"/>
      <c r="N559" s="933"/>
      <c r="O559" s="933"/>
      <c r="P559" s="933"/>
      <c r="Q559" s="933"/>
      <c r="R559" s="933"/>
      <c r="S559" s="933"/>
      <c r="T559" s="933"/>
      <c r="U559" s="933"/>
      <c r="V559" s="933"/>
      <c r="W559" s="902"/>
      <c r="X559" s="902"/>
      <c r="Y559" s="902"/>
      <c r="Z559" s="902"/>
      <c r="AA559" s="902"/>
      <c r="AB559" s="902"/>
      <c r="AC559" s="902"/>
    </row>
    <row r="560" spans="1:29" ht="13.95" hidden="1" customHeight="1" outlineLevel="1">
      <c r="A560" s="967" t="s">
        <v>1569</v>
      </c>
      <c r="B560" s="1035" t="s">
        <v>27</v>
      </c>
      <c r="C560" s="968">
        <v>69</v>
      </c>
      <c r="D560" s="1304">
        <v>600</v>
      </c>
      <c r="E560" s="1337">
        <v>600</v>
      </c>
      <c r="F560" s="1322">
        <f t="shared" si="41"/>
        <v>89.7</v>
      </c>
      <c r="G560" s="969"/>
      <c r="H560" s="901"/>
      <c r="I560" s="902"/>
      <c r="J560" s="897"/>
      <c r="K560" s="903"/>
      <c r="L560" s="899">
        <f t="shared" si="39"/>
        <v>531</v>
      </c>
      <c r="M560" s="933"/>
      <c r="N560" s="933"/>
      <c r="O560" s="933"/>
      <c r="P560" s="933"/>
      <c r="Q560" s="933"/>
      <c r="R560" s="933"/>
      <c r="S560" s="933"/>
      <c r="T560" s="933"/>
      <c r="U560" s="933"/>
      <c r="V560" s="933"/>
      <c r="W560" s="902"/>
      <c r="X560" s="902"/>
      <c r="Y560" s="902"/>
      <c r="Z560" s="902"/>
      <c r="AA560" s="902"/>
      <c r="AB560" s="902"/>
      <c r="AC560" s="902"/>
    </row>
    <row r="561" spans="1:29" ht="13.95" hidden="1" customHeight="1" outlineLevel="1">
      <c r="A561" s="967" t="s">
        <v>1592</v>
      </c>
      <c r="B561" s="1035" t="s">
        <v>53</v>
      </c>
      <c r="C561" s="968">
        <v>1380</v>
      </c>
      <c r="D561" s="1304">
        <v>3200</v>
      </c>
      <c r="E561" s="1337">
        <v>3200</v>
      </c>
      <c r="F561" s="1322">
        <f t="shared" si="41"/>
        <v>1794</v>
      </c>
      <c r="G561" s="969"/>
      <c r="H561" s="901"/>
      <c r="I561" s="902"/>
      <c r="J561" s="897"/>
      <c r="K561" s="903"/>
      <c r="L561" s="899">
        <f t="shared" si="39"/>
        <v>1820</v>
      </c>
      <c r="M561" s="933"/>
      <c r="N561" s="933"/>
      <c r="O561" s="933"/>
      <c r="P561" s="933"/>
      <c r="Q561" s="933"/>
      <c r="R561" s="933"/>
      <c r="S561" s="933"/>
      <c r="T561" s="933"/>
      <c r="U561" s="933"/>
      <c r="V561" s="933"/>
      <c r="W561" s="902"/>
      <c r="X561" s="902"/>
      <c r="Y561" s="902"/>
      <c r="Z561" s="902"/>
      <c r="AA561" s="902"/>
      <c r="AB561" s="902"/>
      <c r="AC561" s="902"/>
    </row>
    <row r="562" spans="1:29" ht="13.95" hidden="1" customHeight="1" outlineLevel="1">
      <c r="A562" s="967" t="s">
        <v>1607</v>
      </c>
      <c r="B562" s="1035" t="s">
        <v>22</v>
      </c>
      <c r="C562" s="968">
        <v>135</v>
      </c>
      <c r="D562" s="1304">
        <v>200</v>
      </c>
      <c r="E562" s="1337">
        <v>200</v>
      </c>
      <c r="F562" s="1322">
        <f t="shared" si="41"/>
        <v>175.5</v>
      </c>
      <c r="G562" s="969"/>
      <c r="H562" s="901"/>
      <c r="I562" s="902"/>
      <c r="J562" s="897"/>
      <c r="K562" s="903"/>
      <c r="L562" s="899">
        <f t="shared" si="39"/>
        <v>65</v>
      </c>
      <c r="M562" s="933"/>
      <c r="N562" s="933"/>
      <c r="O562" s="933"/>
      <c r="P562" s="933"/>
      <c r="Q562" s="933"/>
      <c r="R562" s="933"/>
      <c r="S562" s="933"/>
      <c r="T562" s="933"/>
      <c r="U562" s="933"/>
      <c r="V562" s="933"/>
      <c r="W562" s="902"/>
      <c r="X562" s="902"/>
      <c r="Y562" s="902"/>
      <c r="Z562" s="902"/>
      <c r="AA562" s="902"/>
      <c r="AB562" s="902"/>
      <c r="AC562" s="902"/>
    </row>
    <row r="563" spans="1:29" ht="13.95" hidden="1" customHeight="1" outlineLevel="1">
      <c r="A563" s="967" t="s">
        <v>1608</v>
      </c>
      <c r="B563" s="1035" t="s">
        <v>19</v>
      </c>
      <c r="C563" s="968">
        <v>69</v>
      </c>
      <c r="D563" s="1304">
        <v>600</v>
      </c>
      <c r="E563" s="1337">
        <v>600</v>
      </c>
      <c r="F563" s="1322">
        <f t="shared" si="41"/>
        <v>89.7</v>
      </c>
      <c r="G563" s="969"/>
      <c r="H563" s="901"/>
      <c r="I563" s="902"/>
      <c r="J563" s="897"/>
      <c r="K563" s="903"/>
      <c r="L563" s="899">
        <f t="shared" si="39"/>
        <v>531</v>
      </c>
      <c r="M563" s="933"/>
      <c r="N563" s="933"/>
      <c r="O563" s="933"/>
      <c r="P563" s="933"/>
      <c r="Q563" s="933"/>
      <c r="R563" s="933"/>
      <c r="S563" s="933"/>
      <c r="T563" s="933"/>
      <c r="U563" s="933"/>
      <c r="V563" s="933"/>
      <c r="W563" s="902"/>
      <c r="X563" s="902"/>
      <c r="Y563" s="902"/>
      <c r="Z563" s="902"/>
      <c r="AA563" s="902"/>
      <c r="AB563" s="902"/>
      <c r="AC563" s="902"/>
    </row>
    <row r="564" spans="1:29" ht="13.95" hidden="1" customHeight="1" outlineLevel="1">
      <c r="A564" s="967" t="s">
        <v>1613</v>
      </c>
      <c r="B564" s="1035" t="s">
        <v>2751</v>
      </c>
      <c r="C564" s="968">
        <v>69</v>
      </c>
      <c r="D564" s="1304">
        <v>200</v>
      </c>
      <c r="E564" s="1337">
        <v>200</v>
      </c>
      <c r="F564" s="1322">
        <v>90</v>
      </c>
      <c r="G564" s="967"/>
      <c r="H564" s="901"/>
      <c r="I564" s="902"/>
      <c r="J564" s="897"/>
      <c r="K564" s="903"/>
      <c r="L564" s="899">
        <f t="shared" si="39"/>
        <v>131</v>
      </c>
      <c r="M564" s="933"/>
      <c r="N564" s="933"/>
      <c r="O564" s="933"/>
      <c r="P564" s="933"/>
      <c r="Q564" s="933"/>
      <c r="R564" s="933"/>
      <c r="S564" s="933"/>
      <c r="T564" s="933"/>
      <c r="U564" s="933"/>
      <c r="V564" s="933"/>
      <c r="W564" s="902"/>
      <c r="X564" s="902"/>
      <c r="Y564" s="902"/>
      <c r="Z564" s="902"/>
      <c r="AA564" s="902"/>
      <c r="AB564" s="902"/>
      <c r="AC564" s="902"/>
    </row>
    <row r="565" spans="1:29" ht="13.95" hidden="1" customHeight="1" outlineLevel="1">
      <c r="A565" s="967" t="s">
        <v>1492</v>
      </c>
      <c r="B565" s="1035" t="s">
        <v>2755</v>
      </c>
      <c r="C565" s="968">
        <v>253</v>
      </c>
      <c r="D565" s="1304">
        <v>500</v>
      </c>
      <c r="E565" s="1337">
        <v>500</v>
      </c>
      <c r="F565" s="1322">
        <v>329</v>
      </c>
      <c r="G565" s="969"/>
      <c r="H565" s="901"/>
      <c r="I565" s="902"/>
      <c r="J565" s="897"/>
      <c r="K565" s="903"/>
      <c r="L565" s="899">
        <f t="shared" si="39"/>
        <v>247</v>
      </c>
      <c r="M565" s="933"/>
      <c r="N565" s="933"/>
      <c r="O565" s="933"/>
      <c r="P565" s="933"/>
      <c r="Q565" s="933"/>
      <c r="R565" s="933"/>
      <c r="S565" s="933"/>
      <c r="T565" s="933"/>
      <c r="U565" s="933"/>
      <c r="V565" s="933"/>
      <c r="W565" s="902"/>
      <c r="X565" s="902"/>
      <c r="Y565" s="902"/>
      <c r="Z565" s="902"/>
      <c r="AA565" s="902"/>
      <c r="AB565" s="902"/>
      <c r="AC565" s="902"/>
    </row>
    <row r="566" spans="1:29" ht="13.95" hidden="1" customHeight="1" outlineLevel="1">
      <c r="A566" s="967" t="s">
        <v>948</v>
      </c>
      <c r="B566" s="1035" t="s">
        <v>1628</v>
      </c>
      <c r="C566" s="968">
        <v>175</v>
      </c>
      <c r="D566" s="1304">
        <v>700</v>
      </c>
      <c r="E566" s="1337">
        <v>700</v>
      </c>
      <c r="F566" s="1322">
        <f>C566*1.3</f>
        <v>227.5</v>
      </c>
      <c r="G566" s="967">
        <v>1</v>
      </c>
      <c r="H566" s="901"/>
      <c r="I566" s="902"/>
      <c r="J566" s="897"/>
      <c r="K566" s="903"/>
      <c r="L566" s="899">
        <f t="shared" si="39"/>
        <v>525</v>
      </c>
      <c r="M566" s="933"/>
      <c r="N566" s="933"/>
      <c r="O566" s="933"/>
      <c r="P566" s="933"/>
      <c r="Q566" s="933"/>
      <c r="R566" s="933"/>
      <c r="S566" s="933"/>
      <c r="T566" s="933"/>
      <c r="U566" s="933"/>
      <c r="V566" s="933"/>
      <c r="W566" s="902"/>
      <c r="X566" s="902"/>
      <c r="Y566" s="902"/>
      <c r="Z566" s="902"/>
      <c r="AA566" s="902"/>
      <c r="AB566" s="902"/>
      <c r="AC566" s="902"/>
    </row>
    <row r="567" spans="1:29" ht="15.65" hidden="1" customHeight="1" outlineLevel="1">
      <c r="A567" s="967" t="s">
        <v>1650</v>
      </c>
      <c r="B567" s="1035" t="s">
        <v>2756</v>
      </c>
      <c r="C567" s="972">
        <v>125</v>
      </c>
      <c r="D567" s="1306">
        <v>200</v>
      </c>
      <c r="E567" s="1348">
        <v>200</v>
      </c>
      <c r="F567" s="1324">
        <v>163</v>
      </c>
      <c r="G567" s="967"/>
      <c r="H567" s="911"/>
      <c r="I567" s="912"/>
      <c r="J567" s="947"/>
      <c r="K567" s="903"/>
      <c r="L567" s="899">
        <f t="shared" si="39"/>
        <v>75</v>
      </c>
      <c r="M567" s="933"/>
      <c r="N567" s="933"/>
      <c r="O567" s="933"/>
      <c r="P567" s="933"/>
      <c r="Q567" s="933"/>
      <c r="R567" s="933"/>
      <c r="S567" s="933"/>
      <c r="T567" s="933"/>
      <c r="U567" s="933"/>
      <c r="V567" s="933"/>
      <c r="W567" s="933"/>
      <c r="X567" s="897"/>
      <c r="Y567" s="932"/>
      <c r="Z567" s="902"/>
      <c r="AA567" s="902"/>
      <c r="AB567" s="902"/>
      <c r="AC567" s="902"/>
    </row>
    <row r="568" spans="1:29" ht="13.95" hidden="1" customHeight="1" outlineLevel="1">
      <c r="A568" s="967" t="s">
        <v>1693</v>
      </c>
      <c r="B568" s="1035" t="s">
        <v>21</v>
      </c>
      <c r="C568" s="968">
        <v>135</v>
      </c>
      <c r="D568" s="1304">
        <v>200</v>
      </c>
      <c r="E568" s="1337">
        <v>200</v>
      </c>
      <c r="F568" s="1322">
        <f>C568*1.3</f>
        <v>175.5</v>
      </c>
      <c r="G568" s="967">
        <v>1</v>
      </c>
      <c r="H568" s="901"/>
      <c r="I568" s="902"/>
      <c r="J568" s="897"/>
      <c r="K568" s="903"/>
      <c r="L568" s="899">
        <f t="shared" si="39"/>
        <v>65</v>
      </c>
      <c r="M568" s="933"/>
      <c r="N568" s="933"/>
      <c r="O568" s="933"/>
      <c r="P568" s="933"/>
      <c r="Q568" s="933"/>
      <c r="R568" s="933"/>
      <c r="S568" s="933"/>
      <c r="T568" s="933"/>
      <c r="U568" s="933"/>
      <c r="V568" s="933"/>
      <c r="W568" s="902"/>
      <c r="X568" s="902"/>
      <c r="Y568" s="902"/>
      <c r="Z568" s="902"/>
      <c r="AA568" s="902"/>
      <c r="AB568" s="902"/>
      <c r="AC568" s="902"/>
    </row>
    <row r="569" spans="1:29" ht="13.95" hidden="1" customHeight="1" outlineLevel="1">
      <c r="A569" s="967" t="s">
        <v>1716</v>
      </c>
      <c r="B569" s="1035" t="s">
        <v>25</v>
      </c>
      <c r="C569" s="968">
        <v>69</v>
      </c>
      <c r="D569" s="1304">
        <v>600</v>
      </c>
      <c r="E569" s="1337">
        <v>600</v>
      </c>
      <c r="F569" s="1322">
        <f>C569*1.3</f>
        <v>89.7</v>
      </c>
      <c r="G569" s="967">
        <v>1</v>
      </c>
      <c r="H569" s="901"/>
      <c r="I569" s="902"/>
      <c r="J569" s="897"/>
      <c r="K569" s="903"/>
      <c r="L569" s="899">
        <f t="shared" si="39"/>
        <v>531</v>
      </c>
      <c r="M569" s="933"/>
      <c r="N569" s="933"/>
      <c r="O569" s="933"/>
      <c r="P569" s="933"/>
      <c r="Q569" s="933"/>
      <c r="R569" s="933"/>
      <c r="S569" s="933"/>
      <c r="T569" s="933"/>
      <c r="U569" s="933"/>
      <c r="V569" s="933"/>
      <c r="W569" s="902"/>
      <c r="X569" s="902"/>
      <c r="Y569" s="902"/>
      <c r="Z569" s="902"/>
      <c r="AA569" s="902"/>
      <c r="AB569" s="902"/>
      <c r="AC569" s="902"/>
    </row>
    <row r="570" spans="1:29" ht="13.95" hidden="1" customHeight="1" outlineLevel="1">
      <c r="A570" s="967" t="s">
        <v>1440</v>
      </c>
      <c r="B570" s="972" t="s">
        <v>2759</v>
      </c>
      <c r="C570" s="972">
        <v>69</v>
      </c>
      <c r="D570" s="1306">
        <v>500</v>
      </c>
      <c r="E570" s="1348">
        <v>500</v>
      </c>
      <c r="F570" s="1324">
        <v>90</v>
      </c>
      <c r="G570" s="967"/>
      <c r="H570" s="936"/>
      <c r="I570" s="933"/>
      <c r="J570" s="897"/>
      <c r="K570" s="903"/>
      <c r="L570" s="899">
        <f t="shared" si="39"/>
        <v>431</v>
      </c>
      <c r="M570" s="933"/>
      <c r="N570" s="933"/>
      <c r="O570" s="933"/>
      <c r="P570" s="933"/>
      <c r="Q570" s="933"/>
      <c r="R570" s="933"/>
      <c r="S570" s="933"/>
      <c r="T570" s="933"/>
      <c r="U570" s="933"/>
      <c r="V570" s="933"/>
      <c r="W570" s="933"/>
      <c r="X570" s="897"/>
      <c r="Y570" s="932"/>
      <c r="Z570" s="902"/>
      <c r="AA570" s="902"/>
      <c r="AB570" s="902"/>
      <c r="AC570" s="902"/>
    </row>
    <row r="571" spans="1:29" ht="13.95" hidden="1" customHeight="1" outlineLevel="1">
      <c r="A571" s="967" t="s">
        <v>1807</v>
      </c>
      <c r="B571" s="1035" t="s">
        <v>30</v>
      </c>
      <c r="C571" s="968">
        <v>460</v>
      </c>
      <c r="D571" s="1304">
        <v>850</v>
      </c>
      <c r="E571" s="1337">
        <v>850</v>
      </c>
      <c r="F571" s="1322">
        <f t="shared" ref="F571:F579" si="42">C571*1.3</f>
        <v>598</v>
      </c>
      <c r="G571" s="969"/>
      <c r="H571" s="901"/>
      <c r="I571" s="902"/>
      <c r="J571" s="897"/>
      <c r="K571" s="903"/>
      <c r="L571" s="899">
        <f t="shared" si="39"/>
        <v>390</v>
      </c>
      <c r="M571" s="933"/>
      <c r="N571" s="933"/>
      <c r="O571" s="933"/>
      <c r="P571" s="933"/>
      <c r="Q571" s="933"/>
      <c r="R571" s="933"/>
      <c r="S571" s="933"/>
      <c r="T571" s="933"/>
      <c r="U571" s="933"/>
      <c r="V571" s="933"/>
      <c r="W571" s="902"/>
      <c r="X571" s="902"/>
      <c r="Y571" s="902"/>
      <c r="Z571" s="902"/>
      <c r="AA571" s="902"/>
      <c r="AB571" s="902"/>
      <c r="AC571" s="902"/>
    </row>
    <row r="572" spans="1:29" ht="13.95" hidden="1" customHeight="1" outlineLevel="1">
      <c r="A572" s="967" t="s">
        <v>1813</v>
      </c>
      <c r="B572" s="1035" t="s">
        <v>505</v>
      </c>
      <c r="C572" s="968">
        <v>69</v>
      </c>
      <c r="D572" s="1304">
        <v>600</v>
      </c>
      <c r="E572" s="1337">
        <v>600</v>
      </c>
      <c r="F572" s="1322">
        <f t="shared" si="42"/>
        <v>89.7</v>
      </c>
      <c r="G572" s="969"/>
      <c r="H572" s="901"/>
      <c r="I572" s="902"/>
      <c r="J572" s="897"/>
      <c r="K572" s="903"/>
      <c r="L572" s="899">
        <f t="shared" si="39"/>
        <v>531</v>
      </c>
      <c r="M572" s="933"/>
      <c r="N572" s="933"/>
      <c r="O572" s="933"/>
      <c r="P572" s="933"/>
      <c r="Q572" s="933"/>
      <c r="R572" s="933"/>
      <c r="S572" s="933"/>
      <c r="T572" s="933"/>
      <c r="U572" s="933"/>
      <c r="V572" s="933"/>
      <c r="W572" s="902"/>
      <c r="X572" s="902"/>
      <c r="Y572" s="902"/>
      <c r="Z572" s="902"/>
      <c r="AA572" s="902"/>
      <c r="AB572" s="902"/>
      <c r="AC572" s="902"/>
    </row>
    <row r="573" spans="1:29" ht="13.95" hidden="1" customHeight="1" outlineLevel="1">
      <c r="A573" s="967" t="s">
        <v>54</v>
      </c>
      <c r="B573" s="1035" t="s">
        <v>54</v>
      </c>
      <c r="C573" s="968">
        <v>1150</v>
      </c>
      <c r="D573" s="1304">
        <v>1900</v>
      </c>
      <c r="E573" s="1337">
        <v>1900</v>
      </c>
      <c r="F573" s="1322">
        <f t="shared" si="42"/>
        <v>1495</v>
      </c>
      <c r="G573" s="971">
        <v>1</v>
      </c>
      <c r="H573" s="901"/>
      <c r="I573" s="902"/>
      <c r="J573" s="897"/>
      <c r="K573" s="903"/>
      <c r="L573" s="899">
        <f t="shared" si="39"/>
        <v>750</v>
      </c>
      <c r="M573" s="933"/>
      <c r="N573" s="933"/>
      <c r="O573" s="933"/>
      <c r="P573" s="933"/>
      <c r="Q573" s="933"/>
      <c r="R573" s="933"/>
      <c r="S573" s="933"/>
      <c r="T573" s="933"/>
      <c r="U573" s="933"/>
      <c r="V573" s="933"/>
      <c r="W573" s="902"/>
      <c r="X573" s="902"/>
      <c r="Y573" s="902"/>
      <c r="Z573" s="902"/>
      <c r="AA573" s="902"/>
      <c r="AB573" s="902"/>
      <c r="AC573" s="902"/>
    </row>
    <row r="574" spans="1:29" ht="13.95" hidden="1" customHeight="1" outlineLevel="1">
      <c r="A574" s="967" t="s">
        <v>1824</v>
      </c>
      <c r="B574" s="1035" t="s">
        <v>861</v>
      </c>
      <c r="C574" s="968">
        <v>135</v>
      </c>
      <c r="D574" s="1304">
        <v>600</v>
      </c>
      <c r="E574" s="1337">
        <v>600</v>
      </c>
      <c r="F574" s="1322">
        <f t="shared" si="42"/>
        <v>175.5</v>
      </c>
      <c r="G574" s="969"/>
      <c r="H574" s="901"/>
      <c r="I574" s="902"/>
      <c r="J574" s="897"/>
      <c r="K574" s="903"/>
      <c r="L574" s="899">
        <f t="shared" si="39"/>
        <v>465</v>
      </c>
      <c r="M574" s="933"/>
      <c r="N574" s="933"/>
      <c r="O574" s="933"/>
      <c r="P574" s="933"/>
      <c r="Q574" s="933"/>
      <c r="R574" s="933"/>
      <c r="S574" s="933"/>
      <c r="T574" s="933"/>
      <c r="U574" s="933"/>
      <c r="V574" s="933"/>
      <c r="W574" s="902"/>
      <c r="X574" s="902"/>
      <c r="Y574" s="902"/>
      <c r="Z574" s="902"/>
      <c r="AA574" s="902"/>
      <c r="AB574" s="902"/>
      <c r="AC574" s="902"/>
    </row>
    <row r="575" spans="1:29" ht="13.95" hidden="1" customHeight="1" outlineLevel="1">
      <c r="A575" s="967" t="s">
        <v>527</v>
      </c>
      <c r="B575" s="1035" t="s">
        <v>1831</v>
      </c>
      <c r="C575" s="968">
        <v>340</v>
      </c>
      <c r="D575" s="1304">
        <v>1200</v>
      </c>
      <c r="E575" s="1337">
        <v>1200</v>
      </c>
      <c r="F575" s="1322">
        <f t="shared" si="42"/>
        <v>442</v>
      </c>
      <c r="G575" s="969"/>
      <c r="H575" s="901"/>
      <c r="I575" s="902"/>
      <c r="J575" s="897"/>
      <c r="K575" s="903"/>
      <c r="L575" s="899">
        <f t="shared" si="39"/>
        <v>860</v>
      </c>
      <c r="M575" s="933"/>
      <c r="N575" s="933"/>
      <c r="O575" s="933"/>
      <c r="P575" s="933"/>
      <c r="Q575" s="933"/>
      <c r="R575" s="933"/>
      <c r="S575" s="933"/>
      <c r="T575" s="933"/>
      <c r="U575" s="933"/>
      <c r="V575" s="933"/>
      <c r="W575" s="902"/>
      <c r="X575" s="902"/>
      <c r="Y575" s="902"/>
      <c r="Z575" s="902"/>
      <c r="AA575" s="902"/>
      <c r="AB575" s="902"/>
      <c r="AC575" s="902"/>
    </row>
    <row r="576" spans="1:29" ht="13.95" hidden="1" customHeight="1" outlineLevel="1">
      <c r="A576" s="967" t="s">
        <v>1861</v>
      </c>
      <c r="B576" s="1035" t="s">
        <v>1862</v>
      </c>
      <c r="C576" s="968">
        <v>175</v>
      </c>
      <c r="D576" s="1304">
        <v>1200</v>
      </c>
      <c r="E576" s="1337">
        <v>1200</v>
      </c>
      <c r="F576" s="1322">
        <f t="shared" si="42"/>
        <v>227.5</v>
      </c>
      <c r="G576" s="969"/>
      <c r="H576" s="901"/>
      <c r="I576" s="902"/>
      <c r="J576" s="897"/>
      <c r="K576" s="903"/>
      <c r="L576" s="899">
        <f t="shared" si="39"/>
        <v>1025</v>
      </c>
      <c r="M576" s="933"/>
      <c r="N576" s="933"/>
      <c r="O576" s="933"/>
      <c r="P576" s="933"/>
      <c r="Q576" s="933"/>
      <c r="R576" s="933"/>
      <c r="S576" s="933"/>
      <c r="T576" s="933"/>
      <c r="U576" s="933"/>
      <c r="V576" s="933"/>
      <c r="W576" s="902"/>
      <c r="X576" s="902"/>
      <c r="Y576" s="902"/>
      <c r="Z576" s="902"/>
      <c r="AA576" s="902"/>
      <c r="AB576" s="902"/>
      <c r="AC576" s="902"/>
    </row>
    <row r="577" spans="1:29" ht="13.95" hidden="1" customHeight="1" outlineLevel="1">
      <c r="A577" s="967" t="s">
        <v>1782</v>
      </c>
      <c r="B577" s="1035" t="s">
        <v>2355</v>
      </c>
      <c r="C577" s="968">
        <v>600</v>
      </c>
      <c r="D577" s="1304">
        <v>1300</v>
      </c>
      <c r="E577" s="1337">
        <v>1300</v>
      </c>
      <c r="F577" s="1322">
        <f t="shared" si="42"/>
        <v>780</v>
      </c>
      <c r="G577" s="967">
        <v>1</v>
      </c>
      <c r="H577" s="901"/>
      <c r="I577" s="902"/>
      <c r="J577" s="897"/>
      <c r="K577" s="903"/>
      <c r="L577" s="899">
        <f t="shared" si="39"/>
        <v>700</v>
      </c>
      <c r="M577" s="933"/>
      <c r="N577" s="933"/>
      <c r="O577" s="933"/>
      <c r="P577" s="933"/>
      <c r="Q577" s="933"/>
      <c r="R577" s="933"/>
      <c r="S577" s="933"/>
      <c r="T577" s="933"/>
      <c r="U577" s="933"/>
      <c r="V577" s="933"/>
      <c r="W577" s="902"/>
      <c r="X577" s="902"/>
      <c r="Y577" s="902"/>
      <c r="Z577" s="902"/>
      <c r="AA577" s="902"/>
      <c r="AB577" s="902"/>
      <c r="AC577" s="902"/>
    </row>
    <row r="578" spans="1:29" ht="13.95" hidden="1" customHeight="1" outlineLevel="1">
      <c r="A578" s="967" t="s">
        <v>1493</v>
      </c>
      <c r="B578" s="1035" t="s">
        <v>509</v>
      </c>
      <c r="C578" s="968">
        <v>3600</v>
      </c>
      <c r="D578" s="1304">
        <v>4500</v>
      </c>
      <c r="E578" s="1337">
        <v>4500</v>
      </c>
      <c r="F578" s="1322">
        <f t="shared" si="42"/>
        <v>4680</v>
      </c>
      <c r="G578" s="967">
        <v>1</v>
      </c>
      <c r="H578" s="919"/>
      <c r="I578" s="912"/>
      <c r="J578" s="913"/>
      <c r="K578" s="912"/>
      <c r="L578" s="899">
        <f t="shared" si="39"/>
        <v>900</v>
      </c>
      <c r="M578" s="933"/>
      <c r="N578" s="933"/>
      <c r="O578" s="933"/>
      <c r="P578" s="933"/>
      <c r="Q578" s="933"/>
      <c r="R578" s="933"/>
      <c r="S578" s="933"/>
      <c r="T578" s="933"/>
      <c r="U578" s="933"/>
      <c r="V578" s="933"/>
      <c r="W578" s="902"/>
      <c r="X578" s="897"/>
      <c r="Y578" s="898"/>
      <c r="Z578" s="902"/>
      <c r="AA578" s="902"/>
      <c r="AB578" s="902"/>
      <c r="AC578" s="902"/>
    </row>
    <row r="579" spans="1:29" ht="13.95" hidden="1" customHeight="1" outlineLevel="1">
      <c r="A579" s="967" t="s">
        <v>508</v>
      </c>
      <c r="B579" s="1035" t="s">
        <v>508</v>
      </c>
      <c r="C579" s="968">
        <v>69</v>
      </c>
      <c r="D579" s="1304">
        <v>300</v>
      </c>
      <c r="E579" s="1337">
        <v>300</v>
      </c>
      <c r="F579" s="1322">
        <f t="shared" si="42"/>
        <v>89.7</v>
      </c>
      <c r="G579" s="967">
        <v>1</v>
      </c>
      <c r="H579" s="901"/>
      <c r="I579" s="902"/>
      <c r="J579" s="897"/>
      <c r="K579" s="903"/>
      <c r="L579" s="899">
        <f t="shared" si="39"/>
        <v>231</v>
      </c>
      <c r="M579" s="933"/>
      <c r="N579" s="933"/>
      <c r="O579" s="933"/>
      <c r="P579" s="933"/>
      <c r="Q579" s="933"/>
      <c r="R579" s="933"/>
      <c r="S579" s="933"/>
      <c r="T579" s="933"/>
      <c r="U579" s="933"/>
      <c r="V579" s="933"/>
      <c r="W579" s="902"/>
      <c r="X579" s="902"/>
      <c r="Y579" s="902"/>
      <c r="Z579" s="902"/>
      <c r="AA579" s="902"/>
      <c r="AB579" s="902"/>
      <c r="AC579" s="902"/>
    </row>
    <row r="580" spans="1:29" s="951" customFormat="1" ht="15.8" hidden="1" customHeight="1" outlineLevel="1">
      <c r="A580" s="949" t="s">
        <v>1592</v>
      </c>
      <c r="B580" s="949" t="s">
        <v>53</v>
      </c>
      <c r="C580" s="950">
        <v>1380</v>
      </c>
      <c r="D580" s="1307">
        <v>3200</v>
      </c>
      <c r="E580" s="1350"/>
      <c r="F580" s="1325"/>
      <c r="G580" s="952">
        <v>1</v>
      </c>
      <c r="H580" s="901"/>
      <c r="K580" s="949"/>
      <c r="L580" s="899">
        <f t="shared" si="39"/>
        <v>-1380</v>
      </c>
      <c r="M580" s="933"/>
      <c r="N580" s="933"/>
      <c r="O580" s="933"/>
      <c r="P580" s="933"/>
      <c r="Q580" s="933"/>
      <c r="R580" s="933"/>
      <c r="S580" s="933"/>
      <c r="T580" s="933"/>
      <c r="U580" s="933"/>
      <c r="V580" s="933"/>
      <c r="W580" s="953"/>
      <c r="X580" s="953"/>
      <c r="Y580" s="953"/>
      <c r="Z580" s="953"/>
      <c r="AA580" s="953"/>
      <c r="AB580" s="953"/>
      <c r="AC580" s="953"/>
    </row>
    <row r="581" spans="1:29" ht="13.95" hidden="1" customHeight="1" outlineLevel="1">
      <c r="A581" s="967" t="s">
        <v>1595</v>
      </c>
      <c r="B581" s="968" t="s">
        <v>484</v>
      </c>
      <c r="C581" s="968">
        <v>1380</v>
      </c>
      <c r="D581" s="1304">
        <v>3200</v>
      </c>
      <c r="E581" s="1337">
        <v>3200</v>
      </c>
      <c r="F581" s="1322">
        <f>C581*1.3</f>
        <v>1794</v>
      </c>
      <c r="G581" s="969">
        <v>1</v>
      </c>
      <c r="H581" s="901"/>
      <c r="I581" s="912"/>
      <c r="J581" s="913"/>
      <c r="K581" s="903"/>
      <c r="L581" s="899">
        <f t="shared" si="39"/>
        <v>1820</v>
      </c>
      <c r="M581" s="933"/>
      <c r="N581" s="933"/>
      <c r="O581" s="933"/>
      <c r="P581" s="933"/>
      <c r="Q581" s="933"/>
      <c r="R581" s="933"/>
      <c r="S581" s="933"/>
      <c r="T581" s="933"/>
      <c r="U581" s="933"/>
      <c r="V581" s="933"/>
      <c r="W581" s="902"/>
      <c r="X581" s="897"/>
      <c r="Y581" s="898"/>
      <c r="Z581" s="902"/>
      <c r="AA581" s="902"/>
      <c r="AB581" s="902"/>
      <c r="AC581" s="902"/>
    </row>
    <row r="582" spans="1:29" ht="13.95" hidden="1" customHeight="1" outlineLevel="1">
      <c r="A582" s="967" t="s">
        <v>1599</v>
      </c>
      <c r="B582" s="968" t="s">
        <v>482</v>
      </c>
      <c r="C582" s="968">
        <v>1380</v>
      </c>
      <c r="D582" s="1304">
        <v>3200</v>
      </c>
      <c r="E582" s="1337">
        <v>3200</v>
      </c>
      <c r="F582" s="1322">
        <f>C582*1.3</f>
        <v>1794</v>
      </c>
      <c r="G582" s="969">
        <v>1</v>
      </c>
      <c r="H582" s="901"/>
      <c r="I582" s="912"/>
      <c r="J582" s="913"/>
      <c r="K582" s="903"/>
      <c r="L582" s="899">
        <f t="shared" si="39"/>
        <v>1820</v>
      </c>
      <c r="M582" s="933"/>
      <c r="N582" s="933"/>
      <c r="O582" s="933"/>
      <c r="P582" s="933"/>
      <c r="Q582" s="933"/>
      <c r="R582" s="933"/>
      <c r="S582" s="933"/>
      <c r="T582" s="933"/>
      <c r="U582" s="933"/>
      <c r="V582" s="933"/>
      <c r="W582" s="902"/>
      <c r="X582" s="897"/>
      <c r="Y582" s="898"/>
      <c r="Z582" s="902"/>
      <c r="AA582" s="902"/>
      <c r="AB582" s="902"/>
      <c r="AC582" s="902"/>
    </row>
    <row r="583" spans="1:29" s="951" customFormat="1" ht="31.95" hidden="1" outlineLevel="1" thickBot="1">
      <c r="A583" s="1042" t="s">
        <v>1373</v>
      </c>
      <c r="B583" s="1043" t="s">
        <v>5873</v>
      </c>
      <c r="C583" s="1044">
        <v>207</v>
      </c>
      <c r="D583" s="1308">
        <v>600</v>
      </c>
      <c r="E583" s="1351">
        <v>600</v>
      </c>
      <c r="F583" s="1326">
        <f>C583*1.3</f>
        <v>269.10000000000002</v>
      </c>
      <c r="G583" s="1045">
        <v>1</v>
      </c>
      <c r="H583" s="901"/>
      <c r="K583" s="1033"/>
      <c r="L583" s="899">
        <f t="shared" si="39"/>
        <v>393</v>
      </c>
      <c r="M583" s="933"/>
      <c r="N583" s="933"/>
      <c r="O583" s="933"/>
      <c r="P583" s="933"/>
      <c r="Q583" s="933"/>
      <c r="R583" s="933"/>
      <c r="S583" s="933"/>
      <c r="T583" s="933"/>
      <c r="U583" s="933"/>
      <c r="V583" s="933"/>
      <c r="W583" s="953"/>
      <c r="X583" s="953"/>
      <c r="Y583" s="953"/>
      <c r="Z583" s="953"/>
      <c r="AA583" s="953"/>
      <c r="AB583" s="953"/>
      <c r="AC583" s="953"/>
    </row>
    <row r="584" spans="1:29" s="951" customFormat="1" ht="15.8" hidden="1" customHeight="1" outlineLevel="1">
      <c r="A584" s="949"/>
      <c r="B584" s="949" t="s">
        <v>947</v>
      </c>
      <c r="C584" s="950"/>
      <c r="D584" s="1307"/>
      <c r="E584" s="1350"/>
      <c r="F584" s="1325"/>
      <c r="G584" s="952"/>
      <c r="H584" s="901"/>
      <c r="K584" s="949"/>
      <c r="L584" s="899">
        <f t="shared" si="39"/>
        <v>0</v>
      </c>
      <c r="M584" s="933"/>
      <c r="N584" s="933"/>
      <c r="O584" s="933"/>
      <c r="P584" s="933"/>
      <c r="Q584" s="933"/>
      <c r="R584" s="933"/>
      <c r="S584" s="933"/>
      <c r="T584" s="933"/>
      <c r="U584" s="933"/>
      <c r="V584" s="933"/>
      <c r="W584" s="953"/>
      <c r="X584" s="953"/>
      <c r="Y584" s="953"/>
      <c r="Z584" s="953"/>
      <c r="AA584" s="953"/>
      <c r="AB584" s="953"/>
      <c r="AC584" s="953"/>
    </row>
    <row r="585" spans="1:29" s="951" customFormat="1" ht="27.85" hidden="1" outlineLevel="1" thickBot="1">
      <c r="A585" s="955" t="s">
        <v>1749</v>
      </c>
      <c r="B585" s="955" t="s">
        <v>1750</v>
      </c>
      <c r="C585" s="956">
        <v>48000</v>
      </c>
      <c r="D585" s="1309">
        <v>55000</v>
      </c>
      <c r="E585" s="1352">
        <v>55000</v>
      </c>
      <c r="F585" s="1327">
        <f>C585*1.3</f>
        <v>62400</v>
      </c>
      <c r="G585" s="957" t="s">
        <v>581</v>
      </c>
      <c r="H585" s="901"/>
      <c r="K585" s="1034"/>
      <c r="L585" s="899">
        <f t="shared" si="39"/>
        <v>7000</v>
      </c>
      <c r="M585" s="933"/>
      <c r="N585" s="933"/>
      <c r="O585" s="933"/>
      <c r="P585" s="933"/>
      <c r="Q585" s="933"/>
      <c r="R585" s="933"/>
      <c r="S585" s="933"/>
      <c r="T585" s="933"/>
      <c r="U585" s="933"/>
      <c r="V585" s="933"/>
      <c r="W585" s="953"/>
      <c r="X585" s="953"/>
      <c r="Y585" s="953"/>
      <c r="Z585" s="953"/>
      <c r="AA585" s="953"/>
      <c r="AB585" s="953"/>
      <c r="AC585" s="953"/>
    </row>
    <row r="586" spans="1:29" s="951" customFormat="1" ht="15.8" hidden="1" customHeight="1" outlineLevel="1">
      <c r="A586" s="958" t="s">
        <v>1529</v>
      </c>
      <c r="B586" s="958" t="s">
        <v>46</v>
      </c>
      <c r="C586" s="959">
        <v>1699</v>
      </c>
      <c r="D586" s="1310">
        <v>2700</v>
      </c>
      <c r="E586" s="1353">
        <v>2600</v>
      </c>
      <c r="F586" s="1322">
        <f>C586*1.3</f>
        <v>2208.7000000000003</v>
      </c>
      <c r="G586" s="954">
        <v>3</v>
      </c>
      <c r="H586" s="901"/>
      <c r="K586" s="949"/>
      <c r="L586" s="899">
        <f t="shared" si="39"/>
        <v>901</v>
      </c>
      <c r="M586" s="933"/>
      <c r="N586" s="933"/>
      <c r="O586" s="933"/>
      <c r="P586" s="933"/>
      <c r="Q586" s="933"/>
      <c r="R586" s="933"/>
      <c r="S586" s="933"/>
      <c r="T586" s="933"/>
      <c r="U586" s="933"/>
      <c r="V586" s="933"/>
      <c r="W586" s="953"/>
      <c r="X586" s="953"/>
      <c r="Y586" s="953"/>
      <c r="Z586" s="953"/>
      <c r="AA586" s="953"/>
      <c r="AB586" s="953"/>
      <c r="AC586" s="953"/>
    </row>
    <row r="587" spans="1:29" s="951" customFormat="1" ht="15.8" hidden="1" customHeight="1" outlineLevel="1" thickBot="1">
      <c r="A587" s="1056" t="s">
        <v>1566</v>
      </c>
      <c r="B587" s="1056" t="s">
        <v>48</v>
      </c>
      <c r="C587" s="1057">
        <v>8000</v>
      </c>
      <c r="D587" s="1311">
        <v>10200</v>
      </c>
      <c r="E587" s="1354">
        <v>10200</v>
      </c>
      <c r="F587" s="1323">
        <f>C587*1.3</f>
        <v>10400</v>
      </c>
      <c r="G587" s="1058">
        <v>3</v>
      </c>
      <c r="H587" s="901"/>
      <c r="K587" s="949"/>
      <c r="L587" s="899">
        <f t="shared" si="39"/>
        <v>2200</v>
      </c>
      <c r="M587" s="933"/>
      <c r="N587" s="933"/>
      <c r="O587" s="933"/>
      <c r="P587" s="933"/>
      <c r="Q587" s="933"/>
      <c r="R587" s="933"/>
      <c r="S587" s="933"/>
      <c r="T587" s="933"/>
      <c r="U587" s="933"/>
      <c r="V587" s="933"/>
      <c r="W587" s="953"/>
      <c r="X587" s="953"/>
      <c r="Y587" s="953"/>
      <c r="Z587" s="953"/>
      <c r="AA587" s="953"/>
      <c r="AB587" s="953"/>
      <c r="AC587" s="953"/>
    </row>
    <row r="588" spans="1:29" ht="16.3" collapsed="1" thickBot="1">
      <c r="A588" s="917" t="s">
        <v>955</v>
      </c>
      <c r="B588" s="892" t="s">
        <v>5877</v>
      </c>
      <c r="C588" s="892">
        <f>SUM(C589:C630)</f>
        <v>26665</v>
      </c>
      <c r="D588" s="893">
        <f>SUM(D589:D630)</f>
        <v>56140</v>
      </c>
      <c r="E588" s="1344">
        <v>37800</v>
      </c>
      <c r="F588" s="893">
        <f>SUM(F589:F630)</f>
        <v>34665.300000000003</v>
      </c>
      <c r="G588" s="894" t="s">
        <v>254</v>
      </c>
      <c r="H588" s="901"/>
      <c r="I588" s="902" t="str">
        <f>IF(H588="x",CONCATENATE(A588,"; "),"")</f>
        <v/>
      </c>
      <c r="J588" s="897"/>
      <c r="K588" s="903"/>
      <c r="L588" s="899">
        <f t="shared" si="39"/>
        <v>11135</v>
      </c>
      <c r="M588" s="933"/>
      <c r="N588" s="933"/>
      <c r="O588" s="933"/>
      <c r="P588" s="933"/>
      <c r="Q588" s="933"/>
      <c r="R588" s="933"/>
      <c r="S588" s="933"/>
      <c r="T588" s="933"/>
      <c r="U588" s="933"/>
      <c r="V588" s="933"/>
      <c r="W588" s="902"/>
      <c r="X588" s="902"/>
      <c r="Y588" s="902"/>
      <c r="Z588" s="902"/>
      <c r="AA588" s="902"/>
      <c r="AB588" s="902"/>
      <c r="AC588" s="902"/>
    </row>
    <row r="589" spans="1:29" ht="13.95" hidden="1" customHeight="1" outlineLevel="1">
      <c r="A589" s="1059" t="s">
        <v>1391</v>
      </c>
      <c r="B589" s="1060" t="s">
        <v>1392</v>
      </c>
      <c r="C589" s="1060">
        <v>69</v>
      </c>
      <c r="D589" s="1312">
        <v>400</v>
      </c>
      <c r="E589" s="1355">
        <v>300</v>
      </c>
      <c r="F589" s="1328">
        <f t="shared" ref="F589:F596" si="43">C589*1.3</f>
        <v>89.7</v>
      </c>
      <c r="G589" s="1061"/>
      <c r="H589" s="901"/>
      <c r="I589" s="902"/>
      <c r="J589" s="897"/>
      <c r="K589" s="903"/>
      <c r="L589" s="899">
        <f t="shared" si="39"/>
        <v>231</v>
      </c>
      <c r="M589" s="933"/>
      <c r="N589" s="933"/>
      <c r="O589" s="933"/>
      <c r="P589" s="933"/>
      <c r="Q589" s="933"/>
      <c r="R589" s="933"/>
      <c r="S589" s="933"/>
      <c r="T589" s="933"/>
      <c r="U589" s="933"/>
      <c r="V589" s="933"/>
      <c r="W589" s="902"/>
      <c r="X589" s="897"/>
      <c r="Y589" s="898"/>
      <c r="Z589" s="902"/>
      <c r="AA589" s="902"/>
      <c r="AB589" s="902"/>
      <c r="AC589" s="902"/>
    </row>
    <row r="590" spans="1:29" ht="13.95" hidden="1" customHeight="1" outlineLevel="1">
      <c r="A590" s="967" t="s">
        <v>1395</v>
      </c>
      <c r="B590" s="968" t="s">
        <v>1396</v>
      </c>
      <c r="C590" s="968">
        <v>69</v>
      </c>
      <c r="D590" s="1304">
        <v>400</v>
      </c>
      <c r="E590" s="1337">
        <v>300</v>
      </c>
      <c r="F590" s="1322">
        <f t="shared" si="43"/>
        <v>89.7</v>
      </c>
      <c r="G590" s="967"/>
      <c r="H590" s="914"/>
      <c r="I590" s="915"/>
      <c r="J590" s="916"/>
      <c r="K590" s="903"/>
      <c r="L590" s="899">
        <f t="shared" si="39"/>
        <v>231</v>
      </c>
      <c r="M590" s="933"/>
      <c r="N590" s="933"/>
      <c r="O590" s="933"/>
      <c r="P590" s="933"/>
      <c r="Q590" s="933"/>
      <c r="R590" s="933"/>
      <c r="S590" s="933"/>
      <c r="T590" s="933"/>
      <c r="U590" s="933"/>
      <c r="V590" s="933"/>
      <c r="W590" s="902"/>
      <c r="X590" s="897"/>
      <c r="Y590" s="898"/>
      <c r="Z590" s="902"/>
      <c r="AA590" s="902"/>
      <c r="AB590" s="902"/>
      <c r="AC590" s="902"/>
    </row>
    <row r="591" spans="1:29" ht="13.95" hidden="1" customHeight="1" outlineLevel="1">
      <c r="A591" s="967" t="s">
        <v>1397</v>
      </c>
      <c r="B591" s="968" t="s">
        <v>38</v>
      </c>
      <c r="C591" s="968">
        <v>345</v>
      </c>
      <c r="D591" s="1304">
        <v>500</v>
      </c>
      <c r="E591" s="1337">
        <v>500</v>
      </c>
      <c r="F591" s="1322">
        <f t="shared" si="43"/>
        <v>448.5</v>
      </c>
      <c r="G591" s="969"/>
      <c r="H591" s="901"/>
      <c r="I591" s="902"/>
      <c r="J591" s="897"/>
      <c r="K591" s="903"/>
      <c r="L591" s="899">
        <f t="shared" si="39"/>
        <v>155</v>
      </c>
      <c r="M591" s="933"/>
      <c r="N591" s="933"/>
      <c r="O591" s="933"/>
      <c r="P591" s="933"/>
      <c r="Q591" s="933"/>
      <c r="R591" s="933"/>
      <c r="S591" s="933"/>
      <c r="T591" s="933"/>
      <c r="U591" s="933"/>
      <c r="V591" s="933"/>
      <c r="W591" s="902"/>
      <c r="X591" s="897"/>
      <c r="Y591" s="898"/>
      <c r="Z591" s="902"/>
      <c r="AA591" s="902"/>
      <c r="AB591" s="902"/>
      <c r="AC591" s="902"/>
    </row>
    <row r="592" spans="1:29" ht="13.95" hidden="1" customHeight="1" outlineLevel="1">
      <c r="A592" s="967" t="s">
        <v>1606</v>
      </c>
      <c r="B592" s="968" t="s">
        <v>1332</v>
      </c>
      <c r="C592" s="968">
        <v>69</v>
      </c>
      <c r="D592" s="1304">
        <v>300</v>
      </c>
      <c r="E592" s="1337">
        <v>300</v>
      </c>
      <c r="F592" s="1322">
        <f t="shared" si="43"/>
        <v>89.7</v>
      </c>
      <c r="G592" s="969"/>
      <c r="H592" s="901"/>
      <c r="I592" s="902"/>
      <c r="J592" s="897"/>
      <c r="K592" s="903"/>
      <c r="L592" s="899">
        <f t="shared" si="39"/>
        <v>231</v>
      </c>
      <c r="M592" s="933"/>
      <c r="N592" s="933"/>
      <c r="O592" s="933"/>
      <c r="P592" s="933"/>
      <c r="Q592" s="933"/>
      <c r="R592" s="933"/>
      <c r="S592" s="933"/>
      <c r="T592" s="933"/>
      <c r="U592" s="933"/>
      <c r="V592" s="933"/>
      <c r="W592" s="902"/>
      <c r="X592" s="897"/>
      <c r="Y592" s="898"/>
      <c r="Z592" s="902"/>
      <c r="AA592" s="902"/>
      <c r="AB592" s="902"/>
      <c r="AC592" s="902"/>
    </row>
    <row r="593" spans="1:29" ht="13.95" hidden="1" customHeight="1" outlineLevel="1">
      <c r="A593" s="967" t="s">
        <v>1611</v>
      </c>
      <c r="B593" s="968" t="s">
        <v>1612</v>
      </c>
      <c r="C593" s="968">
        <v>125</v>
      </c>
      <c r="D593" s="1304">
        <v>200</v>
      </c>
      <c r="E593" s="1337">
        <v>200</v>
      </c>
      <c r="F593" s="1322">
        <f t="shared" si="43"/>
        <v>162.5</v>
      </c>
      <c r="G593" s="969"/>
      <c r="H593" s="901"/>
      <c r="I593" s="902"/>
      <c r="J593" s="897"/>
      <c r="K593" s="903"/>
      <c r="L593" s="899">
        <f t="shared" si="39"/>
        <v>75</v>
      </c>
      <c r="M593" s="933"/>
      <c r="N593" s="933"/>
      <c r="O593" s="933"/>
      <c r="P593" s="933"/>
      <c r="Q593" s="933"/>
      <c r="R593" s="933"/>
      <c r="S593" s="933"/>
      <c r="T593" s="933"/>
      <c r="U593" s="933"/>
      <c r="V593" s="933"/>
      <c r="W593" s="902"/>
      <c r="X593" s="897"/>
      <c r="Y593" s="898"/>
      <c r="Z593" s="902"/>
      <c r="AA593" s="902"/>
      <c r="AB593" s="902"/>
      <c r="AC593" s="902"/>
    </row>
    <row r="594" spans="1:29" ht="13.95" hidden="1" customHeight="1" outlineLevel="1">
      <c r="A594" s="967" t="s">
        <v>1621</v>
      </c>
      <c r="B594" s="968" t="s">
        <v>2346</v>
      </c>
      <c r="C594" s="968">
        <v>175</v>
      </c>
      <c r="D594" s="1304">
        <v>400</v>
      </c>
      <c r="E594" s="1337">
        <v>400</v>
      </c>
      <c r="F594" s="1322">
        <f t="shared" si="43"/>
        <v>227.5</v>
      </c>
      <c r="G594" s="969"/>
      <c r="H594" s="901"/>
      <c r="I594" s="902"/>
      <c r="J594" s="897"/>
      <c r="K594" s="903"/>
      <c r="L594" s="899">
        <f t="shared" si="39"/>
        <v>225</v>
      </c>
      <c r="M594" s="933"/>
      <c r="N594" s="933"/>
      <c r="O594" s="933"/>
      <c r="P594" s="933"/>
      <c r="Q594" s="933"/>
      <c r="R594" s="933"/>
      <c r="S594" s="933"/>
      <c r="T594" s="933"/>
      <c r="U594" s="933"/>
      <c r="V594" s="933"/>
      <c r="W594" s="902"/>
      <c r="X594" s="897"/>
      <c r="Y594" s="898"/>
      <c r="Z594" s="902"/>
      <c r="AA594" s="902"/>
      <c r="AB594" s="902"/>
      <c r="AC594" s="902"/>
    </row>
    <row r="595" spans="1:29" ht="13.95" hidden="1" customHeight="1" outlineLevel="1">
      <c r="A595" s="967" t="s">
        <v>649</v>
      </c>
      <c r="B595" s="968" t="s">
        <v>649</v>
      </c>
      <c r="C595" s="968">
        <v>460</v>
      </c>
      <c r="D595" s="1304">
        <v>1400</v>
      </c>
      <c r="E595" s="1337">
        <v>500</v>
      </c>
      <c r="F595" s="1322">
        <f t="shared" si="43"/>
        <v>598</v>
      </c>
      <c r="G595" s="969"/>
      <c r="H595" s="901"/>
      <c r="I595" s="902"/>
      <c r="J595" s="897"/>
      <c r="K595" s="903"/>
      <c r="L595" s="899">
        <f t="shared" si="39"/>
        <v>40</v>
      </c>
      <c r="M595" s="933"/>
      <c r="N595" s="933"/>
      <c r="O595" s="933"/>
      <c r="P595" s="933"/>
      <c r="Q595" s="933"/>
      <c r="R595" s="933"/>
      <c r="S595" s="933"/>
      <c r="T595" s="933"/>
      <c r="U595" s="933"/>
      <c r="V595" s="933"/>
      <c r="W595" s="902"/>
      <c r="X595" s="897"/>
      <c r="Y595" s="898"/>
      <c r="Z595" s="902"/>
      <c r="AA595" s="902"/>
      <c r="AB595" s="902"/>
      <c r="AC595" s="902"/>
    </row>
    <row r="596" spans="1:29" ht="13.95" hidden="1" customHeight="1" outlineLevel="1">
      <c r="A596" s="967" t="s">
        <v>1371</v>
      </c>
      <c r="B596" s="968" t="s">
        <v>1372</v>
      </c>
      <c r="C596" s="968">
        <v>2415</v>
      </c>
      <c r="D596" s="1304">
        <v>5800</v>
      </c>
      <c r="E596" s="1337">
        <v>3500</v>
      </c>
      <c r="F596" s="1322">
        <f t="shared" si="43"/>
        <v>3139.5</v>
      </c>
      <c r="G596" s="969"/>
      <c r="H596" s="901"/>
      <c r="I596" s="902"/>
      <c r="J596" s="897"/>
      <c r="K596" s="903"/>
      <c r="L596" s="899">
        <f t="shared" si="39"/>
        <v>1085</v>
      </c>
      <c r="M596" s="933"/>
      <c r="N596" s="933"/>
      <c r="O596" s="933"/>
      <c r="P596" s="933"/>
      <c r="Q596" s="933"/>
      <c r="R596" s="933"/>
      <c r="S596" s="933"/>
      <c r="T596" s="933"/>
      <c r="U596" s="933"/>
      <c r="V596" s="933"/>
      <c r="W596" s="902"/>
      <c r="X596" s="897"/>
      <c r="Y596" s="898"/>
      <c r="Z596" s="902"/>
      <c r="AA596" s="902"/>
      <c r="AB596" s="902"/>
      <c r="AC596" s="902"/>
    </row>
    <row r="597" spans="1:29" ht="13.95" hidden="1" customHeight="1" outlineLevel="1">
      <c r="A597" s="967" t="s">
        <v>662</v>
      </c>
      <c r="B597" s="968"/>
      <c r="C597" s="968"/>
      <c r="D597" s="1304"/>
      <c r="E597" s="1337"/>
      <c r="F597" s="1322"/>
      <c r="G597" s="969"/>
      <c r="H597" s="901"/>
      <c r="I597" s="902"/>
      <c r="J597" s="897"/>
      <c r="K597" s="903"/>
      <c r="L597" s="899">
        <f t="shared" si="39"/>
        <v>0</v>
      </c>
      <c r="M597" s="933"/>
      <c r="N597" s="933"/>
      <c r="O597" s="933"/>
      <c r="P597" s="933"/>
      <c r="Q597" s="933"/>
      <c r="R597" s="933"/>
      <c r="S597" s="933"/>
      <c r="T597" s="933"/>
      <c r="U597" s="933"/>
      <c r="V597" s="933"/>
      <c r="W597" s="902"/>
      <c r="X597" s="902"/>
      <c r="Y597" s="902"/>
      <c r="Z597" s="902"/>
      <c r="AA597" s="902"/>
      <c r="AB597" s="902"/>
      <c r="AC597" s="902"/>
    </row>
    <row r="598" spans="1:29" ht="13.95" hidden="1" customHeight="1" outlineLevel="1">
      <c r="A598" s="967" t="s">
        <v>1527</v>
      </c>
      <c r="B598" s="968" t="s">
        <v>1528</v>
      </c>
      <c r="C598" s="968">
        <v>130</v>
      </c>
      <c r="D598" s="1304">
        <v>600</v>
      </c>
      <c r="E598" s="1337">
        <v>600</v>
      </c>
      <c r="F598" s="1322">
        <f t="shared" ref="F598:F603" si="44">C598*1.3</f>
        <v>169</v>
      </c>
      <c r="G598" s="969"/>
      <c r="H598" s="901"/>
      <c r="I598" s="902"/>
      <c r="J598" s="897"/>
      <c r="K598" s="903"/>
      <c r="L598" s="899">
        <f t="shared" si="39"/>
        <v>470</v>
      </c>
      <c r="M598" s="933"/>
      <c r="N598" s="933"/>
      <c r="O598" s="933"/>
      <c r="P598" s="933"/>
      <c r="Q598" s="933"/>
      <c r="R598" s="933"/>
      <c r="S598" s="933"/>
      <c r="T598" s="933"/>
      <c r="U598" s="933"/>
      <c r="V598" s="933"/>
      <c r="W598" s="902"/>
      <c r="X598" s="897"/>
      <c r="Y598" s="898"/>
      <c r="Z598" s="902"/>
      <c r="AA598" s="902"/>
      <c r="AB598" s="902"/>
      <c r="AC598" s="902"/>
    </row>
    <row r="599" spans="1:29" ht="13.95" hidden="1" customHeight="1" outlineLevel="1">
      <c r="A599" s="967" t="s">
        <v>681</v>
      </c>
      <c r="B599" s="968" t="s">
        <v>15</v>
      </c>
      <c r="C599" s="968">
        <v>69</v>
      </c>
      <c r="D599" s="1304">
        <v>250</v>
      </c>
      <c r="E599" s="1337">
        <v>250</v>
      </c>
      <c r="F599" s="1322">
        <f t="shared" si="44"/>
        <v>89.7</v>
      </c>
      <c r="G599" s="969"/>
      <c r="H599" s="901"/>
      <c r="I599" s="902"/>
      <c r="J599" s="897"/>
      <c r="K599" s="903"/>
      <c r="L599" s="899">
        <f t="shared" si="39"/>
        <v>181</v>
      </c>
      <c r="M599" s="933"/>
      <c r="N599" s="933"/>
      <c r="O599" s="933"/>
      <c r="P599" s="933"/>
      <c r="Q599" s="933"/>
      <c r="R599" s="933"/>
      <c r="S599" s="933"/>
      <c r="T599" s="933"/>
      <c r="U599" s="933"/>
      <c r="V599" s="933"/>
      <c r="W599" s="902"/>
      <c r="X599" s="897"/>
      <c r="Y599" s="898"/>
      <c r="Z599" s="902"/>
      <c r="AA599" s="902"/>
      <c r="AB599" s="902"/>
      <c r="AC599" s="902"/>
    </row>
    <row r="600" spans="1:29" ht="13.95" hidden="1" customHeight="1" outlineLevel="1">
      <c r="A600" s="967" t="s">
        <v>1826</v>
      </c>
      <c r="B600" s="968" t="s">
        <v>1827</v>
      </c>
      <c r="C600" s="968">
        <v>69</v>
      </c>
      <c r="D600" s="1304">
        <v>640</v>
      </c>
      <c r="E600" s="1337">
        <v>300</v>
      </c>
      <c r="F600" s="1322">
        <f t="shared" si="44"/>
        <v>89.7</v>
      </c>
      <c r="G600" s="969"/>
      <c r="H600" s="901"/>
      <c r="I600" s="902"/>
      <c r="J600" s="897"/>
      <c r="K600" s="903"/>
      <c r="L600" s="899">
        <f t="shared" si="39"/>
        <v>231</v>
      </c>
      <c r="M600" s="933"/>
      <c r="N600" s="933"/>
      <c r="O600" s="933"/>
      <c r="P600" s="933"/>
      <c r="Q600" s="933"/>
      <c r="R600" s="933"/>
      <c r="S600" s="933"/>
      <c r="T600" s="933"/>
      <c r="U600" s="933"/>
      <c r="V600" s="933"/>
      <c r="W600" s="902"/>
      <c r="X600" s="897"/>
      <c r="Y600" s="898"/>
      <c r="Z600" s="902"/>
      <c r="AA600" s="902"/>
      <c r="AB600" s="902"/>
      <c r="AC600" s="902"/>
    </row>
    <row r="601" spans="1:29" ht="13.95" hidden="1" customHeight="1" outlineLevel="1">
      <c r="A601" s="967" t="s">
        <v>684</v>
      </c>
      <c r="B601" s="968" t="s">
        <v>1538</v>
      </c>
      <c r="C601" s="968">
        <v>69</v>
      </c>
      <c r="D601" s="1304">
        <v>200</v>
      </c>
      <c r="E601" s="1337">
        <v>200</v>
      </c>
      <c r="F601" s="1322">
        <f t="shared" si="44"/>
        <v>89.7</v>
      </c>
      <c r="G601" s="969"/>
      <c r="H601" s="901"/>
      <c r="I601" s="902"/>
      <c r="J601" s="897"/>
      <c r="K601" s="903"/>
      <c r="L601" s="899">
        <f t="shared" si="39"/>
        <v>131</v>
      </c>
      <c r="M601" s="933"/>
      <c r="N601" s="933"/>
      <c r="O601" s="933"/>
      <c r="P601" s="933"/>
      <c r="Q601" s="933"/>
      <c r="R601" s="933"/>
      <c r="S601" s="933"/>
      <c r="T601" s="933"/>
      <c r="U601" s="933"/>
      <c r="V601" s="933"/>
      <c r="W601" s="902"/>
      <c r="X601" s="897"/>
      <c r="Y601" s="898"/>
      <c r="Z601" s="902"/>
      <c r="AA601" s="902"/>
      <c r="AB601" s="902"/>
      <c r="AC601" s="902"/>
    </row>
    <row r="602" spans="1:29" ht="13.95" hidden="1" customHeight="1" outlineLevel="1">
      <c r="A602" s="967" t="s">
        <v>685</v>
      </c>
      <c r="B602" s="968" t="s">
        <v>1539</v>
      </c>
      <c r="C602" s="968">
        <v>69</v>
      </c>
      <c r="D602" s="1304">
        <v>200</v>
      </c>
      <c r="E602" s="1337">
        <v>200</v>
      </c>
      <c r="F602" s="1322">
        <f t="shared" si="44"/>
        <v>89.7</v>
      </c>
      <c r="G602" s="969"/>
      <c r="H602" s="901"/>
      <c r="I602" s="902"/>
      <c r="J602" s="897"/>
      <c r="K602" s="903"/>
      <c r="L602" s="899">
        <f t="shared" ref="L602:L665" si="45">E602-C602</f>
        <v>131</v>
      </c>
      <c r="M602" s="933"/>
      <c r="N602" s="933"/>
      <c r="O602" s="933"/>
      <c r="P602" s="933"/>
      <c r="Q602" s="933"/>
      <c r="R602" s="933"/>
      <c r="S602" s="933"/>
      <c r="T602" s="933"/>
      <c r="U602" s="933"/>
      <c r="V602" s="933"/>
      <c r="W602" s="902"/>
      <c r="X602" s="897"/>
      <c r="Y602" s="898"/>
      <c r="Z602" s="902"/>
      <c r="AA602" s="902"/>
      <c r="AB602" s="902"/>
      <c r="AC602" s="902"/>
    </row>
    <row r="603" spans="1:29" ht="13.95" hidden="1" customHeight="1" outlineLevel="1">
      <c r="A603" s="967" t="s">
        <v>945</v>
      </c>
      <c r="B603" s="968" t="s">
        <v>1542</v>
      </c>
      <c r="C603" s="968">
        <v>230</v>
      </c>
      <c r="D603" s="1304">
        <v>600</v>
      </c>
      <c r="E603" s="1337">
        <v>600</v>
      </c>
      <c r="F603" s="1322">
        <f t="shared" si="44"/>
        <v>299</v>
      </c>
      <c r="G603" s="969"/>
      <c r="H603" s="901"/>
      <c r="I603" s="902"/>
      <c r="J603" s="897"/>
      <c r="K603" s="903"/>
      <c r="L603" s="899">
        <f t="shared" si="45"/>
        <v>370</v>
      </c>
      <c r="M603" s="933"/>
      <c r="N603" s="933"/>
      <c r="O603" s="933"/>
      <c r="P603" s="933"/>
      <c r="Q603" s="933"/>
      <c r="R603" s="933"/>
      <c r="S603" s="933"/>
      <c r="T603" s="933"/>
      <c r="U603" s="933"/>
      <c r="V603" s="933"/>
      <c r="W603" s="902"/>
      <c r="X603" s="897"/>
      <c r="Y603" s="898"/>
      <c r="Z603" s="902"/>
      <c r="AA603" s="902"/>
      <c r="AB603" s="902"/>
      <c r="AC603" s="902"/>
    </row>
    <row r="604" spans="1:29" ht="13.95" hidden="1" customHeight="1" outlineLevel="1">
      <c r="A604" s="967" t="s">
        <v>706</v>
      </c>
      <c r="B604" s="968"/>
      <c r="C604" s="968"/>
      <c r="D604" s="1304"/>
      <c r="E604" s="1337"/>
      <c r="F604" s="1322"/>
      <c r="G604" s="969"/>
      <c r="H604" s="901"/>
      <c r="I604" s="902"/>
      <c r="J604" s="897"/>
      <c r="K604" s="903"/>
      <c r="L604" s="899">
        <f t="shared" si="45"/>
        <v>0</v>
      </c>
      <c r="M604" s="933"/>
      <c r="N604" s="933"/>
      <c r="O604" s="933"/>
      <c r="P604" s="933"/>
      <c r="Q604" s="933"/>
      <c r="R604" s="933"/>
      <c r="S604" s="933"/>
      <c r="T604" s="933"/>
      <c r="U604" s="933"/>
      <c r="V604" s="933"/>
      <c r="W604" s="902"/>
      <c r="X604" s="902"/>
      <c r="Y604" s="902"/>
      <c r="Z604" s="902"/>
      <c r="AA604" s="902"/>
      <c r="AB604" s="902"/>
      <c r="AC604" s="902"/>
    </row>
    <row r="605" spans="1:29" ht="13.95" hidden="1" customHeight="1" outlineLevel="1">
      <c r="A605" s="967" t="s">
        <v>1569</v>
      </c>
      <c r="B605" s="968" t="s">
        <v>27</v>
      </c>
      <c r="C605" s="968">
        <v>69</v>
      </c>
      <c r="D605" s="1304">
        <v>600</v>
      </c>
      <c r="E605" s="1337">
        <v>300</v>
      </c>
      <c r="F605" s="1322">
        <f t="shared" ref="F605:F611" si="46">C605*1.3</f>
        <v>89.7</v>
      </c>
      <c r="G605" s="969"/>
      <c r="H605" s="901"/>
      <c r="I605" s="902"/>
      <c r="J605" s="897"/>
      <c r="K605" s="903"/>
      <c r="L605" s="899">
        <f t="shared" si="45"/>
        <v>231</v>
      </c>
      <c r="M605" s="933"/>
      <c r="N605" s="933"/>
      <c r="O605" s="933"/>
      <c r="P605" s="933"/>
      <c r="Q605" s="933"/>
      <c r="R605" s="933"/>
      <c r="S605" s="933"/>
      <c r="T605" s="933"/>
      <c r="U605" s="933"/>
      <c r="V605" s="933"/>
      <c r="W605" s="902"/>
      <c r="X605" s="897"/>
      <c r="Y605" s="898"/>
      <c r="Z605" s="902"/>
      <c r="AA605" s="902"/>
      <c r="AB605" s="902"/>
      <c r="AC605" s="902"/>
    </row>
    <row r="606" spans="1:29" ht="13.95" hidden="1" customHeight="1" outlineLevel="1">
      <c r="A606" s="967" t="s">
        <v>1592</v>
      </c>
      <c r="B606" s="968" t="s">
        <v>53</v>
      </c>
      <c r="C606" s="968">
        <v>1380</v>
      </c>
      <c r="D606" s="1304">
        <v>3200</v>
      </c>
      <c r="E606" s="1337">
        <v>3200</v>
      </c>
      <c r="F606" s="1322">
        <f t="shared" si="46"/>
        <v>1794</v>
      </c>
      <c r="G606" s="969"/>
      <c r="H606" s="901"/>
      <c r="I606" s="902"/>
      <c r="J606" s="897"/>
      <c r="K606" s="903"/>
      <c r="L606" s="899">
        <f t="shared" si="45"/>
        <v>1820</v>
      </c>
      <c r="M606" s="933"/>
      <c r="N606" s="933"/>
      <c r="O606" s="933"/>
      <c r="P606" s="933"/>
      <c r="Q606" s="933"/>
      <c r="R606" s="933"/>
      <c r="S606" s="933"/>
      <c r="T606" s="933"/>
      <c r="U606" s="933"/>
      <c r="V606" s="933"/>
      <c r="W606" s="902"/>
      <c r="X606" s="897"/>
      <c r="Y606" s="898"/>
      <c r="Z606" s="902"/>
      <c r="AA606" s="902"/>
      <c r="AB606" s="902"/>
      <c r="AC606" s="902"/>
    </row>
    <row r="607" spans="1:29" ht="13.95" hidden="1" customHeight="1" outlineLevel="1">
      <c r="A607" s="967" t="s">
        <v>1607</v>
      </c>
      <c r="B607" s="968" t="s">
        <v>22</v>
      </c>
      <c r="C607" s="968">
        <v>135</v>
      </c>
      <c r="D607" s="1304">
        <v>200</v>
      </c>
      <c r="E607" s="1337">
        <v>200</v>
      </c>
      <c r="F607" s="1322">
        <f t="shared" si="46"/>
        <v>175.5</v>
      </c>
      <c r="G607" s="969"/>
      <c r="H607" s="901"/>
      <c r="I607" s="902"/>
      <c r="J607" s="897"/>
      <c r="K607" s="903"/>
      <c r="L607" s="899">
        <f t="shared" si="45"/>
        <v>65</v>
      </c>
      <c r="M607" s="933"/>
      <c r="N607" s="933"/>
      <c r="O607" s="933"/>
      <c r="P607" s="933"/>
      <c r="Q607" s="933"/>
      <c r="R607" s="933"/>
      <c r="S607" s="933"/>
      <c r="T607" s="933"/>
      <c r="U607" s="933"/>
      <c r="V607" s="933"/>
      <c r="W607" s="902"/>
      <c r="X607" s="897"/>
      <c r="Y607" s="898"/>
      <c r="Z607" s="902"/>
      <c r="AA607" s="902"/>
      <c r="AB607" s="902"/>
      <c r="AC607" s="902"/>
    </row>
    <row r="608" spans="1:29" ht="13.95" hidden="1" customHeight="1" outlineLevel="1">
      <c r="A608" s="967" t="s">
        <v>1608</v>
      </c>
      <c r="B608" s="968" t="s">
        <v>19</v>
      </c>
      <c r="C608" s="968">
        <v>69</v>
      </c>
      <c r="D608" s="1304">
        <v>600</v>
      </c>
      <c r="E608" s="1337">
        <v>400</v>
      </c>
      <c r="F608" s="1322">
        <f t="shared" si="46"/>
        <v>89.7</v>
      </c>
      <c r="G608" s="969"/>
      <c r="H608" s="901"/>
      <c r="I608" s="902"/>
      <c r="J608" s="897"/>
      <c r="K608" s="903"/>
      <c r="L608" s="899">
        <f t="shared" si="45"/>
        <v>331</v>
      </c>
      <c r="M608" s="933"/>
      <c r="N608" s="933"/>
      <c r="O608" s="933"/>
      <c r="P608" s="933"/>
      <c r="Q608" s="933"/>
      <c r="R608" s="933"/>
      <c r="S608" s="933"/>
      <c r="T608" s="933"/>
      <c r="U608" s="933"/>
      <c r="V608" s="933"/>
      <c r="W608" s="902"/>
      <c r="X608" s="897"/>
      <c r="Y608" s="898"/>
      <c r="Z608" s="902"/>
      <c r="AA608" s="902"/>
      <c r="AB608" s="902"/>
      <c r="AC608" s="902"/>
    </row>
    <row r="609" spans="1:29" ht="13.95" hidden="1" customHeight="1" outlineLevel="1">
      <c r="A609" s="967" t="s">
        <v>1613</v>
      </c>
      <c r="B609" s="968" t="s">
        <v>32</v>
      </c>
      <c r="C609" s="968">
        <v>69</v>
      </c>
      <c r="D609" s="1304">
        <v>200</v>
      </c>
      <c r="E609" s="1337">
        <v>200</v>
      </c>
      <c r="F609" s="1322">
        <f t="shared" si="46"/>
        <v>89.7</v>
      </c>
      <c r="G609" s="969"/>
      <c r="H609" s="901"/>
      <c r="I609" s="902"/>
      <c r="J609" s="897"/>
      <c r="K609" s="903"/>
      <c r="L609" s="899">
        <f t="shared" si="45"/>
        <v>131</v>
      </c>
      <c r="M609" s="933"/>
      <c r="N609" s="933"/>
      <c r="O609" s="933"/>
      <c r="P609" s="933"/>
      <c r="Q609" s="933"/>
      <c r="R609" s="933"/>
      <c r="S609" s="933"/>
      <c r="T609" s="933"/>
      <c r="U609" s="933"/>
      <c r="V609" s="933"/>
      <c r="W609" s="902"/>
      <c r="X609" s="897"/>
      <c r="Y609" s="898"/>
      <c r="Z609" s="902"/>
      <c r="AA609" s="902"/>
      <c r="AB609" s="902"/>
      <c r="AC609" s="902"/>
    </row>
    <row r="610" spans="1:29" ht="13.95" hidden="1" customHeight="1" outlineLevel="1">
      <c r="A610" s="967" t="s">
        <v>1492</v>
      </c>
      <c r="B610" s="968" t="s">
        <v>37</v>
      </c>
      <c r="C610" s="968">
        <v>253</v>
      </c>
      <c r="D610" s="1304">
        <v>500</v>
      </c>
      <c r="E610" s="1337">
        <v>500</v>
      </c>
      <c r="F610" s="1322">
        <f t="shared" si="46"/>
        <v>328.90000000000003</v>
      </c>
      <c r="G610" s="969"/>
      <c r="H610" s="901"/>
      <c r="I610" s="902"/>
      <c r="J610" s="897"/>
      <c r="K610" s="903"/>
      <c r="L610" s="899">
        <f t="shared" si="45"/>
        <v>247</v>
      </c>
      <c r="M610" s="933"/>
      <c r="N610" s="933"/>
      <c r="O610" s="933"/>
      <c r="P610" s="933"/>
      <c r="Q610" s="933"/>
      <c r="R610" s="933"/>
      <c r="S610" s="933"/>
      <c r="T610" s="933"/>
      <c r="U610" s="933"/>
      <c r="V610" s="933"/>
      <c r="W610" s="902"/>
      <c r="X610" s="897"/>
      <c r="Y610" s="898"/>
      <c r="Z610" s="902"/>
      <c r="AA610" s="902"/>
      <c r="AB610" s="902"/>
      <c r="AC610" s="902"/>
    </row>
    <row r="611" spans="1:29" ht="13.95" hidden="1" customHeight="1" outlineLevel="1">
      <c r="A611" s="971" t="s">
        <v>948</v>
      </c>
      <c r="B611" s="971" t="s">
        <v>1628</v>
      </c>
      <c r="C611" s="968">
        <v>175</v>
      </c>
      <c r="D611" s="1304">
        <v>700</v>
      </c>
      <c r="E611" s="1337">
        <v>600</v>
      </c>
      <c r="F611" s="1322">
        <f t="shared" si="46"/>
        <v>227.5</v>
      </c>
      <c r="G611" s="969"/>
      <c r="H611" s="901"/>
      <c r="I611" s="902"/>
      <c r="J611" s="897"/>
      <c r="K611" s="903"/>
      <c r="L611" s="899">
        <f t="shared" si="45"/>
        <v>425</v>
      </c>
      <c r="M611" s="933"/>
      <c r="N611" s="933"/>
      <c r="O611" s="933"/>
      <c r="P611" s="933"/>
      <c r="Q611" s="933"/>
      <c r="R611" s="933"/>
      <c r="S611" s="933"/>
      <c r="T611" s="933"/>
      <c r="U611" s="933"/>
      <c r="V611" s="933"/>
      <c r="W611" s="902"/>
      <c r="X611" s="897"/>
      <c r="Y611" s="898"/>
      <c r="Z611" s="902"/>
      <c r="AA611" s="902"/>
      <c r="AB611" s="902"/>
      <c r="AC611" s="902"/>
    </row>
    <row r="612" spans="1:29" ht="13.95" hidden="1" customHeight="1" outlineLevel="1">
      <c r="A612" s="967" t="s">
        <v>1650</v>
      </c>
      <c r="B612" s="972" t="s">
        <v>2756</v>
      </c>
      <c r="C612" s="972">
        <v>125</v>
      </c>
      <c r="D612" s="1306">
        <v>200</v>
      </c>
      <c r="E612" s="1348">
        <v>200</v>
      </c>
      <c r="F612" s="1324">
        <v>163</v>
      </c>
      <c r="G612" s="967"/>
      <c r="H612" s="911"/>
      <c r="I612" s="912"/>
      <c r="J612" s="947"/>
      <c r="K612" s="903"/>
      <c r="L612" s="899">
        <f t="shared" si="45"/>
        <v>75</v>
      </c>
      <c r="M612" s="933"/>
      <c r="N612" s="933"/>
      <c r="O612" s="933"/>
      <c r="P612" s="933"/>
      <c r="Q612" s="933"/>
      <c r="R612" s="933"/>
      <c r="S612" s="933"/>
      <c r="T612" s="933"/>
      <c r="U612" s="933"/>
      <c r="V612" s="933"/>
      <c r="W612" s="933"/>
      <c r="X612" s="897"/>
      <c r="Y612" s="932"/>
      <c r="Z612" s="902"/>
      <c r="AA612" s="902"/>
      <c r="AB612" s="902"/>
      <c r="AC612" s="902"/>
    </row>
    <row r="613" spans="1:29" ht="13.95" hidden="1" customHeight="1" outlineLevel="1">
      <c r="A613" s="967" t="s">
        <v>1693</v>
      </c>
      <c r="B613" s="968" t="s">
        <v>21</v>
      </c>
      <c r="C613" s="968">
        <v>135</v>
      </c>
      <c r="D613" s="1304">
        <v>200</v>
      </c>
      <c r="E613" s="1337">
        <v>200</v>
      </c>
      <c r="F613" s="1322">
        <f>C613*1.3</f>
        <v>175.5</v>
      </c>
      <c r="G613" s="969"/>
      <c r="H613" s="901"/>
      <c r="I613" s="902"/>
      <c r="J613" s="897"/>
      <c r="K613" s="903"/>
      <c r="L613" s="899">
        <f t="shared" si="45"/>
        <v>65</v>
      </c>
      <c r="M613" s="933"/>
      <c r="N613" s="933"/>
      <c r="O613" s="933"/>
      <c r="P613" s="933"/>
      <c r="Q613" s="933"/>
      <c r="R613" s="933"/>
      <c r="S613" s="933"/>
      <c r="T613" s="933"/>
      <c r="U613" s="933"/>
      <c r="V613" s="933"/>
      <c r="W613" s="902"/>
      <c r="X613" s="897"/>
      <c r="Y613" s="898"/>
      <c r="Z613" s="902"/>
      <c r="AA613" s="902"/>
      <c r="AB613" s="902"/>
      <c r="AC613" s="902"/>
    </row>
    <row r="614" spans="1:29" ht="13.95" hidden="1" customHeight="1" outlineLevel="1">
      <c r="A614" s="967" t="s">
        <v>1716</v>
      </c>
      <c r="B614" s="968" t="s">
        <v>25</v>
      </c>
      <c r="C614" s="968">
        <v>69</v>
      </c>
      <c r="D614" s="1304">
        <v>600</v>
      </c>
      <c r="E614" s="1337">
        <v>300</v>
      </c>
      <c r="F614" s="1322">
        <f>C614*1.3</f>
        <v>89.7</v>
      </c>
      <c r="G614" s="969"/>
      <c r="H614" s="901"/>
      <c r="I614" s="902"/>
      <c r="J614" s="897"/>
      <c r="K614" s="903"/>
      <c r="L614" s="899">
        <f t="shared" si="45"/>
        <v>231</v>
      </c>
      <c r="M614" s="933"/>
      <c r="N614" s="933"/>
      <c r="O614" s="933"/>
      <c r="P614" s="933"/>
      <c r="Q614" s="933"/>
      <c r="R614" s="933"/>
      <c r="S614" s="933"/>
      <c r="T614" s="933"/>
      <c r="U614" s="933"/>
      <c r="V614" s="933"/>
      <c r="W614" s="902"/>
      <c r="X614" s="897"/>
      <c r="Y614" s="898"/>
      <c r="Z614" s="902"/>
      <c r="AA614" s="902"/>
      <c r="AB614" s="902"/>
      <c r="AC614" s="902"/>
    </row>
    <row r="615" spans="1:29" ht="13.95" hidden="1" customHeight="1" outlineLevel="1">
      <c r="A615" s="967" t="s">
        <v>1440</v>
      </c>
      <c r="B615" s="972" t="s">
        <v>2759</v>
      </c>
      <c r="C615" s="972">
        <v>69</v>
      </c>
      <c r="D615" s="1306">
        <v>500</v>
      </c>
      <c r="E615" s="1348">
        <v>500</v>
      </c>
      <c r="F615" s="1324">
        <v>90</v>
      </c>
      <c r="G615" s="967"/>
      <c r="H615" s="936"/>
      <c r="I615" s="933"/>
      <c r="J615" s="897"/>
      <c r="K615" s="903"/>
      <c r="L615" s="899">
        <f t="shared" si="45"/>
        <v>431</v>
      </c>
      <c r="M615" s="933"/>
      <c r="N615" s="933"/>
      <c r="O615" s="933"/>
      <c r="P615" s="933"/>
      <c r="Q615" s="933"/>
      <c r="R615" s="933"/>
      <c r="S615" s="933"/>
      <c r="T615" s="933"/>
      <c r="U615" s="933"/>
      <c r="V615" s="933"/>
      <c r="W615" s="933"/>
      <c r="X615" s="897"/>
      <c r="Y615" s="932"/>
      <c r="Z615" s="902"/>
      <c r="AA615" s="902"/>
      <c r="AB615" s="902"/>
      <c r="AC615" s="902"/>
    </row>
    <row r="616" spans="1:29" ht="13.95" hidden="1" customHeight="1" outlineLevel="1">
      <c r="A616" s="967" t="s">
        <v>1807</v>
      </c>
      <c r="B616" s="968" t="s">
        <v>30</v>
      </c>
      <c r="C616" s="968">
        <v>460</v>
      </c>
      <c r="D616" s="1304">
        <v>850</v>
      </c>
      <c r="E616" s="1337">
        <v>400</v>
      </c>
      <c r="F616" s="1322">
        <f t="shared" ref="F616:F622" si="47">C616*1.3</f>
        <v>598</v>
      </c>
      <c r="G616" s="969"/>
      <c r="H616" s="901"/>
      <c r="I616" s="902"/>
      <c r="J616" s="897"/>
      <c r="K616" s="903"/>
      <c r="L616" s="899">
        <f t="shared" si="45"/>
        <v>-60</v>
      </c>
      <c r="M616" s="933"/>
      <c r="N616" s="933"/>
      <c r="O616" s="933"/>
      <c r="P616" s="933"/>
      <c r="Q616" s="933"/>
      <c r="R616" s="933"/>
      <c r="S616" s="933"/>
      <c r="T616" s="933"/>
      <c r="U616" s="933"/>
      <c r="V616" s="933"/>
      <c r="W616" s="902"/>
      <c r="X616" s="897"/>
      <c r="Y616" s="898"/>
      <c r="Z616" s="902"/>
      <c r="AA616" s="902"/>
      <c r="AB616" s="902"/>
      <c r="AC616" s="902"/>
    </row>
    <row r="617" spans="1:29" ht="13.95" hidden="1" customHeight="1" outlineLevel="1">
      <c r="A617" s="967" t="s">
        <v>1813</v>
      </c>
      <c r="B617" s="968" t="s">
        <v>505</v>
      </c>
      <c r="C617" s="968">
        <v>69</v>
      </c>
      <c r="D617" s="1304">
        <v>600</v>
      </c>
      <c r="E617" s="1337">
        <v>350</v>
      </c>
      <c r="F617" s="1322">
        <f t="shared" si="47"/>
        <v>89.7</v>
      </c>
      <c r="G617" s="969"/>
      <c r="H617" s="901"/>
      <c r="I617" s="902"/>
      <c r="J617" s="897"/>
      <c r="K617" s="903"/>
      <c r="L617" s="899">
        <f t="shared" si="45"/>
        <v>281</v>
      </c>
      <c r="M617" s="933"/>
      <c r="N617" s="933"/>
      <c r="O617" s="933"/>
      <c r="P617" s="933"/>
      <c r="Q617" s="933"/>
      <c r="R617" s="933"/>
      <c r="S617" s="933"/>
      <c r="T617" s="933"/>
      <c r="U617" s="933"/>
      <c r="V617" s="933"/>
      <c r="W617" s="902"/>
      <c r="X617" s="897"/>
      <c r="Y617" s="898"/>
      <c r="Z617" s="902"/>
      <c r="AA617" s="902"/>
      <c r="AB617" s="902"/>
      <c r="AC617" s="902"/>
    </row>
    <row r="618" spans="1:29" ht="13.95" hidden="1" customHeight="1" outlineLevel="1">
      <c r="A618" s="967" t="s">
        <v>54</v>
      </c>
      <c r="B618" s="968" t="s">
        <v>54</v>
      </c>
      <c r="C618" s="968">
        <v>1150</v>
      </c>
      <c r="D618" s="1304">
        <v>1900</v>
      </c>
      <c r="E618" s="1337">
        <v>1900</v>
      </c>
      <c r="F618" s="1322">
        <f t="shared" si="47"/>
        <v>1495</v>
      </c>
      <c r="G618" s="969"/>
      <c r="H618" s="901"/>
      <c r="I618" s="902"/>
      <c r="J618" s="897"/>
      <c r="K618" s="903"/>
      <c r="L618" s="899">
        <f t="shared" si="45"/>
        <v>750</v>
      </c>
      <c r="M618" s="933"/>
      <c r="N618" s="933"/>
      <c r="O618" s="933"/>
      <c r="P618" s="933"/>
      <c r="Q618" s="933"/>
      <c r="R618" s="933"/>
      <c r="S618" s="933"/>
      <c r="T618" s="933"/>
      <c r="U618" s="933"/>
      <c r="V618" s="933"/>
      <c r="W618" s="902"/>
      <c r="X618" s="897"/>
      <c r="Y618" s="898"/>
      <c r="Z618" s="902"/>
      <c r="AA618" s="902"/>
      <c r="AB618" s="902"/>
      <c r="AC618" s="902"/>
    </row>
    <row r="619" spans="1:29" ht="13.95" hidden="1" customHeight="1" outlineLevel="1">
      <c r="A619" s="967" t="s">
        <v>1824</v>
      </c>
      <c r="B619" s="968" t="s">
        <v>861</v>
      </c>
      <c r="C619" s="968">
        <v>135</v>
      </c>
      <c r="D619" s="1304">
        <v>600</v>
      </c>
      <c r="E619" s="1337">
        <v>600</v>
      </c>
      <c r="F619" s="1322">
        <f t="shared" si="47"/>
        <v>175.5</v>
      </c>
      <c r="G619" s="969"/>
      <c r="H619" s="901"/>
      <c r="I619" s="902"/>
      <c r="J619" s="897"/>
      <c r="K619" s="903"/>
      <c r="L619" s="899">
        <f t="shared" si="45"/>
        <v>465</v>
      </c>
      <c r="M619" s="933"/>
      <c r="N619" s="933"/>
      <c r="O619" s="933"/>
      <c r="P619" s="933"/>
      <c r="Q619" s="933"/>
      <c r="R619" s="933"/>
      <c r="S619" s="933"/>
      <c r="T619" s="933"/>
      <c r="U619" s="933"/>
      <c r="V619" s="933"/>
      <c r="W619" s="902"/>
      <c r="X619" s="897"/>
      <c r="Y619" s="898"/>
      <c r="Z619" s="902"/>
      <c r="AA619" s="902"/>
      <c r="AB619" s="902"/>
      <c r="AC619" s="902"/>
    </row>
    <row r="620" spans="1:29" ht="13.95" hidden="1" customHeight="1" outlineLevel="1">
      <c r="A620" s="967" t="s">
        <v>527</v>
      </c>
      <c r="B620" s="968" t="s">
        <v>1831</v>
      </c>
      <c r="C620" s="968">
        <v>340</v>
      </c>
      <c r="D620" s="1304">
        <v>1200</v>
      </c>
      <c r="E620" s="1337">
        <v>500</v>
      </c>
      <c r="F620" s="1322">
        <f t="shared" si="47"/>
        <v>442</v>
      </c>
      <c r="G620" s="969"/>
      <c r="H620" s="901"/>
      <c r="I620" s="902"/>
      <c r="J620" s="897"/>
      <c r="K620" s="903"/>
      <c r="L620" s="899">
        <f t="shared" si="45"/>
        <v>160</v>
      </c>
      <c r="M620" s="933"/>
      <c r="N620" s="933"/>
      <c r="O620" s="933"/>
      <c r="P620" s="933"/>
      <c r="Q620" s="933"/>
      <c r="R620" s="933"/>
      <c r="S620" s="933"/>
      <c r="T620" s="933"/>
      <c r="U620" s="933"/>
      <c r="V620" s="933"/>
      <c r="W620" s="902"/>
      <c r="X620" s="897"/>
      <c r="Y620" s="898"/>
      <c r="Z620" s="902"/>
      <c r="AA620" s="902"/>
      <c r="AB620" s="902"/>
      <c r="AC620" s="902"/>
    </row>
    <row r="621" spans="1:29" ht="13.95" hidden="1" customHeight="1" outlineLevel="1">
      <c r="A621" s="967" t="s">
        <v>1861</v>
      </c>
      <c r="B621" s="968" t="s">
        <v>1862</v>
      </c>
      <c r="C621" s="968">
        <v>175</v>
      </c>
      <c r="D621" s="1304">
        <v>1200</v>
      </c>
      <c r="E621" s="1337">
        <v>400</v>
      </c>
      <c r="F621" s="1322">
        <f t="shared" si="47"/>
        <v>227.5</v>
      </c>
      <c r="G621" s="969">
        <v>1</v>
      </c>
      <c r="H621" s="901"/>
      <c r="I621" s="902"/>
      <c r="J621" s="910"/>
      <c r="K621" s="903"/>
      <c r="L621" s="899">
        <f t="shared" si="45"/>
        <v>225</v>
      </c>
      <c r="M621" s="933"/>
      <c r="N621" s="933"/>
      <c r="O621" s="933"/>
      <c r="P621" s="933"/>
      <c r="Q621" s="933"/>
      <c r="R621" s="933"/>
      <c r="S621" s="933"/>
      <c r="T621" s="933"/>
      <c r="U621" s="933"/>
      <c r="V621" s="933"/>
      <c r="W621" s="902"/>
      <c r="X621" s="902"/>
      <c r="Y621" s="902"/>
      <c r="Z621" s="902"/>
      <c r="AA621" s="902"/>
      <c r="AB621" s="902"/>
      <c r="AC621" s="902"/>
    </row>
    <row r="622" spans="1:29" ht="13.95" hidden="1" customHeight="1" outlineLevel="1">
      <c r="A622" s="967" t="s">
        <v>1782</v>
      </c>
      <c r="B622" s="968" t="s">
        <v>2355</v>
      </c>
      <c r="C622" s="968">
        <v>600</v>
      </c>
      <c r="D622" s="1304">
        <v>1300</v>
      </c>
      <c r="E622" s="1337">
        <v>1100</v>
      </c>
      <c r="F622" s="1322">
        <f t="shared" si="47"/>
        <v>780</v>
      </c>
      <c r="G622" s="969"/>
      <c r="H622" s="901"/>
      <c r="I622" s="902"/>
      <c r="J622" s="897"/>
      <c r="K622" s="903"/>
      <c r="L622" s="899">
        <f t="shared" si="45"/>
        <v>500</v>
      </c>
      <c r="M622" s="933"/>
      <c r="N622" s="933"/>
      <c r="O622" s="933"/>
      <c r="P622" s="933"/>
      <c r="Q622" s="933"/>
      <c r="R622" s="933"/>
      <c r="S622" s="933"/>
      <c r="T622" s="933"/>
      <c r="U622" s="933"/>
      <c r="V622" s="933"/>
      <c r="W622" s="902"/>
      <c r="X622" s="897"/>
      <c r="Y622" s="898"/>
      <c r="Z622" s="902"/>
      <c r="AA622" s="902"/>
      <c r="AB622" s="902"/>
      <c r="AC622" s="902"/>
    </row>
    <row r="623" spans="1:29" ht="13.95" hidden="1" customHeight="1" outlineLevel="1">
      <c r="A623" s="967" t="s">
        <v>1493</v>
      </c>
      <c r="B623" s="972" t="s">
        <v>2749</v>
      </c>
      <c r="C623" s="972">
        <v>3600</v>
      </c>
      <c r="D623" s="1306">
        <v>4500</v>
      </c>
      <c r="E623" s="1348">
        <v>4500</v>
      </c>
      <c r="F623" s="1324">
        <v>4680</v>
      </c>
      <c r="G623" s="967">
        <v>1</v>
      </c>
      <c r="H623" s="929"/>
      <c r="I623" s="912"/>
      <c r="J623" s="960"/>
      <c r="K623" s="912"/>
      <c r="L623" s="899">
        <f t="shared" si="45"/>
        <v>900</v>
      </c>
      <c r="M623" s="933"/>
      <c r="N623" s="933"/>
      <c r="O623" s="933"/>
      <c r="P623" s="933"/>
      <c r="Q623" s="933"/>
      <c r="R623" s="933"/>
      <c r="S623" s="933"/>
      <c r="T623" s="933"/>
      <c r="U623" s="933"/>
      <c r="V623" s="933"/>
      <c r="W623" s="933"/>
      <c r="X623" s="897"/>
      <c r="Y623" s="932"/>
      <c r="Z623" s="902"/>
      <c r="AA623" s="902"/>
      <c r="AB623" s="902"/>
      <c r="AC623" s="902"/>
    </row>
    <row r="624" spans="1:29" ht="13.95" hidden="1" customHeight="1" outlineLevel="1">
      <c r="A624" s="967" t="s">
        <v>1522</v>
      </c>
      <c r="B624" s="968" t="s">
        <v>31</v>
      </c>
      <c r="C624" s="968">
        <v>1150</v>
      </c>
      <c r="D624" s="1304">
        <v>2800</v>
      </c>
      <c r="E624" s="1337">
        <v>2000</v>
      </c>
      <c r="F624" s="1322">
        <f t="shared" ref="F624:F630" si="48">C624*1.3</f>
        <v>1495</v>
      </c>
      <c r="G624" s="969">
        <v>1</v>
      </c>
      <c r="H624" s="901"/>
      <c r="I624" s="902"/>
      <c r="J624" s="897"/>
      <c r="K624" s="903"/>
      <c r="L624" s="899">
        <f t="shared" si="45"/>
        <v>850</v>
      </c>
      <c r="M624" s="933"/>
      <c r="N624" s="933"/>
      <c r="O624" s="933"/>
      <c r="P624" s="933"/>
      <c r="Q624" s="933"/>
      <c r="R624" s="933"/>
      <c r="S624" s="933"/>
      <c r="T624" s="933"/>
      <c r="U624" s="933"/>
      <c r="V624" s="933"/>
      <c r="W624" s="902"/>
      <c r="X624" s="897"/>
      <c r="Y624" s="898"/>
      <c r="Z624" s="902"/>
      <c r="AA624" s="902"/>
      <c r="AB624" s="902"/>
      <c r="AC624" s="902"/>
    </row>
    <row r="625" spans="1:29" ht="13.95" hidden="1" customHeight="1" outlineLevel="1">
      <c r="A625" s="967" t="s">
        <v>746</v>
      </c>
      <c r="B625" s="958" t="s">
        <v>746</v>
      </c>
      <c r="C625" s="959">
        <v>1609.9999999999998</v>
      </c>
      <c r="D625" s="1310">
        <v>3700</v>
      </c>
      <c r="E625" s="1337">
        <v>3500</v>
      </c>
      <c r="F625" s="1322">
        <f t="shared" si="48"/>
        <v>2093</v>
      </c>
      <c r="G625" s="1016"/>
      <c r="H625" s="901"/>
      <c r="I625" s="958"/>
      <c r="J625" s="958"/>
      <c r="L625" s="899">
        <f t="shared" si="45"/>
        <v>1890.0000000000002</v>
      </c>
      <c r="M625" s="933"/>
      <c r="N625" s="933"/>
      <c r="O625" s="933"/>
      <c r="P625" s="933"/>
      <c r="Q625" s="933"/>
      <c r="R625" s="933"/>
      <c r="S625" s="933"/>
      <c r="T625" s="933"/>
      <c r="U625" s="933"/>
      <c r="V625" s="933"/>
      <c r="W625" s="902"/>
      <c r="X625" s="902"/>
      <c r="Y625" s="902"/>
      <c r="Z625" s="902"/>
      <c r="AA625" s="902"/>
      <c r="AB625" s="902"/>
      <c r="AC625" s="902"/>
    </row>
    <row r="626" spans="1:29" ht="13.95" hidden="1" customHeight="1" outlineLevel="1">
      <c r="A626" s="967" t="s">
        <v>506</v>
      </c>
      <c r="B626" s="958" t="s">
        <v>506</v>
      </c>
      <c r="C626" s="959">
        <v>1609.9999999999998</v>
      </c>
      <c r="D626" s="1313">
        <v>2900</v>
      </c>
      <c r="E626" s="1337">
        <v>2800</v>
      </c>
      <c r="F626" s="1322">
        <f t="shared" si="48"/>
        <v>2093</v>
      </c>
      <c r="G626" s="958">
        <v>1</v>
      </c>
      <c r="H626" s="901"/>
      <c r="I626" s="958"/>
      <c r="K626" s="903"/>
      <c r="L626" s="899">
        <f t="shared" si="45"/>
        <v>1190.0000000000002</v>
      </c>
      <c r="M626" s="933"/>
      <c r="N626" s="933"/>
      <c r="O626" s="933"/>
      <c r="P626" s="933"/>
      <c r="Q626" s="933"/>
      <c r="R626" s="933"/>
      <c r="S626" s="933"/>
      <c r="T626" s="933"/>
      <c r="U626" s="933"/>
      <c r="V626" s="933"/>
      <c r="W626" s="902"/>
      <c r="X626" s="902"/>
      <c r="Y626" s="902"/>
      <c r="Z626" s="902"/>
      <c r="AA626" s="902"/>
      <c r="AB626" s="902"/>
      <c r="AC626" s="902"/>
    </row>
    <row r="627" spans="1:29" ht="13.95" hidden="1" customHeight="1" outlineLevel="1">
      <c r="A627" s="958" t="s">
        <v>1726</v>
      </c>
      <c r="B627" s="958" t="s">
        <v>66</v>
      </c>
      <c r="C627" s="959">
        <v>1609.9999999999998</v>
      </c>
      <c r="D627" s="1313">
        <v>2900</v>
      </c>
      <c r="E627" s="1337">
        <v>2800</v>
      </c>
      <c r="F627" s="1322">
        <f t="shared" si="48"/>
        <v>2093</v>
      </c>
      <c r="G627" s="958">
        <v>1</v>
      </c>
      <c r="H627" s="901"/>
      <c r="I627" s="958"/>
      <c r="K627" s="903"/>
      <c r="L627" s="899">
        <f t="shared" si="45"/>
        <v>1190.0000000000002</v>
      </c>
      <c r="M627" s="933"/>
      <c r="N627" s="933"/>
      <c r="O627" s="933"/>
      <c r="P627" s="933"/>
      <c r="Q627" s="933"/>
      <c r="R627" s="933"/>
      <c r="S627" s="933"/>
      <c r="T627" s="933"/>
      <c r="U627" s="933"/>
      <c r="V627" s="933"/>
      <c r="W627" s="902"/>
      <c r="X627" s="902"/>
      <c r="Y627" s="902"/>
      <c r="Z627" s="902"/>
      <c r="AA627" s="902"/>
      <c r="AB627" s="902"/>
      <c r="AC627" s="902"/>
    </row>
    <row r="628" spans="1:29" ht="13.95" hidden="1" customHeight="1" outlineLevel="1">
      <c r="A628" s="970" t="s">
        <v>1815</v>
      </c>
      <c r="B628" s="972" t="s">
        <v>2760</v>
      </c>
      <c r="C628" s="972">
        <v>3680</v>
      </c>
      <c r="D628" s="1306">
        <v>5400</v>
      </c>
      <c r="E628" s="1348">
        <v>5300</v>
      </c>
      <c r="F628" s="1322">
        <f t="shared" si="48"/>
        <v>4784</v>
      </c>
      <c r="G628" s="969">
        <v>1</v>
      </c>
      <c r="H628" s="901"/>
      <c r="I628" s="933"/>
      <c r="J628" s="897"/>
      <c r="K628" s="903"/>
      <c r="L628" s="899">
        <f t="shared" si="45"/>
        <v>1620</v>
      </c>
      <c r="M628" s="933"/>
      <c r="N628" s="933"/>
      <c r="O628" s="933"/>
      <c r="P628" s="933"/>
      <c r="Q628" s="933"/>
      <c r="R628" s="933"/>
      <c r="S628" s="933"/>
      <c r="T628" s="933"/>
      <c r="U628" s="933"/>
      <c r="V628" s="933"/>
      <c r="W628" s="933"/>
      <c r="X628" s="933"/>
      <c r="Y628" s="933"/>
      <c r="Z628" s="902"/>
      <c r="AA628" s="902"/>
      <c r="AB628" s="902"/>
      <c r="AC628" s="902"/>
    </row>
    <row r="629" spans="1:29" ht="13.95" hidden="1" customHeight="1" outlineLevel="1">
      <c r="A629" s="958" t="s">
        <v>674</v>
      </c>
      <c r="B629" s="958" t="s">
        <v>674</v>
      </c>
      <c r="C629" s="959">
        <v>1954.9999999999998</v>
      </c>
      <c r="D629" s="1310">
        <v>3800</v>
      </c>
      <c r="E629" s="1337">
        <v>3700</v>
      </c>
      <c r="F629" s="1322">
        <f t="shared" si="48"/>
        <v>2541.5</v>
      </c>
      <c r="G629" s="958">
        <v>1</v>
      </c>
      <c r="H629" s="901"/>
      <c r="K629" s="903"/>
      <c r="L629" s="899">
        <f t="shared" si="45"/>
        <v>1745.0000000000002</v>
      </c>
      <c r="M629" s="933"/>
      <c r="N629" s="933"/>
      <c r="O629" s="933"/>
      <c r="P629" s="933"/>
      <c r="Q629" s="933"/>
      <c r="R629" s="933"/>
      <c r="S629" s="933"/>
      <c r="T629" s="933"/>
      <c r="U629" s="933"/>
      <c r="V629" s="933"/>
      <c r="W629" s="902"/>
      <c r="X629" s="902"/>
      <c r="Y629" s="902"/>
      <c r="Z629" s="902"/>
      <c r="AA629" s="902"/>
      <c r="AB629" s="902"/>
      <c r="AC629" s="902"/>
    </row>
    <row r="630" spans="1:29" ht="14.45" hidden="1" customHeight="1" outlineLevel="1">
      <c r="A630" s="958" t="s">
        <v>1481</v>
      </c>
      <c r="B630" s="958" t="s">
        <v>65</v>
      </c>
      <c r="C630" s="959">
        <v>1609.9999999999998</v>
      </c>
      <c r="D630" s="1313">
        <v>3100</v>
      </c>
      <c r="E630" s="1337">
        <v>3000</v>
      </c>
      <c r="F630" s="1322">
        <f t="shared" si="48"/>
        <v>2093</v>
      </c>
      <c r="G630" s="958">
        <v>1</v>
      </c>
      <c r="H630" s="901"/>
      <c r="K630" s="903"/>
      <c r="L630" s="899">
        <f t="shared" si="45"/>
        <v>1390.0000000000002</v>
      </c>
      <c r="M630" s="933"/>
      <c r="N630" s="933"/>
      <c r="O630" s="933"/>
      <c r="P630" s="933"/>
      <c r="Q630" s="933"/>
      <c r="R630" s="933"/>
      <c r="S630" s="933"/>
      <c r="T630" s="933"/>
      <c r="U630" s="933"/>
      <c r="V630" s="933"/>
      <c r="W630" s="902"/>
      <c r="X630" s="902"/>
      <c r="Y630" s="902"/>
      <c r="Z630" s="902"/>
      <c r="AA630" s="902"/>
      <c r="AB630" s="902"/>
      <c r="AC630" s="902"/>
    </row>
    <row r="631" spans="1:29" ht="16.3" collapsed="1" thickBot="1">
      <c r="A631" s="1047" t="s">
        <v>956</v>
      </c>
      <c r="B631" s="896" t="s">
        <v>5877</v>
      </c>
      <c r="C631" s="896">
        <f>SUM(C632:C674)</f>
        <v>33335</v>
      </c>
      <c r="D631" s="896">
        <f>SUM(D632:D674)</f>
        <v>64140</v>
      </c>
      <c r="E631" s="1356">
        <v>39900</v>
      </c>
      <c r="F631" s="896">
        <f>SUM(F632:F674)</f>
        <v>43336.3</v>
      </c>
      <c r="G631" s="1048">
        <v>5</v>
      </c>
      <c r="H631" s="895"/>
      <c r="I631" s="902" t="str">
        <f>IF(H631="x",CONCATENATE(A631,"; "),"")</f>
        <v/>
      </c>
      <c r="J631" s="897"/>
      <c r="K631" s="903"/>
      <c r="L631" s="899">
        <f t="shared" si="45"/>
        <v>6565</v>
      </c>
      <c r="M631" s="933"/>
      <c r="N631" s="933"/>
      <c r="O631" s="933"/>
      <c r="P631" s="933"/>
      <c r="Q631" s="933"/>
      <c r="R631" s="933"/>
      <c r="S631" s="933"/>
      <c r="T631" s="933"/>
      <c r="U631" s="933"/>
      <c r="V631" s="933"/>
      <c r="W631" s="902"/>
      <c r="X631" s="902"/>
      <c r="Y631" s="902"/>
      <c r="Z631" s="902"/>
      <c r="AA631" s="902"/>
      <c r="AB631" s="902"/>
      <c r="AC631" s="902"/>
    </row>
    <row r="632" spans="1:29" ht="13.95" hidden="1" customHeight="1" outlineLevel="1">
      <c r="A632" s="967" t="s">
        <v>1391</v>
      </c>
      <c r="B632" s="968" t="s">
        <v>1392</v>
      </c>
      <c r="C632" s="968">
        <v>69</v>
      </c>
      <c r="D632" s="1304">
        <v>400</v>
      </c>
      <c r="E632" s="1337">
        <v>300</v>
      </c>
      <c r="F632" s="1322">
        <f t="shared" ref="F632:F639" si="49">C632*1.3</f>
        <v>89.7</v>
      </c>
      <c r="G632" s="969"/>
      <c r="H632" s="901"/>
      <c r="I632" s="902"/>
      <c r="J632" s="897"/>
      <c r="K632" s="903"/>
      <c r="L632" s="899">
        <f t="shared" si="45"/>
        <v>231</v>
      </c>
      <c r="M632" s="933"/>
      <c r="N632" s="933"/>
      <c r="O632" s="933"/>
      <c r="P632" s="933"/>
      <c r="Q632" s="933"/>
      <c r="R632" s="933"/>
      <c r="S632" s="933"/>
      <c r="T632" s="933"/>
      <c r="U632" s="933"/>
      <c r="V632" s="933"/>
      <c r="W632" s="902"/>
      <c r="X632" s="897"/>
      <c r="Y632" s="898"/>
      <c r="Z632" s="902"/>
      <c r="AA632" s="902"/>
      <c r="AB632" s="902"/>
      <c r="AC632" s="902"/>
    </row>
    <row r="633" spans="1:29" ht="13.95" hidden="1" customHeight="1" outlineLevel="1">
      <c r="A633" s="967" t="s">
        <v>1395</v>
      </c>
      <c r="B633" s="968" t="s">
        <v>1396</v>
      </c>
      <c r="C633" s="968">
        <v>69</v>
      </c>
      <c r="D633" s="1304">
        <v>400</v>
      </c>
      <c r="E633" s="1337">
        <v>300</v>
      </c>
      <c r="F633" s="1322">
        <f t="shared" si="49"/>
        <v>89.7</v>
      </c>
      <c r="G633" s="967"/>
      <c r="H633" s="914"/>
      <c r="I633" s="915"/>
      <c r="J633" s="916"/>
      <c r="K633" s="903"/>
      <c r="L633" s="899">
        <f t="shared" si="45"/>
        <v>231</v>
      </c>
      <c r="M633" s="933"/>
      <c r="N633" s="933"/>
      <c r="O633" s="933"/>
      <c r="P633" s="933"/>
      <c r="Q633" s="933"/>
      <c r="R633" s="933"/>
      <c r="S633" s="933"/>
      <c r="T633" s="933"/>
      <c r="U633" s="933"/>
      <c r="V633" s="933"/>
      <c r="W633" s="902"/>
      <c r="X633" s="897"/>
      <c r="Y633" s="898"/>
      <c r="Z633" s="902"/>
      <c r="AA633" s="902"/>
      <c r="AB633" s="902"/>
      <c r="AC633" s="902"/>
    </row>
    <row r="634" spans="1:29" ht="13.95" hidden="1" customHeight="1" outlineLevel="1">
      <c r="A634" s="967" t="s">
        <v>1397</v>
      </c>
      <c r="B634" s="968" t="s">
        <v>38</v>
      </c>
      <c r="C634" s="968">
        <v>345</v>
      </c>
      <c r="D634" s="1304">
        <v>500</v>
      </c>
      <c r="E634" s="1337">
        <v>500</v>
      </c>
      <c r="F634" s="1322">
        <f t="shared" si="49"/>
        <v>448.5</v>
      </c>
      <c r="G634" s="969"/>
      <c r="H634" s="901"/>
      <c r="I634" s="902"/>
      <c r="J634" s="897"/>
      <c r="K634" s="903"/>
      <c r="L634" s="899">
        <f t="shared" si="45"/>
        <v>155</v>
      </c>
      <c r="M634" s="933"/>
      <c r="N634" s="933"/>
      <c r="O634" s="933"/>
      <c r="P634" s="933"/>
      <c r="Q634" s="933"/>
      <c r="R634" s="933"/>
      <c r="S634" s="933"/>
      <c r="T634" s="933"/>
      <c r="U634" s="933"/>
      <c r="V634" s="933"/>
      <c r="W634" s="902"/>
      <c r="X634" s="897"/>
      <c r="Y634" s="898"/>
      <c r="Z634" s="902"/>
      <c r="AA634" s="902"/>
      <c r="AB634" s="902"/>
      <c r="AC634" s="902"/>
    </row>
    <row r="635" spans="1:29" ht="13.95" hidden="1" customHeight="1" outlineLevel="1">
      <c r="A635" s="967" t="s">
        <v>1606</v>
      </c>
      <c r="B635" s="968" t="s">
        <v>1332</v>
      </c>
      <c r="C635" s="968">
        <v>69</v>
      </c>
      <c r="D635" s="1304">
        <v>300</v>
      </c>
      <c r="E635" s="1337">
        <v>300</v>
      </c>
      <c r="F635" s="1322">
        <f t="shared" si="49"/>
        <v>89.7</v>
      </c>
      <c r="G635" s="969"/>
      <c r="H635" s="901"/>
      <c r="I635" s="902"/>
      <c r="J635" s="897"/>
      <c r="K635" s="903"/>
      <c r="L635" s="899">
        <f t="shared" si="45"/>
        <v>231</v>
      </c>
      <c r="M635" s="933"/>
      <c r="N635" s="933"/>
      <c r="O635" s="933"/>
      <c r="P635" s="933"/>
      <c r="Q635" s="933"/>
      <c r="R635" s="933"/>
      <c r="S635" s="933"/>
      <c r="T635" s="933"/>
      <c r="U635" s="933"/>
      <c r="V635" s="933"/>
      <c r="W635" s="902"/>
      <c r="X635" s="897"/>
      <c r="Y635" s="898"/>
      <c r="Z635" s="902"/>
      <c r="AA635" s="902"/>
      <c r="AB635" s="902"/>
      <c r="AC635" s="902"/>
    </row>
    <row r="636" spans="1:29" ht="13.95" hidden="1" customHeight="1" outlineLevel="1">
      <c r="A636" s="967" t="s">
        <v>1611</v>
      </c>
      <c r="B636" s="968" t="s">
        <v>1612</v>
      </c>
      <c r="C636" s="968">
        <v>125</v>
      </c>
      <c r="D636" s="1304">
        <v>200</v>
      </c>
      <c r="E636" s="1337">
        <v>200</v>
      </c>
      <c r="F636" s="1322">
        <f t="shared" si="49"/>
        <v>162.5</v>
      </c>
      <c r="G636" s="969"/>
      <c r="H636" s="901"/>
      <c r="I636" s="902"/>
      <c r="J636" s="897"/>
      <c r="K636" s="903"/>
      <c r="L636" s="899">
        <f t="shared" si="45"/>
        <v>75</v>
      </c>
      <c r="M636" s="933"/>
      <c r="N636" s="933"/>
      <c r="O636" s="933"/>
      <c r="P636" s="933"/>
      <c r="Q636" s="933"/>
      <c r="R636" s="933"/>
      <c r="S636" s="933"/>
      <c r="T636" s="933"/>
      <c r="U636" s="933"/>
      <c r="V636" s="933"/>
      <c r="W636" s="902"/>
      <c r="X636" s="897"/>
      <c r="Y636" s="898"/>
      <c r="Z636" s="902"/>
      <c r="AA636" s="902"/>
      <c r="AB636" s="902"/>
      <c r="AC636" s="902"/>
    </row>
    <row r="637" spans="1:29" ht="13.95" hidden="1" customHeight="1" outlineLevel="1">
      <c r="A637" s="967" t="s">
        <v>1621</v>
      </c>
      <c r="B637" s="968" t="s">
        <v>2346</v>
      </c>
      <c r="C637" s="968">
        <v>175</v>
      </c>
      <c r="D637" s="1304">
        <v>400</v>
      </c>
      <c r="E637" s="1337">
        <v>400</v>
      </c>
      <c r="F637" s="1322">
        <f t="shared" si="49"/>
        <v>227.5</v>
      </c>
      <c r="G637" s="969"/>
      <c r="H637" s="901"/>
      <c r="I637" s="902"/>
      <c r="J637" s="897"/>
      <c r="K637" s="903"/>
      <c r="L637" s="899">
        <f t="shared" si="45"/>
        <v>225</v>
      </c>
      <c r="M637" s="933"/>
      <c r="N637" s="933"/>
      <c r="O637" s="933"/>
      <c r="P637" s="933"/>
      <c r="Q637" s="933"/>
      <c r="R637" s="933"/>
      <c r="S637" s="933"/>
      <c r="T637" s="933"/>
      <c r="U637" s="933"/>
      <c r="V637" s="933"/>
      <c r="W637" s="902"/>
      <c r="X637" s="897"/>
      <c r="Y637" s="898"/>
      <c r="Z637" s="902"/>
      <c r="AA637" s="902"/>
      <c r="AB637" s="902"/>
      <c r="AC637" s="902"/>
    </row>
    <row r="638" spans="1:29" ht="13.95" hidden="1" customHeight="1" outlineLevel="1">
      <c r="A638" s="967" t="s">
        <v>649</v>
      </c>
      <c r="B638" s="968" t="s">
        <v>649</v>
      </c>
      <c r="C638" s="968">
        <v>460</v>
      </c>
      <c r="D638" s="1304">
        <v>1400</v>
      </c>
      <c r="E638" s="1337">
        <v>500</v>
      </c>
      <c r="F638" s="1322">
        <f t="shared" si="49"/>
        <v>598</v>
      </c>
      <c r="G638" s="969"/>
      <c r="H638" s="901"/>
      <c r="I638" s="902"/>
      <c r="J638" s="897"/>
      <c r="K638" s="903"/>
      <c r="L638" s="899">
        <f t="shared" si="45"/>
        <v>40</v>
      </c>
      <c r="M638" s="933"/>
      <c r="N638" s="933"/>
      <c r="O638" s="933"/>
      <c r="P638" s="933"/>
      <c r="Q638" s="933"/>
      <c r="R638" s="933"/>
      <c r="S638" s="933"/>
      <c r="T638" s="933"/>
      <c r="U638" s="933"/>
      <c r="V638" s="933"/>
      <c r="W638" s="902"/>
      <c r="X638" s="897"/>
      <c r="Y638" s="898"/>
      <c r="Z638" s="902"/>
      <c r="AA638" s="902"/>
      <c r="AB638" s="902"/>
      <c r="AC638" s="902"/>
    </row>
    <row r="639" spans="1:29" ht="13.95" hidden="1" customHeight="1" outlineLevel="1">
      <c r="A639" s="967" t="s">
        <v>1371</v>
      </c>
      <c r="B639" s="968" t="s">
        <v>1372</v>
      </c>
      <c r="C639" s="968">
        <v>2415</v>
      </c>
      <c r="D639" s="1304">
        <v>5800</v>
      </c>
      <c r="E639" s="1337">
        <v>3500</v>
      </c>
      <c r="F639" s="1322">
        <f t="shared" si="49"/>
        <v>3139.5</v>
      </c>
      <c r="G639" s="969"/>
      <c r="H639" s="901"/>
      <c r="I639" s="902"/>
      <c r="J639" s="897"/>
      <c r="K639" s="903"/>
      <c r="L639" s="899">
        <f t="shared" si="45"/>
        <v>1085</v>
      </c>
      <c r="M639" s="933"/>
      <c r="N639" s="933"/>
      <c r="O639" s="933"/>
      <c r="P639" s="933"/>
      <c r="Q639" s="933"/>
      <c r="R639" s="933"/>
      <c r="S639" s="933"/>
      <c r="T639" s="933"/>
      <c r="U639" s="933"/>
      <c r="V639" s="933"/>
      <c r="W639" s="902"/>
      <c r="X639" s="897"/>
      <c r="Y639" s="898"/>
      <c r="Z639" s="902"/>
      <c r="AA639" s="902"/>
      <c r="AB639" s="902"/>
      <c r="AC639" s="902"/>
    </row>
    <row r="640" spans="1:29" ht="13.95" hidden="1" customHeight="1" outlineLevel="1">
      <c r="A640" s="970" t="s">
        <v>662</v>
      </c>
      <c r="B640" s="968"/>
      <c r="C640" s="968"/>
      <c r="D640" s="1304"/>
      <c r="E640" s="1337"/>
      <c r="F640" s="1322"/>
      <c r="G640" s="969"/>
      <c r="H640" s="901"/>
      <c r="I640" s="902"/>
      <c r="J640" s="897"/>
      <c r="K640" s="903"/>
      <c r="L640" s="899">
        <f t="shared" si="45"/>
        <v>0</v>
      </c>
      <c r="M640" s="933"/>
      <c r="N640" s="933"/>
      <c r="O640" s="933"/>
      <c r="P640" s="933"/>
      <c r="Q640" s="933"/>
      <c r="R640" s="933"/>
      <c r="S640" s="933"/>
      <c r="T640" s="933"/>
      <c r="U640" s="933"/>
      <c r="V640" s="933"/>
      <c r="W640" s="902"/>
      <c r="X640" s="902"/>
      <c r="Y640" s="902"/>
      <c r="Z640" s="902"/>
      <c r="AA640" s="902"/>
      <c r="AB640" s="902"/>
      <c r="AC640" s="902"/>
    </row>
    <row r="641" spans="1:29" ht="13.95" hidden="1" customHeight="1" outlineLevel="1">
      <c r="A641" s="967" t="s">
        <v>1527</v>
      </c>
      <c r="B641" s="968" t="s">
        <v>1528</v>
      </c>
      <c r="C641" s="968">
        <v>130</v>
      </c>
      <c r="D641" s="1304">
        <v>600</v>
      </c>
      <c r="E641" s="1337">
        <v>600</v>
      </c>
      <c r="F641" s="1322">
        <f t="shared" ref="F641:F646" si="50">C641*1.3</f>
        <v>169</v>
      </c>
      <c r="G641" s="969"/>
      <c r="H641" s="901"/>
      <c r="I641" s="902"/>
      <c r="J641" s="897"/>
      <c r="K641" s="903"/>
      <c r="L641" s="899">
        <f t="shared" si="45"/>
        <v>470</v>
      </c>
      <c r="M641" s="933"/>
      <c r="N641" s="933"/>
      <c r="O641" s="933"/>
      <c r="P641" s="933"/>
      <c r="Q641" s="933"/>
      <c r="R641" s="933"/>
      <c r="S641" s="933"/>
      <c r="T641" s="933"/>
      <c r="U641" s="933"/>
      <c r="V641" s="933"/>
      <c r="W641" s="902"/>
      <c r="X641" s="897"/>
      <c r="Y641" s="898"/>
      <c r="Z641" s="902"/>
      <c r="AA641" s="902"/>
      <c r="AB641" s="902"/>
      <c r="AC641" s="902"/>
    </row>
    <row r="642" spans="1:29" ht="13.95" hidden="1" customHeight="1" outlineLevel="1">
      <c r="A642" s="967" t="s">
        <v>681</v>
      </c>
      <c r="B642" s="968" t="s">
        <v>15</v>
      </c>
      <c r="C642" s="968">
        <v>69</v>
      </c>
      <c r="D642" s="1304">
        <v>250</v>
      </c>
      <c r="E642" s="1337">
        <v>250</v>
      </c>
      <c r="F642" s="1322">
        <f t="shared" si="50"/>
        <v>89.7</v>
      </c>
      <c r="G642" s="969"/>
      <c r="H642" s="901"/>
      <c r="I642" s="902"/>
      <c r="J642" s="897"/>
      <c r="K642" s="903"/>
      <c r="L642" s="899">
        <f t="shared" si="45"/>
        <v>181</v>
      </c>
      <c r="M642" s="933"/>
      <c r="N642" s="933"/>
      <c r="O642" s="933"/>
      <c r="P642" s="933"/>
      <c r="Q642" s="933"/>
      <c r="R642" s="933"/>
      <c r="S642" s="933"/>
      <c r="T642" s="933"/>
      <c r="U642" s="933"/>
      <c r="V642" s="933"/>
      <c r="W642" s="902"/>
      <c r="X642" s="897"/>
      <c r="Y642" s="898"/>
      <c r="Z642" s="902"/>
      <c r="AA642" s="902"/>
      <c r="AB642" s="902"/>
      <c r="AC642" s="902"/>
    </row>
    <row r="643" spans="1:29" ht="13.95" hidden="1" customHeight="1" outlineLevel="1">
      <c r="A643" s="967" t="s">
        <v>1826</v>
      </c>
      <c r="B643" s="968" t="s">
        <v>1827</v>
      </c>
      <c r="C643" s="968">
        <v>69</v>
      </c>
      <c r="D643" s="1304">
        <v>640</v>
      </c>
      <c r="E643" s="1337">
        <v>300</v>
      </c>
      <c r="F643" s="1322">
        <f t="shared" si="50"/>
        <v>89.7</v>
      </c>
      <c r="G643" s="969"/>
      <c r="H643" s="901"/>
      <c r="I643" s="902"/>
      <c r="J643" s="897"/>
      <c r="K643" s="903"/>
      <c r="L643" s="899">
        <f t="shared" si="45"/>
        <v>231</v>
      </c>
      <c r="M643" s="933"/>
      <c r="N643" s="933"/>
      <c r="O643" s="933"/>
      <c r="P643" s="933"/>
      <c r="Q643" s="933"/>
      <c r="R643" s="933"/>
      <c r="S643" s="933"/>
      <c r="T643" s="933"/>
      <c r="U643" s="933"/>
      <c r="V643" s="933"/>
      <c r="W643" s="902"/>
      <c r="X643" s="897"/>
      <c r="Y643" s="898"/>
      <c r="Z643" s="902"/>
      <c r="AA643" s="902"/>
      <c r="AB643" s="902"/>
      <c r="AC643" s="902"/>
    </row>
    <row r="644" spans="1:29" ht="13.95" hidden="1" customHeight="1" outlineLevel="1">
      <c r="A644" s="967" t="s">
        <v>684</v>
      </c>
      <c r="B644" s="968" t="s">
        <v>1538</v>
      </c>
      <c r="C644" s="968">
        <v>69</v>
      </c>
      <c r="D644" s="1304">
        <v>200</v>
      </c>
      <c r="E644" s="1337">
        <v>200</v>
      </c>
      <c r="F644" s="1322">
        <f t="shared" si="50"/>
        <v>89.7</v>
      </c>
      <c r="G644" s="969"/>
      <c r="H644" s="901"/>
      <c r="I644" s="902"/>
      <c r="J644" s="897"/>
      <c r="K644" s="903"/>
      <c r="L644" s="899">
        <f t="shared" si="45"/>
        <v>131</v>
      </c>
      <c r="M644" s="933"/>
      <c r="N644" s="933"/>
      <c r="O644" s="933"/>
      <c r="P644" s="933"/>
      <c r="Q644" s="933"/>
      <c r="R644" s="933"/>
      <c r="S644" s="933"/>
      <c r="T644" s="933"/>
      <c r="U644" s="933"/>
      <c r="V644" s="933"/>
      <c r="W644" s="902"/>
      <c r="X644" s="897"/>
      <c r="Y644" s="898"/>
      <c r="Z644" s="902"/>
      <c r="AA644" s="902"/>
      <c r="AB644" s="902"/>
      <c r="AC644" s="902"/>
    </row>
    <row r="645" spans="1:29" ht="13.95" hidden="1" customHeight="1" outlineLevel="1">
      <c r="A645" s="967" t="s">
        <v>685</v>
      </c>
      <c r="B645" s="968" t="s">
        <v>1539</v>
      </c>
      <c r="C645" s="968">
        <v>69</v>
      </c>
      <c r="D645" s="1304">
        <v>200</v>
      </c>
      <c r="E645" s="1337">
        <v>200</v>
      </c>
      <c r="F645" s="1322">
        <f t="shared" si="50"/>
        <v>89.7</v>
      </c>
      <c r="G645" s="969"/>
      <c r="H645" s="901"/>
      <c r="I645" s="902"/>
      <c r="J645" s="897"/>
      <c r="K645" s="903"/>
      <c r="L645" s="899">
        <f t="shared" si="45"/>
        <v>131</v>
      </c>
      <c r="M645" s="933"/>
      <c r="N645" s="933"/>
      <c r="O645" s="933"/>
      <c r="P645" s="933"/>
      <c r="Q645" s="933"/>
      <c r="R645" s="933"/>
      <c r="S645" s="933"/>
      <c r="T645" s="933"/>
      <c r="U645" s="933"/>
      <c r="V645" s="933"/>
      <c r="W645" s="902"/>
      <c r="X645" s="897"/>
      <c r="Y645" s="898"/>
      <c r="Z645" s="902"/>
      <c r="AA645" s="902"/>
      <c r="AB645" s="902"/>
      <c r="AC645" s="902"/>
    </row>
    <row r="646" spans="1:29" ht="13.95" hidden="1" customHeight="1" outlineLevel="1">
      <c r="A646" s="967" t="s">
        <v>945</v>
      </c>
      <c r="B646" s="968" t="s">
        <v>1542</v>
      </c>
      <c r="C646" s="968">
        <v>230</v>
      </c>
      <c r="D646" s="1304">
        <v>600</v>
      </c>
      <c r="E646" s="1337">
        <v>600</v>
      </c>
      <c r="F646" s="1322">
        <f t="shared" si="50"/>
        <v>299</v>
      </c>
      <c r="G646" s="969"/>
      <c r="H646" s="901"/>
      <c r="I646" s="902"/>
      <c r="J646" s="897"/>
      <c r="K646" s="903"/>
      <c r="L646" s="899">
        <f t="shared" si="45"/>
        <v>370</v>
      </c>
      <c r="M646" s="933"/>
      <c r="N646" s="933"/>
      <c r="O646" s="933"/>
      <c r="P646" s="933"/>
      <c r="Q646" s="933"/>
      <c r="R646" s="933"/>
      <c r="S646" s="933"/>
      <c r="T646" s="933"/>
      <c r="U646" s="933"/>
      <c r="V646" s="933"/>
      <c r="W646" s="902"/>
      <c r="X646" s="897"/>
      <c r="Y646" s="898"/>
      <c r="Z646" s="902"/>
      <c r="AA646" s="902"/>
      <c r="AB646" s="902"/>
      <c r="AC646" s="902"/>
    </row>
    <row r="647" spans="1:29" ht="13.95" hidden="1" customHeight="1" outlineLevel="1">
      <c r="A647" s="967" t="s">
        <v>706</v>
      </c>
      <c r="B647" s="968"/>
      <c r="C647" s="968"/>
      <c r="D647" s="1304"/>
      <c r="E647" s="1337"/>
      <c r="F647" s="1322"/>
      <c r="G647" s="969"/>
      <c r="H647" s="901"/>
      <c r="I647" s="902"/>
      <c r="J647" s="897"/>
      <c r="K647" s="903"/>
      <c r="L647" s="899">
        <f t="shared" si="45"/>
        <v>0</v>
      </c>
      <c r="M647" s="933"/>
      <c r="N647" s="933"/>
      <c r="O647" s="933"/>
      <c r="P647" s="933"/>
      <c r="Q647" s="933"/>
      <c r="R647" s="933"/>
      <c r="S647" s="933"/>
      <c r="T647" s="933"/>
      <c r="U647" s="933"/>
      <c r="V647" s="933"/>
      <c r="W647" s="902"/>
      <c r="X647" s="902"/>
      <c r="Y647" s="902"/>
      <c r="Z647" s="902"/>
      <c r="AA647" s="902"/>
      <c r="AB647" s="902"/>
      <c r="AC647" s="902"/>
    </row>
    <row r="648" spans="1:29" ht="13.95" hidden="1" customHeight="1" outlineLevel="1">
      <c r="A648" s="967" t="s">
        <v>1569</v>
      </c>
      <c r="B648" s="968" t="s">
        <v>27</v>
      </c>
      <c r="C648" s="968">
        <v>69</v>
      </c>
      <c r="D648" s="1304">
        <v>600</v>
      </c>
      <c r="E648" s="1337">
        <v>300</v>
      </c>
      <c r="F648" s="1322">
        <f t="shared" ref="F648:F654" si="51">C648*1.3</f>
        <v>89.7</v>
      </c>
      <c r="G648" s="969"/>
      <c r="H648" s="901"/>
      <c r="I648" s="902"/>
      <c r="J648" s="897"/>
      <c r="K648" s="903"/>
      <c r="L648" s="899">
        <f t="shared" si="45"/>
        <v>231</v>
      </c>
      <c r="M648" s="933"/>
      <c r="N648" s="933"/>
      <c r="O648" s="933"/>
      <c r="P648" s="933"/>
      <c r="Q648" s="933"/>
      <c r="R648" s="933"/>
      <c r="S648" s="933"/>
      <c r="T648" s="933"/>
      <c r="U648" s="933"/>
      <c r="V648" s="933"/>
      <c r="W648" s="902"/>
      <c r="X648" s="897"/>
      <c r="Y648" s="898"/>
      <c r="Z648" s="902"/>
      <c r="AA648" s="902"/>
      <c r="AB648" s="902"/>
      <c r="AC648" s="902"/>
    </row>
    <row r="649" spans="1:29" ht="13.95" hidden="1" customHeight="1" outlineLevel="1">
      <c r="A649" s="967" t="s">
        <v>1592</v>
      </c>
      <c r="B649" s="968" t="s">
        <v>53</v>
      </c>
      <c r="C649" s="968">
        <v>1380</v>
      </c>
      <c r="D649" s="1304">
        <v>3200</v>
      </c>
      <c r="E649" s="1337">
        <v>3200</v>
      </c>
      <c r="F649" s="1322">
        <f t="shared" si="51"/>
        <v>1794</v>
      </c>
      <c r="G649" s="969"/>
      <c r="H649" s="901"/>
      <c r="I649" s="902"/>
      <c r="J649" s="897"/>
      <c r="K649" s="903"/>
      <c r="L649" s="899">
        <f t="shared" si="45"/>
        <v>1820</v>
      </c>
      <c r="M649" s="933"/>
      <c r="N649" s="933"/>
      <c r="O649" s="933"/>
      <c r="P649" s="933"/>
      <c r="Q649" s="933"/>
      <c r="R649" s="933"/>
      <c r="S649" s="933"/>
      <c r="T649" s="933"/>
      <c r="U649" s="933"/>
      <c r="V649" s="933"/>
      <c r="W649" s="902"/>
      <c r="X649" s="897"/>
      <c r="Y649" s="898"/>
      <c r="Z649" s="902"/>
      <c r="AA649" s="902"/>
      <c r="AB649" s="902"/>
      <c r="AC649" s="902"/>
    </row>
    <row r="650" spans="1:29" ht="13.95" hidden="1" customHeight="1" outlineLevel="1">
      <c r="A650" s="967" t="s">
        <v>1607</v>
      </c>
      <c r="B650" s="968" t="s">
        <v>22</v>
      </c>
      <c r="C650" s="968">
        <v>135</v>
      </c>
      <c r="D650" s="1304">
        <v>200</v>
      </c>
      <c r="E650" s="1337">
        <v>200</v>
      </c>
      <c r="F650" s="1322">
        <f t="shared" si="51"/>
        <v>175.5</v>
      </c>
      <c r="G650" s="969"/>
      <c r="H650" s="901"/>
      <c r="I650" s="902"/>
      <c r="J650" s="897"/>
      <c r="K650" s="903"/>
      <c r="L650" s="899">
        <f t="shared" si="45"/>
        <v>65</v>
      </c>
      <c r="M650" s="933"/>
      <c r="N650" s="933"/>
      <c r="O650" s="933"/>
      <c r="P650" s="933"/>
      <c r="Q650" s="933"/>
      <c r="R650" s="933"/>
      <c r="S650" s="933"/>
      <c r="T650" s="933"/>
      <c r="U650" s="933"/>
      <c r="V650" s="933"/>
      <c r="W650" s="902"/>
      <c r="X650" s="897"/>
      <c r="Y650" s="898"/>
      <c r="Z650" s="902"/>
      <c r="AA650" s="902"/>
      <c r="AB650" s="902"/>
      <c r="AC650" s="902"/>
    </row>
    <row r="651" spans="1:29" ht="13.95" hidden="1" customHeight="1" outlineLevel="1">
      <c r="A651" s="967" t="s">
        <v>1608</v>
      </c>
      <c r="B651" s="968" t="s">
        <v>19</v>
      </c>
      <c r="C651" s="968">
        <v>69</v>
      </c>
      <c r="D651" s="1304">
        <v>600</v>
      </c>
      <c r="E651" s="1337">
        <v>400</v>
      </c>
      <c r="F651" s="1322">
        <f t="shared" si="51"/>
        <v>89.7</v>
      </c>
      <c r="G651" s="969"/>
      <c r="H651" s="901"/>
      <c r="I651" s="902"/>
      <c r="J651" s="897"/>
      <c r="K651" s="903"/>
      <c r="L651" s="899">
        <f t="shared" si="45"/>
        <v>331</v>
      </c>
      <c r="M651" s="933"/>
      <c r="N651" s="933"/>
      <c r="O651" s="933"/>
      <c r="P651" s="933"/>
      <c r="Q651" s="933"/>
      <c r="R651" s="933"/>
      <c r="S651" s="933"/>
      <c r="T651" s="933"/>
      <c r="U651" s="933"/>
      <c r="V651" s="933"/>
      <c r="W651" s="902"/>
      <c r="X651" s="897"/>
      <c r="Y651" s="898"/>
      <c r="Z651" s="902"/>
      <c r="AA651" s="902"/>
      <c r="AB651" s="902"/>
      <c r="AC651" s="902"/>
    </row>
    <row r="652" spans="1:29" ht="13.95" hidden="1" customHeight="1" outlineLevel="1">
      <c r="A652" s="967" t="s">
        <v>1613</v>
      </c>
      <c r="B652" s="968" t="s">
        <v>32</v>
      </c>
      <c r="C652" s="968">
        <v>69</v>
      </c>
      <c r="D652" s="1304">
        <v>200</v>
      </c>
      <c r="E652" s="1337">
        <v>200</v>
      </c>
      <c r="F652" s="1322">
        <f t="shared" si="51"/>
        <v>89.7</v>
      </c>
      <c r="G652" s="969"/>
      <c r="H652" s="901"/>
      <c r="I652" s="902"/>
      <c r="J652" s="897"/>
      <c r="K652" s="903"/>
      <c r="L652" s="899">
        <f t="shared" si="45"/>
        <v>131</v>
      </c>
      <c r="M652" s="933"/>
      <c r="N652" s="933"/>
      <c r="O652" s="933"/>
      <c r="P652" s="933"/>
      <c r="Q652" s="933"/>
      <c r="R652" s="933"/>
      <c r="S652" s="933"/>
      <c r="T652" s="933"/>
      <c r="U652" s="933"/>
      <c r="V652" s="933"/>
      <c r="W652" s="902"/>
      <c r="X652" s="897"/>
      <c r="Y652" s="898"/>
      <c r="Z652" s="902"/>
      <c r="AA652" s="902"/>
      <c r="AB652" s="902"/>
      <c r="AC652" s="902"/>
    </row>
    <row r="653" spans="1:29" ht="13.95" hidden="1" customHeight="1" outlineLevel="1">
      <c r="A653" s="967" t="s">
        <v>1492</v>
      </c>
      <c r="B653" s="968" t="s">
        <v>37</v>
      </c>
      <c r="C653" s="968">
        <v>253</v>
      </c>
      <c r="D653" s="1304">
        <v>500</v>
      </c>
      <c r="E653" s="1337">
        <v>500</v>
      </c>
      <c r="F653" s="1322">
        <f t="shared" si="51"/>
        <v>328.90000000000003</v>
      </c>
      <c r="G653" s="969"/>
      <c r="H653" s="901"/>
      <c r="I653" s="902"/>
      <c r="J653" s="897"/>
      <c r="K653" s="903"/>
      <c r="L653" s="899">
        <f t="shared" si="45"/>
        <v>247</v>
      </c>
      <c r="M653" s="933"/>
      <c r="N653" s="933"/>
      <c r="O653" s="933"/>
      <c r="P653" s="933"/>
      <c r="Q653" s="933"/>
      <c r="R653" s="933"/>
      <c r="S653" s="933"/>
      <c r="T653" s="933"/>
      <c r="U653" s="933"/>
      <c r="V653" s="933"/>
      <c r="W653" s="902"/>
      <c r="X653" s="897"/>
      <c r="Y653" s="898"/>
      <c r="Z653" s="902"/>
      <c r="AA653" s="902"/>
      <c r="AB653" s="902"/>
      <c r="AC653" s="902"/>
    </row>
    <row r="654" spans="1:29" ht="13.95" hidden="1" customHeight="1" outlineLevel="1">
      <c r="A654" s="971" t="s">
        <v>948</v>
      </c>
      <c r="B654" s="971" t="s">
        <v>1628</v>
      </c>
      <c r="C654" s="968">
        <v>175</v>
      </c>
      <c r="D654" s="1304">
        <v>700</v>
      </c>
      <c r="E654" s="1337">
        <v>600</v>
      </c>
      <c r="F654" s="1322">
        <f t="shared" si="51"/>
        <v>227.5</v>
      </c>
      <c r="G654" s="969"/>
      <c r="H654" s="901"/>
      <c r="I654" s="902"/>
      <c r="J654" s="897"/>
      <c r="K654" s="903"/>
      <c r="L654" s="899">
        <f t="shared" si="45"/>
        <v>425</v>
      </c>
      <c r="M654" s="933"/>
      <c r="N654" s="933"/>
      <c r="O654" s="933"/>
      <c r="P654" s="933"/>
      <c r="Q654" s="933"/>
      <c r="R654" s="933"/>
      <c r="S654" s="933"/>
      <c r="T654" s="933"/>
      <c r="U654" s="933"/>
      <c r="V654" s="933"/>
      <c r="W654" s="902"/>
      <c r="X654" s="897"/>
      <c r="Y654" s="898"/>
      <c r="Z654" s="902"/>
      <c r="AA654" s="902"/>
      <c r="AB654" s="902"/>
      <c r="AC654" s="902"/>
    </row>
    <row r="655" spans="1:29" ht="13.95" hidden="1" customHeight="1" outlineLevel="1">
      <c r="A655" s="967" t="s">
        <v>1650</v>
      </c>
      <c r="B655" s="972" t="s">
        <v>2756</v>
      </c>
      <c r="C655" s="972">
        <v>125</v>
      </c>
      <c r="D655" s="1306">
        <v>200</v>
      </c>
      <c r="E655" s="1348">
        <v>200</v>
      </c>
      <c r="F655" s="1324">
        <v>163</v>
      </c>
      <c r="G655" s="967"/>
      <c r="H655" s="911"/>
      <c r="I655" s="912"/>
      <c r="J655" s="947"/>
      <c r="K655" s="903"/>
      <c r="L655" s="899">
        <f t="shared" si="45"/>
        <v>75</v>
      </c>
      <c r="M655" s="933"/>
      <c r="N655" s="933"/>
      <c r="O655" s="933"/>
      <c r="P655" s="933"/>
      <c r="Q655" s="933"/>
      <c r="R655" s="933"/>
      <c r="S655" s="933"/>
      <c r="T655" s="933"/>
      <c r="U655" s="933"/>
      <c r="V655" s="933"/>
      <c r="W655" s="933"/>
      <c r="X655" s="897"/>
      <c r="Y655" s="932"/>
      <c r="Z655" s="902"/>
      <c r="AA655" s="902"/>
      <c r="AB655" s="902"/>
      <c r="AC655" s="902"/>
    </row>
    <row r="656" spans="1:29" ht="13.95" hidden="1" customHeight="1" outlineLevel="1">
      <c r="A656" s="967" t="s">
        <v>1693</v>
      </c>
      <c r="B656" s="968" t="s">
        <v>21</v>
      </c>
      <c r="C656" s="968">
        <v>135</v>
      </c>
      <c r="D656" s="1304">
        <v>200</v>
      </c>
      <c r="E656" s="1337">
        <v>200</v>
      </c>
      <c r="F656" s="1322">
        <f>C656*1.3</f>
        <v>175.5</v>
      </c>
      <c r="G656" s="969"/>
      <c r="H656" s="901"/>
      <c r="I656" s="902"/>
      <c r="J656" s="897"/>
      <c r="K656" s="903"/>
      <c r="L656" s="899">
        <f t="shared" si="45"/>
        <v>65</v>
      </c>
      <c r="M656" s="933"/>
      <c r="N656" s="933"/>
      <c r="O656" s="933"/>
      <c r="P656" s="933"/>
      <c r="Q656" s="933"/>
      <c r="R656" s="933"/>
      <c r="S656" s="933"/>
      <c r="T656" s="933"/>
      <c r="U656" s="933"/>
      <c r="V656" s="933"/>
      <c r="W656" s="902"/>
      <c r="X656" s="897"/>
      <c r="Y656" s="898"/>
      <c r="Z656" s="902"/>
      <c r="AA656" s="902"/>
      <c r="AB656" s="902"/>
      <c r="AC656" s="902"/>
    </row>
    <row r="657" spans="1:29" ht="13.95" hidden="1" customHeight="1" outlineLevel="1">
      <c r="A657" s="967" t="s">
        <v>1716</v>
      </c>
      <c r="B657" s="968" t="s">
        <v>25</v>
      </c>
      <c r="C657" s="968">
        <v>69</v>
      </c>
      <c r="D657" s="1304">
        <v>600</v>
      </c>
      <c r="E657" s="1337">
        <v>300</v>
      </c>
      <c r="F657" s="1322">
        <f>C657*1.3</f>
        <v>89.7</v>
      </c>
      <c r="G657" s="969"/>
      <c r="H657" s="901"/>
      <c r="I657" s="902"/>
      <c r="J657" s="897"/>
      <c r="K657" s="903"/>
      <c r="L657" s="899">
        <f t="shared" si="45"/>
        <v>231</v>
      </c>
      <c r="M657" s="933"/>
      <c r="N657" s="933"/>
      <c r="O657" s="933"/>
      <c r="P657" s="933"/>
      <c r="Q657" s="933"/>
      <c r="R657" s="933"/>
      <c r="S657" s="933"/>
      <c r="T657" s="933"/>
      <c r="U657" s="933"/>
      <c r="V657" s="933"/>
      <c r="W657" s="902"/>
      <c r="X657" s="897"/>
      <c r="Y657" s="898"/>
      <c r="Z657" s="902"/>
      <c r="AA657" s="902"/>
      <c r="AB657" s="902"/>
      <c r="AC657" s="902"/>
    </row>
    <row r="658" spans="1:29" ht="13.95" hidden="1" customHeight="1" outlineLevel="1">
      <c r="A658" s="967" t="s">
        <v>1440</v>
      </c>
      <c r="B658" s="972" t="s">
        <v>2759</v>
      </c>
      <c r="C658" s="972">
        <v>69</v>
      </c>
      <c r="D658" s="1306">
        <v>500</v>
      </c>
      <c r="E658" s="1348">
        <v>500</v>
      </c>
      <c r="F658" s="1324">
        <v>90</v>
      </c>
      <c r="G658" s="967"/>
      <c r="H658" s="936"/>
      <c r="I658" s="933"/>
      <c r="J658" s="897"/>
      <c r="K658" s="903"/>
      <c r="L658" s="899">
        <f t="shared" si="45"/>
        <v>431</v>
      </c>
      <c r="M658" s="933"/>
      <c r="N658" s="933"/>
      <c r="O658" s="933"/>
      <c r="P658" s="933"/>
      <c r="Q658" s="933"/>
      <c r="R658" s="933"/>
      <c r="S658" s="933"/>
      <c r="T658" s="933"/>
      <c r="U658" s="933"/>
      <c r="V658" s="933"/>
      <c r="W658" s="933"/>
      <c r="X658" s="897"/>
      <c r="Y658" s="932"/>
      <c r="Z658" s="902"/>
      <c r="AA658" s="902"/>
      <c r="AB658" s="902"/>
      <c r="AC658" s="902"/>
    </row>
    <row r="659" spans="1:29" ht="13.95" hidden="1" customHeight="1" outlineLevel="1">
      <c r="A659" s="967" t="s">
        <v>1807</v>
      </c>
      <c r="B659" s="968" t="s">
        <v>30</v>
      </c>
      <c r="C659" s="968">
        <v>460</v>
      </c>
      <c r="D659" s="1304">
        <v>850</v>
      </c>
      <c r="E659" s="1337">
        <v>400</v>
      </c>
      <c r="F659" s="1322">
        <f t="shared" ref="F659:F665" si="52">C659*1.3</f>
        <v>598</v>
      </c>
      <c r="G659" s="969"/>
      <c r="H659" s="901"/>
      <c r="I659" s="902"/>
      <c r="J659" s="897"/>
      <c r="K659" s="903"/>
      <c r="L659" s="899">
        <f t="shared" si="45"/>
        <v>-60</v>
      </c>
      <c r="M659" s="933"/>
      <c r="N659" s="933"/>
      <c r="O659" s="933"/>
      <c r="P659" s="933"/>
      <c r="Q659" s="933"/>
      <c r="R659" s="933"/>
      <c r="S659" s="933"/>
      <c r="T659" s="933"/>
      <c r="U659" s="933"/>
      <c r="V659" s="933"/>
      <c r="W659" s="902"/>
      <c r="X659" s="897"/>
      <c r="Y659" s="898"/>
      <c r="Z659" s="902"/>
      <c r="AA659" s="902"/>
      <c r="AB659" s="902"/>
      <c r="AC659" s="902"/>
    </row>
    <row r="660" spans="1:29" ht="13.95" hidden="1" customHeight="1" outlineLevel="1">
      <c r="A660" s="967" t="s">
        <v>1813</v>
      </c>
      <c r="B660" s="968" t="s">
        <v>505</v>
      </c>
      <c r="C660" s="968">
        <v>69</v>
      </c>
      <c r="D660" s="1304">
        <v>600</v>
      </c>
      <c r="E660" s="1337">
        <v>350</v>
      </c>
      <c r="F660" s="1322">
        <f t="shared" si="52"/>
        <v>89.7</v>
      </c>
      <c r="G660" s="969"/>
      <c r="H660" s="901"/>
      <c r="I660" s="902"/>
      <c r="J660" s="897"/>
      <c r="K660" s="903"/>
      <c r="L660" s="899">
        <f t="shared" si="45"/>
        <v>281</v>
      </c>
      <c r="M660" s="933"/>
      <c r="N660" s="933"/>
      <c r="O660" s="933"/>
      <c r="P660" s="933"/>
      <c r="Q660" s="933"/>
      <c r="R660" s="933"/>
      <c r="S660" s="933"/>
      <c r="T660" s="933"/>
      <c r="U660" s="933"/>
      <c r="V660" s="933"/>
      <c r="W660" s="902"/>
      <c r="X660" s="897"/>
      <c r="Y660" s="898"/>
      <c r="Z660" s="902"/>
      <c r="AA660" s="902"/>
      <c r="AB660" s="902"/>
      <c r="AC660" s="902"/>
    </row>
    <row r="661" spans="1:29" ht="13.95" hidden="1" customHeight="1" outlineLevel="1">
      <c r="A661" s="967" t="s">
        <v>54</v>
      </c>
      <c r="B661" s="968" t="s">
        <v>54</v>
      </c>
      <c r="C661" s="968">
        <v>1150</v>
      </c>
      <c r="D661" s="1304">
        <v>1900</v>
      </c>
      <c r="E661" s="1337">
        <v>1900</v>
      </c>
      <c r="F661" s="1322">
        <f t="shared" si="52"/>
        <v>1495</v>
      </c>
      <c r="G661" s="969"/>
      <c r="H661" s="901"/>
      <c r="I661" s="902"/>
      <c r="J661" s="897"/>
      <c r="K661" s="903"/>
      <c r="L661" s="899">
        <f t="shared" si="45"/>
        <v>750</v>
      </c>
      <c r="M661" s="933"/>
      <c r="N661" s="933"/>
      <c r="O661" s="933"/>
      <c r="P661" s="933"/>
      <c r="Q661" s="933"/>
      <c r="R661" s="933"/>
      <c r="S661" s="933"/>
      <c r="T661" s="933"/>
      <c r="U661" s="933"/>
      <c r="V661" s="933"/>
      <c r="W661" s="902"/>
      <c r="X661" s="897"/>
      <c r="Y661" s="898"/>
      <c r="Z661" s="902"/>
      <c r="AA661" s="902"/>
      <c r="AB661" s="902"/>
      <c r="AC661" s="902"/>
    </row>
    <row r="662" spans="1:29" ht="13.95" hidden="1" customHeight="1" outlineLevel="1">
      <c r="A662" s="967" t="s">
        <v>1824</v>
      </c>
      <c r="B662" s="968" t="s">
        <v>861</v>
      </c>
      <c r="C662" s="968">
        <v>135</v>
      </c>
      <c r="D662" s="1304">
        <v>600</v>
      </c>
      <c r="E662" s="1337">
        <v>600</v>
      </c>
      <c r="F662" s="1322">
        <f t="shared" si="52"/>
        <v>175.5</v>
      </c>
      <c r="G662" s="969"/>
      <c r="H662" s="901"/>
      <c r="I662" s="902"/>
      <c r="J662" s="897"/>
      <c r="K662" s="903"/>
      <c r="L662" s="899">
        <f t="shared" si="45"/>
        <v>465</v>
      </c>
      <c r="M662" s="933"/>
      <c r="N662" s="933"/>
      <c r="O662" s="933"/>
      <c r="P662" s="933"/>
      <c r="Q662" s="933"/>
      <c r="R662" s="933"/>
      <c r="S662" s="933"/>
      <c r="T662" s="933"/>
      <c r="U662" s="933"/>
      <c r="V662" s="933"/>
      <c r="W662" s="902"/>
      <c r="X662" s="897"/>
      <c r="Y662" s="898"/>
      <c r="Z662" s="902"/>
      <c r="AA662" s="902"/>
      <c r="AB662" s="902"/>
      <c r="AC662" s="902"/>
    </row>
    <row r="663" spans="1:29" ht="13.95" hidden="1" customHeight="1" outlineLevel="1">
      <c r="A663" s="967" t="s">
        <v>527</v>
      </c>
      <c r="B663" s="968" t="s">
        <v>1831</v>
      </c>
      <c r="C663" s="968">
        <v>340</v>
      </c>
      <c r="D663" s="1304">
        <v>1200</v>
      </c>
      <c r="E663" s="1337">
        <v>500</v>
      </c>
      <c r="F663" s="1322">
        <f t="shared" si="52"/>
        <v>442</v>
      </c>
      <c r="G663" s="969"/>
      <c r="H663" s="901"/>
      <c r="I663" s="902"/>
      <c r="J663" s="897"/>
      <c r="K663" s="903"/>
      <c r="L663" s="899">
        <f t="shared" si="45"/>
        <v>160</v>
      </c>
      <c r="M663" s="933"/>
      <c r="N663" s="933"/>
      <c r="O663" s="933"/>
      <c r="P663" s="933"/>
      <c r="Q663" s="933"/>
      <c r="R663" s="933"/>
      <c r="S663" s="933"/>
      <c r="T663" s="933"/>
      <c r="U663" s="933"/>
      <c r="V663" s="933"/>
      <c r="W663" s="902"/>
      <c r="X663" s="897"/>
      <c r="Y663" s="898"/>
      <c r="Z663" s="902"/>
      <c r="AA663" s="902"/>
      <c r="AB663" s="902"/>
      <c r="AC663" s="902"/>
    </row>
    <row r="664" spans="1:29" ht="13.95" hidden="1" customHeight="1" outlineLevel="1">
      <c r="A664" s="967" t="s">
        <v>1861</v>
      </c>
      <c r="B664" s="968" t="s">
        <v>1862</v>
      </c>
      <c r="C664" s="968">
        <v>175</v>
      </c>
      <c r="D664" s="1304">
        <v>1200</v>
      </c>
      <c r="E664" s="1337">
        <v>400</v>
      </c>
      <c r="F664" s="1322">
        <f t="shared" si="52"/>
        <v>227.5</v>
      </c>
      <c r="G664" s="969">
        <v>1</v>
      </c>
      <c r="H664" s="901"/>
      <c r="I664" s="902"/>
      <c r="J664" s="910"/>
      <c r="K664" s="903"/>
      <c r="L664" s="899">
        <f t="shared" si="45"/>
        <v>225</v>
      </c>
      <c r="M664" s="933"/>
      <c r="N664" s="933"/>
      <c r="O664" s="933"/>
      <c r="P664" s="933"/>
      <c r="Q664" s="933"/>
      <c r="R664" s="933"/>
      <c r="S664" s="933"/>
      <c r="T664" s="933"/>
      <c r="U664" s="933"/>
      <c r="V664" s="933"/>
      <c r="W664" s="902"/>
      <c r="X664" s="902"/>
      <c r="Y664" s="902"/>
      <c r="Z664" s="902"/>
      <c r="AA664" s="902"/>
      <c r="AB664" s="902"/>
      <c r="AC664" s="902"/>
    </row>
    <row r="665" spans="1:29" ht="13.95" hidden="1" customHeight="1" outlineLevel="1">
      <c r="A665" s="967" t="s">
        <v>1782</v>
      </c>
      <c r="B665" s="968" t="s">
        <v>2355</v>
      </c>
      <c r="C665" s="968">
        <v>600</v>
      </c>
      <c r="D665" s="1304">
        <v>1300</v>
      </c>
      <c r="E665" s="1337">
        <v>1100</v>
      </c>
      <c r="F665" s="1322">
        <f t="shared" si="52"/>
        <v>780</v>
      </c>
      <c r="G665" s="969"/>
      <c r="H665" s="901"/>
      <c r="I665" s="902"/>
      <c r="J665" s="897"/>
      <c r="K665" s="903"/>
      <c r="L665" s="899">
        <f t="shared" si="45"/>
        <v>500</v>
      </c>
      <c r="M665" s="933"/>
      <c r="N665" s="933"/>
      <c r="O665" s="933"/>
      <c r="P665" s="933"/>
      <c r="Q665" s="933"/>
      <c r="R665" s="933"/>
      <c r="S665" s="933"/>
      <c r="T665" s="933"/>
      <c r="U665" s="933"/>
      <c r="V665" s="933"/>
      <c r="W665" s="902"/>
      <c r="X665" s="897"/>
      <c r="Y665" s="898"/>
      <c r="Z665" s="902"/>
      <c r="AA665" s="902"/>
      <c r="AB665" s="902"/>
      <c r="AC665" s="902"/>
    </row>
    <row r="666" spans="1:29" ht="14.95" hidden="1" customHeight="1" outlineLevel="1">
      <c r="A666" s="967" t="s">
        <v>1493</v>
      </c>
      <c r="B666" s="972" t="s">
        <v>2749</v>
      </c>
      <c r="C666" s="972">
        <v>3600</v>
      </c>
      <c r="D666" s="1306">
        <v>4500</v>
      </c>
      <c r="E666" s="1348">
        <v>4500</v>
      </c>
      <c r="F666" s="1324">
        <v>4680</v>
      </c>
      <c r="G666" s="967">
        <v>1</v>
      </c>
      <c r="H666" s="929"/>
      <c r="I666" s="912"/>
      <c r="J666" s="960"/>
      <c r="K666" s="912"/>
      <c r="L666" s="899">
        <f t="shared" ref="L666:L675" si="53">E666-C666</f>
        <v>900</v>
      </c>
      <c r="M666" s="933"/>
      <c r="N666" s="933"/>
      <c r="O666" s="933"/>
      <c r="P666" s="933"/>
      <c r="Q666" s="933"/>
      <c r="R666" s="933"/>
      <c r="S666" s="933"/>
      <c r="T666" s="933"/>
      <c r="U666" s="933"/>
      <c r="V666" s="933"/>
      <c r="W666" s="933"/>
      <c r="X666" s="897"/>
      <c r="Y666" s="932"/>
      <c r="Z666" s="902"/>
      <c r="AA666" s="902"/>
      <c r="AB666" s="902"/>
      <c r="AC666" s="902"/>
    </row>
    <row r="667" spans="1:29" ht="13.95" hidden="1" customHeight="1" outlineLevel="1">
      <c r="A667" s="967" t="s">
        <v>1522</v>
      </c>
      <c r="B667" s="968" t="s">
        <v>31</v>
      </c>
      <c r="C667" s="968">
        <v>1150</v>
      </c>
      <c r="D667" s="1304">
        <v>2800</v>
      </c>
      <c r="E667" s="1337">
        <v>2000</v>
      </c>
      <c r="F667" s="1322">
        <f t="shared" ref="F667:F674" si="54">C667*1.3</f>
        <v>1495</v>
      </c>
      <c r="G667" s="969">
        <v>1</v>
      </c>
      <c r="H667" s="901"/>
      <c r="I667" s="902"/>
      <c r="J667" s="897"/>
      <c r="K667" s="903"/>
      <c r="L667" s="899">
        <f t="shared" si="53"/>
        <v>850</v>
      </c>
      <c r="M667" s="933"/>
      <c r="N667" s="933"/>
      <c r="O667" s="933"/>
      <c r="P667" s="933"/>
      <c r="Q667" s="933"/>
      <c r="R667" s="933"/>
      <c r="S667" s="933"/>
      <c r="T667" s="933"/>
      <c r="U667" s="933"/>
      <c r="V667" s="933"/>
      <c r="W667" s="902"/>
      <c r="X667" s="897"/>
      <c r="Y667" s="898"/>
      <c r="Z667" s="902"/>
      <c r="AA667" s="902"/>
      <c r="AB667" s="902"/>
      <c r="AC667" s="902"/>
    </row>
    <row r="668" spans="1:29" ht="13.95" hidden="1" customHeight="1" outlineLevel="1">
      <c r="A668" s="967" t="s">
        <v>746</v>
      </c>
      <c r="B668" s="958" t="s">
        <v>746</v>
      </c>
      <c r="C668" s="959">
        <v>1609.9999999999998</v>
      </c>
      <c r="D668" s="1310">
        <v>3700</v>
      </c>
      <c r="E668" s="1337">
        <v>3500</v>
      </c>
      <c r="F668" s="1322">
        <f t="shared" si="54"/>
        <v>2093</v>
      </c>
      <c r="G668" s="1016"/>
      <c r="H668" s="901"/>
      <c r="I668" s="958"/>
      <c r="J668" s="958"/>
      <c r="L668" s="899">
        <f t="shared" si="53"/>
        <v>1890.0000000000002</v>
      </c>
      <c r="M668" s="933"/>
      <c r="N668" s="933"/>
      <c r="O668" s="933"/>
      <c r="P668" s="933"/>
      <c r="Q668" s="933"/>
      <c r="R668" s="933"/>
      <c r="S668" s="933"/>
      <c r="T668" s="933"/>
      <c r="U668" s="933"/>
      <c r="V668" s="933"/>
      <c r="W668" s="902"/>
      <c r="X668" s="902"/>
      <c r="Y668" s="902"/>
      <c r="Z668" s="902"/>
      <c r="AA668" s="902"/>
      <c r="AB668" s="902"/>
      <c r="AC668" s="902"/>
    </row>
    <row r="669" spans="1:29" ht="13.95" hidden="1" customHeight="1" outlineLevel="1">
      <c r="A669" s="967" t="s">
        <v>506</v>
      </c>
      <c r="B669" s="958" t="s">
        <v>506</v>
      </c>
      <c r="C669" s="959">
        <v>1609.9999999999998</v>
      </c>
      <c r="D669" s="1313">
        <v>2900</v>
      </c>
      <c r="E669" s="1337">
        <v>2800</v>
      </c>
      <c r="F669" s="1322">
        <f t="shared" si="54"/>
        <v>2093</v>
      </c>
      <c r="G669" s="958">
        <v>1</v>
      </c>
      <c r="H669" s="901"/>
      <c r="I669" s="958"/>
      <c r="K669" s="903"/>
      <c r="L669" s="899">
        <f t="shared" si="53"/>
        <v>1190.0000000000002</v>
      </c>
      <c r="M669" s="933"/>
      <c r="N669" s="933"/>
      <c r="O669" s="933"/>
      <c r="P669" s="933"/>
      <c r="Q669" s="933"/>
      <c r="R669" s="933"/>
      <c r="S669" s="933"/>
      <c r="T669" s="933"/>
      <c r="U669" s="933"/>
      <c r="V669" s="933"/>
      <c r="W669" s="902"/>
      <c r="X669" s="902"/>
      <c r="Y669" s="902"/>
      <c r="Z669" s="902"/>
      <c r="AA669" s="902"/>
      <c r="AB669" s="902"/>
      <c r="AC669" s="902"/>
    </row>
    <row r="670" spans="1:29" ht="13.95" hidden="1" customHeight="1" outlineLevel="1">
      <c r="A670" s="958" t="s">
        <v>1726</v>
      </c>
      <c r="B670" s="958" t="s">
        <v>66</v>
      </c>
      <c r="C670" s="959">
        <v>1609.9999999999998</v>
      </c>
      <c r="D670" s="1313">
        <v>2900</v>
      </c>
      <c r="E670" s="1337">
        <v>2800</v>
      </c>
      <c r="F670" s="1322">
        <f t="shared" si="54"/>
        <v>2093</v>
      </c>
      <c r="G670" s="958">
        <v>1</v>
      </c>
      <c r="H670" s="901"/>
      <c r="I670" s="958"/>
      <c r="K670" s="903"/>
      <c r="L670" s="899">
        <f t="shared" si="53"/>
        <v>1190.0000000000002</v>
      </c>
      <c r="M670" s="933"/>
      <c r="N670" s="933"/>
      <c r="O670" s="933"/>
      <c r="P670" s="933"/>
      <c r="Q670" s="933"/>
      <c r="R670" s="933"/>
      <c r="S670" s="933"/>
      <c r="T670" s="933"/>
      <c r="U670" s="933"/>
      <c r="V670" s="933"/>
      <c r="W670" s="902"/>
      <c r="X670" s="902"/>
      <c r="Y670" s="902"/>
      <c r="Z670" s="902"/>
      <c r="AA670" s="902"/>
      <c r="AB670" s="902"/>
      <c r="AC670" s="902"/>
    </row>
    <row r="671" spans="1:29" ht="13.95" hidden="1" customHeight="1" outlineLevel="1">
      <c r="A671" s="970" t="s">
        <v>1815</v>
      </c>
      <c r="B671" s="968" t="s">
        <v>1816</v>
      </c>
      <c r="C671" s="968">
        <v>3679.9999999999995</v>
      </c>
      <c r="D671" s="1304">
        <v>5400</v>
      </c>
      <c r="E671" s="1337">
        <v>5400</v>
      </c>
      <c r="F671" s="1322">
        <f t="shared" si="54"/>
        <v>4784</v>
      </c>
      <c r="G671" s="969">
        <v>1</v>
      </c>
      <c r="H671" s="901"/>
      <c r="I671" s="902"/>
      <c r="J671" s="897"/>
      <c r="K671" s="903"/>
      <c r="L671" s="899">
        <f t="shared" si="53"/>
        <v>1720.0000000000005</v>
      </c>
      <c r="M671" s="933"/>
      <c r="N671" s="933"/>
      <c r="O671" s="933"/>
      <c r="P671" s="933"/>
      <c r="Q671" s="933"/>
      <c r="R671" s="933"/>
      <c r="S671" s="933"/>
      <c r="T671" s="933"/>
      <c r="U671" s="933"/>
      <c r="V671" s="933"/>
      <c r="W671" s="902"/>
      <c r="X671" s="902"/>
      <c r="Y671" s="902"/>
      <c r="Z671" s="902"/>
      <c r="AA671" s="902"/>
      <c r="AB671" s="902"/>
      <c r="AC671" s="902"/>
    </row>
    <row r="672" spans="1:29" ht="13.95" hidden="1" customHeight="1" outlineLevel="1">
      <c r="A672" s="967" t="s">
        <v>1800</v>
      </c>
      <c r="B672" s="968" t="s">
        <v>1801</v>
      </c>
      <c r="C672" s="968">
        <v>6324.9999999999991</v>
      </c>
      <c r="D672" s="1304">
        <v>7700</v>
      </c>
      <c r="E672" s="1337">
        <v>7100</v>
      </c>
      <c r="F672" s="1322">
        <f t="shared" si="54"/>
        <v>8222.5</v>
      </c>
      <c r="G672" s="967">
        <v>1</v>
      </c>
      <c r="H672" s="901"/>
      <c r="I672" s="902"/>
      <c r="J672" s="897"/>
      <c r="K672" s="903"/>
      <c r="L672" s="899">
        <f t="shared" si="53"/>
        <v>775.00000000000091</v>
      </c>
      <c r="M672" s="933"/>
      <c r="N672" s="933"/>
      <c r="O672" s="933"/>
      <c r="P672" s="933"/>
      <c r="Q672" s="933"/>
      <c r="R672" s="933"/>
      <c r="S672" s="933"/>
      <c r="T672" s="933"/>
      <c r="U672" s="933"/>
      <c r="V672" s="933"/>
      <c r="W672" s="902"/>
      <c r="X672" s="897"/>
      <c r="Y672" s="898"/>
      <c r="Z672" s="902"/>
      <c r="AA672" s="902"/>
      <c r="AB672" s="902"/>
      <c r="AC672" s="902"/>
    </row>
    <row r="673" spans="1:29" ht="13.95" hidden="1" customHeight="1" outlineLevel="1">
      <c r="A673" s="967" t="s">
        <v>71</v>
      </c>
      <c r="B673" s="968" t="s">
        <v>71</v>
      </c>
      <c r="C673" s="968">
        <v>2185</v>
      </c>
      <c r="D673" s="1304">
        <v>4900</v>
      </c>
      <c r="E673" s="1337">
        <v>2600</v>
      </c>
      <c r="F673" s="1322">
        <f t="shared" si="54"/>
        <v>2840.5</v>
      </c>
      <c r="G673" s="967">
        <v>1</v>
      </c>
      <c r="H673" s="901"/>
      <c r="I673" s="902"/>
      <c r="J673" s="902"/>
      <c r="K673" s="903"/>
      <c r="L673" s="899">
        <f t="shared" si="53"/>
        <v>415</v>
      </c>
      <c r="M673" s="933"/>
      <c r="N673" s="933"/>
      <c r="O673" s="933"/>
      <c r="P673" s="933"/>
      <c r="Q673" s="933"/>
      <c r="R673" s="933"/>
      <c r="S673" s="933"/>
      <c r="T673" s="933"/>
      <c r="U673" s="933"/>
      <c r="V673" s="933"/>
      <c r="W673" s="902"/>
      <c r="X673" s="902"/>
      <c r="Y673" s="902"/>
      <c r="Z673" s="902"/>
      <c r="AA673" s="902"/>
      <c r="AB673" s="902"/>
      <c r="AC673" s="902"/>
    </row>
    <row r="674" spans="1:29" ht="13.95" hidden="1" customHeight="1" outlineLevel="1" thickBot="1">
      <c r="A674" s="1037" t="s">
        <v>1783</v>
      </c>
      <c r="B674" s="1019" t="s">
        <v>1784</v>
      </c>
      <c r="C674" s="1019">
        <v>1725</v>
      </c>
      <c r="D674" s="1305">
        <v>2300</v>
      </c>
      <c r="E674" s="1338">
        <v>2000</v>
      </c>
      <c r="F674" s="1323">
        <f t="shared" si="54"/>
        <v>2242.5</v>
      </c>
      <c r="G674" s="1037">
        <v>1</v>
      </c>
      <c r="H674" s="901"/>
      <c r="I674" s="902"/>
      <c r="J674" s="897"/>
      <c r="K674" s="903"/>
      <c r="L674" s="899">
        <f t="shared" si="53"/>
        <v>275</v>
      </c>
      <c r="M674" s="933"/>
      <c r="N674" s="933"/>
      <c r="O674" s="933"/>
      <c r="P674" s="933"/>
      <c r="Q674" s="933"/>
      <c r="R674" s="933"/>
      <c r="S674" s="933"/>
      <c r="T674" s="933"/>
      <c r="U674" s="933"/>
      <c r="V674" s="933"/>
      <c r="W674" s="902"/>
      <c r="X674" s="897"/>
      <c r="Y674" s="898"/>
      <c r="Z674" s="902"/>
      <c r="AA674" s="902"/>
      <c r="AB674" s="902"/>
      <c r="AC674" s="902"/>
    </row>
    <row r="675" spans="1:29" ht="16.3" collapsed="1" thickBot="1">
      <c r="A675" s="917" t="s">
        <v>5967</v>
      </c>
      <c r="B675" s="892" t="s">
        <v>490</v>
      </c>
      <c r="C675" s="892">
        <f>SUM(C676:C718)</f>
        <v>12239</v>
      </c>
      <c r="D675" s="892">
        <f>SUM(D676:D718)</f>
        <v>33540</v>
      </c>
      <c r="E675" s="1339">
        <f>SUM(E676:E718)</f>
        <v>30850</v>
      </c>
      <c r="F675" s="892">
        <f>SUM(F676:F718)</f>
        <v>15910.7</v>
      </c>
      <c r="G675" s="894" t="s">
        <v>5968</v>
      </c>
      <c r="H675" s="895"/>
      <c r="I675" s="902" t="str">
        <f>IF(H675="x",CONCATENATE(A675,"; "),"")</f>
        <v/>
      </c>
      <c r="J675" s="897"/>
      <c r="K675" s="903"/>
      <c r="L675" s="899">
        <f t="shared" si="53"/>
        <v>18611</v>
      </c>
      <c r="M675" s="933"/>
      <c r="N675" s="933"/>
      <c r="O675" s="933"/>
      <c r="P675" s="933"/>
      <c r="Q675" s="933"/>
      <c r="R675" s="933"/>
      <c r="S675" s="933"/>
      <c r="T675" s="933"/>
      <c r="U675" s="933"/>
      <c r="V675" s="933"/>
      <c r="W675" s="902"/>
      <c r="X675" s="902"/>
      <c r="Y675" s="902"/>
      <c r="Z675" s="902"/>
      <c r="AA675" s="902"/>
      <c r="AB675" s="902"/>
      <c r="AC675" s="902"/>
    </row>
    <row r="676" spans="1:29" hidden="1" outlineLevel="1">
      <c r="A676" s="1171"/>
      <c r="B676" s="954"/>
      <c r="C676" s="1179"/>
      <c r="D676" s="1314">
        <v>1500</v>
      </c>
      <c r="E676" s="1357"/>
      <c r="F676" s="1322"/>
      <c r="G676" s="954"/>
      <c r="H676" s="895"/>
      <c r="I676" s="902"/>
      <c r="J676" s="897"/>
      <c r="K676" s="903"/>
      <c r="L676" s="899"/>
      <c r="M676" s="933"/>
      <c r="N676" s="933"/>
      <c r="O676" s="933"/>
      <c r="P676" s="933"/>
      <c r="Q676" s="933"/>
      <c r="R676" s="933"/>
      <c r="S676" s="933"/>
      <c r="T676" s="933"/>
      <c r="U676" s="933"/>
      <c r="V676" s="933"/>
      <c r="W676" s="902"/>
      <c r="X676" s="902"/>
      <c r="Y676" s="902"/>
      <c r="Z676" s="902"/>
      <c r="AA676" s="902"/>
      <c r="AB676" s="902"/>
      <c r="AC676" s="902"/>
    </row>
    <row r="677" spans="1:29" hidden="1" outlineLevel="1">
      <c r="A677" s="1172" t="s">
        <v>1391</v>
      </c>
      <c r="B677" s="958" t="s">
        <v>1392</v>
      </c>
      <c r="C677" s="1179">
        <v>69</v>
      </c>
      <c r="D677" s="1314">
        <v>400</v>
      </c>
      <c r="E677" s="1357">
        <v>400</v>
      </c>
      <c r="F677" s="1322">
        <f t="shared" ref="F677:F718" si="55">C677*1.3</f>
        <v>89.7</v>
      </c>
      <c r="G677" s="958">
        <v>1</v>
      </c>
      <c r="H677" s="895"/>
      <c r="I677" s="902"/>
      <c r="J677" s="897"/>
      <c r="K677" s="903"/>
      <c r="L677" s="899"/>
      <c r="M677" s="933"/>
      <c r="N677" s="933"/>
      <c r="O677" s="933"/>
      <c r="P677" s="933"/>
      <c r="Q677" s="933"/>
      <c r="R677" s="933"/>
      <c r="S677" s="933"/>
      <c r="T677" s="933"/>
      <c r="U677" s="933"/>
      <c r="V677" s="933"/>
      <c r="W677" s="902"/>
      <c r="X677" s="902"/>
      <c r="Y677" s="902"/>
      <c r="Z677" s="902"/>
      <c r="AA677" s="902"/>
      <c r="AB677" s="902"/>
      <c r="AC677" s="902"/>
    </row>
    <row r="678" spans="1:29" hidden="1" outlineLevel="1">
      <c r="A678" s="1172" t="s">
        <v>1395</v>
      </c>
      <c r="B678" s="958" t="s">
        <v>1396</v>
      </c>
      <c r="C678" s="1179">
        <v>69</v>
      </c>
      <c r="D678" s="1314">
        <v>400</v>
      </c>
      <c r="E678" s="1357">
        <v>400</v>
      </c>
      <c r="F678" s="1322">
        <f t="shared" si="55"/>
        <v>89.7</v>
      </c>
      <c r="G678" s="958">
        <v>1</v>
      </c>
      <c r="H678" s="895"/>
      <c r="I678" s="902"/>
      <c r="J678" s="897"/>
      <c r="K678" s="903"/>
      <c r="L678" s="899"/>
      <c r="M678" s="933"/>
      <c r="N678" s="933"/>
      <c r="O678" s="933"/>
      <c r="P678" s="933"/>
      <c r="Q678" s="933"/>
      <c r="R678" s="933"/>
      <c r="S678" s="933"/>
      <c r="T678" s="933"/>
      <c r="U678" s="933"/>
      <c r="V678" s="933"/>
      <c r="W678" s="902"/>
      <c r="X678" s="902"/>
      <c r="Y678" s="902"/>
      <c r="Z678" s="902"/>
      <c r="AA678" s="902"/>
      <c r="AB678" s="902"/>
      <c r="AC678" s="902"/>
    </row>
    <row r="679" spans="1:29" hidden="1" outlineLevel="1">
      <c r="A679" s="1173" t="s">
        <v>1397</v>
      </c>
      <c r="B679" s="958" t="s">
        <v>38</v>
      </c>
      <c r="C679" s="1180">
        <v>345</v>
      </c>
      <c r="D679" s="1315">
        <v>500</v>
      </c>
      <c r="E679" s="1358">
        <v>500</v>
      </c>
      <c r="F679" s="1322">
        <f t="shared" si="55"/>
        <v>448.5</v>
      </c>
      <c r="G679" s="949">
        <v>1</v>
      </c>
      <c r="H679" s="895"/>
      <c r="I679" s="902"/>
      <c r="J679" s="897"/>
      <c r="K679" s="903"/>
      <c r="L679" s="899"/>
      <c r="M679" s="933"/>
      <c r="N679" s="933"/>
      <c r="O679" s="933"/>
      <c r="P679" s="933"/>
      <c r="Q679" s="933"/>
      <c r="R679" s="933"/>
      <c r="S679" s="933"/>
      <c r="T679" s="933"/>
      <c r="U679" s="933"/>
      <c r="V679" s="933"/>
      <c r="W679" s="902"/>
      <c r="X679" s="902"/>
      <c r="Y679" s="902"/>
      <c r="Z679" s="902"/>
      <c r="AA679" s="902"/>
      <c r="AB679" s="902"/>
      <c r="AC679" s="902"/>
    </row>
    <row r="680" spans="1:29" hidden="1" outlineLevel="1">
      <c r="A680" s="1173" t="s">
        <v>1440</v>
      </c>
      <c r="B680" s="949" t="s">
        <v>1441</v>
      </c>
      <c r="C680" s="1180">
        <v>69</v>
      </c>
      <c r="D680" s="1315">
        <v>500</v>
      </c>
      <c r="E680" s="1358">
        <v>500</v>
      </c>
      <c r="F680" s="1322">
        <f t="shared" si="55"/>
        <v>89.7</v>
      </c>
      <c r="G680" s="949">
        <v>1</v>
      </c>
      <c r="H680" s="895"/>
      <c r="I680" s="902"/>
      <c r="J680" s="897"/>
      <c r="K680" s="903"/>
      <c r="L680" s="899"/>
      <c r="M680" s="933"/>
      <c r="N680" s="933"/>
      <c r="O680" s="933"/>
      <c r="P680" s="933"/>
      <c r="Q680" s="933"/>
      <c r="R680" s="933"/>
      <c r="S680" s="933"/>
      <c r="T680" s="933"/>
      <c r="U680" s="933"/>
      <c r="V680" s="933"/>
      <c r="W680" s="902"/>
      <c r="X680" s="902"/>
      <c r="Y680" s="902"/>
      <c r="Z680" s="902"/>
      <c r="AA680" s="902"/>
      <c r="AB680" s="902"/>
      <c r="AC680" s="902"/>
    </row>
    <row r="681" spans="1:29" hidden="1" outlineLevel="1">
      <c r="A681" s="1174"/>
      <c r="B681" s="1177"/>
      <c r="C681" s="1181"/>
      <c r="D681" s="1316"/>
      <c r="E681" s="1359"/>
      <c r="F681" s="1322"/>
      <c r="G681" s="1177"/>
      <c r="H681" s="895"/>
      <c r="I681" s="902"/>
      <c r="J681" s="897"/>
      <c r="K681" s="903"/>
      <c r="L681" s="899"/>
      <c r="M681" s="933"/>
      <c r="N681" s="933"/>
      <c r="O681" s="933"/>
      <c r="P681" s="933"/>
      <c r="Q681" s="933"/>
      <c r="R681" s="933"/>
      <c r="S681" s="933"/>
      <c r="T681" s="933"/>
      <c r="U681" s="933"/>
      <c r="V681" s="933"/>
      <c r="W681" s="902"/>
      <c r="X681" s="902"/>
      <c r="Y681" s="902"/>
      <c r="Z681" s="902"/>
      <c r="AA681" s="902"/>
      <c r="AB681" s="902"/>
      <c r="AC681" s="902"/>
    </row>
    <row r="682" spans="1:29" hidden="1" outlineLevel="1">
      <c r="A682" s="1171" t="s">
        <v>1492</v>
      </c>
      <c r="B682" s="954" t="s">
        <v>1492</v>
      </c>
      <c r="C682" s="1179">
        <v>252.99999999999997</v>
      </c>
      <c r="D682" s="1314">
        <v>500</v>
      </c>
      <c r="E682" s="1357">
        <v>500</v>
      </c>
      <c r="F682" s="1322">
        <f t="shared" si="55"/>
        <v>328.9</v>
      </c>
      <c r="G682" s="954">
        <v>1</v>
      </c>
      <c r="H682" s="895"/>
      <c r="I682" s="902"/>
      <c r="J682" s="897"/>
      <c r="K682" s="903"/>
      <c r="L682" s="899"/>
      <c r="M682" s="933"/>
      <c r="N682" s="933"/>
      <c r="O682" s="933"/>
      <c r="P682" s="933"/>
      <c r="Q682" s="933"/>
      <c r="R682" s="933"/>
      <c r="S682" s="933"/>
      <c r="T682" s="933"/>
      <c r="U682" s="933"/>
      <c r="V682" s="933"/>
      <c r="W682" s="902"/>
      <c r="X682" s="902"/>
      <c r="Y682" s="902"/>
      <c r="Z682" s="902"/>
      <c r="AA682" s="902"/>
      <c r="AB682" s="902"/>
      <c r="AC682" s="902"/>
    </row>
    <row r="683" spans="1:29" hidden="1" outlineLevel="1">
      <c r="A683" s="1172" t="s">
        <v>649</v>
      </c>
      <c r="B683" s="958" t="s">
        <v>649</v>
      </c>
      <c r="C683" s="1179">
        <v>459.99999999999994</v>
      </c>
      <c r="D683" s="1314">
        <v>1400</v>
      </c>
      <c r="E683" s="1357">
        <v>1400</v>
      </c>
      <c r="F683" s="1322">
        <f t="shared" si="55"/>
        <v>598</v>
      </c>
      <c r="G683" s="958">
        <v>1</v>
      </c>
      <c r="H683" s="895"/>
      <c r="I683" s="902"/>
      <c r="J683" s="897"/>
      <c r="K683" s="903"/>
      <c r="L683" s="899"/>
      <c r="M683" s="933"/>
      <c r="N683" s="933"/>
      <c r="O683" s="933"/>
      <c r="P683" s="933"/>
      <c r="Q683" s="933"/>
      <c r="R683" s="933"/>
      <c r="S683" s="933"/>
      <c r="T683" s="933"/>
      <c r="U683" s="933"/>
      <c r="V683" s="933"/>
      <c r="W683" s="902"/>
      <c r="X683" s="902"/>
      <c r="Y683" s="902"/>
      <c r="Z683" s="902"/>
      <c r="AA683" s="902"/>
      <c r="AB683" s="902"/>
      <c r="AC683" s="902"/>
    </row>
    <row r="684" spans="1:29" hidden="1" outlineLevel="1">
      <c r="A684" s="1172" t="s">
        <v>1522</v>
      </c>
      <c r="B684" s="958" t="s">
        <v>31</v>
      </c>
      <c r="C684" s="1179">
        <v>1150</v>
      </c>
      <c r="D684" s="1314">
        <v>2800</v>
      </c>
      <c r="E684" s="1357">
        <v>2800</v>
      </c>
      <c r="F684" s="1322">
        <f t="shared" si="55"/>
        <v>1495</v>
      </c>
      <c r="G684" s="958">
        <v>1</v>
      </c>
      <c r="H684" s="895"/>
      <c r="I684" s="902"/>
      <c r="J684" s="897"/>
      <c r="K684" s="903"/>
      <c r="L684" s="899"/>
      <c r="M684" s="933"/>
      <c r="N684" s="933"/>
      <c r="O684" s="933"/>
      <c r="P684" s="933"/>
      <c r="Q684" s="933"/>
      <c r="R684" s="933"/>
      <c r="S684" s="933"/>
      <c r="T684" s="933"/>
      <c r="U684" s="933"/>
      <c r="V684" s="933"/>
      <c r="W684" s="902"/>
      <c r="X684" s="902"/>
      <c r="Y684" s="902"/>
      <c r="Z684" s="902"/>
      <c r="AA684" s="902"/>
      <c r="AB684" s="902"/>
      <c r="AC684" s="902"/>
    </row>
    <row r="685" spans="1:29" hidden="1" outlineLevel="1">
      <c r="A685" s="1173" t="s">
        <v>1527</v>
      </c>
      <c r="B685" s="949" t="s">
        <v>1528</v>
      </c>
      <c r="C685" s="1180">
        <v>130</v>
      </c>
      <c r="D685" s="1315">
        <v>600</v>
      </c>
      <c r="E685" s="1358">
        <v>600</v>
      </c>
      <c r="F685" s="1322">
        <f t="shared" si="55"/>
        <v>169</v>
      </c>
      <c r="G685" s="949">
        <v>1</v>
      </c>
      <c r="H685" s="895"/>
      <c r="I685" s="902"/>
      <c r="J685" s="897"/>
      <c r="K685" s="903"/>
      <c r="L685" s="899"/>
      <c r="M685" s="933"/>
      <c r="N685" s="933"/>
      <c r="O685" s="933"/>
      <c r="P685" s="933"/>
      <c r="Q685" s="933"/>
      <c r="R685" s="933"/>
      <c r="S685" s="933"/>
      <c r="T685" s="933"/>
      <c r="U685" s="933"/>
      <c r="V685" s="933"/>
      <c r="W685" s="902"/>
      <c r="X685" s="902"/>
      <c r="Y685" s="902"/>
      <c r="Z685" s="902"/>
      <c r="AA685" s="902"/>
      <c r="AB685" s="902"/>
      <c r="AC685" s="902"/>
    </row>
    <row r="686" spans="1:29" hidden="1" outlineLevel="1">
      <c r="A686" s="1172"/>
      <c r="B686" s="958"/>
      <c r="C686" s="1179"/>
      <c r="D686" s="1314"/>
      <c r="E686" s="1357"/>
      <c r="F686" s="1322"/>
      <c r="G686" s="958"/>
      <c r="H686" s="895"/>
      <c r="I686" s="902"/>
      <c r="J686" s="897"/>
      <c r="K686" s="903"/>
      <c r="L686" s="899"/>
      <c r="M686" s="933"/>
      <c r="N686" s="933"/>
      <c r="O686" s="933"/>
      <c r="P686" s="933"/>
      <c r="Q686" s="933"/>
      <c r="R686" s="933"/>
      <c r="S686" s="933"/>
      <c r="T686" s="933"/>
      <c r="U686" s="933"/>
      <c r="V686" s="933"/>
      <c r="W686" s="902"/>
      <c r="X686" s="902"/>
      <c r="Y686" s="902"/>
      <c r="Z686" s="902"/>
      <c r="AA686" s="902"/>
      <c r="AB686" s="902"/>
      <c r="AC686" s="902"/>
    </row>
    <row r="687" spans="1:29" hidden="1" outlineLevel="1">
      <c r="A687" s="1172"/>
      <c r="B687" s="958"/>
      <c r="C687" s="1179"/>
      <c r="D687" s="1314"/>
      <c r="E687" s="1357"/>
      <c r="F687" s="1322"/>
      <c r="G687" s="958"/>
      <c r="H687" s="895"/>
      <c r="I687" s="902"/>
      <c r="J687" s="897"/>
      <c r="K687" s="903"/>
      <c r="L687" s="899"/>
      <c r="M687" s="933"/>
      <c r="N687" s="933"/>
      <c r="O687" s="933"/>
      <c r="P687" s="933"/>
      <c r="Q687" s="933"/>
      <c r="R687" s="933"/>
      <c r="S687" s="933"/>
      <c r="T687" s="933"/>
      <c r="U687" s="933"/>
      <c r="V687" s="933"/>
      <c r="W687" s="902"/>
      <c r="X687" s="902"/>
      <c r="Y687" s="902"/>
      <c r="Z687" s="902"/>
      <c r="AA687" s="902"/>
      <c r="AB687" s="902"/>
      <c r="AC687" s="902"/>
    </row>
    <row r="688" spans="1:29" hidden="1" outlineLevel="1">
      <c r="A688" s="1175" t="s">
        <v>681</v>
      </c>
      <c r="B688" s="954" t="s">
        <v>15</v>
      </c>
      <c r="C688" s="1180">
        <v>69</v>
      </c>
      <c r="D688" s="1315">
        <v>250</v>
      </c>
      <c r="E688" s="1358">
        <v>250</v>
      </c>
      <c r="F688" s="1322">
        <f t="shared" si="55"/>
        <v>89.7</v>
      </c>
      <c r="G688" s="952">
        <v>1</v>
      </c>
      <c r="H688" s="895"/>
      <c r="I688" s="902"/>
      <c r="J688" s="897"/>
      <c r="K688" s="903"/>
      <c r="L688" s="899"/>
      <c r="M688" s="933"/>
      <c r="N688" s="933"/>
      <c r="O688" s="933"/>
      <c r="P688" s="933"/>
      <c r="Q688" s="933"/>
      <c r="R688" s="933"/>
      <c r="S688" s="933"/>
      <c r="T688" s="933"/>
      <c r="U688" s="933"/>
      <c r="V688" s="933"/>
      <c r="W688" s="902"/>
      <c r="X688" s="902"/>
      <c r="Y688" s="902"/>
      <c r="Z688" s="902"/>
      <c r="AA688" s="902"/>
      <c r="AB688" s="902"/>
      <c r="AC688" s="902"/>
    </row>
    <row r="689" spans="1:29" hidden="1" outlineLevel="1">
      <c r="A689" s="1172" t="s">
        <v>684</v>
      </c>
      <c r="B689" s="958" t="s">
        <v>1538</v>
      </c>
      <c r="C689" s="1179">
        <v>69</v>
      </c>
      <c r="D689" s="1314">
        <v>200</v>
      </c>
      <c r="E689" s="1357">
        <v>200</v>
      </c>
      <c r="F689" s="1322">
        <f t="shared" si="55"/>
        <v>89.7</v>
      </c>
      <c r="G689" s="958">
        <v>1</v>
      </c>
      <c r="H689" s="895"/>
      <c r="I689" s="902"/>
      <c r="J689" s="897"/>
      <c r="K689" s="903"/>
      <c r="L689" s="899"/>
      <c r="M689" s="933"/>
      <c r="N689" s="933"/>
      <c r="O689" s="933"/>
      <c r="P689" s="933"/>
      <c r="Q689" s="933"/>
      <c r="R689" s="933"/>
      <c r="S689" s="933"/>
      <c r="T689" s="933"/>
      <c r="U689" s="933"/>
      <c r="V689" s="933"/>
      <c r="W689" s="902"/>
      <c r="X689" s="902"/>
      <c r="Y689" s="902"/>
      <c r="Z689" s="902"/>
      <c r="AA689" s="902"/>
      <c r="AB689" s="902"/>
      <c r="AC689" s="902"/>
    </row>
    <row r="690" spans="1:29" hidden="1" outlineLevel="1">
      <c r="A690" s="1172" t="s">
        <v>685</v>
      </c>
      <c r="B690" s="958" t="s">
        <v>1539</v>
      </c>
      <c r="C690" s="1179">
        <v>69</v>
      </c>
      <c r="D690" s="1314">
        <v>200</v>
      </c>
      <c r="E690" s="1357">
        <v>200</v>
      </c>
      <c r="F690" s="1322">
        <f t="shared" si="55"/>
        <v>89.7</v>
      </c>
      <c r="G690" s="958">
        <v>1</v>
      </c>
      <c r="H690" s="895"/>
      <c r="I690" s="902"/>
      <c r="J690" s="897"/>
      <c r="K690" s="903"/>
      <c r="L690" s="899"/>
      <c r="M690" s="933"/>
      <c r="N690" s="933"/>
      <c r="O690" s="933"/>
      <c r="P690" s="933"/>
      <c r="Q690" s="933"/>
      <c r="R690" s="933"/>
      <c r="S690" s="933"/>
      <c r="T690" s="933"/>
      <c r="U690" s="933"/>
      <c r="V690" s="933"/>
      <c r="W690" s="902"/>
      <c r="X690" s="902"/>
      <c r="Y690" s="902"/>
      <c r="Z690" s="902"/>
      <c r="AA690" s="902"/>
      <c r="AB690" s="902"/>
      <c r="AC690" s="902"/>
    </row>
    <row r="691" spans="1:29" hidden="1" outlineLevel="1">
      <c r="A691" s="1172" t="s">
        <v>945</v>
      </c>
      <c r="B691" s="958" t="s">
        <v>1542</v>
      </c>
      <c r="C691" s="1179">
        <v>229.99999999999997</v>
      </c>
      <c r="D691" s="1314">
        <v>600</v>
      </c>
      <c r="E691" s="1357">
        <v>600</v>
      </c>
      <c r="F691" s="1322">
        <f t="shared" si="55"/>
        <v>299</v>
      </c>
      <c r="G691" s="958">
        <v>1</v>
      </c>
      <c r="H691" s="895"/>
      <c r="I691" s="902"/>
      <c r="J691" s="897"/>
      <c r="K691" s="903"/>
      <c r="L691" s="899"/>
      <c r="M691" s="933"/>
      <c r="N691" s="933"/>
      <c r="O691" s="933"/>
      <c r="P691" s="933"/>
      <c r="Q691" s="933"/>
      <c r="R691" s="933"/>
      <c r="S691" s="933"/>
      <c r="T691" s="933"/>
      <c r="U691" s="933"/>
      <c r="V691" s="933"/>
      <c r="W691" s="902"/>
      <c r="X691" s="902"/>
      <c r="Y691" s="902"/>
      <c r="Z691" s="902"/>
      <c r="AA691" s="902"/>
      <c r="AB691" s="902"/>
      <c r="AC691" s="902"/>
    </row>
    <row r="692" spans="1:29" hidden="1" outlineLevel="1">
      <c r="A692" s="1172" t="s">
        <v>1545</v>
      </c>
      <c r="B692" s="958" t="s">
        <v>1546</v>
      </c>
      <c r="C692" s="1179">
        <v>1380</v>
      </c>
      <c r="D692" s="1314">
        <v>4000</v>
      </c>
      <c r="E692" s="1357">
        <v>4000</v>
      </c>
      <c r="F692" s="1322">
        <f t="shared" si="55"/>
        <v>1794</v>
      </c>
      <c r="G692" s="958">
        <v>1</v>
      </c>
      <c r="H692" s="895"/>
      <c r="I692" s="902"/>
      <c r="J692" s="897"/>
      <c r="K692" s="903"/>
      <c r="L692" s="899"/>
      <c r="M692" s="933"/>
      <c r="N692" s="933"/>
      <c r="O692" s="933"/>
      <c r="P692" s="933"/>
      <c r="Q692" s="933"/>
      <c r="R692" s="933"/>
      <c r="S692" s="933"/>
      <c r="T692" s="933"/>
      <c r="U692" s="933"/>
      <c r="V692" s="933"/>
      <c r="W692" s="902"/>
      <c r="X692" s="902"/>
      <c r="Y692" s="902"/>
      <c r="Z692" s="902"/>
      <c r="AA692" s="902"/>
      <c r="AB692" s="902"/>
      <c r="AC692" s="902"/>
    </row>
    <row r="693" spans="1:29" ht="31.25" hidden="1" outlineLevel="1">
      <c r="A693" s="1171" t="s">
        <v>1564</v>
      </c>
      <c r="B693" s="954" t="s">
        <v>1565</v>
      </c>
      <c r="C693" s="1179">
        <v>0</v>
      </c>
      <c r="D693" s="1314">
        <v>0</v>
      </c>
      <c r="E693" s="1357"/>
      <c r="F693" s="1322">
        <f t="shared" si="55"/>
        <v>0</v>
      </c>
      <c r="G693" s="954" t="s">
        <v>548</v>
      </c>
      <c r="H693" s="895"/>
      <c r="I693" s="902"/>
      <c r="J693" s="897"/>
      <c r="K693" s="903"/>
      <c r="L693" s="899"/>
      <c r="M693" s="933"/>
      <c r="N693" s="933"/>
      <c r="O693" s="933"/>
      <c r="P693" s="933"/>
      <c r="Q693" s="933"/>
      <c r="R693" s="933"/>
      <c r="S693" s="933"/>
      <c r="T693" s="933"/>
      <c r="U693" s="933"/>
      <c r="V693" s="933"/>
      <c r="W693" s="902"/>
      <c r="X693" s="902"/>
      <c r="Y693" s="902"/>
      <c r="Z693" s="902"/>
      <c r="AA693" s="902"/>
      <c r="AB693" s="902"/>
      <c r="AC693" s="902"/>
    </row>
    <row r="694" spans="1:29" hidden="1" outlineLevel="1">
      <c r="A694" s="1172"/>
      <c r="B694" s="958"/>
      <c r="C694" s="1179"/>
      <c r="D694" s="1314"/>
      <c r="E694" s="1357"/>
      <c r="F694" s="1322"/>
      <c r="G694" s="958"/>
      <c r="H694" s="895"/>
      <c r="I694" s="902"/>
      <c r="J694" s="897"/>
      <c r="K694" s="903"/>
      <c r="L694" s="899"/>
      <c r="M694" s="933"/>
      <c r="N694" s="933"/>
      <c r="O694" s="933"/>
      <c r="P694" s="933"/>
      <c r="Q694" s="933"/>
      <c r="R694" s="933"/>
      <c r="S694" s="933"/>
      <c r="T694" s="933"/>
      <c r="U694" s="933"/>
      <c r="V694" s="933"/>
      <c r="W694" s="902"/>
      <c r="X694" s="902"/>
      <c r="Y694" s="902"/>
      <c r="Z694" s="902"/>
      <c r="AA694" s="902"/>
      <c r="AB694" s="902"/>
      <c r="AC694" s="902"/>
    </row>
    <row r="695" spans="1:29" hidden="1" outlineLevel="1">
      <c r="A695" s="1172" t="s">
        <v>1569</v>
      </c>
      <c r="B695" s="958" t="s">
        <v>27</v>
      </c>
      <c r="C695" s="1179">
        <v>69</v>
      </c>
      <c r="D695" s="1314">
        <v>600</v>
      </c>
      <c r="E695" s="1357">
        <v>600</v>
      </c>
      <c r="F695" s="1322">
        <f t="shared" si="55"/>
        <v>89.7</v>
      </c>
      <c r="G695" s="958">
        <v>1</v>
      </c>
      <c r="H695" s="895"/>
      <c r="I695" s="902"/>
      <c r="J695" s="897"/>
      <c r="K695" s="903"/>
      <c r="L695" s="899"/>
      <c r="M695" s="933"/>
      <c r="N695" s="933"/>
      <c r="O695" s="933"/>
      <c r="P695" s="933"/>
      <c r="Q695" s="933"/>
      <c r="R695" s="933"/>
      <c r="S695" s="933"/>
      <c r="T695" s="933"/>
      <c r="U695" s="933"/>
      <c r="V695" s="933"/>
      <c r="W695" s="902"/>
      <c r="X695" s="902"/>
      <c r="Y695" s="902"/>
      <c r="Z695" s="902"/>
      <c r="AA695" s="902"/>
      <c r="AB695" s="902"/>
      <c r="AC695" s="902"/>
    </row>
    <row r="696" spans="1:29" hidden="1" outlineLevel="1">
      <c r="A696" s="1172" t="s">
        <v>1592</v>
      </c>
      <c r="B696" s="958" t="s">
        <v>53</v>
      </c>
      <c r="C696" s="1179">
        <v>1380</v>
      </c>
      <c r="D696" s="1314">
        <v>3200</v>
      </c>
      <c r="E696" s="1357">
        <v>3200</v>
      </c>
      <c r="F696" s="1322">
        <f t="shared" si="55"/>
        <v>1794</v>
      </c>
      <c r="G696" s="958">
        <v>1</v>
      </c>
      <c r="H696" s="895"/>
      <c r="I696" s="902"/>
      <c r="J696" s="897"/>
      <c r="K696" s="903"/>
      <c r="L696" s="899"/>
      <c r="M696" s="933"/>
      <c r="N696" s="933"/>
      <c r="O696" s="933"/>
      <c r="P696" s="933"/>
      <c r="Q696" s="933"/>
      <c r="R696" s="933"/>
      <c r="S696" s="933"/>
      <c r="T696" s="933"/>
      <c r="U696" s="933"/>
      <c r="V696" s="933"/>
      <c r="W696" s="902"/>
      <c r="X696" s="902"/>
      <c r="Y696" s="902"/>
      <c r="Z696" s="902"/>
      <c r="AA696" s="902"/>
      <c r="AB696" s="902"/>
      <c r="AC696" s="902"/>
    </row>
    <row r="697" spans="1:29" hidden="1" outlineLevel="1">
      <c r="A697" s="1176"/>
      <c r="B697" s="1178"/>
      <c r="C697" s="1181"/>
      <c r="D697" s="1317"/>
      <c r="E697" s="1360"/>
      <c r="F697" s="1322"/>
      <c r="G697" s="1178"/>
      <c r="H697" s="895"/>
      <c r="I697" s="902"/>
      <c r="J697" s="897"/>
      <c r="K697" s="903"/>
      <c r="L697" s="899"/>
      <c r="M697" s="933"/>
      <c r="N697" s="933"/>
      <c r="O697" s="933"/>
      <c r="P697" s="933"/>
      <c r="Q697" s="933"/>
      <c r="R697" s="933"/>
      <c r="S697" s="933"/>
      <c r="T697" s="933"/>
      <c r="U697" s="933"/>
      <c r="V697" s="933"/>
      <c r="W697" s="902"/>
      <c r="X697" s="902"/>
      <c r="Y697" s="902"/>
      <c r="Z697" s="902"/>
      <c r="AA697" s="902"/>
      <c r="AB697" s="902"/>
      <c r="AC697" s="902"/>
    </row>
    <row r="698" spans="1:29" hidden="1" outlineLevel="1">
      <c r="A698" s="1172" t="s">
        <v>1606</v>
      </c>
      <c r="B698" s="958" t="s">
        <v>1332</v>
      </c>
      <c r="C698" s="1179">
        <v>69</v>
      </c>
      <c r="D698" s="1314">
        <v>300</v>
      </c>
      <c r="E698" s="1357">
        <v>300</v>
      </c>
      <c r="F698" s="1322">
        <f t="shared" si="55"/>
        <v>89.7</v>
      </c>
      <c r="G698" s="958">
        <v>1</v>
      </c>
      <c r="H698" s="895"/>
      <c r="I698" s="902"/>
      <c r="J698" s="897"/>
      <c r="K698" s="903"/>
      <c r="L698" s="899"/>
      <c r="M698" s="933"/>
      <c r="N698" s="933"/>
      <c r="O698" s="933"/>
      <c r="P698" s="933"/>
      <c r="Q698" s="933"/>
      <c r="R698" s="933"/>
      <c r="S698" s="933"/>
      <c r="T698" s="933"/>
      <c r="U698" s="933"/>
      <c r="V698" s="933"/>
      <c r="W698" s="902"/>
      <c r="X698" s="902"/>
      <c r="Y698" s="902"/>
      <c r="Z698" s="902"/>
      <c r="AA698" s="902"/>
      <c r="AB698" s="902"/>
      <c r="AC698" s="902"/>
    </row>
    <row r="699" spans="1:29" hidden="1" outlineLevel="1">
      <c r="A699" s="1173" t="s">
        <v>1607</v>
      </c>
      <c r="B699" s="949" t="s">
        <v>22</v>
      </c>
      <c r="C699" s="1180">
        <v>135</v>
      </c>
      <c r="D699" s="1315">
        <v>200</v>
      </c>
      <c r="E699" s="1358">
        <v>200</v>
      </c>
      <c r="F699" s="1322">
        <f t="shared" si="55"/>
        <v>175.5</v>
      </c>
      <c r="G699" s="949">
        <v>1</v>
      </c>
      <c r="H699" s="895"/>
      <c r="I699" s="902"/>
      <c r="J699" s="897"/>
      <c r="K699" s="903"/>
      <c r="L699" s="899"/>
      <c r="M699" s="933"/>
      <c r="N699" s="933"/>
      <c r="O699" s="933"/>
      <c r="P699" s="933"/>
      <c r="Q699" s="933"/>
      <c r="R699" s="933"/>
      <c r="S699" s="933"/>
      <c r="T699" s="933"/>
      <c r="U699" s="933"/>
      <c r="V699" s="933"/>
      <c r="W699" s="902"/>
      <c r="X699" s="902"/>
      <c r="Y699" s="902"/>
      <c r="Z699" s="902"/>
      <c r="AA699" s="902"/>
      <c r="AB699" s="902"/>
      <c r="AC699" s="902"/>
    </row>
    <row r="700" spans="1:29" hidden="1" outlineLevel="1">
      <c r="A700" s="1172" t="s">
        <v>1608</v>
      </c>
      <c r="B700" s="958" t="s">
        <v>19</v>
      </c>
      <c r="C700" s="1179">
        <v>69</v>
      </c>
      <c r="D700" s="1314">
        <v>600</v>
      </c>
      <c r="E700" s="1357">
        <v>600</v>
      </c>
      <c r="F700" s="1322">
        <f t="shared" si="55"/>
        <v>89.7</v>
      </c>
      <c r="G700" s="958">
        <v>1</v>
      </c>
      <c r="H700" s="895"/>
      <c r="I700" s="902"/>
      <c r="J700" s="897"/>
      <c r="K700" s="903"/>
      <c r="L700" s="899"/>
      <c r="M700" s="933"/>
      <c r="N700" s="933"/>
      <c r="O700" s="933"/>
      <c r="P700" s="933"/>
      <c r="Q700" s="933"/>
      <c r="R700" s="933"/>
      <c r="S700" s="933"/>
      <c r="T700" s="933"/>
      <c r="U700" s="933"/>
      <c r="V700" s="933"/>
      <c r="W700" s="902"/>
      <c r="X700" s="902"/>
      <c r="Y700" s="902"/>
      <c r="Z700" s="902"/>
      <c r="AA700" s="902"/>
      <c r="AB700" s="902"/>
      <c r="AC700" s="902"/>
    </row>
    <row r="701" spans="1:29" hidden="1" outlineLevel="1">
      <c r="A701" s="1172" t="s">
        <v>1611</v>
      </c>
      <c r="B701" s="958" t="s">
        <v>1612</v>
      </c>
      <c r="C701" s="1179">
        <v>125</v>
      </c>
      <c r="D701" s="1314">
        <v>200</v>
      </c>
      <c r="E701" s="1357">
        <v>200</v>
      </c>
      <c r="F701" s="1322">
        <f t="shared" si="55"/>
        <v>162.5</v>
      </c>
      <c r="G701" s="958">
        <v>1</v>
      </c>
      <c r="H701" s="895"/>
      <c r="I701" s="902"/>
      <c r="J701" s="897"/>
      <c r="K701" s="903"/>
      <c r="L701" s="899"/>
      <c r="M701" s="933"/>
      <c r="N701" s="933"/>
      <c r="O701" s="933"/>
      <c r="P701" s="933"/>
      <c r="Q701" s="933"/>
      <c r="R701" s="933"/>
      <c r="S701" s="933"/>
      <c r="T701" s="933"/>
      <c r="U701" s="933"/>
      <c r="V701" s="933"/>
      <c r="W701" s="902"/>
      <c r="X701" s="902"/>
      <c r="Y701" s="902"/>
      <c r="Z701" s="902"/>
      <c r="AA701" s="902"/>
      <c r="AB701" s="902"/>
      <c r="AC701" s="902"/>
    </row>
    <row r="702" spans="1:29" hidden="1" outlineLevel="1">
      <c r="A702" s="1173" t="s">
        <v>1613</v>
      </c>
      <c r="B702" s="949" t="s">
        <v>32</v>
      </c>
      <c r="C702" s="1180">
        <v>69</v>
      </c>
      <c r="D702" s="1315">
        <v>200</v>
      </c>
      <c r="E702" s="1358">
        <v>200</v>
      </c>
      <c r="F702" s="1322">
        <f t="shared" si="55"/>
        <v>89.7</v>
      </c>
      <c r="G702" s="949">
        <v>1</v>
      </c>
      <c r="H702" s="895"/>
      <c r="I702" s="902"/>
      <c r="J702" s="897"/>
      <c r="K702" s="903"/>
      <c r="L702" s="899"/>
      <c r="M702" s="933"/>
      <c r="N702" s="933"/>
      <c r="O702" s="933"/>
      <c r="P702" s="933"/>
      <c r="Q702" s="933"/>
      <c r="R702" s="933"/>
      <c r="S702" s="933"/>
      <c r="T702" s="933"/>
      <c r="U702" s="933"/>
      <c r="V702" s="933"/>
      <c r="W702" s="902"/>
      <c r="X702" s="902"/>
      <c r="Y702" s="902"/>
      <c r="Z702" s="902"/>
      <c r="AA702" s="902"/>
      <c r="AB702" s="902"/>
      <c r="AC702" s="902"/>
    </row>
    <row r="703" spans="1:29" hidden="1" outlineLevel="1">
      <c r="A703" s="1171" t="s">
        <v>1498</v>
      </c>
      <c r="B703" s="954" t="s">
        <v>734</v>
      </c>
      <c r="C703" s="1179">
        <v>1724.9999999999998</v>
      </c>
      <c r="D703" s="1314">
        <v>3500</v>
      </c>
      <c r="E703" s="1357">
        <v>3100</v>
      </c>
      <c r="F703" s="1322">
        <f t="shared" si="55"/>
        <v>2242.5</v>
      </c>
      <c r="G703" s="954">
        <v>2</v>
      </c>
      <c r="H703" s="895"/>
      <c r="I703" s="902"/>
      <c r="J703" s="897"/>
      <c r="K703" s="903"/>
      <c r="L703" s="899"/>
      <c r="M703" s="933"/>
      <c r="N703" s="933"/>
      <c r="O703" s="933"/>
      <c r="P703" s="933"/>
      <c r="Q703" s="933"/>
      <c r="R703" s="933"/>
      <c r="S703" s="933"/>
      <c r="T703" s="933"/>
      <c r="U703" s="933"/>
      <c r="V703" s="933"/>
      <c r="W703" s="902"/>
      <c r="X703" s="902"/>
      <c r="Y703" s="902"/>
      <c r="Z703" s="902"/>
      <c r="AA703" s="902"/>
      <c r="AB703" s="902"/>
      <c r="AC703" s="902"/>
    </row>
    <row r="704" spans="1:29" hidden="1" outlineLevel="1">
      <c r="A704" s="1172" t="s">
        <v>1621</v>
      </c>
      <c r="B704" s="958" t="s">
        <v>2346</v>
      </c>
      <c r="C704" s="1179">
        <v>175</v>
      </c>
      <c r="D704" s="1314">
        <v>400</v>
      </c>
      <c r="E704" s="1357">
        <v>300</v>
      </c>
      <c r="F704" s="1322">
        <f t="shared" si="55"/>
        <v>227.5</v>
      </c>
      <c r="G704" s="958">
        <v>1</v>
      </c>
      <c r="H704" s="895"/>
      <c r="I704" s="902"/>
      <c r="J704" s="897"/>
      <c r="K704" s="903"/>
      <c r="L704" s="899"/>
      <c r="M704" s="933"/>
      <c r="N704" s="933"/>
      <c r="O704" s="933"/>
      <c r="P704" s="933"/>
      <c r="Q704" s="933"/>
      <c r="R704" s="933"/>
      <c r="S704" s="933"/>
      <c r="T704" s="933"/>
      <c r="U704" s="933"/>
      <c r="V704" s="933"/>
      <c r="W704" s="902"/>
      <c r="X704" s="902"/>
      <c r="Y704" s="902"/>
      <c r="Z704" s="902"/>
      <c r="AA704" s="902"/>
      <c r="AB704" s="902"/>
      <c r="AC704" s="902"/>
    </row>
    <row r="705" spans="1:29" hidden="1" outlineLevel="1">
      <c r="A705" s="1172" t="s">
        <v>508</v>
      </c>
      <c r="B705" s="958" t="s">
        <v>508</v>
      </c>
      <c r="C705" s="1179">
        <v>69</v>
      </c>
      <c r="D705" s="1314">
        <v>300</v>
      </c>
      <c r="E705" s="1357">
        <v>300</v>
      </c>
      <c r="F705" s="1322">
        <f t="shared" si="55"/>
        <v>89.7</v>
      </c>
      <c r="G705" s="958">
        <v>1</v>
      </c>
      <c r="H705" s="895"/>
      <c r="I705" s="902"/>
      <c r="J705" s="897"/>
      <c r="K705" s="903"/>
      <c r="L705" s="899"/>
      <c r="M705" s="933"/>
      <c r="N705" s="933"/>
      <c r="O705" s="933"/>
      <c r="P705" s="933"/>
      <c r="Q705" s="933"/>
      <c r="R705" s="933"/>
      <c r="S705" s="933"/>
      <c r="T705" s="933"/>
      <c r="U705" s="933"/>
      <c r="V705" s="933"/>
      <c r="W705" s="902"/>
      <c r="X705" s="902"/>
      <c r="Y705" s="902"/>
      <c r="Z705" s="902"/>
      <c r="AA705" s="902"/>
      <c r="AB705" s="902"/>
      <c r="AC705" s="902"/>
    </row>
    <row r="706" spans="1:29" hidden="1" outlineLevel="1">
      <c r="A706" s="1171" t="s">
        <v>948</v>
      </c>
      <c r="B706" s="954" t="s">
        <v>1628</v>
      </c>
      <c r="C706" s="1179">
        <v>175</v>
      </c>
      <c r="D706" s="1314">
        <v>700</v>
      </c>
      <c r="E706" s="1357">
        <v>500</v>
      </c>
      <c r="F706" s="1322">
        <f t="shared" si="55"/>
        <v>227.5</v>
      </c>
      <c r="G706" s="954">
        <v>1</v>
      </c>
      <c r="H706" s="895"/>
      <c r="I706" s="902"/>
      <c r="J706" s="897"/>
      <c r="K706" s="903"/>
      <c r="L706" s="899"/>
      <c r="M706" s="933"/>
      <c r="N706" s="933"/>
      <c r="O706" s="933"/>
      <c r="P706" s="933"/>
      <c r="Q706" s="933"/>
      <c r="R706" s="933"/>
      <c r="S706" s="933"/>
      <c r="T706" s="933"/>
      <c r="U706" s="933"/>
      <c r="V706" s="933"/>
      <c r="W706" s="902"/>
      <c r="X706" s="902"/>
      <c r="Y706" s="902"/>
      <c r="Z706" s="902"/>
      <c r="AA706" s="902"/>
      <c r="AB706" s="902"/>
      <c r="AC706" s="902"/>
    </row>
    <row r="707" spans="1:29" hidden="1" outlineLevel="1">
      <c r="A707" s="1174" t="s">
        <v>1635</v>
      </c>
      <c r="B707" s="1177" t="s">
        <v>39</v>
      </c>
      <c r="C707" s="1181">
        <v>490</v>
      </c>
      <c r="D707" s="1316">
        <v>800</v>
      </c>
      <c r="E707" s="1359">
        <v>700</v>
      </c>
      <c r="F707" s="1322">
        <f t="shared" si="55"/>
        <v>637</v>
      </c>
      <c r="G707" s="1177">
        <v>1</v>
      </c>
      <c r="H707" s="895"/>
      <c r="I707" s="902"/>
      <c r="J707" s="897"/>
      <c r="K707" s="903"/>
      <c r="L707" s="899"/>
      <c r="M707" s="933"/>
      <c r="N707" s="933"/>
      <c r="O707" s="933"/>
      <c r="P707" s="933"/>
      <c r="Q707" s="933"/>
      <c r="R707" s="933"/>
      <c r="S707" s="933"/>
      <c r="T707" s="933"/>
      <c r="U707" s="933"/>
      <c r="V707" s="933"/>
      <c r="W707" s="902"/>
      <c r="X707" s="902"/>
      <c r="Y707" s="902"/>
      <c r="Z707" s="902"/>
      <c r="AA707" s="902"/>
      <c r="AB707" s="902"/>
      <c r="AC707" s="902"/>
    </row>
    <row r="708" spans="1:29" hidden="1" outlineLevel="1">
      <c r="A708" s="1173" t="s">
        <v>1650</v>
      </c>
      <c r="B708" s="949" t="s">
        <v>24</v>
      </c>
      <c r="C708" s="1180">
        <v>125</v>
      </c>
      <c r="D708" s="1315">
        <v>200</v>
      </c>
      <c r="E708" s="1358">
        <v>200</v>
      </c>
      <c r="F708" s="1322">
        <f t="shared" si="55"/>
        <v>162.5</v>
      </c>
      <c r="G708" s="949">
        <v>1</v>
      </c>
      <c r="H708" s="895"/>
      <c r="I708" s="902"/>
      <c r="J708" s="897"/>
      <c r="K708" s="903"/>
      <c r="L708" s="899"/>
      <c r="M708" s="933"/>
      <c r="N708" s="933"/>
      <c r="O708" s="933"/>
      <c r="P708" s="933"/>
      <c r="Q708" s="933"/>
      <c r="R708" s="933"/>
      <c r="S708" s="933"/>
      <c r="T708" s="933"/>
      <c r="U708" s="933"/>
      <c r="V708" s="933"/>
      <c r="W708" s="902"/>
      <c r="X708" s="902"/>
      <c r="Y708" s="902"/>
      <c r="Z708" s="902"/>
      <c r="AA708" s="902"/>
      <c r="AB708" s="902"/>
      <c r="AC708" s="902"/>
    </row>
    <row r="709" spans="1:29" hidden="1" outlineLevel="1">
      <c r="A709" s="1172" t="s">
        <v>1693</v>
      </c>
      <c r="B709" s="958" t="s">
        <v>21</v>
      </c>
      <c r="C709" s="1179">
        <v>135</v>
      </c>
      <c r="D709" s="1314">
        <v>200</v>
      </c>
      <c r="E709" s="1357">
        <v>200</v>
      </c>
      <c r="F709" s="1322">
        <f t="shared" si="55"/>
        <v>175.5</v>
      </c>
      <c r="G709" s="958">
        <v>1</v>
      </c>
      <c r="H709" s="895"/>
      <c r="I709" s="902"/>
      <c r="J709" s="897"/>
      <c r="K709" s="903"/>
      <c r="L709" s="899"/>
      <c r="M709" s="933"/>
      <c r="N709" s="933"/>
      <c r="O709" s="933"/>
      <c r="P709" s="933"/>
      <c r="Q709" s="933"/>
      <c r="R709" s="933"/>
      <c r="S709" s="933"/>
      <c r="T709" s="933"/>
      <c r="U709" s="933"/>
      <c r="V709" s="933"/>
      <c r="W709" s="902"/>
      <c r="X709" s="902"/>
      <c r="Y709" s="902"/>
      <c r="Z709" s="902"/>
      <c r="AA709" s="902"/>
      <c r="AB709" s="902"/>
      <c r="AC709" s="902"/>
    </row>
    <row r="710" spans="1:29" hidden="1" outlineLevel="1">
      <c r="A710" s="1173" t="s">
        <v>1716</v>
      </c>
      <c r="B710" s="949" t="s">
        <v>25</v>
      </c>
      <c r="C710" s="1180">
        <v>69</v>
      </c>
      <c r="D710" s="1315">
        <v>600</v>
      </c>
      <c r="E710" s="1358">
        <v>500</v>
      </c>
      <c r="F710" s="1322">
        <f t="shared" si="55"/>
        <v>89.7</v>
      </c>
      <c r="G710" s="949">
        <v>1</v>
      </c>
      <c r="H710" s="895"/>
      <c r="I710" s="902"/>
      <c r="J710" s="897"/>
      <c r="K710" s="903"/>
      <c r="L710" s="899"/>
      <c r="M710" s="933"/>
      <c r="N710" s="933"/>
      <c r="O710" s="933"/>
      <c r="P710" s="933"/>
      <c r="Q710" s="933"/>
      <c r="R710" s="933"/>
      <c r="S710" s="933"/>
      <c r="T710" s="933"/>
      <c r="U710" s="933"/>
      <c r="V710" s="933"/>
      <c r="W710" s="902"/>
      <c r="X710" s="902"/>
      <c r="Y710" s="902"/>
      <c r="Z710" s="902"/>
      <c r="AA710" s="902"/>
      <c r="AB710" s="902"/>
      <c r="AC710" s="902"/>
    </row>
    <row r="711" spans="1:29" hidden="1" outlineLevel="1">
      <c r="A711" s="1172" t="s">
        <v>1782</v>
      </c>
      <c r="B711" s="958" t="s">
        <v>2355</v>
      </c>
      <c r="C711" s="1179">
        <v>600</v>
      </c>
      <c r="D711" s="1314">
        <v>1300</v>
      </c>
      <c r="E711" s="1357">
        <v>1200</v>
      </c>
      <c r="F711" s="1322">
        <f t="shared" si="55"/>
        <v>780</v>
      </c>
      <c r="G711" s="958">
        <v>1</v>
      </c>
      <c r="H711" s="895"/>
      <c r="I711" s="902"/>
      <c r="J711" s="897"/>
      <c r="K711" s="903"/>
      <c r="L711" s="899"/>
      <c r="M711" s="933"/>
      <c r="N711" s="933"/>
      <c r="O711" s="933"/>
      <c r="P711" s="933"/>
      <c r="Q711" s="933"/>
      <c r="R711" s="933"/>
      <c r="S711" s="933"/>
      <c r="T711" s="933"/>
      <c r="U711" s="933"/>
      <c r="V711" s="933"/>
      <c r="W711" s="902"/>
      <c r="X711" s="902"/>
      <c r="Y711" s="902"/>
      <c r="Z711" s="902"/>
      <c r="AA711" s="902"/>
      <c r="AB711" s="902"/>
      <c r="AC711" s="902"/>
    </row>
    <row r="712" spans="1:29" hidden="1" outlineLevel="1">
      <c r="A712" s="1172" t="s">
        <v>1807</v>
      </c>
      <c r="B712" s="958" t="s">
        <v>30</v>
      </c>
      <c r="C712" s="1179">
        <v>459.99999999999994</v>
      </c>
      <c r="D712" s="1314">
        <v>850</v>
      </c>
      <c r="E712" s="1357">
        <v>800</v>
      </c>
      <c r="F712" s="1322">
        <f t="shared" si="55"/>
        <v>598</v>
      </c>
      <c r="G712" s="958">
        <v>1</v>
      </c>
      <c r="H712" s="895"/>
      <c r="I712" s="902"/>
      <c r="J712" s="897"/>
      <c r="K712" s="903"/>
      <c r="L712" s="899"/>
      <c r="M712" s="933"/>
      <c r="N712" s="933"/>
      <c r="O712" s="933"/>
      <c r="P712" s="933"/>
      <c r="Q712" s="933"/>
      <c r="R712" s="933"/>
      <c r="S712" s="933"/>
      <c r="T712" s="933"/>
      <c r="U712" s="933"/>
      <c r="V712" s="933"/>
      <c r="W712" s="902"/>
      <c r="X712" s="902"/>
      <c r="Y712" s="902"/>
      <c r="Z712" s="902"/>
      <c r="AA712" s="902"/>
      <c r="AB712" s="902"/>
      <c r="AC712" s="902"/>
    </row>
    <row r="713" spans="1:29" hidden="1" outlineLevel="1">
      <c r="A713" s="1172" t="s">
        <v>1813</v>
      </c>
      <c r="B713" s="958" t="s">
        <v>505</v>
      </c>
      <c r="C713" s="1179">
        <v>69</v>
      </c>
      <c r="D713" s="1314">
        <v>600</v>
      </c>
      <c r="E713" s="1357">
        <v>600</v>
      </c>
      <c r="F713" s="1322">
        <f t="shared" si="55"/>
        <v>89.7</v>
      </c>
      <c r="G713" s="958">
        <v>1</v>
      </c>
      <c r="H713" s="895"/>
      <c r="I713" s="902"/>
      <c r="J713" s="897"/>
      <c r="K713" s="903"/>
      <c r="L713" s="899"/>
      <c r="M713" s="933"/>
      <c r="N713" s="933"/>
      <c r="O713" s="933"/>
      <c r="P713" s="933"/>
      <c r="Q713" s="933"/>
      <c r="R713" s="933"/>
      <c r="S713" s="933"/>
      <c r="T713" s="933"/>
      <c r="U713" s="933"/>
      <c r="V713" s="933"/>
      <c r="W713" s="902"/>
      <c r="X713" s="902"/>
      <c r="Y713" s="902"/>
      <c r="Z713" s="902"/>
      <c r="AA713" s="902"/>
      <c r="AB713" s="902"/>
      <c r="AC713" s="902"/>
    </row>
    <row r="714" spans="1:29" hidden="1" outlineLevel="1">
      <c r="A714" s="1172" t="s">
        <v>54</v>
      </c>
      <c r="B714" s="958" t="s">
        <v>54</v>
      </c>
      <c r="C714" s="1179">
        <v>1150</v>
      </c>
      <c r="D714" s="1314">
        <v>1900</v>
      </c>
      <c r="E714" s="1357">
        <v>1800</v>
      </c>
      <c r="F714" s="1322">
        <f t="shared" si="55"/>
        <v>1495</v>
      </c>
      <c r="G714" s="958">
        <v>1</v>
      </c>
      <c r="H714" s="901"/>
      <c r="I714" s="902"/>
      <c r="J714" s="897"/>
      <c r="K714" s="903"/>
      <c r="L714" s="899">
        <f>E714-C713</f>
        <v>1731</v>
      </c>
      <c r="M714" s="933"/>
      <c r="N714" s="933"/>
      <c r="O714" s="933"/>
      <c r="P714" s="933"/>
      <c r="Q714" s="933"/>
      <c r="R714" s="933"/>
      <c r="S714" s="933"/>
      <c r="T714" s="933"/>
      <c r="U714" s="933"/>
      <c r="V714" s="933"/>
      <c r="W714" s="902"/>
      <c r="X714" s="902"/>
      <c r="Y714" s="902"/>
      <c r="Z714" s="902"/>
      <c r="AA714" s="902"/>
      <c r="AB714" s="902"/>
      <c r="AC714" s="902"/>
    </row>
    <row r="715" spans="1:29" hidden="1" outlineLevel="1">
      <c r="A715" s="1172" t="s">
        <v>1824</v>
      </c>
      <c r="B715" s="958" t="s">
        <v>2830</v>
      </c>
      <c r="C715" s="1179">
        <v>135</v>
      </c>
      <c r="D715" s="1314">
        <v>600</v>
      </c>
      <c r="E715" s="1357">
        <v>600</v>
      </c>
      <c r="F715" s="1322">
        <f t="shared" si="55"/>
        <v>175.5</v>
      </c>
      <c r="G715" s="958">
        <v>1</v>
      </c>
      <c r="H715" s="901"/>
      <c r="I715" s="902"/>
      <c r="J715" s="897"/>
      <c r="K715" s="903"/>
      <c r="L715" s="899">
        <f>E715-C714</f>
        <v>-550</v>
      </c>
      <c r="M715" s="933"/>
      <c r="N715" s="933"/>
      <c r="O715" s="933"/>
      <c r="P715" s="933"/>
      <c r="Q715" s="933"/>
      <c r="R715" s="933"/>
      <c r="S715" s="933"/>
      <c r="T715" s="933"/>
      <c r="U715" s="933"/>
      <c r="V715" s="933"/>
      <c r="W715" s="902"/>
      <c r="X715" s="902"/>
      <c r="Y715" s="902"/>
      <c r="Z715" s="902"/>
      <c r="AA715" s="902"/>
      <c r="AB715" s="902"/>
      <c r="AC715" s="902"/>
    </row>
    <row r="716" spans="1:29" hidden="1" outlineLevel="1">
      <c r="A716" s="1172" t="s">
        <v>1826</v>
      </c>
      <c r="B716" s="958" t="s">
        <v>1827</v>
      </c>
      <c r="C716" s="1179">
        <v>69</v>
      </c>
      <c r="D716" s="1314">
        <v>640</v>
      </c>
      <c r="E716" s="1357">
        <v>600</v>
      </c>
      <c r="F716" s="1322">
        <f t="shared" si="55"/>
        <v>89.7</v>
      </c>
      <c r="G716" s="958">
        <v>1</v>
      </c>
      <c r="H716" s="901"/>
      <c r="I716" s="902"/>
      <c r="J716" s="897"/>
      <c r="K716" s="903"/>
      <c r="L716" s="899">
        <f>E716-C715</f>
        <v>465</v>
      </c>
      <c r="M716" s="933"/>
      <c r="N716" s="933"/>
      <c r="O716" s="933"/>
      <c r="P716" s="933"/>
      <c r="Q716" s="933"/>
      <c r="R716" s="933"/>
      <c r="S716" s="933"/>
      <c r="T716" s="933"/>
      <c r="U716" s="933"/>
      <c r="V716" s="933"/>
      <c r="W716" s="902"/>
      <c r="X716" s="902"/>
      <c r="Y716" s="902"/>
      <c r="Z716" s="902"/>
      <c r="AA716" s="902"/>
      <c r="AB716" s="902"/>
      <c r="AC716" s="902"/>
    </row>
    <row r="717" spans="1:29" hidden="1" outlineLevel="1">
      <c r="A717" s="1172" t="s">
        <v>527</v>
      </c>
      <c r="B717" s="958" t="s">
        <v>1831</v>
      </c>
      <c r="C717" s="1179">
        <v>340</v>
      </c>
      <c r="D717" s="1314">
        <v>1200</v>
      </c>
      <c r="E717" s="1357">
        <v>1200</v>
      </c>
      <c r="F717" s="1322">
        <f t="shared" si="55"/>
        <v>442</v>
      </c>
      <c r="G717" s="958">
        <v>1</v>
      </c>
      <c r="H717" s="901"/>
      <c r="I717" s="902"/>
      <c r="J717" s="897"/>
      <c r="K717" s="903"/>
      <c r="L717" s="899">
        <f>E717-C716</f>
        <v>1131</v>
      </c>
      <c r="M717" s="933"/>
      <c r="N717" s="933"/>
      <c r="O717" s="933"/>
      <c r="P717" s="933"/>
      <c r="Q717" s="933"/>
      <c r="R717" s="933"/>
      <c r="S717" s="933"/>
      <c r="T717" s="933"/>
      <c r="U717" s="933"/>
      <c r="V717" s="933"/>
      <c r="W717" s="902"/>
      <c r="X717" s="902"/>
      <c r="Y717" s="902"/>
      <c r="Z717" s="902"/>
      <c r="AA717" s="902"/>
      <c r="AB717" s="902"/>
      <c r="AC717" s="902"/>
    </row>
    <row r="718" spans="1:29" ht="16.3" hidden="1" outlineLevel="1" thickBot="1">
      <c r="A718" s="1205" t="s">
        <v>1849</v>
      </c>
      <c r="B718" s="1206" t="s">
        <v>127</v>
      </c>
      <c r="C718" s="1207">
        <v>175</v>
      </c>
      <c r="D718" s="1318">
        <v>600</v>
      </c>
      <c r="E718" s="1361">
        <v>600</v>
      </c>
      <c r="F718" s="1323">
        <f t="shared" si="55"/>
        <v>227.5</v>
      </c>
      <c r="G718" s="1206">
        <v>1</v>
      </c>
      <c r="H718" s="901"/>
      <c r="I718" s="902"/>
      <c r="J718" s="897"/>
      <c r="K718" s="903"/>
      <c r="L718" s="899">
        <f>E718-C717</f>
        <v>260</v>
      </c>
      <c r="M718" s="933"/>
      <c r="N718" s="933"/>
      <c r="O718" s="933"/>
      <c r="P718" s="933"/>
      <c r="Q718" s="933"/>
      <c r="R718" s="933"/>
      <c r="S718" s="933"/>
      <c r="T718" s="933"/>
      <c r="U718" s="933"/>
      <c r="V718" s="933"/>
      <c r="W718" s="902"/>
      <c r="X718" s="902"/>
      <c r="Y718" s="902"/>
      <c r="Z718" s="902"/>
      <c r="AA718" s="902"/>
      <c r="AB718" s="902"/>
      <c r="AC718" s="902"/>
    </row>
    <row r="719" spans="1:29" ht="16.3" collapsed="1" thickBot="1">
      <c r="A719" s="1014" t="s">
        <v>1338</v>
      </c>
      <c r="B719" s="1195" t="s">
        <v>490</v>
      </c>
      <c r="C719" s="1208">
        <f>SUM(C720:C721)</f>
        <v>3105</v>
      </c>
      <c r="D719" s="1208">
        <f>SUM(D720:D721)</f>
        <v>6800</v>
      </c>
      <c r="E719" s="1362">
        <f>SUM(E720:E721)</f>
        <v>5700</v>
      </c>
      <c r="F719" s="1208">
        <f>SUM(F720:F721)</f>
        <v>4036.5</v>
      </c>
      <c r="G719" s="1204">
        <v>1</v>
      </c>
      <c r="H719" s="979"/>
      <c r="I719" s="902" t="str">
        <f>IF(H719="x",CONCATENATE(A719,"; "),"")</f>
        <v/>
      </c>
      <c r="J719" s="902"/>
      <c r="K719" s="903"/>
      <c r="L719" s="899">
        <f>E719-C719</f>
        <v>2595</v>
      </c>
      <c r="M719" s="902"/>
      <c r="N719" s="902"/>
      <c r="O719" s="902"/>
      <c r="P719" s="902"/>
      <c r="Q719" s="902"/>
      <c r="R719" s="902"/>
      <c r="S719" s="902"/>
      <c r="T719" s="902"/>
      <c r="U719" s="902"/>
      <c r="V719" s="902"/>
      <c r="W719" s="902"/>
      <c r="X719" s="902"/>
      <c r="Y719" s="902"/>
      <c r="Z719" s="902"/>
      <c r="AA719" s="902"/>
      <c r="AB719" s="902"/>
      <c r="AC719" s="902"/>
    </row>
    <row r="720" spans="1:29" hidden="1" outlineLevel="1">
      <c r="A720" s="1183" t="s">
        <v>1729</v>
      </c>
      <c r="B720" s="1184" t="s">
        <v>1730</v>
      </c>
      <c r="C720" s="1182">
        <v>1380</v>
      </c>
      <c r="D720" s="1319">
        <v>2800</v>
      </c>
      <c r="E720" s="1363">
        <v>2000</v>
      </c>
      <c r="F720" s="1328">
        <f>C720*1.3</f>
        <v>1794</v>
      </c>
      <c r="G720" s="910">
        <v>1</v>
      </c>
      <c r="H720" s="979"/>
      <c r="I720" s="902" t="str">
        <f>IF(H720="x",CONCATENATE(A720,"; "),"")</f>
        <v/>
      </c>
      <c r="J720" s="902"/>
      <c r="K720" s="903"/>
      <c r="L720" s="899">
        <f>E720-C720</f>
        <v>620</v>
      </c>
      <c r="M720" s="902"/>
      <c r="N720" s="902"/>
      <c r="O720" s="902"/>
      <c r="P720" s="902"/>
      <c r="Q720" s="902"/>
      <c r="R720" s="902"/>
      <c r="S720" s="902"/>
      <c r="T720" s="902"/>
      <c r="U720" s="902"/>
      <c r="V720" s="902"/>
      <c r="W720" s="902"/>
      <c r="X720" s="902"/>
      <c r="Y720" s="902"/>
      <c r="Z720" s="902"/>
      <c r="AA720" s="902"/>
      <c r="AB720" s="902"/>
      <c r="AC720" s="902"/>
    </row>
    <row r="721" spans="1:29" ht="16.3" hidden="1" outlineLevel="1" thickBot="1">
      <c r="A721" s="1190" t="s">
        <v>1731</v>
      </c>
      <c r="B721" s="1191" t="s">
        <v>2350</v>
      </c>
      <c r="C721" s="1192">
        <v>1724.9999999999998</v>
      </c>
      <c r="D721" s="1320">
        <v>4000</v>
      </c>
      <c r="E721" s="1363">
        <v>3700</v>
      </c>
      <c r="F721" s="1323">
        <f>C721*1.3</f>
        <v>2242.5</v>
      </c>
      <c r="G721" s="910">
        <v>1</v>
      </c>
      <c r="H721" s="979"/>
      <c r="I721" s="902"/>
      <c r="J721" s="902"/>
      <c r="K721" s="903"/>
      <c r="L721" s="899">
        <f>E721-C721</f>
        <v>1975.0000000000002</v>
      </c>
      <c r="M721" s="902"/>
      <c r="N721" s="902"/>
      <c r="O721" s="902"/>
      <c r="P721" s="902"/>
      <c r="Q721" s="902"/>
      <c r="R721" s="902"/>
      <c r="S721" s="902"/>
      <c r="T721" s="902"/>
      <c r="U721" s="902"/>
      <c r="V721" s="902"/>
      <c r="W721" s="902"/>
      <c r="X721" s="902"/>
      <c r="Y721" s="902"/>
      <c r="Z721" s="902"/>
      <c r="AA721" s="902"/>
      <c r="AB721" s="902"/>
      <c r="AC721" s="902"/>
    </row>
    <row r="722" spans="1:29" ht="14.95" customHeight="1" collapsed="1" thickBot="1">
      <c r="A722" s="1015" t="s">
        <v>2743</v>
      </c>
      <c r="B722" s="1193" t="s">
        <v>490</v>
      </c>
      <c r="C722" s="892">
        <f>SUM(C723:C743)</f>
        <v>17663</v>
      </c>
      <c r="D722" s="892">
        <f>SUM(D723:D743)</f>
        <v>30340</v>
      </c>
      <c r="E722" s="1339">
        <f>SUM(E723:E743)</f>
        <v>26300</v>
      </c>
      <c r="F722" s="892">
        <f>SUM(F723:F743)</f>
        <v>22961.9</v>
      </c>
      <c r="G722" s="894" t="s">
        <v>5876</v>
      </c>
      <c r="H722" s="979"/>
      <c r="I722" s="902" t="str">
        <f>IF(H722="x",CONCATENATE(A722,"; "),"")</f>
        <v/>
      </c>
      <c r="J722" s="902"/>
      <c r="K722" s="902"/>
      <c r="L722" s="902"/>
      <c r="M722" s="902"/>
      <c r="N722" s="902"/>
      <c r="O722" s="902"/>
      <c r="P722" s="902"/>
      <c r="Q722" s="902"/>
      <c r="R722" s="902"/>
      <c r="S722" s="902"/>
      <c r="T722" s="902"/>
      <c r="U722" s="902"/>
      <c r="V722" s="902"/>
      <c r="W722" s="902"/>
      <c r="X722" s="902"/>
      <c r="Y722" s="902"/>
      <c r="Z722" s="902"/>
      <c r="AA722" s="902"/>
      <c r="AB722" s="902"/>
      <c r="AC722" s="902"/>
    </row>
    <row r="723" spans="1:29" ht="13.95" hidden="1" customHeight="1" outlineLevel="1">
      <c r="A723" s="897" t="s">
        <v>527</v>
      </c>
      <c r="B723" s="898" t="s">
        <v>1831</v>
      </c>
      <c r="C723" s="898">
        <v>340</v>
      </c>
      <c r="D723" s="899">
        <v>1200</v>
      </c>
      <c r="E723" s="1332">
        <v>800</v>
      </c>
      <c r="F723" s="899">
        <f t="shared" ref="F723:F735" si="56">C723*1.3</f>
        <v>442</v>
      </c>
      <c r="G723" s="900">
        <v>1</v>
      </c>
      <c r="H723" s="895"/>
      <c r="I723" s="902"/>
      <c r="J723" s="897"/>
      <c r="K723" s="903"/>
      <c r="L723" s="899">
        <f>E723-C723</f>
        <v>460</v>
      </c>
      <c r="M723" s="899"/>
      <c r="N723" s="904"/>
      <c r="O723" s="905"/>
      <c r="P723" s="899"/>
      <c r="Q723" s="899"/>
      <c r="R723" s="898"/>
      <c r="S723" s="899"/>
      <c r="T723" s="899"/>
      <c r="U723" s="904"/>
      <c r="V723" s="905"/>
      <c r="W723" s="902"/>
      <c r="X723" s="897"/>
      <c r="Y723" s="898"/>
      <c r="Z723" s="902"/>
      <c r="AA723" s="902"/>
      <c r="AB723" s="902"/>
      <c r="AC723" s="902"/>
    </row>
    <row r="724" spans="1:29" ht="13.95" hidden="1" customHeight="1" outlineLevel="1">
      <c r="A724" s="897" t="s">
        <v>1826</v>
      </c>
      <c r="B724" s="898" t="s">
        <v>1827</v>
      </c>
      <c r="C724" s="898">
        <v>69</v>
      </c>
      <c r="D724" s="899">
        <v>640</v>
      </c>
      <c r="E724" s="1332">
        <v>300</v>
      </c>
      <c r="F724" s="899">
        <f t="shared" si="56"/>
        <v>89.7</v>
      </c>
      <c r="G724" s="897">
        <v>1</v>
      </c>
      <c r="H724" s="895"/>
      <c r="I724" s="902"/>
      <c r="J724" s="897"/>
      <c r="K724" s="903"/>
      <c r="L724" s="899">
        <f>E724-C724</f>
        <v>231</v>
      </c>
      <c r="M724" s="899"/>
      <c r="N724" s="904"/>
      <c r="O724" s="905"/>
      <c r="P724" s="899"/>
      <c r="Q724" s="899"/>
      <c r="R724" s="898"/>
      <c r="S724" s="899"/>
      <c r="T724" s="899"/>
      <c r="U724" s="904"/>
      <c r="V724" s="905"/>
      <c r="W724" s="902"/>
      <c r="X724" s="897"/>
      <c r="Y724" s="898"/>
      <c r="Z724" s="902"/>
      <c r="AA724" s="902"/>
      <c r="AB724" s="902"/>
      <c r="AC724" s="902"/>
    </row>
    <row r="725" spans="1:29" hidden="1" outlineLevel="1">
      <c r="A725" s="897" t="s">
        <v>1592</v>
      </c>
      <c r="B725" s="898" t="s">
        <v>53</v>
      </c>
      <c r="C725" s="898">
        <v>1380</v>
      </c>
      <c r="D725" s="899">
        <v>3200</v>
      </c>
      <c r="E725" s="1332">
        <v>2800</v>
      </c>
      <c r="F725" s="899">
        <f t="shared" si="56"/>
        <v>1794</v>
      </c>
      <c r="G725" s="900">
        <v>1</v>
      </c>
      <c r="H725" s="895"/>
      <c r="I725" s="902"/>
      <c r="J725" s="897"/>
      <c r="K725" s="903"/>
      <c r="L725" s="899">
        <f>E725-C725</f>
        <v>1420</v>
      </c>
      <c r="M725" s="899"/>
      <c r="N725" s="904"/>
      <c r="O725" s="905"/>
      <c r="P725" s="899"/>
      <c r="Q725" s="899"/>
      <c r="R725" s="898"/>
      <c r="S725" s="899"/>
      <c r="T725" s="899"/>
      <c r="U725" s="904"/>
      <c r="V725" s="905"/>
      <c r="W725" s="902"/>
      <c r="X725" s="897"/>
      <c r="Y725" s="898"/>
      <c r="Z725" s="902"/>
      <c r="AA725" s="902"/>
      <c r="AB725" s="902"/>
      <c r="AC725" s="902"/>
    </row>
    <row r="726" spans="1:29" ht="31.25" hidden="1" outlineLevel="1">
      <c r="A726" s="954" t="s">
        <v>1564</v>
      </c>
      <c r="B726" s="954" t="s">
        <v>1565</v>
      </c>
      <c r="C726" s="1185">
        <v>0</v>
      </c>
      <c r="D726" s="1186">
        <v>0</v>
      </c>
      <c r="E726" s="1364">
        <v>0</v>
      </c>
      <c r="F726" s="899">
        <f t="shared" si="56"/>
        <v>0</v>
      </c>
      <c r="G726" s="910"/>
      <c r="H726" s="979"/>
      <c r="I726" s="902"/>
      <c r="J726" s="902"/>
      <c r="K726" s="902"/>
      <c r="L726" s="902">
        <f>E726-C726</f>
        <v>0</v>
      </c>
      <c r="M726" s="902"/>
      <c r="N726" s="902"/>
      <c r="O726" s="902"/>
      <c r="P726" s="902"/>
      <c r="Q726" s="902"/>
      <c r="R726" s="902"/>
      <c r="S726" s="902"/>
      <c r="T726" s="902"/>
      <c r="U726" s="902"/>
      <c r="V726" s="902"/>
      <c r="W726" s="902"/>
      <c r="X726" s="902"/>
      <c r="Y726" s="902"/>
      <c r="Z726" s="902"/>
      <c r="AA726" s="902"/>
      <c r="AB726" s="902"/>
      <c r="AC726" s="902"/>
    </row>
    <row r="727" spans="1:29" hidden="1" outlineLevel="1">
      <c r="A727" s="897" t="s">
        <v>1650</v>
      </c>
      <c r="B727" s="898" t="s">
        <v>24</v>
      </c>
      <c r="C727" s="898">
        <v>125</v>
      </c>
      <c r="D727" s="899">
        <v>200</v>
      </c>
      <c r="E727" s="1332">
        <v>200</v>
      </c>
      <c r="F727" s="899">
        <f t="shared" si="56"/>
        <v>162.5</v>
      </c>
      <c r="G727" s="897">
        <v>1</v>
      </c>
      <c r="H727" s="895"/>
      <c r="I727" s="902"/>
      <c r="J727" s="897"/>
      <c r="K727" s="903"/>
      <c r="L727" s="899"/>
      <c r="M727" s="933"/>
      <c r="N727" s="933"/>
      <c r="O727" s="933"/>
      <c r="P727" s="933"/>
      <c r="Q727" s="933"/>
      <c r="R727" s="933"/>
      <c r="S727" s="933"/>
      <c r="T727" s="933"/>
      <c r="U727" s="933"/>
      <c r="V727" s="933"/>
      <c r="W727" s="902"/>
      <c r="X727" s="902"/>
      <c r="Y727" s="902"/>
      <c r="Z727" s="902"/>
      <c r="AA727" s="902"/>
      <c r="AB727" s="902"/>
      <c r="AC727" s="902"/>
    </row>
    <row r="728" spans="1:29" ht="14.95" hidden="1" customHeight="1" outlineLevel="1">
      <c r="A728" s="897" t="s">
        <v>508</v>
      </c>
      <c r="B728" s="949" t="s">
        <v>508</v>
      </c>
      <c r="C728" s="1180">
        <v>69</v>
      </c>
      <c r="D728" s="1315">
        <v>300</v>
      </c>
      <c r="E728" s="1358">
        <v>200</v>
      </c>
      <c r="F728" s="899">
        <f t="shared" si="56"/>
        <v>89.7</v>
      </c>
      <c r="G728" s="949">
        <v>1</v>
      </c>
      <c r="H728" s="895"/>
      <c r="I728" s="599"/>
      <c r="J728" s="598">
        <v>300</v>
      </c>
      <c r="K728" s="902"/>
      <c r="L728" s="902"/>
      <c r="M728" s="902"/>
      <c r="N728" s="902"/>
      <c r="O728" s="902"/>
      <c r="P728" s="902"/>
      <c r="Q728" s="902"/>
      <c r="R728" s="902"/>
      <c r="S728" s="902"/>
      <c r="T728" s="902"/>
      <c r="U728" s="902"/>
      <c r="V728" s="902"/>
      <c r="W728" s="902"/>
      <c r="X728" s="902"/>
      <c r="Y728" s="902"/>
      <c r="Z728" s="902"/>
      <c r="AA728" s="902"/>
      <c r="AB728" s="902"/>
      <c r="AC728" s="902"/>
    </row>
    <row r="729" spans="1:29" ht="14.95" hidden="1" customHeight="1" outlineLevel="1">
      <c r="A729" s="897" t="s">
        <v>1492</v>
      </c>
      <c r="B729" s="1187" t="s">
        <v>5969</v>
      </c>
      <c r="C729" s="1188">
        <v>253</v>
      </c>
      <c r="D729" s="1189">
        <v>500</v>
      </c>
      <c r="E729" s="1365">
        <v>400</v>
      </c>
      <c r="F729" s="899">
        <f t="shared" si="56"/>
        <v>328.90000000000003</v>
      </c>
      <c r="G729" s="910">
        <v>1</v>
      </c>
      <c r="H729" s="979"/>
      <c r="I729" s="902"/>
      <c r="J729" s="902"/>
      <c r="K729" s="902"/>
      <c r="L729" s="902"/>
      <c r="M729" s="902"/>
      <c r="N729" s="902"/>
      <c r="O729" s="902"/>
      <c r="P729" s="902"/>
      <c r="Q729" s="902"/>
      <c r="R729" s="902"/>
      <c r="S729" s="902"/>
      <c r="T729" s="902"/>
      <c r="U729" s="902"/>
      <c r="V729" s="902"/>
      <c r="W729" s="902"/>
      <c r="X729" s="902"/>
      <c r="Y729" s="902"/>
      <c r="Z729" s="902"/>
      <c r="AA729" s="902"/>
      <c r="AB729" s="902"/>
      <c r="AC729" s="902"/>
    </row>
    <row r="730" spans="1:29" ht="14.95" hidden="1" customHeight="1" outlineLevel="1">
      <c r="A730" s="897" t="s">
        <v>1493</v>
      </c>
      <c r="B730" s="932" t="s">
        <v>2749</v>
      </c>
      <c r="C730" s="932">
        <v>3600</v>
      </c>
      <c r="D730" s="930">
        <v>4500</v>
      </c>
      <c r="E730" s="1346">
        <v>4200</v>
      </c>
      <c r="F730" s="899">
        <f t="shared" si="56"/>
        <v>4680</v>
      </c>
      <c r="G730" s="897">
        <v>1</v>
      </c>
      <c r="H730" s="929"/>
      <c r="I730" s="912"/>
      <c r="J730" s="960"/>
      <c r="K730" s="912"/>
      <c r="L730" s="930"/>
      <c r="M730" s="930"/>
      <c r="N730" s="904"/>
      <c r="O730" s="931"/>
      <c r="P730" s="930"/>
      <c r="Q730" s="930"/>
      <c r="R730" s="932"/>
      <c r="S730" s="930"/>
      <c r="T730" s="930"/>
      <c r="U730" s="904"/>
      <c r="V730" s="931"/>
      <c r="W730" s="933"/>
      <c r="X730" s="897"/>
      <c r="Y730" s="932"/>
      <c r="Z730" s="902"/>
      <c r="AA730" s="902"/>
      <c r="AB730" s="902"/>
      <c r="AC730" s="902"/>
    </row>
    <row r="731" spans="1:29" ht="14.95" hidden="1" customHeight="1" outlineLevel="1">
      <c r="A731" s="897" t="s">
        <v>1815</v>
      </c>
      <c r="B731" s="898" t="s">
        <v>2760</v>
      </c>
      <c r="C731" s="898">
        <v>3680</v>
      </c>
      <c r="D731" s="899">
        <v>5400</v>
      </c>
      <c r="E731" s="1332">
        <v>5000</v>
      </c>
      <c r="F731" s="899">
        <f t="shared" si="56"/>
        <v>4784</v>
      </c>
      <c r="G731" s="900">
        <v>1</v>
      </c>
      <c r="H731" s="936"/>
      <c r="I731" s="933"/>
      <c r="J731" s="897"/>
      <c r="K731" s="903"/>
      <c r="L731" s="903"/>
      <c r="M731" s="903"/>
      <c r="N731" s="903"/>
      <c r="O731" s="927"/>
      <c r="P731" s="933"/>
      <c r="Q731" s="933"/>
      <c r="R731" s="933"/>
      <c r="S731" s="933"/>
      <c r="T731" s="933"/>
      <c r="U731" s="933"/>
      <c r="V731" s="933"/>
      <c r="W731" s="933"/>
      <c r="X731" s="933"/>
      <c r="Y731" s="933"/>
      <c r="Z731" s="902"/>
      <c r="AA731" s="902"/>
      <c r="AB731" s="902"/>
      <c r="AC731" s="902"/>
    </row>
    <row r="732" spans="1:29" ht="14.95" hidden="1" customHeight="1" outlineLevel="1">
      <c r="A732" s="897" t="s">
        <v>1613</v>
      </c>
      <c r="B732" s="898" t="s">
        <v>32</v>
      </c>
      <c r="C732" s="898">
        <v>69</v>
      </c>
      <c r="D732" s="899">
        <v>200</v>
      </c>
      <c r="E732" s="1332">
        <v>200</v>
      </c>
      <c r="F732" s="899">
        <f t="shared" si="56"/>
        <v>89.7</v>
      </c>
      <c r="G732" s="897">
        <v>1</v>
      </c>
      <c r="H732" s="979"/>
      <c r="I732" s="902"/>
      <c r="J732" s="902"/>
      <c r="K732" s="902"/>
      <c r="L732" s="902"/>
      <c r="M732" s="902"/>
      <c r="N732" s="902"/>
      <c r="O732" s="902"/>
      <c r="P732" s="902"/>
      <c r="Q732" s="902"/>
      <c r="R732" s="902"/>
      <c r="S732" s="902"/>
      <c r="T732" s="902"/>
      <c r="U732" s="902"/>
      <c r="V732" s="902"/>
      <c r="W732" s="902"/>
      <c r="X732" s="902"/>
      <c r="Y732" s="902"/>
      <c r="Z732" s="902"/>
      <c r="AA732" s="902"/>
      <c r="AB732" s="902"/>
      <c r="AC732" s="902"/>
    </row>
    <row r="733" spans="1:29" ht="14.95" hidden="1" customHeight="1" outlineLevel="1">
      <c r="A733" s="897" t="s">
        <v>945</v>
      </c>
      <c r="B733" s="898" t="s">
        <v>1542</v>
      </c>
      <c r="C733" s="898">
        <v>230</v>
      </c>
      <c r="D733" s="899">
        <v>600</v>
      </c>
      <c r="E733" s="1332">
        <v>500</v>
      </c>
      <c r="F733" s="899">
        <f t="shared" si="56"/>
        <v>299</v>
      </c>
      <c r="G733" s="900">
        <v>1</v>
      </c>
      <c r="H733" s="979"/>
      <c r="I733" s="902"/>
      <c r="J733" s="902"/>
      <c r="K733" s="902"/>
      <c r="L733" s="902"/>
      <c r="M733" s="902"/>
      <c r="N733" s="902"/>
      <c r="O733" s="902"/>
      <c r="P733" s="902"/>
      <c r="Q733" s="902"/>
      <c r="R733" s="902"/>
      <c r="S733" s="902"/>
      <c r="T733" s="902"/>
      <c r="U733" s="902"/>
      <c r="V733" s="902"/>
      <c r="W733" s="902"/>
      <c r="X733" s="902"/>
      <c r="Y733" s="902"/>
      <c r="Z733" s="902"/>
      <c r="AA733" s="902"/>
      <c r="AB733" s="902"/>
      <c r="AC733" s="902"/>
    </row>
    <row r="734" spans="1:29" ht="14.95" hidden="1" customHeight="1" outlineLevel="1">
      <c r="A734" s="897" t="s">
        <v>948</v>
      </c>
      <c r="B734" s="898" t="s">
        <v>1628</v>
      </c>
      <c r="C734" s="898">
        <v>175</v>
      </c>
      <c r="D734" s="899">
        <v>700</v>
      </c>
      <c r="E734" s="1332">
        <v>400</v>
      </c>
      <c r="F734" s="899">
        <f t="shared" si="56"/>
        <v>227.5</v>
      </c>
      <c r="G734" s="897">
        <v>1</v>
      </c>
      <c r="H734" s="979"/>
      <c r="I734" s="902"/>
      <c r="J734" s="902"/>
      <c r="K734" s="902"/>
      <c r="L734" s="902"/>
      <c r="M734" s="902"/>
      <c r="N734" s="902"/>
      <c r="O734" s="902"/>
      <c r="P734" s="902"/>
      <c r="Q734" s="902"/>
      <c r="R734" s="902"/>
      <c r="S734" s="902"/>
      <c r="T734" s="902"/>
      <c r="U734" s="902"/>
      <c r="V734" s="902"/>
      <c r="W734" s="902"/>
      <c r="X734" s="902"/>
      <c r="Y734" s="902"/>
      <c r="Z734" s="902"/>
      <c r="AA734" s="902"/>
      <c r="AB734" s="902"/>
      <c r="AC734" s="902"/>
    </row>
    <row r="735" spans="1:29" ht="14.95" hidden="1" customHeight="1" outlineLevel="1">
      <c r="A735" s="897" t="s">
        <v>1813</v>
      </c>
      <c r="B735" s="898" t="s">
        <v>505</v>
      </c>
      <c r="C735" s="898">
        <v>69</v>
      </c>
      <c r="D735" s="899">
        <v>600</v>
      </c>
      <c r="E735" s="1332">
        <v>400</v>
      </c>
      <c r="F735" s="899">
        <f t="shared" si="56"/>
        <v>89.7</v>
      </c>
      <c r="G735" s="897">
        <v>1</v>
      </c>
      <c r="H735" s="979"/>
      <c r="I735" s="902"/>
      <c r="J735" s="902"/>
      <c r="K735" s="902"/>
      <c r="L735" s="902"/>
      <c r="M735" s="902"/>
      <c r="N735" s="902"/>
      <c r="O735" s="902"/>
      <c r="P735" s="902"/>
      <c r="Q735" s="902"/>
      <c r="R735" s="902"/>
      <c r="S735" s="902"/>
      <c r="T735" s="902"/>
      <c r="U735" s="902"/>
      <c r="V735" s="902"/>
      <c r="W735" s="902"/>
      <c r="X735" s="902"/>
      <c r="Y735" s="902"/>
      <c r="Z735" s="902"/>
      <c r="AA735" s="902"/>
      <c r="AB735" s="902"/>
      <c r="AC735" s="902"/>
    </row>
    <row r="736" spans="1:29" ht="14.95" hidden="1" customHeight="1" outlineLevel="1">
      <c r="A736" s="897" t="s">
        <v>1636</v>
      </c>
      <c r="B736" s="898" t="s">
        <v>198</v>
      </c>
      <c r="C736" s="898"/>
      <c r="D736" s="899"/>
      <c r="E736" s="1332"/>
      <c r="F736" s="899"/>
      <c r="G736" s="897">
        <v>15</v>
      </c>
      <c r="H736" s="979"/>
      <c r="I736" s="902"/>
      <c r="J736" s="902"/>
      <c r="K736" s="902"/>
      <c r="L736" s="902"/>
      <c r="M736" s="902"/>
      <c r="N736" s="902"/>
      <c r="O736" s="902"/>
      <c r="P736" s="902"/>
      <c r="Q736" s="902"/>
      <c r="R736" s="902"/>
      <c r="S736" s="902"/>
      <c r="T736" s="902"/>
      <c r="U736" s="902"/>
      <c r="V736" s="902"/>
      <c r="W736" s="902"/>
      <c r="X736" s="902"/>
      <c r="Y736" s="902"/>
      <c r="Z736" s="902"/>
      <c r="AA736" s="902"/>
      <c r="AB736" s="902"/>
      <c r="AC736" s="902"/>
    </row>
    <row r="737" spans="1:29" hidden="1" outlineLevel="1">
      <c r="A737" s="1172" t="s">
        <v>1608</v>
      </c>
      <c r="B737" s="958" t="s">
        <v>19</v>
      </c>
      <c r="C737" s="1179">
        <v>69</v>
      </c>
      <c r="D737" s="1314">
        <v>600</v>
      </c>
      <c r="E737" s="1357">
        <v>300</v>
      </c>
      <c r="F737" s="1322">
        <f>C737*1.3</f>
        <v>89.7</v>
      </c>
      <c r="G737" s="958">
        <v>1</v>
      </c>
      <c r="H737" s="895"/>
      <c r="I737" s="902"/>
      <c r="J737" s="897"/>
      <c r="K737" s="903"/>
      <c r="L737" s="899"/>
      <c r="M737" s="933"/>
      <c r="N737" s="933"/>
      <c r="O737" s="933"/>
      <c r="P737" s="933"/>
      <c r="Q737" s="933"/>
      <c r="R737" s="933"/>
      <c r="S737" s="933"/>
      <c r="T737" s="933"/>
      <c r="U737" s="933"/>
      <c r="V737" s="933"/>
      <c r="W737" s="902"/>
      <c r="X737" s="902"/>
      <c r="Y737" s="902"/>
      <c r="Z737" s="902"/>
      <c r="AA737" s="902"/>
      <c r="AB737" s="902"/>
      <c r="AC737" s="902"/>
    </row>
    <row r="738" spans="1:29" ht="13.95" hidden="1" customHeight="1" outlineLevel="1">
      <c r="A738" s="967" t="s">
        <v>1621</v>
      </c>
      <c r="B738" s="968" t="s">
        <v>2346</v>
      </c>
      <c r="C738" s="968">
        <v>175</v>
      </c>
      <c r="D738" s="1304">
        <v>400</v>
      </c>
      <c r="E738" s="1337">
        <v>400</v>
      </c>
      <c r="F738" s="1322">
        <f>C738*1.3</f>
        <v>227.5</v>
      </c>
      <c r="G738" s="969">
        <v>1</v>
      </c>
      <c r="H738" s="901"/>
      <c r="I738" s="902"/>
      <c r="J738" s="897"/>
      <c r="K738" s="903"/>
      <c r="L738" s="899">
        <f>E738-C738</f>
        <v>225</v>
      </c>
      <c r="M738" s="933"/>
      <c r="N738" s="933"/>
      <c r="O738" s="933"/>
      <c r="P738" s="933"/>
      <c r="Q738" s="933"/>
      <c r="R738" s="933"/>
      <c r="S738" s="933"/>
      <c r="T738" s="933"/>
      <c r="U738" s="933"/>
      <c r="V738" s="933"/>
      <c r="W738" s="902"/>
      <c r="X738" s="897"/>
      <c r="Y738" s="898"/>
      <c r="Z738" s="902"/>
      <c r="AA738" s="902"/>
      <c r="AB738" s="902"/>
      <c r="AC738" s="902"/>
    </row>
    <row r="739" spans="1:29" ht="14.95" hidden="1" customHeight="1" outlineLevel="1">
      <c r="B739" s="981"/>
      <c r="C739" s="910"/>
      <c r="D739" s="902"/>
      <c r="E739" s="1363"/>
      <c r="F739" s="980"/>
      <c r="G739" s="910"/>
      <c r="H739" s="979"/>
      <c r="I739" s="902"/>
      <c r="J739" s="902"/>
      <c r="K739" s="902"/>
      <c r="L739" s="902"/>
      <c r="M739" s="902"/>
      <c r="N739" s="902"/>
      <c r="O739" s="902"/>
      <c r="P739" s="902"/>
      <c r="Q739" s="902"/>
      <c r="R739" s="902"/>
      <c r="S739" s="902"/>
      <c r="T739" s="902"/>
      <c r="U739" s="902"/>
      <c r="V739" s="902"/>
      <c r="W739" s="902"/>
      <c r="X739" s="902"/>
      <c r="Y739" s="902"/>
      <c r="Z739" s="902"/>
      <c r="AA739" s="902"/>
      <c r="AB739" s="902"/>
      <c r="AC739" s="902"/>
    </row>
    <row r="740" spans="1:29" hidden="1" outlineLevel="1">
      <c r="A740" s="1172" t="s">
        <v>54</v>
      </c>
      <c r="B740" s="958" t="s">
        <v>54</v>
      </c>
      <c r="C740" s="1179">
        <v>1150</v>
      </c>
      <c r="D740" s="1314">
        <v>1900</v>
      </c>
      <c r="E740" s="1357">
        <v>1700</v>
      </c>
      <c r="F740" s="1322">
        <f>C740*1.3</f>
        <v>1495</v>
      </c>
      <c r="G740" s="958">
        <v>1</v>
      </c>
      <c r="H740" s="901"/>
      <c r="I740" s="902"/>
      <c r="J740" s="897"/>
      <c r="K740" s="903"/>
      <c r="L740" s="899">
        <f>E740-C739</f>
        <v>1700</v>
      </c>
      <c r="M740" s="933"/>
      <c r="N740" s="933"/>
      <c r="O740" s="933"/>
      <c r="P740" s="933"/>
      <c r="Q740" s="933"/>
      <c r="R740" s="933"/>
      <c r="S740" s="933"/>
      <c r="T740" s="933"/>
      <c r="U740" s="933"/>
      <c r="V740" s="933"/>
      <c r="W740" s="902"/>
      <c r="X740" s="902"/>
      <c r="Y740" s="902"/>
      <c r="Z740" s="902"/>
      <c r="AA740" s="902"/>
      <c r="AB740" s="902"/>
      <c r="AC740" s="902"/>
    </row>
    <row r="741" spans="1:29" hidden="1" outlineLevel="1">
      <c r="A741" s="1172" t="s">
        <v>1531</v>
      </c>
      <c r="B741" s="958" t="s">
        <v>1531</v>
      </c>
      <c r="C741" s="1179">
        <v>1724.9999999999998</v>
      </c>
      <c r="D741" s="1314">
        <v>2900</v>
      </c>
      <c r="E741" s="1357">
        <v>2500</v>
      </c>
      <c r="F741" s="1322">
        <f>C741*1.3</f>
        <v>2242.5</v>
      </c>
      <c r="G741" s="958">
        <v>1</v>
      </c>
      <c r="H741" s="895"/>
      <c r="I741" s="902"/>
      <c r="J741" s="897"/>
      <c r="K741" s="903"/>
      <c r="L741" s="899"/>
      <c r="M741" s="933"/>
      <c r="N741" s="933"/>
      <c r="O741" s="933"/>
      <c r="P741" s="933"/>
      <c r="Q741" s="933"/>
      <c r="R741" s="933"/>
      <c r="S741" s="933"/>
      <c r="T741" s="933"/>
      <c r="U741" s="933"/>
      <c r="V741" s="933"/>
      <c r="W741" s="902"/>
      <c r="X741" s="902"/>
      <c r="Y741" s="902"/>
      <c r="Z741" s="902"/>
      <c r="AA741" s="902"/>
      <c r="AB741" s="902"/>
      <c r="AC741" s="902"/>
    </row>
    <row r="742" spans="1:29" ht="14.95" hidden="1" customHeight="1" outlineLevel="1">
      <c r="A742" s="897" t="s">
        <v>1503</v>
      </c>
      <c r="B742" s="932" t="s">
        <v>2753</v>
      </c>
      <c r="C742" s="932">
        <v>4485</v>
      </c>
      <c r="D742" s="930">
        <v>6500</v>
      </c>
      <c r="E742" s="1346">
        <v>6000</v>
      </c>
      <c r="F742" s="1322">
        <f>C742*1.3</f>
        <v>5830.5</v>
      </c>
      <c r="G742" s="897">
        <v>1</v>
      </c>
      <c r="H742" s="929"/>
      <c r="I742" s="912"/>
      <c r="J742" s="960"/>
      <c r="K742" s="912"/>
      <c r="L742" s="930"/>
      <c r="M742" s="930"/>
      <c r="N742" s="904"/>
      <c r="O742" s="931"/>
      <c r="P742" s="930"/>
      <c r="Q742" s="930"/>
      <c r="R742" s="932"/>
      <c r="S742" s="930"/>
      <c r="T742" s="930"/>
      <c r="U742" s="904"/>
      <c r="V742" s="931"/>
      <c r="W742" s="933"/>
      <c r="X742" s="897"/>
      <c r="Y742" s="932"/>
      <c r="Z742" s="902"/>
      <c r="AA742" s="902"/>
      <c r="AB742" s="902"/>
      <c r="AC742" s="902"/>
    </row>
    <row r="743" spans="1:29" ht="14.95" hidden="1" customHeight="1" outlineLevel="1" thickBot="1">
      <c r="A743" s="981"/>
      <c r="B743" s="910"/>
      <c r="C743" s="910"/>
      <c r="D743" s="902"/>
      <c r="E743" s="1363"/>
      <c r="F743" s="980"/>
      <c r="G743" s="910"/>
      <c r="H743" s="979"/>
      <c r="I743" s="902"/>
      <c r="J743" s="902"/>
      <c r="K743" s="902"/>
      <c r="L743" s="902"/>
      <c r="M743" s="902"/>
      <c r="N743" s="902"/>
      <c r="O743" s="902"/>
      <c r="P743" s="902"/>
      <c r="Q743" s="902"/>
      <c r="R743" s="902"/>
      <c r="S743" s="902"/>
      <c r="T743" s="902"/>
      <c r="U743" s="902"/>
      <c r="V743" s="902"/>
      <c r="W743" s="902"/>
      <c r="X743" s="902"/>
      <c r="Y743" s="902"/>
      <c r="Z743" s="902"/>
      <c r="AA743" s="902"/>
      <c r="AB743" s="902"/>
      <c r="AC743" s="902"/>
    </row>
    <row r="744" spans="1:29" ht="14.95" customHeight="1" collapsed="1" thickBot="1">
      <c r="A744" s="1014" t="s">
        <v>5970</v>
      </c>
      <c r="B744" s="1195" t="s">
        <v>490</v>
      </c>
      <c r="C744" s="907">
        <f>SUM(C745:C767)</f>
        <v>52913</v>
      </c>
      <c r="D744" s="907">
        <f>SUM(D745:D767)</f>
        <v>78340</v>
      </c>
      <c r="E744" s="1336">
        <f>SUM(E745:E767)</f>
        <v>71600</v>
      </c>
      <c r="F744" s="907">
        <f>SUM(F745:F767)</f>
        <v>68786.899999999994</v>
      </c>
      <c r="G744" s="1204" t="s">
        <v>5876</v>
      </c>
      <c r="H744" s="979"/>
      <c r="I744" s="902" t="str">
        <f>IF(H744="x",CONCATENATE(A744,"; "),"")</f>
        <v/>
      </c>
      <c r="J744" s="902"/>
      <c r="K744" s="902"/>
      <c r="L744" s="902"/>
      <c r="M744" s="902"/>
      <c r="N744" s="902"/>
      <c r="O744" s="902"/>
      <c r="P744" s="902"/>
      <c r="Q744" s="902"/>
      <c r="R744" s="902"/>
      <c r="S744" s="902"/>
      <c r="T744" s="902"/>
      <c r="U744" s="902"/>
      <c r="V744" s="902"/>
      <c r="W744" s="902"/>
      <c r="X744" s="902"/>
      <c r="Y744" s="902"/>
      <c r="Z744" s="902"/>
      <c r="AA744" s="902"/>
      <c r="AB744" s="902"/>
      <c r="AC744" s="902"/>
    </row>
    <row r="745" spans="1:29" ht="13.95" hidden="1" customHeight="1" outlineLevel="1">
      <c r="A745" s="897" t="s">
        <v>527</v>
      </c>
      <c r="B745" s="898" t="s">
        <v>1831</v>
      </c>
      <c r="C745" s="898">
        <v>340</v>
      </c>
      <c r="D745" s="899">
        <v>1200</v>
      </c>
      <c r="E745" s="1332">
        <v>500</v>
      </c>
      <c r="F745" s="899">
        <f t="shared" ref="F745:F751" si="57">C745*1.3</f>
        <v>442</v>
      </c>
      <c r="G745" s="900">
        <v>1</v>
      </c>
      <c r="H745" s="895"/>
      <c r="I745" s="902"/>
      <c r="J745" s="897"/>
      <c r="K745" s="903"/>
      <c r="L745" s="899">
        <f>E745-C745</f>
        <v>160</v>
      </c>
      <c r="M745" s="899"/>
      <c r="N745" s="904"/>
      <c r="O745" s="905"/>
      <c r="P745" s="899"/>
      <c r="Q745" s="899"/>
      <c r="R745" s="898"/>
      <c r="S745" s="899"/>
      <c r="T745" s="899"/>
      <c r="U745" s="904"/>
      <c r="V745" s="905"/>
      <c r="W745" s="902"/>
      <c r="X745" s="897"/>
      <c r="Y745" s="898"/>
      <c r="Z745" s="902"/>
      <c r="AA745" s="902"/>
      <c r="AB745" s="902"/>
      <c r="AC745" s="902"/>
    </row>
    <row r="746" spans="1:29" ht="13.95" hidden="1" customHeight="1" outlineLevel="1">
      <c r="A746" s="897" t="s">
        <v>1826</v>
      </c>
      <c r="B746" s="898" t="s">
        <v>1827</v>
      </c>
      <c r="C746" s="898">
        <v>69</v>
      </c>
      <c r="D746" s="899">
        <v>640</v>
      </c>
      <c r="E746" s="1332">
        <v>300</v>
      </c>
      <c r="F746" s="899">
        <f t="shared" si="57"/>
        <v>89.7</v>
      </c>
      <c r="G746" s="897">
        <v>1</v>
      </c>
      <c r="H746" s="895"/>
      <c r="I746" s="902"/>
      <c r="J746" s="897"/>
      <c r="K746" s="903"/>
      <c r="L746" s="899">
        <f>E746-C746</f>
        <v>231</v>
      </c>
      <c r="M746" s="899"/>
      <c r="N746" s="904"/>
      <c r="O746" s="905"/>
      <c r="P746" s="899"/>
      <c r="Q746" s="899"/>
      <c r="R746" s="898"/>
      <c r="S746" s="899"/>
      <c r="T746" s="899"/>
      <c r="U746" s="904"/>
      <c r="V746" s="905"/>
      <c r="W746" s="902"/>
      <c r="X746" s="897"/>
      <c r="Y746" s="898"/>
      <c r="Z746" s="902"/>
      <c r="AA746" s="902"/>
      <c r="AB746" s="902"/>
      <c r="AC746" s="902"/>
    </row>
    <row r="747" spans="1:29" ht="16.3" hidden="1" outlineLevel="1" thickBot="1">
      <c r="A747" s="897" t="s">
        <v>1592</v>
      </c>
      <c r="B747" s="898" t="s">
        <v>53</v>
      </c>
      <c r="C747" s="898">
        <v>1380</v>
      </c>
      <c r="D747" s="899">
        <v>3200</v>
      </c>
      <c r="E747" s="1332">
        <v>3200</v>
      </c>
      <c r="F747" s="899">
        <f t="shared" si="57"/>
        <v>1794</v>
      </c>
      <c r="G747" s="900">
        <v>1</v>
      </c>
      <c r="H747" s="895"/>
      <c r="I747" s="902"/>
      <c r="J747" s="897"/>
      <c r="K747" s="903"/>
      <c r="L747" s="899">
        <f>E747-C747</f>
        <v>1820</v>
      </c>
      <c r="M747" s="899"/>
      <c r="N747" s="904"/>
      <c r="O747" s="905"/>
      <c r="P747" s="899"/>
      <c r="Q747" s="899"/>
      <c r="R747" s="898"/>
      <c r="S747" s="899"/>
      <c r="T747" s="899"/>
      <c r="U747" s="904"/>
      <c r="V747" s="905"/>
      <c r="W747" s="902"/>
      <c r="X747" s="897"/>
      <c r="Y747" s="898"/>
      <c r="Z747" s="902"/>
      <c r="AA747" s="902"/>
      <c r="AB747" s="902"/>
      <c r="AC747" s="902"/>
    </row>
    <row r="748" spans="1:29" ht="31.95" hidden="1" outlineLevel="1" thickBot="1">
      <c r="A748" s="954" t="s">
        <v>1564</v>
      </c>
      <c r="B748" s="954" t="s">
        <v>1565</v>
      </c>
      <c r="C748" s="1185">
        <v>0</v>
      </c>
      <c r="D748" s="1186">
        <v>0</v>
      </c>
      <c r="E748" s="1364">
        <v>0</v>
      </c>
      <c r="F748" s="899">
        <f t="shared" si="57"/>
        <v>0</v>
      </c>
      <c r="G748" s="910"/>
      <c r="H748" s="979"/>
      <c r="I748" s="902"/>
      <c r="J748" s="902"/>
      <c r="K748" s="902"/>
      <c r="L748" s="902">
        <f>E748-C748</f>
        <v>0</v>
      </c>
      <c r="M748" s="902"/>
      <c r="N748" s="902"/>
      <c r="O748" s="902"/>
      <c r="P748" s="902"/>
      <c r="Q748" s="902"/>
      <c r="R748" s="902"/>
      <c r="S748" s="902"/>
      <c r="T748" s="902"/>
      <c r="U748" s="902"/>
      <c r="V748" s="902"/>
      <c r="W748" s="902"/>
      <c r="X748" s="902"/>
      <c r="Y748" s="902"/>
      <c r="Z748" s="902"/>
      <c r="AA748" s="902"/>
      <c r="AB748" s="902"/>
      <c r="AC748" s="902"/>
    </row>
    <row r="749" spans="1:29" ht="16.3" hidden="1" outlineLevel="1" thickBot="1">
      <c r="A749" s="897" t="s">
        <v>1650</v>
      </c>
      <c r="B749" s="898" t="s">
        <v>24</v>
      </c>
      <c r="C749" s="898">
        <v>125</v>
      </c>
      <c r="D749" s="899">
        <v>200</v>
      </c>
      <c r="E749" s="1332">
        <v>200</v>
      </c>
      <c r="F749" s="899">
        <f t="shared" si="57"/>
        <v>162.5</v>
      </c>
      <c r="G749" s="897">
        <v>1</v>
      </c>
      <c r="H749" s="895"/>
      <c r="I749" s="902"/>
      <c r="J749" s="897"/>
      <c r="K749" s="903"/>
      <c r="L749" s="899"/>
      <c r="M749" s="933"/>
      <c r="N749" s="933"/>
      <c r="O749" s="933"/>
      <c r="P749" s="933"/>
      <c r="Q749" s="933"/>
      <c r="R749" s="933"/>
      <c r="S749" s="933"/>
      <c r="T749" s="933"/>
      <c r="U749" s="933"/>
      <c r="V749" s="933"/>
      <c r="W749" s="902"/>
      <c r="X749" s="902"/>
      <c r="Y749" s="902"/>
      <c r="Z749" s="902"/>
      <c r="AA749" s="902"/>
      <c r="AB749" s="902"/>
      <c r="AC749" s="902"/>
    </row>
    <row r="750" spans="1:29" ht="14.95" hidden="1" customHeight="1" outlineLevel="1">
      <c r="A750" s="897" t="s">
        <v>508</v>
      </c>
      <c r="B750" s="949" t="s">
        <v>508</v>
      </c>
      <c r="C750" s="1180">
        <v>69</v>
      </c>
      <c r="D750" s="1315">
        <v>300</v>
      </c>
      <c r="E750" s="1358"/>
      <c r="F750" s="899">
        <f t="shared" si="57"/>
        <v>89.7</v>
      </c>
      <c r="G750" s="949">
        <v>1</v>
      </c>
      <c r="H750" s="895"/>
      <c r="I750" s="599"/>
      <c r="J750" s="598">
        <v>300</v>
      </c>
      <c r="K750" s="902"/>
      <c r="L750" s="902"/>
      <c r="M750" s="902"/>
      <c r="N750" s="902"/>
      <c r="O750" s="902"/>
      <c r="P750" s="902"/>
      <c r="Q750" s="902"/>
      <c r="R750" s="902"/>
      <c r="S750" s="902"/>
      <c r="T750" s="902"/>
      <c r="U750" s="902"/>
      <c r="V750" s="902"/>
      <c r="W750" s="902"/>
      <c r="X750" s="902"/>
      <c r="Y750" s="902"/>
      <c r="Z750" s="902"/>
      <c r="AA750" s="902"/>
      <c r="AB750" s="902"/>
      <c r="AC750" s="902"/>
    </row>
    <row r="751" spans="1:29" ht="14.95" hidden="1" customHeight="1" outlineLevel="1">
      <c r="A751" s="897" t="s">
        <v>1492</v>
      </c>
      <c r="B751" s="1187" t="s">
        <v>5969</v>
      </c>
      <c r="C751" s="1188">
        <v>253</v>
      </c>
      <c r="D751" s="1189">
        <v>500</v>
      </c>
      <c r="E751" s="1365"/>
      <c r="F751" s="899">
        <f t="shared" si="57"/>
        <v>328.90000000000003</v>
      </c>
      <c r="G751" s="910">
        <v>1</v>
      </c>
      <c r="H751" s="979"/>
      <c r="I751" s="902"/>
      <c r="J751" s="902"/>
      <c r="K751" s="902"/>
      <c r="L751" s="902"/>
      <c r="M751" s="902"/>
      <c r="N751" s="902"/>
      <c r="O751" s="902"/>
      <c r="P751" s="902"/>
      <c r="Q751" s="902"/>
      <c r="R751" s="902"/>
      <c r="S751" s="902"/>
      <c r="T751" s="902"/>
      <c r="U751" s="902"/>
      <c r="V751" s="902"/>
      <c r="W751" s="902"/>
      <c r="X751" s="902"/>
      <c r="Y751" s="902"/>
      <c r="Z751" s="902"/>
      <c r="AA751" s="902"/>
      <c r="AB751" s="902"/>
      <c r="AC751" s="902"/>
    </row>
    <row r="752" spans="1:29" ht="14.95" hidden="1" customHeight="1" outlineLevel="1">
      <c r="A752" s="897" t="s">
        <v>1493</v>
      </c>
      <c r="B752" s="932" t="s">
        <v>2749</v>
      </c>
      <c r="C752" s="932">
        <v>3600</v>
      </c>
      <c r="D752" s="930">
        <v>4500</v>
      </c>
      <c r="E752" s="1346">
        <v>4500</v>
      </c>
      <c r="F752" s="930">
        <v>4680</v>
      </c>
      <c r="G752" s="897">
        <v>1</v>
      </c>
      <c r="H752" s="929"/>
      <c r="I752" s="912"/>
      <c r="J752" s="960"/>
      <c r="K752" s="912"/>
      <c r="L752" s="930"/>
      <c r="M752" s="930"/>
      <c r="N752" s="904"/>
      <c r="O752" s="931"/>
      <c r="P752" s="930"/>
      <c r="Q752" s="930"/>
      <c r="R752" s="932"/>
      <c r="S752" s="930"/>
      <c r="T752" s="930"/>
      <c r="U752" s="904"/>
      <c r="V752" s="931"/>
      <c r="W752" s="933"/>
      <c r="X752" s="897"/>
      <c r="Y752" s="932"/>
      <c r="Z752" s="902"/>
      <c r="AA752" s="902"/>
      <c r="AB752" s="902"/>
      <c r="AC752" s="902"/>
    </row>
    <row r="753" spans="1:29" ht="14.95" hidden="1" customHeight="1" outlineLevel="1">
      <c r="A753" s="961" t="s">
        <v>1815</v>
      </c>
      <c r="B753" s="932" t="s">
        <v>2760</v>
      </c>
      <c r="C753" s="932">
        <v>3680</v>
      </c>
      <c r="D753" s="930">
        <v>5400</v>
      </c>
      <c r="E753" s="1346">
        <v>5400</v>
      </c>
      <c r="F753" s="930">
        <v>4784</v>
      </c>
      <c r="G753" s="900">
        <v>1</v>
      </c>
      <c r="H753" s="936"/>
      <c r="I753" s="933"/>
      <c r="J753" s="897"/>
      <c r="K753" s="903"/>
      <c r="L753" s="903"/>
      <c r="M753" s="903"/>
      <c r="N753" s="903"/>
      <c r="O753" s="927"/>
      <c r="P753" s="933"/>
      <c r="Q753" s="933"/>
      <c r="R753" s="933"/>
      <c r="S753" s="933"/>
      <c r="T753" s="933"/>
      <c r="U753" s="933"/>
      <c r="V753" s="933"/>
      <c r="W753" s="933"/>
      <c r="X753" s="933"/>
      <c r="Y753" s="933"/>
      <c r="Z753" s="902"/>
      <c r="AA753" s="902"/>
      <c r="AB753" s="902"/>
      <c r="AC753" s="902"/>
    </row>
    <row r="754" spans="1:29" ht="14.95" hidden="1" customHeight="1" outlineLevel="1">
      <c r="A754" s="897" t="s">
        <v>1613</v>
      </c>
      <c r="B754" s="898" t="s">
        <v>32</v>
      </c>
      <c r="C754" s="898">
        <v>69</v>
      </c>
      <c r="D754" s="899">
        <v>200</v>
      </c>
      <c r="E754" s="1332"/>
      <c r="F754" s="899">
        <f>C754*1.3</f>
        <v>89.7</v>
      </c>
      <c r="G754" s="897">
        <v>1</v>
      </c>
      <c r="H754" s="979"/>
      <c r="I754" s="902"/>
      <c r="J754" s="902"/>
      <c r="K754" s="902"/>
      <c r="L754" s="902"/>
      <c r="M754" s="902"/>
      <c r="N754" s="902"/>
      <c r="O754" s="902"/>
      <c r="P754" s="902"/>
      <c r="Q754" s="902"/>
      <c r="R754" s="902"/>
      <c r="S754" s="902"/>
      <c r="T754" s="902"/>
      <c r="U754" s="902"/>
      <c r="V754" s="902"/>
      <c r="W754" s="902"/>
      <c r="X754" s="902"/>
      <c r="Y754" s="902"/>
      <c r="Z754" s="902"/>
      <c r="AA754" s="902"/>
      <c r="AB754" s="902"/>
      <c r="AC754" s="902"/>
    </row>
    <row r="755" spans="1:29" ht="14.95" hidden="1" customHeight="1" outlineLevel="1">
      <c r="A755" s="897" t="s">
        <v>945</v>
      </c>
      <c r="B755" s="898" t="s">
        <v>1542</v>
      </c>
      <c r="C755" s="898">
        <v>230</v>
      </c>
      <c r="D755" s="899">
        <v>600</v>
      </c>
      <c r="E755" s="1332"/>
      <c r="F755" s="899">
        <f>C755*1.3</f>
        <v>299</v>
      </c>
      <c r="G755" s="900">
        <v>1</v>
      </c>
      <c r="H755" s="979"/>
      <c r="I755" s="902"/>
      <c r="J755" s="902"/>
      <c r="K755" s="902"/>
      <c r="L755" s="902"/>
      <c r="M755" s="902"/>
      <c r="N755" s="902"/>
      <c r="O755" s="902"/>
      <c r="P755" s="902"/>
      <c r="Q755" s="902"/>
      <c r="R755" s="902"/>
      <c r="S755" s="902"/>
      <c r="T755" s="902"/>
      <c r="U755" s="902"/>
      <c r="V755" s="902"/>
      <c r="W755" s="902"/>
      <c r="X755" s="902"/>
      <c r="Y755" s="902"/>
      <c r="Z755" s="902"/>
      <c r="AA755" s="902"/>
      <c r="AB755" s="902"/>
      <c r="AC755" s="902"/>
    </row>
    <row r="756" spans="1:29" ht="14.95" hidden="1" customHeight="1" outlineLevel="1">
      <c r="A756" s="897" t="s">
        <v>948</v>
      </c>
      <c r="B756" s="898" t="s">
        <v>1628</v>
      </c>
      <c r="C756" s="898">
        <v>175</v>
      </c>
      <c r="D756" s="899">
        <v>700</v>
      </c>
      <c r="E756" s="1332"/>
      <c r="F756" s="899">
        <f>C756*1.3</f>
        <v>227.5</v>
      </c>
      <c r="G756" s="897">
        <v>1</v>
      </c>
      <c r="H756" s="979"/>
      <c r="I756" s="902"/>
      <c r="J756" s="902"/>
      <c r="K756" s="902"/>
      <c r="L756" s="902"/>
      <c r="M756" s="902"/>
      <c r="N756" s="902"/>
      <c r="O756" s="902"/>
      <c r="P756" s="902"/>
      <c r="Q756" s="902"/>
      <c r="R756" s="902"/>
      <c r="S756" s="902"/>
      <c r="T756" s="902"/>
      <c r="U756" s="902"/>
      <c r="V756" s="902"/>
      <c r="W756" s="902"/>
      <c r="X756" s="902"/>
      <c r="Y756" s="902"/>
      <c r="Z756" s="902"/>
      <c r="AA756" s="902"/>
      <c r="AB756" s="902"/>
      <c r="AC756" s="902"/>
    </row>
    <row r="757" spans="1:29" ht="14.95" hidden="1" customHeight="1" outlineLevel="1">
      <c r="A757" s="897" t="s">
        <v>1813</v>
      </c>
      <c r="B757" s="898" t="s">
        <v>505</v>
      </c>
      <c r="C757" s="898">
        <v>69</v>
      </c>
      <c r="D757" s="899">
        <v>600</v>
      </c>
      <c r="E757" s="1332"/>
      <c r="F757" s="899">
        <f>C757*1.3</f>
        <v>89.7</v>
      </c>
      <c r="G757" s="897">
        <v>1</v>
      </c>
      <c r="H757" s="979"/>
      <c r="I757" s="902"/>
      <c r="J757" s="902"/>
      <c r="K757" s="902"/>
      <c r="L757" s="902"/>
      <c r="M757" s="902"/>
      <c r="N757" s="902"/>
      <c r="O757" s="902"/>
      <c r="P757" s="902"/>
      <c r="Q757" s="902"/>
      <c r="R757" s="902"/>
      <c r="S757" s="902"/>
      <c r="T757" s="902"/>
      <c r="U757" s="902"/>
      <c r="V757" s="902"/>
      <c r="W757" s="902"/>
      <c r="X757" s="902"/>
      <c r="Y757" s="902"/>
      <c r="Z757" s="902"/>
      <c r="AA757" s="902"/>
      <c r="AB757" s="902"/>
      <c r="AC757" s="902"/>
    </row>
    <row r="758" spans="1:29" ht="14.95" hidden="1" customHeight="1" outlineLevel="1">
      <c r="A758" s="897" t="s">
        <v>1636</v>
      </c>
      <c r="B758" s="898" t="s">
        <v>198</v>
      </c>
      <c r="C758" s="898"/>
      <c r="D758" s="899"/>
      <c r="E758" s="1332"/>
      <c r="F758" s="899"/>
      <c r="G758" s="897">
        <v>1</v>
      </c>
      <c r="H758" s="979"/>
      <c r="I758" s="902"/>
      <c r="J758" s="902"/>
      <c r="K758" s="902"/>
      <c r="L758" s="902"/>
      <c r="M758" s="902"/>
      <c r="N758" s="902"/>
      <c r="O758" s="902"/>
      <c r="P758" s="902"/>
      <c r="Q758" s="902"/>
      <c r="R758" s="902"/>
      <c r="S758" s="902"/>
      <c r="T758" s="902"/>
      <c r="U758" s="902"/>
      <c r="V758" s="902"/>
      <c r="W758" s="902"/>
      <c r="X758" s="902"/>
      <c r="Y758" s="902"/>
      <c r="Z758" s="902"/>
      <c r="AA758" s="902"/>
      <c r="AB758" s="902"/>
      <c r="AC758" s="902"/>
    </row>
    <row r="759" spans="1:29" ht="16.3" hidden="1" outlineLevel="1" thickBot="1">
      <c r="A759" s="1172" t="s">
        <v>1608</v>
      </c>
      <c r="B759" s="958" t="s">
        <v>19</v>
      </c>
      <c r="C759" s="1179">
        <v>69</v>
      </c>
      <c r="D759" s="1314">
        <v>600</v>
      </c>
      <c r="E759" s="1357">
        <v>400</v>
      </c>
      <c r="F759" s="1322">
        <f>C759*1.3</f>
        <v>89.7</v>
      </c>
      <c r="G759" s="958">
        <v>1</v>
      </c>
      <c r="H759" s="895"/>
      <c r="I759" s="902"/>
      <c r="J759" s="897"/>
      <c r="K759" s="903"/>
      <c r="L759" s="899"/>
      <c r="M759" s="933"/>
      <c r="N759" s="933"/>
      <c r="O759" s="933"/>
      <c r="P759" s="933"/>
      <c r="Q759" s="933"/>
      <c r="R759" s="933"/>
      <c r="S759" s="933"/>
      <c r="T759" s="933"/>
      <c r="U759" s="933"/>
      <c r="V759" s="933"/>
      <c r="W759" s="902"/>
      <c r="X759" s="902"/>
      <c r="Y759" s="902"/>
      <c r="Z759" s="902"/>
      <c r="AA759" s="902"/>
      <c r="AB759" s="902"/>
      <c r="AC759" s="902"/>
    </row>
    <row r="760" spans="1:29" ht="13.95" hidden="1" customHeight="1" outlineLevel="1">
      <c r="A760" s="967" t="s">
        <v>1621</v>
      </c>
      <c r="B760" s="968" t="s">
        <v>2346</v>
      </c>
      <c r="C760" s="968">
        <v>175</v>
      </c>
      <c r="D760" s="1304">
        <v>400</v>
      </c>
      <c r="E760" s="1337">
        <v>400</v>
      </c>
      <c r="F760" s="1322">
        <f>C760*1.3</f>
        <v>227.5</v>
      </c>
      <c r="G760" s="969">
        <v>1</v>
      </c>
      <c r="H760" s="901"/>
      <c r="I760" s="902"/>
      <c r="J760" s="897"/>
      <c r="K760" s="903"/>
      <c r="L760" s="899">
        <f>E760-C760</f>
        <v>225</v>
      </c>
      <c r="M760" s="933"/>
      <c r="N760" s="933"/>
      <c r="O760" s="933"/>
      <c r="P760" s="933"/>
      <c r="Q760" s="933"/>
      <c r="R760" s="933"/>
      <c r="S760" s="933"/>
      <c r="T760" s="933"/>
      <c r="U760" s="933"/>
      <c r="V760" s="933"/>
      <c r="W760" s="902"/>
      <c r="X760" s="897"/>
      <c r="Y760" s="898"/>
      <c r="Z760" s="902"/>
      <c r="AA760" s="902"/>
      <c r="AB760" s="902"/>
      <c r="AC760" s="902"/>
    </row>
    <row r="761" spans="1:29" ht="14.95" hidden="1" customHeight="1" outlineLevel="1">
      <c r="B761" s="981"/>
      <c r="C761" s="910"/>
      <c r="D761" s="902"/>
      <c r="E761" s="1363"/>
      <c r="F761" s="980"/>
      <c r="G761" s="910"/>
      <c r="H761" s="979"/>
      <c r="I761" s="902"/>
      <c r="J761" s="902"/>
      <c r="K761" s="902"/>
      <c r="L761" s="902"/>
      <c r="M761" s="902"/>
      <c r="N761" s="902"/>
      <c r="O761" s="902"/>
      <c r="P761" s="902"/>
      <c r="Q761" s="902"/>
      <c r="R761" s="902"/>
      <c r="S761" s="902"/>
      <c r="T761" s="902"/>
      <c r="U761" s="902"/>
      <c r="V761" s="902"/>
      <c r="W761" s="902"/>
      <c r="X761" s="902"/>
      <c r="Y761" s="902"/>
      <c r="Z761" s="902"/>
      <c r="AA761" s="902"/>
      <c r="AB761" s="902"/>
      <c r="AC761" s="902"/>
    </row>
    <row r="762" spans="1:29" ht="16.3" hidden="1" outlineLevel="1" thickBot="1">
      <c r="A762" s="1172" t="s">
        <v>54</v>
      </c>
      <c r="B762" s="958" t="s">
        <v>54</v>
      </c>
      <c r="C762" s="1179">
        <v>1150</v>
      </c>
      <c r="D762" s="1314">
        <v>1900</v>
      </c>
      <c r="E762" s="1357">
        <v>1800</v>
      </c>
      <c r="F762" s="1322">
        <f t="shared" ref="F762:F767" si="58">C762*1.3</f>
        <v>1495</v>
      </c>
      <c r="G762" s="958">
        <v>1</v>
      </c>
      <c r="H762" s="901"/>
      <c r="I762" s="902"/>
      <c r="J762" s="897"/>
      <c r="K762" s="903"/>
      <c r="L762" s="899">
        <f>E762-C761</f>
        <v>1800</v>
      </c>
      <c r="M762" s="933"/>
      <c r="N762" s="933"/>
      <c r="O762" s="933"/>
      <c r="P762" s="933"/>
      <c r="Q762" s="933"/>
      <c r="R762" s="933"/>
      <c r="S762" s="933"/>
      <c r="T762" s="933"/>
      <c r="U762" s="933"/>
      <c r="V762" s="933"/>
      <c r="W762" s="902"/>
      <c r="X762" s="902"/>
      <c r="Y762" s="902"/>
      <c r="Z762" s="902"/>
      <c r="AA762" s="902"/>
      <c r="AB762" s="902"/>
      <c r="AC762" s="902"/>
    </row>
    <row r="763" spans="1:29" ht="16.3" hidden="1" outlineLevel="1" thickBot="1">
      <c r="A763" s="1172" t="s">
        <v>1531</v>
      </c>
      <c r="B763" s="958" t="s">
        <v>1531</v>
      </c>
      <c r="C763" s="1179">
        <v>1724.9999999999998</v>
      </c>
      <c r="D763" s="1314">
        <v>2900</v>
      </c>
      <c r="E763" s="1357">
        <v>2500</v>
      </c>
      <c r="F763" s="1322">
        <f t="shared" si="58"/>
        <v>2242.5</v>
      </c>
      <c r="G763" s="958">
        <v>1</v>
      </c>
      <c r="H763" s="895"/>
      <c r="I763" s="902"/>
      <c r="J763" s="897"/>
      <c r="K763" s="903"/>
      <c r="L763" s="899"/>
      <c r="M763" s="933"/>
      <c r="N763" s="933"/>
      <c r="O763" s="933"/>
      <c r="P763" s="933"/>
      <c r="Q763" s="933"/>
      <c r="R763" s="933"/>
      <c r="S763" s="933"/>
      <c r="T763" s="933"/>
      <c r="U763" s="933"/>
      <c r="V763" s="933"/>
      <c r="W763" s="902"/>
      <c r="X763" s="902"/>
      <c r="Y763" s="902"/>
      <c r="Z763" s="902"/>
      <c r="AA763" s="902"/>
      <c r="AB763" s="902"/>
      <c r="AC763" s="902"/>
    </row>
    <row r="764" spans="1:29" ht="14.95" hidden="1" customHeight="1" outlineLevel="1">
      <c r="A764" s="897" t="s">
        <v>1503</v>
      </c>
      <c r="B764" s="932" t="s">
        <v>2753</v>
      </c>
      <c r="C764" s="932">
        <v>4485</v>
      </c>
      <c r="D764" s="930">
        <v>6500</v>
      </c>
      <c r="E764" s="1346">
        <v>6000</v>
      </c>
      <c r="F764" s="1322">
        <f t="shared" si="58"/>
        <v>5830.5</v>
      </c>
      <c r="G764" s="897">
        <v>1</v>
      </c>
      <c r="H764" s="929"/>
      <c r="I764" s="912"/>
      <c r="J764" s="960"/>
      <c r="K764" s="912"/>
      <c r="L764" s="930"/>
      <c r="M764" s="930"/>
      <c r="N764" s="904"/>
      <c r="O764" s="931"/>
      <c r="P764" s="930"/>
      <c r="Q764" s="930"/>
      <c r="R764" s="932"/>
      <c r="S764" s="930"/>
      <c r="T764" s="930"/>
      <c r="U764" s="904"/>
      <c r="V764" s="931"/>
      <c r="W764" s="933"/>
      <c r="X764" s="897"/>
      <c r="Y764" s="932"/>
      <c r="Z764" s="902"/>
      <c r="AA764" s="902"/>
      <c r="AB764" s="902"/>
      <c r="AC764" s="902"/>
    </row>
    <row r="765" spans="1:29" ht="14.95" hidden="1" customHeight="1" outlineLevel="1">
      <c r="A765" s="897" t="s">
        <v>1637</v>
      </c>
      <c r="B765" s="932" t="s">
        <v>411</v>
      </c>
      <c r="C765" s="932">
        <v>16900</v>
      </c>
      <c r="D765" s="930">
        <v>24500</v>
      </c>
      <c r="E765" s="1346">
        <v>22900</v>
      </c>
      <c r="F765" s="1322">
        <f t="shared" si="58"/>
        <v>21970</v>
      </c>
      <c r="G765" s="897">
        <v>5</v>
      </c>
      <c r="H765" s="929"/>
      <c r="I765" s="912"/>
      <c r="J765" s="960"/>
      <c r="K765" s="912"/>
      <c r="L765" s="930"/>
      <c r="M765" s="930"/>
      <c r="N765" s="904" t="str">
        <f>IF(OR(L765="x", M765="x"), B765 &amp; "; ", "")</f>
        <v/>
      </c>
      <c r="O765" s="931" t="str">
        <f>IF(OR(L765="x", M765="x"), A765 &amp; "     /     ", "")</f>
        <v/>
      </c>
      <c r="P765" s="930" t="s">
        <v>411</v>
      </c>
      <c r="Q765" s="930" t="s">
        <v>2450</v>
      </c>
      <c r="R765" s="932" t="s">
        <v>2452</v>
      </c>
      <c r="S765" s="930" t="s">
        <v>551</v>
      </c>
      <c r="T765" s="930" t="str">
        <f>IF(OR(L765="x", M765="x"), S765,"")</f>
        <v/>
      </c>
      <c r="U765" s="904"/>
      <c r="V765" s="931"/>
      <c r="W765" s="933"/>
      <c r="X765" s="897"/>
      <c r="Y765" s="932"/>
      <c r="Z765" s="902"/>
      <c r="AA765" s="902"/>
      <c r="AB765" s="902"/>
      <c r="AC765" s="902"/>
    </row>
    <row r="766" spans="1:29" ht="16.3" hidden="1" outlineLevel="1" thickBot="1">
      <c r="A766" s="1172" t="s">
        <v>1566</v>
      </c>
      <c r="B766" s="958" t="s">
        <v>48</v>
      </c>
      <c r="C766" s="1179">
        <v>8000</v>
      </c>
      <c r="D766" s="1314">
        <v>10200</v>
      </c>
      <c r="E766" s="1357">
        <v>10200</v>
      </c>
      <c r="F766" s="1322">
        <f t="shared" si="58"/>
        <v>10400</v>
      </c>
      <c r="G766" s="958">
        <v>3</v>
      </c>
      <c r="H766" s="895"/>
      <c r="I766" s="902"/>
      <c r="J766" s="897"/>
      <c r="K766" s="903"/>
      <c r="L766" s="899"/>
      <c r="M766" s="933"/>
      <c r="N766" s="933" t="str">
        <f>IF(OR(L766="x", M766="x"), B766 &amp; "; ", "")</f>
        <v/>
      </c>
      <c r="O766" s="933" t="str">
        <f>IF(OR(L766="x", M766="x"), A766 &amp; "     /     ", "")</f>
        <v/>
      </c>
      <c r="P766" s="933" t="s">
        <v>48</v>
      </c>
      <c r="Q766" s="933" t="s">
        <v>2450</v>
      </c>
      <c r="R766" s="933" t="s">
        <v>2512</v>
      </c>
      <c r="S766" s="933" t="s">
        <v>551</v>
      </c>
      <c r="T766" s="933" t="str">
        <f>IF(OR(L766="x", M766="x"), S766,"")</f>
        <v/>
      </c>
      <c r="U766" s="933"/>
      <c r="V766" s="933"/>
      <c r="W766" s="902"/>
      <c r="X766" s="902"/>
      <c r="Y766" s="902"/>
      <c r="Z766" s="902"/>
      <c r="AA766" s="902"/>
      <c r="AB766" s="902"/>
      <c r="AC766" s="902"/>
    </row>
    <row r="767" spans="1:29" ht="16.3" hidden="1" outlineLevel="1" thickBot="1">
      <c r="A767" s="1209" t="s">
        <v>1704</v>
      </c>
      <c r="B767" s="962" t="s">
        <v>793</v>
      </c>
      <c r="C767" s="1210">
        <v>10350</v>
      </c>
      <c r="D767" s="1321">
        <v>13300</v>
      </c>
      <c r="E767" s="1366">
        <v>13300</v>
      </c>
      <c r="F767" s="1323">
        <f t="shared" si="58"/>
        <v>13455</v>
      </c>
      <c r="G767" s="962">
        <v>3</v>
      </c>
      <c r="H767" s="895"/>
      <c r="I767" s="902"/>
      <c r="J767" s="897"/>
      <c r="K767" s="903"/>
      <c r="L767" s="899"/>
      <c r="M767" s="933"/>
      <c r="N767" s="933" t="str">
        <f>IF(OR(L767="x", M767="x"), B767 &amp; "; ", "")</f>
        <v/>
      </c>
      <c r="O767" s="933" t="str">
        <f>IF(OR(L767="x", M767="x"), A767 &amp; "     /     ", "")</f>
        <v/>
      </c>
      <c r="P767" s="933" t="s">
        <v>793</v>
      </c>
      <c r="Q767" s="933" t="s">
        <v>2450</v>
      </c>
      <c r="R767" s="933" t="s">
        <v>2452</v>
      </c>
      <c r="S767" s="933" t="s">
        <v>551</v>
      </c>
      <c r="T767" s="933" t="str">
        <f>IF(OR(L767="x", M767="x"), S767,"")</f>
        <v/>
      </c>
      <c r="U767" s="933"/>
      <c r="V767" s="933"/>
      <c r="W767" s="902"/>
      <c r="X767" s="902"/>
      <c r="Y767" s="902"/>
      <c r="Z767" s="902"/>
      <c r="AA767" s="902"/>
      <c r="AB767" s="902"/>
      <c r="AC767" s="902"/>
    </row>
    <row r="768" spans="1:29" ht="16.3" collapsed="1" thickBot="1">
      <c r="A768" s="1015" t="s">
        <v>5975</v>
      </c>
      <c r="B768" s="1193" t="s">
        <v>490</v>
      </c>
      <c r="C768" s="1213">
        <f>SUM(C769:C772)</f>
        <v>22080</v>
      </c>
      <c r="D768" s="1213">
        <f>SUM(D769:D772)</f>
        <v>30800</v>
      </c>
      <c r="E768" s="1367">
        <v>29000</v>
      </c>
      <c r="F768" s="1213">
        <f>SUM(F769:F772)</f>
        <v>28704</v>
      </c>
      <c r="G768" s="894" t="s">
        <v>5976</v>
      </c>
      <c r="H768" s="895"/>
      <c r="I768" s="902" t="str">
        <f>IF(H768="x",CONCATENATE(A768,"; "),"")</f>
        <v/>
      </c>
      <c r="J768" s="897"/>
      <c r="K768" s="903"/>
      <c r="L768" s="899" t="e">
        <f>#REF!-#REF!</f>
        <v>#REF!</v>
      </c>
      <c r="M768" s="933"/>
      <c r="N768" s="933"/>
      <c r="O768" s="933"/>
      <c r="P768" s="933"/>
      <c r="Q768" s="933"/>
      <c r="R768" s="933"/>
      <c r="S768" s="933"/>
      <c r="T768" s="933"/>
      <c r="U768" s="933"/>
      <c r="V768" s="933"/>
      <c r="W768" s="902"/>
      <c r="X768" s="902"/>
      <c r="Y768" s="902"/>
      <c r="Z768" s="902"/>
      <c r="AA768" s="902"/>
      <c r="AB768" s="902"/>
      <c r="AC768" s="902"/>
    </row>
    <row r="769" spans="1:29" hidden="1" outlineLevel="1">
      <c r="A769" s="1214" t="s">
        <v>1805</v>
      </c>
      <c r="B769" s="1214" t="s">
        <v>849</v>
      </c>
      <c r="C769" s="1211">
        <v>4830</v>
      </c>
      <c r="D769" s="1211">
        <v>6500</v>
      </c>
      <c r="E769" s="1368"/>
      <c r="F769" s="1212">
        <f>C769*1.3</f>
        <v>6279</v>
      </c>
      <c r="G769" s="944">
        <v>3</v>
      </c>
      <c r="H769" s="895"/>
      <c r="I769" s="902"/>
      <c r="J769" s="897"/>
      <c r="K769" s="903"/>
      <c r="L769" s="899">
        <f>E768-C768</f>
        <v>6920</v>
      </c>
      <c r="M769" s="933"/>
      <c r="N769" s="933"/>
      <c r="O769" s="933"/>
      <c r="P769" s="933"/>
      <c r="Q769" s="933"/>
      <c r="R769" s="933"/>
      <c r="S769" s="933"/>
      <c r="T769" s="933"/>
      <c r="U769" s="933"/>
      <c r="V769" s="933"/>
      <c r="W769" s="902"/>
      <c r="X769" s="902"/>
      <c r="Y769" s="902"/>
      <c r="Z769" s="902"/>
      <c r="AA769" s="902"/>
      <c r="AB769" s="902"/>
      <c r="AC769" s="902"/>
    </row>
    <row r="770" spans="1:29" hidden="1" outlineLevel="1">
      <c r="A770" s="944" t="s">
        <v>1740</v>
      </c>
      <c r="B770" s="944" t="s">
        <v>820</v>
      </c>
      <c r="C770" s="1030">
        <v>4024.9999999999995</v>
      </c>
      <c r="D770" s="1030">
        <v>5500</v>
      </c>
      <c r="E770" s="1369"/>
      <c r="F770" s="1212">
        <f>C770*1.3</f>
        <v>5232.5</v>
      </c>
      <c r="G770" s="944">
        <v>5</v>
      </c>
      <c r="H770" s="895"/>
      <c r="I770" s="902"/>
      <c r="J770" s="897"/>
      <c r="K770" s="903"/>
      <c r="L770" s="899">
        <f>E769-C769</f>
        <v>-4830</v>
      </c>
      <c r="M770" s="933"/>
      <c r="N770" s="933"/>
      <c r="O770" s="933"/>
      <c r="P770" s="933"/>
      <c r="Q770" s="933"/>
      <c r="R770" s="933"/>
      <c r="S770" s="933"/>
      <c r="T770" s="933"/>
      <c r="U770" s="933"/>
      <c r="V770" s="933"/>
      <c r="W770" s="902"/>
      <c r="X770" s="902"/>
      <c r="Y770" s="902"/>
      <c r="Z770" s="902"/>
      <c r="AA770" s="902"/>
      <c r="AB770" s="902"/>
      <c r="AC770" s="902"/>
    </row>
    <row r="771" spans="1:29" ht="13.95" hidden="1" customHeight="1" outlineLevel="1">
      <c r="A771" s="944" t="s">
        <v>1502</v>
      </c>
      <c r="B771" s="944" t="s">
        <v>651</v>
      </c>
      <c r="C771" s="1030">
        <v>4024.9999999999995</v>
      </c>
      <c r="D771" s="1030">
        <v>6800</v>
      </c>
      <c r="E771" s="1369"/>
      <c r="F771" s="1212">
        <f>C771*1.3</f>
        <v>5232.5</v>
      </c>
      <c r="G771" s="1202">
        <v>3</v>
      </c>
      <c r="H771" s="895"/>
      <c r="I771" s="902"/>
      <c r="J771" s="897"/>
      <c r="K771" s="903"/>
      <c r="L771" s="899">
        <f>E770-C770</f>
        <v>-4024.9999999999995</v>
      </c>
      <c r="M771" s="933"/>
      <c r="N771" s="933"/>
      <c r="O771" s="933"/>
      <c r="P771" s="933"/>
      <c r="Q771" s="933"/>
      <c r="R771" s="933"/>
      <c r="S771" s="933"/>
      <c r="T771" s="933"/>
      <c r="U771" s="933"/>
      <c r="V771" s="933"/>
      <c r="W771" s="902"/>
      <c r="X771" s="902"/>
      <c r="Y771" s="902"/>
      <c r="Z771" s="902"/>
      <c r="AA771" s="902"/>
      <c r="AB771" s="902"/>
      <c r="AC771" s="902"/>
    </row>
    <row r="772" spans="1:29" ht="13.95" hidden="1" customHeight="1" outlineLevel="1">
      <c r="A772" s="1202" t="s">
        <v>1558</v>
      </c>
      <c r="B772" s="1202" t="s">
        <v>703</v>
      </c>
      <c r="C772" s="1203">
        <v>9200</v>
      </c>
      <c r="D772" s="1203">
        <v>12000</v>
      </c>
      <c r="E772" s="1370"/>
      <c r="F772" s="1212">
        <f>C772*1.3</f>
        <v>11960</v>
      </c>
      <c r="G772" s="900">
        <v>5</v>
      </c>
      <c r="H772" s="895"/>
      <c r="I772" s="902"/>
      <c r="J772" s="897"/>
      <c r="K772" s="903"/>
      <c r="L772" s="899">
        <f>E771-C771</f>
        <v>-4024.9999999999995</v>
      </c>
      <c r="M772" s="902"/>
      <c r="N772" s="902"/>
      <c r="O772" s="902"/>
      <c r="P772" s="902"/>
      <c r="Q772" s="902"/>
      <c r="R772" s="902"/>
      <c r="S772" s="902"/>
      <c r="T772" s="902"/>
      <c r="U772" s="902"/>
      <c r="V772" s="902"/>
      <c r="W772" s="902"/>
      <c r="X772" s="902"/>
      <c r="Y772" s="902"/>
      <c r="Z772" s="902"/>
      <c r="AA772" s="902"/>
      <c r="AB772" s="902"/>
      <c r="AC772" s="902"/>
    </row>
    <row r="773" spans="1:29" hidden="1" outlineLevel="1">
      <c r="A773" s="902"/>
      <c r="B773" s="898"/>
      <c r="D773" s="902"/>
      <c r="E773" s="1371"/>
      <c r="F773" s="902"/>
      <c r="H773" s="895"/>
      <c r="I773" s="902"/>
      <c r="J773" s="897"/>
      <c r="K773" s="903"/>
      <c r="L773" s="899">
        <f>E772-C772</f>
        <v>-9200</v>
      </c>
      <c r="M773" s="902"/>
      <c r="N773" s="902"/>
      <c r="O773" s="902"/>
      <c r="P773" s="902"/>
      <c r="Q773" s="902"/>
      <c r="R773" s="902"/>
      <c r="S773" s="902"/>
      <c r="T773" s="902"/>
      <c r="U773" s="902"/>
      <c r="V773" s="902"/>
      <c r="W773" s="902"/>
      <c r="X773" s="902"/>
      <c r="Y773" s="902"/>
      <c r="Z773" s="902"/>
      <c r="AA773" s="902"/>
      <c r="AB773" s="902"/>
      <c r="AC773" s="902"/>
    </row>
    <row r="774" spans="1:29" ht="16.3" hidden="1" outlineLevel="1" thickBot="1">
      <c r="A774" s="902"/>
      <c r="B774" s="898"/>
      <c r="C774" s="898"/>
      <c r="D774" s="899"/>
      <c r="E774" s="1335"/>
      <c r="F774" s="899"/>
      <c r="G774" s="900"/>
      <c r="H774" s="895"/>
      <c r="I774" s="902"/>
      <c r="J774" s="897"/>
      <c r="K774" s="903"/>
      <c r="L774" s="899">
        <f t="shared" ref="L774:L783" si="59">E774-C774</f>
        <v>0</v>
      </c>
      <c r="M774" s="902"/>
      <c r="N774" s="902"/>
      <c r="O774" s="902"/>
      <c r="P774" s="902"/>
      <c r="Q774" s="902"/>
      <c r="R774" s="902"/>
      <c r="S774" s="902"/>
      <c r="T774" s="902"/>
      <c r="U774" s="902"/>
      <c r="V774" s="902"/>
      <c r="W774" s="902"/>
      <c r="X774" s="902"/>
      <c r="Y774" s="902"/>
      <c r="Z774" s="902"/>
      <c r="AA774" s="902"/>
      <c r="AB774" s="902"/>
      <c r="AC774" s="902"/>
    </row>
    <row r="775" spans="1:29" ht="16.3" collapsed="1" thickBot="1">
      <c r="A775" s="1014" t="s">
        <v>5977</v>
      </c>
      <c r="B775" s="1195"/>
      <c r="C775" s="1219">
        <f>SUM(C776:C781)</f>
        <v>33810</v>
      </c>
      <c r="D775" s="1219">
        <f>SUM(D776:D781)</f>
        <v>46200</v>
      </c>
      <c r="E775" s="1362">
        <v>41000</v>
      </c>
      <c r="F775" s="1219">
        <f>SUM(F776:F781)</f>
        <v>43953</v>
      </c>
      <c r="G775" s="909" t="s">
        <v>5976</v>
      </c>
      <c r="H775" s="895"/>
      <c r="I775" s="902" t="str">
        <f>IF(H775="x",CONCATENATE(A775,"; "),"")</f>
        <v/>
      </c>
      <c r="J775" s="897"/>
      <c r="K775" s="903"/>
      <c r="L775" s="899">
        <f t="shared" si="59"/>
        <v>7190</v>
      </c>
      <c r="M775" s="902"/>
      <c r="N775" s="902"/>
      <c r="O775" s="902"/>
      <c r="P775" s="902"/>
      <c r="Q775" s="902"/>
      <c r="R775" s="902"/>
      <c r="S775" s="902"/>
      <c r="T775" s="902"/>
      <c r="U775" s="902"/>
      <c r="V775" s="902"/>
      <c r="W775" s="902"/>
      <c r="X775" s="902"/>
      <c r="Y775" s="902"/>
      <c r="Z775" s="902"/>
      <c r="AA775" s="902"/>
      <c r="AB775" s="902"/>
      <c r="AC775" s="902"/>
    </row>
    <row r="776" spans="1:29" ht="16.3" hidden="1" outlineLevel="1" thickBot="1">
      <c r="A776" s="1214" t="s">
        <v>1805</v>
      </c>
      <c r="B776" s="1214" t="s">
        <v>849</v>
      </c>
      <c r="C776" s="1211">
        <v>4830</v>
      </c>
      <c r="D776" s="1211">
        <v>6500</v>
      </c>
      <c r="E776" s="1372"/>
      <c r="F776" s="1212">
        <f t="shared" ref="F776:F781" si="60">C776*1.3</f>
        <v>6279</v>
      </c>
      <c r="G776" s="1218">
        <v>3</v>
      </c>
      <c r="H776" s="901"/>
      <c r="I776" s="902"/>
      <c r="J776" s="897"/>
      <c r="K776" s="903"/>
      <c r="L776" s="899">
        <f t="shared" si="59"/>
        <v>-4830</v>
      </c>
      <c r="M776" s="903" t="s">
        <v>463</v>
      </c>
      <c r="N776" s="903" t="s">
        <v>495</v>
      </c>
      <c r="O776" s="903"/>
      <c r="P776" s="902"/>
      <c r="Q776" s="902"/>
      <c r="R776" s="902">
        <f>(COUNTIF(L776:L782,"&lt;&gt;0"))+IF(H775="x",1,0)</f>
        <v>6</v>
      </c>
      <c r="S776" s="903" t="s">
        <v>510</v>
      </c>
      <c r="T776" s="902"/>
      <c r="U776" s="902"/>
      <c r="V776" s="902"/>
      <c r="W776" s="902"/>
      <c r="X776" s="902"/>
      <c r="Y776" s="902"/>
      <c r="Z776" s="902"/>
      <c r="AA776" s="902"/>
      <c r="AB776" s="902"/>
      <c r="AC776" s="902"/>
    </row>
    <row r="777" spans="1:29" ht="16.3" hidden="1" outlineLevel="1" thickBot="1">
      <c r="A777" s="944" t="s">
        <v>1740</v>
      </c>
      <c r="B777" s="944" t="s">
        <v>820</v>
      </c>
      <c r="C777" s="1030">
        <v>4024.9999999999995</v>
      </c>
      <c r="D777" s="1030">
        <v>5500</v>
      </c>
      <c r="E777" s="1370"/>
      <c r="F777" s="1212">
        <f t="shared" si="60"/>
        <v>5232.5</v>
      </c>
      <c r="G777" s="944">
        <v>5</v>
      </c>
      <c r="H777" s="901"/>
      <c r="I777" s="902"/>
      <c r="J777" s="897"/>
      <c r="K777" s="903"/>
      <c r="L777" s="899">
        <f t="shared" si="59"/>
        <v>-4024.9999999999995</v>
      </c>
      <c r="M777" s="903" t="s">
        <v>487</v>
      </c>
      <c r="N777" s="903" t="s">
        <v>523</v>
      </c>
      <c r="O777" s="903"/>
      <c r="P777" s="902"/>
      <c r="Q777" s="902"/>
      <c r="R777" s="902">
        <f>COUNTIF(L783:L783,"&lt;&gt;0")</f>
        <v>0</v>
      </c>
      <c r="S777" s="903" t="s">
        <v>511</v>
      </c>
      <c r="T777" s="902"/>
      <c r="U777" s="902"/>
      <c r="V777" s="902"/>
      <c r="W777" s="902"/>
      <c r="X777" s="902"/>
      <c r="Y777" s="902"/>
      <c r="Z777" s="902"/>
      <c r="AA777" s="902"/>
      <c r="AB777" s="902"/>
      <c r="AC777" s="902"/>
    </row>
    <row r="778" spans="1:29" ht="15.65" hidden="1" customHeight="1" outlineLevel="1">
      <c r="A778" s="944" t="s">
        <v>1502</v>
      </c>
      <c r="B778" s="944" t="s">
        <v>651</v>
      </c>
      <c r="C778" s="1030">
        <v>4024.9999999999995</v>
      </c>
      <c r="D778" s="1030">
        <v>6800</v>
      </c>
      <c r="E778" s="1370"/>
      <c r="F778" s="1212">
        <f t="shared" si="60"/>
        <v>5232.5</v>
      </c>
      <c r="G778" s="944">
        <v>3</v>
      </c>
      <c r="H778" s="901"/>
      <c r="I778" s="902"/>
      <c r="J778" s="897"/>
      <c r="K778" s="903"/>
      <c r="L778" s="899">
        <f t="shared" si="59"/>
        <v>-4024.9999999999995</v>
      </c>
      <c r="M778" s="903"/>
      <c r="N778" s="903"/>
      <c r="O778" s="903"/>
      <c r="P778" s="902"/>
      <c r="Q778" s="902"/>
      <c r="R778" s="902"/>
      <c r="S778" s="903"/>
      <c r="T778" s="902"/>
      <c r="U778" s="902"/>
      <c r="V778" s="902"/>
      <c r="W778" s="902"/>
      <c r="X778" s="902"/>
      <c r="Y778" s="902"/>
      <c r="Z778" s="902"/>
      <c r="AA778" s="902"/>
      <c r="AB778" s="902"/>
      <c r="AC778" s="902"/>
    </row>
    <row r="779" spans="1:29" ht="16.3" hidden="1" outlineLevel="1" thickBot="1">
      <c r="A779" s="1202" t="s">
        <v>1558</v>
      </c>
      <c r="B779" s="1202" t="s">
        <v>703</v>
      </c>
      <c r="C779" s="1203">
        <v>9200</v>
      </c>
      <c r="D779" s="1203">
        <v>12000</v>
      </c>
      <c r="E779" s="1370"/>
      <c r="F779" s="1212">
        <f t="shared" si="60"/>
        <v>11960</v>
      </c>
      <c r="G779" s="1215">
        <v>5</v>
      </c>
      <c r="H779" s="901"/>
      <c r="I779" s="902"/>
      <c r="J779" s="897"/>
      <c r="K779" s="903"/>
      <c r="L779" s="899">
        <f t="shared" si="59"/>
        <v>-9200</v>
      </c>
      <c r="M779" s="903" t="s">
        <v>465</v>
      </c>
      <c r="N779" s="903" t="s">
        <v>523</v>
      </c>
      <c r="O779" s="903"/>
      <c r="P779" s="902"/>
      <c r="Q779" s="902"/>
      <c r="R779" s="902" t="e">
        <f>COUNTIF(#REF!,"&lt;&gt;0")</f>
        <v>#REF!</v>
      </c>
      <c r="S779" s="903" t="s">
        <v>512</v>
      </c>
      <c r="T779" s="902"/>
      <c r="U779" s="902"/>
      <c r="V779" s="902"/>
      <c r="W779" s="902"/>
      <c r="X779" s="902"/>
      <c r="Y779" s="902"/>
      <c r="Z779" s="902"/>
      <c r="AA779" s="902"/>
      <c r="AB779" s="902"/>
      <c r="AC779" s="902"/>
    </row>
    <row r="780" spans="1:29" ht="16.3" hidden="1" outlineLevel="1" thickBot="1">
      <c r="A780" s="1202" t="s">
        <v>1723</v>
      </c>
      <c r="B780" s="1202" t="s">
        <v>807</v>
      </c>
      <c r="C780" s="1203">
        <v>5405</v>
      </c>
      <c r="D780" s="1203">
        <v>7000</v>
      </c>
      <c r="E780" s="1370"/>
      <c r="F780" s="1212">
        <f t="shared" si="60"/>
        <v>7026.5</v>
      </c>
      <c r="G780" s="1215">
        <v>5</v>
      </c>
      <c r="H780" s="901"/>
      <c r="I780" s="902"/>
      <c r="J780" s="897"/>
      <c r="K780" s="903"/>
      <c r="L780" s="899">
        <f t="shared" si="59"/>
        <v>-5405</v>
      </c>
      <c r="M780" s="903" t="s">
        <v>467</v>
      </c>
      <c r="N780" s="903" t="s">
        <v>523</v>
      </c>
      <c r="O780" s="903"/>
      <c r="P780" s="902"/>
      <c r="Q780" s="902"/>
      <c r="R780" s="902" t="e">
        <f>COUNTIF(#REF!,"&lt;&gt;0")</f>
        <v>#REF!</v>
      </c>
      <c r="S780" s="903" t="s">
        <v>514</v>
      </c>
      <c r="T780" s="902"/>
      <c r="U780" s="902"/>
      <c r="V780" s="902"/>
      <c r="W780" s="902"/>
      <c r="X780" s="902"/>
      <c r="Y780" s="902"/>
      <c r="Z780" s="902"/>
      <c r="AA780" s="902"/>
      <c r="AB780" s="902"/>
      <c r="AC780" s="902"/>
    </row>
    <row r="781" spans="1:29" ht="16.3" hidden="1" outlineLevel="1" thickBot="1">
      <c r="A781" s="1220" t="s">
        <v>1823</v>
      </c>
      <c r="B781" s="1220" t="s">
        <v>860</v>
      </c>
      <c r="C781" s="1216">
        <v>6324.9999999999991</v>
      </c>
      <c r="D781" s="1216">
        <v>8400</v>
      </c>
      <c r="E781" s="1370"/>
      <c r="F781" s="1212">
        <f t="shared" si="60"/>
        <v>8222.5</v>
      </c>
      <c r="G781" s="1217">
        <v>5</v>
      </c>
      <c r="H781" s="901"/>
      <c r="I781" s="902"/>
      <c r="J781" s="897"/>
      <c r="K781" s="903"/>
      <c r="L781" s="899">
        <f t="shared" si="59"/>
        <v>-6324.9999999999991</v>
      </c>
      <c r="M781" s="903" t="s">
        <v>472</v>
      </c>
      <c r="N781" s="903" t="s">
        <v>523</v>
      </c>
      <c r="O781" s="903"/>
      <c r="P781" s="902"/>
      <c r="Q781" s="902"/>
      <c r="R781" s="902" t="e">
        <f>COUNTIF(#REF!,"&lt;&gt;0")</f>
        <v>#REF!</v>
      </c>
      <c r="S781" s="903" t="s">
        <v>513</v>
      </c>
      <c r="T781" s="902"/>
      <c r="U781" s="902"/>
      <c r="V781" s="902"/>
      <c r="W781" s="902"/>
      <c r="X781" s="902"/>
      <c r="Y781" s="902"/>
      <c r="Z781" s="902"/>
      <c r="AA781" s="902"/>
      <c r="AB781" s="902"/>
      <c r="AC781" s="902"/>
    </row>
    <row r="782" spans="1:29" ht="16.3" hidden="1" outlineLevel="1" thickBot="1">
      <c r="A782" s="897"/>
      <c r="B782" s="898"/>
      <c r="C782" s="898"/>
      <c r="D782" s="899"/>
      <c r="E782" s="1335"/>
      <c r="F782" s="899"/>
      <c r="G782" s="900"/>
      <c r="H782" s="901"/>
      <c r="I782" s="902"/>
      <c r="J782" s="897"/>
      <c r="K782" s="903"/>
      <c r="L782" s="899">
        <f t="shared" si="59"/>
        <v>0</v>
      </c>
      <c r="M782" s="903" t="s">
        <v>485</v>
      </c>
      <c r="N782" s="903" t="s">
        <v>523</v>
      </c>
      <c r="O782" s="903"/>
      <c r="P782" s="902"/>
      <c r="Q782" s="902"/>
      <c r="R782" s="902" t="e">
        <f>COUNTIF(#REF!,"&lt;&gt;0")</f>
        <v>#REF!</v>
      </c>
      <c r="S782" s="903" t="s">
        <v>515</v>
      </c>
      <c r="T782" s="902"/>
      <c r="U782" s="902"/>
      <c r="V782" s="902"/>
      <c r="W782" s="902"/>
      <c r="X782" s="902"/>
      <c r="Y782" s="902"/>
      <c r="Z782" s="902"/>
      <c r="AA782" s="902"/>
      <c r="AB782" s="902"/>
      <c r="AC782" s="902"/>
    </row>
    <row r="783" spans="1:29" ht="16.3" hidden="1" outlineLevel="1" thickBot="1">
      <c r="A783" s="897"/>
      <c r="B783" s="898"/>
      <c r="C783" s="898"/>
      <c r="D783" s="899"/>
      <c r="E783" s="1335"/>
      <c r="F783" s="899"/>
      <c r="G783" s="900"/>
      <c r="H783" s="901"/>
      <c r="I783" s="902"/>
      <c r="J783" s="897"/>
      <c r="K783" s="903"/>
      <c r="L783" s="899">
        <f t="shared" si="59"/>
        <v>0</v>
      </c>
      <c r="M783" s="903" t="s">
        <v>464</v>
      </c>
      <c r="N783" s="903" t="s">
        <v>497</v>
      </c>
      <c r="O783" s="903"/>
      <c r="P783" s="902"/>
      <c r="Q783" s="902"/>
      <c r="R783" s="902" t="e">
        <f>COUNTIF(#REF!,"&lt;&gt;0")</f>
        <v>#REF!</v>
      </c>
      <c r="S783" s="903" t="s">
        <v>516</v>
      </c>
      <c r="T783" s="902"/>
      <c r="U783" s="902"/>
      <c r="V783" s="902"/>
      <c r="W783" s="902"/>
      <c r="X783" s="902"/>
      <c r="Y783" s="902"/>
      <c r="Z783" s="902"/>
      <c r="AA783" s="902"/>
      <c r="AB783" s="902"/>
      <c r="AC783" s="902"/>
    </row>
    <row r="784" spans="1:29" ht="16.3" collapsed="1" thickBot="1">
      <c r="A784" s="1015" t="s">
        <v>5978</v>
      </c>
      <c r="B784" s="1193"/>
      <c r="C784" s="1213">
        <f>SUM(C785:C793)</f>
        <v>1389</v>
      </c>
      <c r="D784" s="1213">
        <f>SUM(D785:D793)</f>
        <v>5750</v>
      </c>
      <c r="E784" s="1367">
        <v>4500</v>
      </c>
      <c r="F784" s="1213">
        <f>SUM(F785:F793)</f>
        <v>1805.7</v>
      </c>
      <c r="G784" s="1227">
        <v>1</v>
      </c>
      <c r="H784" s="895"/>
      <c r="I784" s="902" t="str">
        <f>IF(H784="x",CONCATENATE(A784,"; "),"")</f>
        <v/>
      </c>
      <c r="J784" s="897"/>
      <c r="K784" s="903"/>
      <c r="L784" s="899">
        <f t="shared" ref="L784:L795" si="61">E784-C784</f>
        <v>3111</v>
      </c>
      <c r="M784" s="902"/>
      <c r="N784" s="902"/>
      <c r="O784" s="902"/>
      <c r="P784" s="902"/>
      <c r="Q784" s="902"/>
      <c r="R784" s="902"/>
      <c r="S784" s="902"/>
      <c r="T784" s="902"/>
      <c r="U784" s="902"/>
      <c r="V784" s="902"/>
      <c r="W784" s="902"/>
      <c r="X784" s="902"/>
      <c r="Y784" s="902"/>
      <c r="Z784" s="902"/>
      <c r="AA784" s="902"/>
      <c r="AB784" s="902"/>
      <c r="AC784" s="902"/>
    </row>
    <row r="785" spans="1:29" s="935" customFormat="1" hidden="1" outlineLevel="1">
      <c r="A785" s="1214" t="s">
        <v>684</v>
      </c>
      <c r="B785" s="1214" t="s">
        <v>1538</v>
      </c>
      <c r="C785" s="1211">
        <v>69</v>
      </c>
      <c r="D785" s="1211">
        <v>200</v>
      </c>
      <c r="E785" s="1373"/>
      <c r="F785" s="1212">
        <f t="shared" ref="F785:F793" si="62">C785*1.3</f>
        <v>89.7</v>
      </c>
      <c r="G785" s="1214">
        <v>1</v>
      </c>
      <c r="H785" s="1224"/>
      <c r="I785" s="903"/>
      <c r="J785" s="1225"/>
      <c r="K785" s="903"/>
      <c r="L785" s="934">
        <f t="shared" si="61"/>
        <v>-69</v>
      </c>
      <c r="M785" s="903" t="s">
        <v>463</v>
      </c>
      <c r="N785" s="903" t="s">
        <v>495</v>
      </c>
      <c r="O785" s="903"/>
      <c r="P785" s="903"/>
      <c r="Q785" s="903"/>
      <c r="R785" s="903">
        <f>(COUNTIF(L785:L790,"&lt;&gt;0"))+IF(H784="x",1,0)</f>
        <v>6</v>
      </c>
      <c r="S785" s="903" t="s">
        <v>510</v>
      </c>
      <c r="T785" s="903"/>
      <c r="U785" s="903"/>
      <c r="V785" s="903"/>
      <c r="W785" s="903"/>
      <c r="X785" s="903"/>
      <c r="Y785" s="903"/>
      <c r="Z785" s="903"/>
      <c r="AA785" s="903"/>
      <c r="AB785" s="903"/>
      <c r="AC785" s="903"/>
    </row>
    <row r="786" spans="1:29" s="935" customFormat="1" hidden="1" outlineLevel="1">
      <c r="A786" s="1202" t="s">
        <v>685</v>
      </c>
      <c r="B786" s="1202" t="s">
        <v>1539</v>
      </c>
      <c r="C786" s="1203">
        <v>69</v>
      </c>
      <c r="D786" s="1203">
        <v>200</v>
      </c>
      <c r="E786" s="1374"/>
      <c r="F786" s="1212">
        <f t="shared" si="62"/>
        <v>89.7</v>
      </c>
      <c r="G786" s="1202">
        <v>1</v>
      </c>
      <c r="H786" s="1224"/>
      <c r="I786" s="903"/>
      <c r="J786" s="1225"/>
      <c r="K786" s="903"/>
      <c r="L786" s="934">
        <f t="shared" si="61"/>
        <v>-69</v>
      </c>
      <c r="M786" s="903" t="s">
        <v>487</v>
      </c>
      <c r="N786" s="903" t="s">
        <v>523</v>
      </c>
      <c r="O786" s="903"/>
      <c r="P786" s="903"/>
      <c r="Q786" s="903"/>
      <c r="R786" s="903">
        <f>COUNTIF(L791:L795,"&lt;&gt;0")</f>
        <v>3</v>
      </c>
      <c r="S786" s="903" t="s">
        <v>511</v>
      </c>
      <c r="T786" s="903"/>
      <c r="U786" s="903"/>
      <c r="V786" s="903"/>
      <c r="W786" s="903"/>
      <c r="X786" s="903"/>
      <c r="Y786" s="903"/>
      <c r="Z786" s="903"/>
      <c r="AA786" s="903"/>
      <c r="AB786" s="903"/>
      <c r="AC786" s="903"/>
    </row>
    <row r="787" spans="1:29" s="935" customFormat="1" hidden="1" outlineLevel="1">
      <c r="A787" s="1226" t="s">
        <v>681</v>
      </c>
      <c r="B787" s="1226" t="s">
        <v>15</v>
      </c>
      <c r="C787" s="1203">
        <v>69</v>
      </c>
      <c r="D787" s="1203">
        <v>250</v>
      </c>
      <c r="E787" s="1375"/>
      <c r="F787" s="1212">
        <f t="shared" si="62"/>
        <v>89.7</v>
      </c>
      <c r="G787" s="1226">
        <v>1</v>
      </c>
      <c r="H787" s="1224"/>
      <c r="I787" s="903"/>
      <c r="J787" s="1225"/>
      <c r="K787" s="903"/>
      <c r="L787" s="934">
        <f t="shared" si="61"/>
        <v>-69</v>
      </c>
      <c r="M787" s="903" t="s">
        <v>465</v>
      </c>
      <c r="N787" s="903" t="s">
        <v>523</v>
      </c>
      <c r="O787" s="903"/>
      <c r="P787" s="903"/>
      <c r="Q787" s="903"/>
      <c r="R787" s="903" t="e">
        <f>COUNTIF(#REF!,"&lt;&gt;0")</f>
        <v>#REF!</v>
      </c>
      <c r="S787" s="903" t="s">
        <v>512</v>
      </c>
      <c r="T787" s="903"/>
      <c r="U787" s="903"/>
      <c r="V787" s="903"/>
      <c r="W787" s="903"/>
      <c r="X787" s="903"/>
      <c r="Y787" s="903"/>
      <c r="Z787" s="903"/>
      <c r="AA787" s="903"/>
      <c r="AB787" s="903"/>
      <c r="AC787" s="903"/>
    </row>
    <row r="788" spans="1:29" s="935" customFormat="1" hidden="1" outlineLevel="1">
      <c r="A788" s="1202" t="s">
        <v>1395</v>
      </c>
      <c r="B788" s="1202" t="s">
        <v>1396</v>
      </c>
      <c r="C788" s="1203">
        <v>69</v>
      </c>
      <c r="D788" s="1203">
        <v>400</v>
      </c>
      <c r="E788" s="1370"/>
      <c r="F788" s="1212">
        <f t="shared" si="62"/>
        <v>89.7</v>
      </c>
      <c r="G788" s="1202">
        <v>1</v>
      </c>
      <c r="H788" s="1224"/>
      <c r="I788" s="903"/>
      <c r="J788" s="1225"/>
      <c r="K788" s="903"/>
      <c r="L788" s="934">
        <f t="shared" si="61"/>
        <v>-69</v>
      </c>
      <c r="M788" s="903" t="s">
        <v>467</v>
      </c>
      <c r="N788" s="903" t="s">
        <v>523</v>
      </c>
      <c r="O788" s="903"/>
      <c r="P788" s="903"/>
      <c r="Q788" s="903"/>
      <c r="R788" s="903" t="e">
        <f>COUNTIF(#REF!,"&lt;&gt;0")</f>
        <v>#REF!</v>
      </c>
      <c r="S788" s="903" t="s">
        <v>514</v>
      </c>
      <c r="T788" s="903"/>
      <c r="U788" s="903"/>
      <c r="V788" s="903"/>
      <c r="W788" s="903"/>
      <c r="X788" s="903"/>
      <c r="Y788" s="903"/>
      <c r="Z788" s="903"/>
      <c r="AA788" s="903"/>
      <c r="AB788" s="903"/>
      <c r="AC788" s="903"/>
    </row>
    <row r="789" spans="1:29" s="935" customFormat="1" hidden="1" outlineLevel="1">
      <c r="A789" s="1202" t="s">
        <v>527</v>
      </c>
      <c r="B789" s="1202" t="s">
        <v>1831</v>
      </c>
      <c r="C789" s="1203">
        <v>340</v>
      </c>
      <c r="D789" s="1203">
        <v>1200</v>
      </c>
      <c r="E789" s="1370"/>
      <c r="F789" s="1212">
        <f t="shared" si="62"/>
        <v>442</v>
      </c>
      <c r="G789" s="1202">
        <v>1</v>
      </c>
      <c r="H789" s="1224"/>
      <c r="I789" s="903"/>
      <c r="J789" s="1225"/>
      <c r="K789" s="903"/>
      <c r="L789" s="934">
        <f t="shared" si="61"/>
        <v>-340</v>
      </c>
      <c r="M789" s="903" t="s">
        <v>472</v>
      </c>
      <c r="N789" s="903" t="s">
        <v>523</v>
      </c>
      <c r="O789" s="903"/>
      <c r="P789" s="903"/>
      <c r="Q789" s="903"/>
      <c r="R789" s="903" t="e">
        <f>COUNTIF(#REF!,"&lt;&gt;0")</f>
        <v>#REF!</v>
      </c>
      <c r="S789" s="903" t="s">
        <v>513</v>
      </c>
      <c r="T789" s="903"/>
      <c r="U789" s="903"/>
      <c r="V789" s="903"/>
      <c r="W789" s="903"/>
      <c r="X789" s="903"/>
      <c r="Y789" s="903"/>
      <c r="Z789" s="903"/>
      <c r="AA789" s="903"/>
      <c r="AB789" s="903"/>
      <c r="AC789" s="903"/>
    </row>
    <row r="790" spans="1:29" s="935" customFormat="1" hidden="1" outlineLevel="1">
      <c r="A790" s="944" t="s">
        <v>649</v>
      </c>
      <c r="B790" s="944" t="s">
        <v>649</v>
      </c>
      <c r="C790" s="1030">
        <v>459.99999999999994</v>
      </c>
      <c r="D790" s="1030">
        <v>1400</v>
      </c>
      <c r="E790" s="1369"/>
      <c r="F790" s="1212">
        <f t="shared" si="62"/>
        <v>598</v>
      </c>
      <c r="G790" s="944">
        <v>1</v>
      </c>
      <c r="H790" s="1224"/>
      <c r="I790" s="903"/>
      <c r="J790" s="1225"/>
      <c r="K790" s="903"/>
      <c r="L790" s="934">
        <f t="shared" si="61"/>
        <v>-459.99999999999994</v>
      </c>
      <c r="M790" s="903" t="s">
        <v>485</v>
      </c>
      <c r="N790" s="903" t="s">
        <v>523</v>
      </c>
      <c r="O790" s="903"/>
      <c r="P790" s="903"/>
      <c r="Q790" s="903"/>
      <c r="R790" s="903" t="e">
        <f>COUNTIF(#REF!,"&lt;&gt;0")</f>
        <v>#REF!</v>
      </c>
      <c r="S790" s="903" t="s">
        <v>515</v>
      </c>
      <c r="T790" s="903"/>
      <c r="U790" s="903"/>
      <c r="V790" s="903"/>
      <c r="W790" s="903"/>
      <c r="X790" s="903"/>
      <c r="Y790" s="903"/>
      <c r="Z790" s="903"/>
      <c r="AA790" s="903"/>
      <c r="AB790" s="903"/>
      <c r="AC790" s="903"/>
    </row>
    <row r="791" spans="1:29" s="935" customFormat="1" hidden="1" outlineLevel="1">
      <c r="A791" s="1202" t="s">
        <v>508</v>
      </c>
      <c r="B791" s="1214" t="s">
        <v>508</v>
      </c>
      <c r="C791" s="1203">
        <v>69</v>
      </c>
      <c r="D791" s="1203">
        <v>300</v>
      </c>
      <c r="E791" s="1370"/>
      <c r="F791" s="1212">
        <f t="shared" si="62"/>
        <v>89.7</v>
      </c>
      <c r="G791" s="1202">
        <v>1</v>
      </c>
      <c r="H791" s="1224"/>
      <c r="I791" s="903"/>
      <c r="J791" s="1225"/>
      <c r="K791" s="903"/>
      <c r="L791" s="934">
        <f t="shared" si="61"/>
        <v>-69</v>
      </c>
      <c r="M791" s="903" t="s">
        <v>464</v>
      </c>
      <c r="N791" s="903" t="s">
        <v>497</v>
      </c>
      <c r="O791" s="903"/>
      <c r="P791" s="903"/>
      <c r="Q791" s="903"/>
      <c r="R791" s="903" t="e">
        <f>COUNTIF(#REF!,"&lt;&gt;0")</f>
        <v>#REF!</v>
      </c>
      <c r="S791" s="903" t="s">
        <v>516</v>
      </c>
      <c r="T791" s="903"/>
      <c r="U791" s="903"/>
      <c r="V791" s="903"/>
      <c r="W791" s="903"/>
      <c r="X791" s="903"/>
      <c r="Y791" s="903"/>
      <c r="Z791" s="903"/>
      <c r="AA791" s="903"/>
      <c r="AB791" s="903"/>
      <c r="AC791" s="903"/>
    </row>
    <row r="792" spans="1:29" s="935" customFormat="1" hidden="1" outlineLevel="1">
      <c r="A792" s="944" t="s">
        <v>1569</v>
      </c>
      <c r="B792" s="944" t="s">
        <v>27</v>
      </c>
      <c r="C792" s="1030">
        <v>69</v>
      </c>
      <c r="D792" s="1030">
        <v>600</v>
      </c>
      <c r="E792" s="1369"/>
      <c r="F792" s="1212">
        <f t="shared" si="62"/>
        <v>89.7</v>
      </c>
      <c r="G792" s="944">
        <v>1</v>
      </c>
      <c r="H792" s="1224"/>
      <c r="I792" s="903"/>
      <c r="J792" s="1225"/>
      <c r="K792" s="903"/>
      <c r="L792" s="934">
        <f t="shared" si="61"/>
        <v>-69</v>
      </c>
      <c r="M792" s="903"/>
      <c r="N792" s="903"/>
      <c r="O792" s="903"/>
      <c r="P792" s="903"/>
      <c r="Q792" s="903"/>
      <c r="R792" s="903"/>
      <c r="S792" s="903"/>
      <c r="T792" s="903"/>
      <c r="U792" s="903"/>
      <c r="V792" s="903"/>
      <c r="W792" s="903"/>
      <c r="X792" s="903"/>
      <c r="Y792" s="903"/>
      <c r="Z792" s="903"/>
      <c r="AA792" s="903"/>
      <c r="AB792" s="903"/>
      <c r="AC792" s="903"/>
    </row>
    <row r="793" spans="1:29" s="935" customFormat="1" hidden="1" outlineLevel="1">
      <c r="A793" s="1202" t="s">
        <v>1861</v>
      </c>
      <c r="B793" s="1202" t="s">
        <v>1862</v>
      </c>
      <c r="C793" s="1203">
        <v>175</v>
      </c>
      <c r="D793" s="1203">
        <v>1200</v>
      </c>
      <c r="E793" s="1370"/>
      <c r="F793" s="1212">
        <f t="shared" si="62"/>
        <v>227.5</v>
      </c>
      <c r="G793" s="1202">
        <v>1</v>
      </c>
      <c r="H793" s="1224"/>
      <c r="I793" s="903"/>
      <c r="J793" s="1225"/>
      <c r="K793" s="903"/>
      <c r="L793" s="934">
        <f t="shared" si="61"/>
        <v>-175</v>
      </c>
      <c r="M793" s="903"/>
      <c r="N793" s="903"/>
      <c r="O793" s="903"/>
      <c r="P793" s="903"/>
      <c r="Q793" s="903"/>
      <c r="R793" s="903"/>
      <c r="S793" s="903"/>
      <c r="T793" s="903"/>
      <c r="U793" s="903"/>
      <c r="V793" s="903"/>
      <c r="W793" s="903"/>
      <c r="X793" s="903"/>
      <c r="Y793" s="903"/>
      <c r="Z793" s="903"/>
      <c r="AA793" s="903"/>
      <c r="AB793" s="903"/>
      <c r="AC793" s="903"/>
    </row>
    <row r="794" spans="1:29" hidden="1" outlineLevel="1">
      <c r="A794" s="976"/>
      <c r="B794" s="898"/>
      <c r="C794" s="898"/>
      <c r="D794" s="899"/>
      <c r="E794" s="1335"/>
      <c r="F794" s="899"/>
      <c r="G794" s="900"/>
      <c r="H794" s="901"/>
      <c r="I794" s="902"/>
      <c r="J794" s="897"/>
      <c r="K794" s="903"/>
      <c r="L794" s="899">
        <f t="shared" si="61"/>
        <v>0</v>
      </c>
      <c r="M794" s="903"/>
      <c r="N794" s="903"/>
      <c r="O794" s="903"/>
      <c r="P794" s="902"/>
      <c r="Q794" s="902"/>
      <c r="R794" s="902"/>
      <c r="S794" s="903"/>
      <c r="T794" s="902"/>
      <c r="U794" s="902"/>
      <c r="V794" s="902"/>
      <c r="W794" s="902"/>
      <c r="X794" s="902"/>
      <c r="Y794" s="902"/>
      <c r="Z794" s="902"/>
      <c r="AA794" s="902"/>
      <c r="AB794" s="902"/>
      <c r="AC794" s="902"/>
    </row>
    <row r="795" spans="1:29" ht="16.3" hidden="1" outlineLevel="1" thickBot="1">
      <c r="A795" s="976"/>
      <c r="B795" s="898"/>
      <c r="C795" s="898"/>
      <c r="D795" s="899"/>
      <c r="E795" s="1335"/>
      <c r="F795" s="899"/>
      <c r="G795" s="900"/>
      <c r="H795" s="901"/>
      <c r="I795" s="902"/>
      <c r="J795" s="897"/>
      <c r="K795" s="903"/>
      <c r="L795" s="899">
        <f t="shared" si="61"/>
        <v>0</v>
      </c>
      <c r="M795" s="903"/>
      <c r="N795" s="903"/>
      <c r="O795" s="903"/>
      <c r="P795" s="902"/>
      <c r="Q795" s="902"/>
      <c r="R795" s="902"/>
      <c r="S795" s="903"/>
      <c r="T795" s="902"/>
      <c r="U795" s="902"/>
      <c r="V795" s="902"/>
      <c r="W795" s="902"/>
      <c r="X795" s="902"/>
      <c r="Y795" s="902"/>
      <c r="Z795" s="902"/>
      <c r="AA795" s="902"/>
      <c r="AB795" s="902"/>
      <c r="AC795" s="902"/>
    </row>
    <row r="796" spans="1:29" ht="16.3" collapsed="1" thickBot="1">
      <c r="A796" s="1014" t="s">
        <v>5979</v>
      </c>
      <c r="B796" s="1195"/>
      <c r="C796" s="1208">
        <f>SUM(C797:C810)</f>
        <v>3018</v>
      </c>
      <c r="D796" s="1208">
        <f>SUM(D797:D810)</f>
        <v>7990</v>
      </c>
      <c r="E796" s="1362">
        <v>5200</v>
      </c>
      <c r="F796" s="1208">
        <f>SUM(F797:F810)</f>
        <v>3923.4</v>
      </c>
      <c r="G796" s="1204">
        <v>1</v>
      </c>
      <c r="H796" s="895"/>
      <c r="I796" s="902" t="str">
        <f>IF(H796="x",CONCATENATE(A796,"; "),"")</f>
        <v/>
      </c>
      <c r="J796" s="897"/>
      <c r="K796" s="903"/>
      <c r="L796" s="899">
        <f t="shared" ref="L796:L811" si="63">E796-C796</f>
        <v>2182</v>
      </c>
      <c r="M796" s="903"/>
      <c r="N796" s="903"/>
      <c r="O796" s="903"/>
      <c r="P796" s="902"/>
      <c r="Q796" s="902"/>
      <c r="R796" s="902"/>
      <c r="S796" s="903"/>
      <c r="T796" s="902"/>
      <c r="U796" s="902"/>
      <c r="V796" s="902"/>
      <c r="W796" s="902"/>
      <c r="X796" s="902"/>
      <c r="Y796" s="902"/>
      <c r="Z796" s="902"/>
      <c r="AA796" s="902"/>
      <c r="AB796" s="902"/>
      <c r="AC796" s="902"/>
    </row>
    <row r="797" spans="1:29" ht="16.3" hidden="1" outlineLevel="1" thickBot="1">
      <c r="A797" s="1214" t="s">
        <v>1440</v>
      </c>
      <c r="B797" s="1214" t="s">
        <v>1441</v>
      </c>
      <c r="C797" s="1211">
        <v>69</v>
      </c>
      <c r="D797" s="1211">
        <v>500</v>
      </c>
      <c r="E797" s="1376"/>
      <c r="F797" s="1212">
        <f t="shared" ref="F797:F810" si="64">C797*1.3</f>
        <v>89.7</v>
      </c>
      <c r="G797" s="1214">
        <v>1</v>
      </c>
      <c r="H797" s="901"/>
      <c r="I797" s="902"/>
      <c r="J797" s="897"/>
      <c r="K797" s="903"/>
      <c r="L797" s="899">
        <f t="shared" si="63"/>
        <v>-69</v>
      </c>
      <c r="M797" s="903"/>
      <c r="N797" s="903"/>
      <c r="O797" s="903"/>
      <c r="P797" s="902"/>
      <c r="Q797" s="902"/>
      <c r="R797" s="902"/>
      <c r="S797" s="903"/>
      <c r="T797" s="902"/>
      <c r="U797" s="902"/>
      <c r="V797" s="902"/>
      <c r="W797" s="902"/>
      <c r="X797" s="902"/>
      <c r="Y797" s="902"/>
      <c r="Z797" s="902"/>
      <c r="AA797" s="902"/>
      <c r="AB797" s="902"/>
      <c r="AC797" s="902"/>
    </row>
    <row r="798" spans="1:29" ht="16.3" hidden="1" outlineLevel="1" thickBot="1">
      <c r="A798" s="1202" t="s">
        <v>684</v>
      </c>
      <c r="B798" s="1202" t="s">
        <v>1538</v>
      </c>
      <c r="C798" s="1203">
        <v>69</v>
      </c>
      <c r="D798" s="1203">
        <v>200</v>
      </c>
      <c r="E798" s="1376"/>
      <c r="F798" s="1212">
        <f t="shared" si="64"/>
        <v>89.7</v>
      </c>
      <c r="G798" s="1202">
        <v>1</v>
      </c>
      <c r="H798" s="901"/>
      <c r="I798" s="902"/>
      <c r="J798" s="897"/>
      <c r="K798" s="903"/>
      <c r="L798" s="899">
        <f t="shared" si="63"/>
        <v>-69</v>
      </c>
      <c r="M798" s="903"/>
      <c r="N798" s="903"/>
      <c r="O798" s="903"/>
      <c r="P798" s="902"/>
      <c r="Q798" s="902"/>
      <c r="R798" s="902"/>
      <c r="S798" s="903"/>
      <c r="T798" s="902"/>
      <c r="U798" s="902"/>
      <c r="V798" s="902"/>
      <c r="W798" s="902"/>
      <c r="X798" s="902"/>
      <c r="Y798" s="902"/>
      <c r="Z798" s="902"/>
      <c r="AA798" s="902"/>
      <c r="AB798" s="902"/>
      <c r="AC798" s="902"/>
    </row>
    <row r="799" spans="1:29" ht="16.3" hidden="1" outlineLevel="1" thickBot="1">
      <c r="A799" s="1202" t="s">
        <v>685</v>
      </c>
      <c r="B799" s="1202" t="s">
        <v>1539</v>
      </c>
      <c r="C799" s="1203">
        <v>69</v>
      </c>
      <c r="D799" s="1203">
        <v>200</v>
      </c>
      <c r="E799" s="1376"/>
      <c r="F799" s="1212">
        <f t="shared" si="64"/>
        <v>89.7</v>
      </c>
      <c r="G799" s="1202">
        <v>1</v>
      </c>
      <c r="H799" s="901"/>
      <c r="I799" s="902"/>
      <c r="J799" s="897"/>
      <c r="K799" s="903"/>
      <c r="L799" s="899">
        <f t="shared" si="63"/>
        <v>-69</v>
      </c>
      <c r="M799" s="903"/>
      <c r="N799" s="903"/>
      <c r="O799" s="903"/>
      <c r="P799" s="902"/>
      <c r="Q799" s="902"/>
      <c r="R799" s="902"/>
      <c r="S799" s="903"/>
      <c r="T799" s="902"/>
      <c r="U799" s="902"/>
      <c r="V799" s="902"/>
      <c r="W799" s="902"/>
      <c r="X799" s="902"/>
      <c r="Y799" s="902"/>
      <c r="Z799" s="902"/>
      <c r="AA799" s="902"/>
      <c r="AB799" s="902"/>
      <c r="AC799" s="902"/>
    </row>
    <row r="800" spans="1:29" ht="16.3" hidden="1" outlineLevel="1" thickBot="1">
      <c r="A800" s="1226" t="s">
        <v>681</v>
      </c>
      <c r="B800" s="1226" t="s">
        <v>15</v>
      </c>
      <c r="C800" s="1203">
        <v>69</v>
      </c>
      <c r="D800" s="1203">
        <v>250</v>
      </c>
      <c r="E800" s="1376"/>
      <c r="F800" s="1212">
        <f t="shared" si="64"/>
        <v>89.7</v>
      </c>
      <c r="G800" s="1226">
        <v>1</v>
      </c>
      <c r="H800" s="901"/>
      <c r="I800" s="902"/>
      <c r="J800" s="897"/>
      <c r="K800" s="903"/>
      <c r="L800" s="899">
        <f t="shared" si="63"/>
        <v>-69</v>
      </c>
      <c r="M800" s="903"/>
      <c r="N800" s="903"/>
      <c r="O800" s="903"/>
      <c r="P800" s="902"/>
      <c r="Q800" s="902"/>
      <c r="R800" s="902"/>
      <c r="S800" s="903"/>
      <c r="T800" s="902"/>
      <c r="U800" s="902"/>
      <c r="V800" s="902"/>
      <c r="W800" s="902"/>
      <c r="X800" s="902"/>
      <c r="Y800" s="902"/>
      <c r="Z800" s="902"/>
      <c r="AA800" s="902"/>
      <c r="AB800" s="902"/>
      <c r="AC800" s="902"/>
    </row>
    <row r="801" spans="1:29" ht="16.3" hidden="1" outlineLevel="1" thickBot="1">
      <c r="A801" s="1202" t="s">
        <v>1395</v>
      </c>
      <c r="B801" s="1202" t="s">
        <v>1396</v>
      </c>
      <c r="C801" s="1203">
        <v>69</v>
      </c>
      <c r="D801" s="1203">
        <v>400</v>
      </c>
      <c r="E801" s="1376"/>
      <c r="F801" s="1212">
        <f t="shared" si="64"/>
        <v>89.7</v>
      </c>
      <c r="G801" s="1202">
        <v>1</v>
      </c>
      <c r="H801" s="901"/>
      <c r="I801" s="902"/>
      <c r="J801" s="897"/>
      <c r="K801" s="903"/>
      <c r="L801" s="899">
        <f t="shared" si="63"/>
        <v>-69</v>
      </c>
      <c r="M801" s="903"/>
      <c r="N801" s="903"/>
      <c r="O801" s="903"/>
      <c r="P801" s="902"/>
      <c r="Q801" s="902"/>
      <c r="R801" s="902"/>
      <c r="S801" s="903"/>
      <c r="T801" s="902"/>
      <c r="U801" s="902"/>
      <c r="V801" s="902"/>
      <c r="W801" s="902"/>
      <c r="X801" s="902"/>
      <c r="Y801" s="902"/>
      <c r="Z801" s="902"/>
      <c r="AA801" s="902"/>
      <c r="AB801" s="902"/>
      <c r="AC801" s="902"/>
    </row>
    <row r="802" spans="1:29" ht="16.3" hidden="1" outlineLevel="1" thickBot="1">
      <c r="A802" s="1202" t="s">
        <v>527</v>
      </c>
      <c r="B802" s="1202" t="s">
        <v>1831</v>
      </c>
      <c r="C802" s="1203">
        <v>340</v>
      </c>
      <c r="D802" s="1203">
        <v>1200</v>
      </c>
      <c r="E802" s="1376"/>
      <c r="F802" s="1212">
        <f t="shared" si="64"/>
        <v>442</v>
      </c>
      <c r="G802" s="1202">
        <v>1</v>
      </c>
      <c r="H802" s="901"/>
      <c r="I802" s="902"/>
      <c r="J802" s="897"/>
      <c r="K802" s="903"/>
      <c r="L802" s="899">
        <f t="shared" si="63"/>
        <v>-340</v>
      </c>
      <c r="M802" s="903"/>
      <c r="N802" s="903"/>
      <c r="O802" s="903"/>
      <c r="P802" s="902"/>
      <c r="Q802" s="902"/>
      <c r="R802" s="902"/>
      <c r="S802" s="903"/>
      <c r="T802" s="902"/>
      <c r="U802" s="902"/>
      <c r="V802" s="902"/>
      <c r="W802" s="902"/>
      <c r="X802" s="902"/>
      <c r="Y802" s="902"/>
      <c r="Z802" s="902"/>
      <c r="AA802" s="902"/>
      <c r="AB802" s="902"/>
      <c r="AC802" s="902"/>
    </row>
    <row r="803" spans="1:29" ht="16.3" hidden="1" outlineLevel="1" thickBot="1">
      <c r="A803" s="1202" t="s">
        <v>1826</v>
      </c>
      <c r="B803" s="1202" t="s">
        <v>1827</v>
      </c>
      <c r="C803" s="1203">
        <v>69</v>
      </c>
      <c r="D803" s="1203">
        <v>640</v>
      </c>
      <c r="E803" s="1376"/>
      <c r="F803" s="1212">
        <f t="shared" si="64"/>
        <v>89.7</v>
      </c>
      <c r="G803" s="1202">
        <v>1</v>
      </c>
      <c r="H803" s="901"/>
      <c r="I803" s="902"/>
      <c r="J803" s="897"/>
      <c r="K803" s="903"/>
      <c r="L803" s="899">
        <f t="shared" si="63"/>
        <v>-69</v>
      </c>
      <c r="M803" s="903"/>
      <c r="N803" s="903"/>
      <c r="O803" s="903"/>
      <c r="P803" s="902"/>
      <c r="Q803" s="902"/>
      <c r="R803" s="902"/>
      <c r="S803" s="903"/>
      <c r="T803" s="902"/>
      <c r="U803" s="902"/>
      <c r="V803" s="902"/>
      <c r="W803" s="902"/>
      <c r="X803" s="902"/>
      <c r="Y803" s="902"/>
      <c r="Z803" s="902"/>
      <c r="AA803" s="902"/>
      <c r="AB803" s="902"/>
      <c r="AC803" s="902"/>
    </row>
    <row r="804" spans="1:29" ht="16.3" hidden="1" outlineLevel="1" thickBot="1">
      <c r="A804" s="1202" t="s">
        <v>1693</v>
      </c>
      <c r="B804" s="1202" t="s">
        <v>21</v>
      </c>
      <c r="C804" s="1203">
        <v>135</v>
      </c>
      <c r="D804" s="1203">
        <v>200</v>
      </c>
      <c r="E804" s="1376"/>
      <c r="F804" s="1212">
        <f t="shared" si="64"/>
        <v>175.5</v>
      </c>
      <c r="G804" s="1202">
        <v>1</v>
      </c>
      <c r="H804" s="901"/>
      <c r="I804" s="902"/>
      <c r="J804" s="897"/>
      <c r="K804" s="903"/>
      <c r="L804" s="899">
        <f t="shared" si="63"/>
        <v>-135</v>
      </c>
      <c r="M804" s="903"/>
      <c r="N804" s="903"/>
      <c r="O804" s="903"/>
      <c r="P804" s="902"/>
      <c r="Q804" s="902"/>
      <c r="R804" s="902"/>
      <c r="S804" s="903"/>
      <c r="T804" s="902"/>
      <c r="U804" s="902"/>
      <c r="V804" s="902"/>
      <c r="W804" s="902"/>
      <c r="X804" s="902"/>
      <c r="Y804" s="902"/>
      <c r="Z804" s="902"/>
      <c r="AA804" s="902"/>
      <c r="AB804" s="902"/>
      <c r="AC804" s="902"/>
    </row>
    <row r="805" spans="1:29" ht="16.3" hidden="1" outlineLevel="1" thickBot="1">
      <c r="A805" s="1202" t="s">
        <v>1607</v>
      </c>
      <c r="B805" s="1202" t="s">
        <v>22</v>
      </c>
      <c r="C805" s="1203">
        <v>135</v>
      </c>
      <c r="D805" s="1203">
        <v>200</v>
      </c>
      <c r="E805" s="1376"/>
      <c r="F805" s="1212">
        <f t="shared" si="64"/>
        <v>175.5</v>
      </c>
      <c r="G805" s="1202">
        <v>1</v>
      </c>
      <c r="H805" s="901"/>
      <c r="I805" s="902"/>
      <c r="J805" s="897"/>
      <c r="K805" s="903"/>
      <c r="L805" s="899">
        <f t="shared" si="63"/>
        <v>-135</v>
      </c>
      <c r="M805" s="903"/>
      <c r="N805" s="903"/>
      <c r="O805" s="903"/>
      <c r="P805" s="902"/>
      <c r="Q805" s="902"/>
      <c r="R805" s="902"/>
      <c r="S805" s="903"/>
      <c r="T805" s="902"/>
      <c r="U805" s="902"/>
      <c r="V805" s="902"/>
      <c r="W805" s="902"/>
      <c r="X805" s="902"/>
      <c r="Y805" s="902"/>
      <c r="Z805" s="902"/>
      <c r="AA805" s="902"/>
      <c r="AB805" s="902"/>
      <c r="AC805" s="902"/>
    </row>
    <row r="806" spans="1:29" ht="16.3" hidden="1" outlineLevel="1" thickBot="1">
      <c r="A806" s="1202" t="s">
        <v>1608</v>
      </c>
      <c r="B806" s="1202" t="s">
        <v>19</v>
      </c>
      <c r="C806" s="1203">
        <v>69</v>
      </c>
      <c r="D806" s="1203">
        <v>600</v>
      </c>
      <c r="E806" s="1376"/>
      <c r="F806" s="1212">
        <f t="shared" si="64"/>
        <v>89.7</v>
      </c>
      <c r="G806" s="1202">
        <v>1</v>
      </c>
      <c r="H806" s="901"/>
      <c r="I806" s="902"/>
      <c r="J806" s="897"/>
      <c r="K806" s="903"/>
      <c r="L806" s="899">
        <f t="shared" si="63"/>
        <v>-69</v>
      </c>
      <c r="M806" s="903"/>
      <c r="N806" s="903"/>
      <c r="O806" s="903"/>
      <c r="P806" s="902"/>
      <c r="Q806" s="902"/>
      <c r="R806" s="902"/>
      <c r="S806" s="903"/>
      <c r="T806" s="902"/>
      <c r="U806" s="902"/>
      <c r="V806" s="902"/>
      <c r="W806" s="902"/>
      <c r="X806" s="902"/>
      <c r="Y806" s="902"/>
      <c r="Z806" s="902"/>
      <c r="AA806" s="902"/>
      <c r="AB806" s="902"/>
      <c r="AC806" s="902"/>
    </row>
    <row r="807" spans="1:29" ht="16.3" hidden="1" outlineLevel="1" thickBot="1">
      <c r="A807" s="1202" t="s">
        <v>1621</v>
      </c>
      <c r="B807" s="1202" t="s">
        <v>2346</v>
      </c>
      <c r="C807" s="1203">
        <v>175</v>
      </c>
      <c r="D807" s="1203">
        <v>400</v>
      </c>
      <c r="E807" s="1376"/>
      <c r="F807" s="1212">
        <f t="shared" si="64"/>
        <v>227.5</v>
      </c>
      <c r="G807" s="1202">
        <v>1</v>
      </c>
      <c r="H807" s="901"/>
      <c r="I807" s="902"/>
      <c r="J807" s="897"/>
      <c r="K807" s="903"/>
      <c r="L807" s="899">
        <f t="shared" si="63"/>
        <v>-175</v>
      </c>
      <c r="M807" s="903"/>
      <c r="N807" s="903"/>
      <c r="O807" s="903"/>
      <c r="P807" s="902"/>
      <c r="Q807" s="902"/>
      <c r="R807" s="902"/>
      <c r="S807" s="903"/>
      <c r="T807" s="902"/>
      <c r="U807" s="902"/>
      <c r="V807" s="902"/>
      <c r="W807" s="902"/>
      <c r="X807" s="902"/>
      <c r="Y807" s="902"/>
      <c r="Z807" s="902"/>
      <c r="AA807" s="902"/>
      <c r="AB807" s="902"/>
      <c r="AC807" s="902"/>
    </row>
    <row r="808" spans="1:29" ht="16.3" hidden="1" outlineLevel="1" thickBot="1">
      <c r="A808" s="944" t="s">
        <v>649</v>
      </c>
      <c r="B808" s="944" t="s">
        <v>649</v>
      </c>
      <c r="C808" s="1030">
        <v>459.99999999999994</v>
      </c>
      <c r="D808" s="1030">
        <v>1400</v>
      </c>
      <c r="E808" s="1376"/>
      <c r="F808" s="1212">
        <f t="shared" si="64"/>
        <v>598</v>
      </c>
      <c r="G808" s="944">
        <v>1</v>
      </c>
      <c r="H808" s="901"/>
      <c r="I808" s="902"/>
      <c r="J808" s="897"/>
      <c r="K808" s="903"/>
      <c r="L808" s="899">
        <f t="shared" si="63"/>
        <v>-459.99999999999994</v>
      </c>
      <c r="M808" s="903"/>
      <c r="N808" s="903"/>
      <c r="O808" s="903"/>
      <c r="P808" s="902"/>
      <c r="Q808" s="902"/>
      <c r="R808" s="902"/>
      <c r="S808" s="903"/>
      <c r="T808" s="902"/>
      <c r="U808" s="902"/>
      <c r="V808" s="902"/>
      <c r="W808" s="902"/>
      <c r="X808" s="902"/>
      <c r="Y808" s="902"/>
      <c r="Z808" s="902"/>
      <c r="AA808" s="902"/>
      <c r="AB808" s="902"/>
      <c r="AC808" s="902"/>
    </row>
    <row r="809" spans="1:29" ht="16.3" hidden="1" outlineLevel="1" thickBot="1">
      <c r="A809" s="1214" t="s">
        <v>598</v>
      </c>
      <c r="B809" s="1214" t="s">
        <v>598</v>
      </c>
      <c r="C809" s="1211">
        <v>590</v>
      </c>
      <c r="D809" s="1211">
        <v>800</v>
      </c>
      <c r="E809" s="1376"/>
      <c r="F809" s="1212">
        <f t="shared" si="64"/>
        <v>767</v>
      </c>
      <c r="G809" s="1214">
        <v>1</v>
      </c>
      <c r="H809" s="901"/>
      <c r="I809" s="902"/>
      <c r="J809" s="897"/>
      <c r="K809" s="903"/>
      <c r="L809" s="899">
        <f t="shared" si="63"/>
        <v>-590</v>
      </c>
      <c r="M809" s="903"/>
      <c r="N809" s="903"/>
      <c r="O809" s="903"/>
      <c r="P809" s="902"/>
      <c r="Q809" s="902"/>
      <c r="R809" s="902"/>
      <c r="S809" s="903"/>
      <c r="T809" s="902"/>
      <c r="U809" s="902"/>
      <c r="V809" s="902"/>
      <c r="W809" s="902"/>
      <c r="X809" s="902"/>
      <c r="Y809" s="902"/>
      <c r="Z809" s="902"/>
      <c r="AA809" s="902"/>
      <c r="AB809" s="902"/>
      <c r="AC809" s="902"/>
    </row>
    <row r="810" spans="1:29" ht="16.3" hidden="1" outlineLevel="1" thickBot="1">
      <c r="A810" s="1202" t="s">
        <v>946</v>
      </c>
      <c r="B810" s="1202" t="s">
        <v>2349</v>
      </c>
      <c r="C810" s="1203">
        <v>700</v>
      </c>
      <c r="D810" s="1203">
        <v>1000</v>
      </c>
      <c r="E810" s="1376"/>
      <c r="F810" s="1212">
        <f t="shared" si="64"/>
        <v>910</v>
      </c>
      <c r="G810" s="1202">
        <v>1</v>
      </c>
      <c r="H810" s="901"/>
      <c r="I810" s="902"/>
      <c r="J810" s="897"/>
      <c r="K810" s="903"/>
      <c r="L810" s="899">
        <f t="shared" si="63"/>
        <v>-700</v>
      </c>
      <c r="M810" s="903"/>
      <c r="N810" s="903"/>
      <c r="O810" s="903"/>
      <c r="P810" s="902"/>
      <c r="Q810" s="902"/>
      <c r="R810" s="902"/>
      <c r="S810" s="903"/>
      <c r="T810" s="902"/>
      <c r="U810" s="902"/>
      <c r="V810" s="902"/>
      <c r="W810" s="902"/>
      <c r="X810" s="902"/>
      <c r="Y810" s="902"/>
      <c r="Z810" s="902"/>
      <c r="AA810" s="902"/>
      <c r="AB810" s="902"/>
      <c r="AC810" s="902"/>
    </row>
    <row r="811" spans="1:29" ht="16.3" hidden="1" outlineLevel="1" thickBot="1">
      <c r="A811" s="1221"/>
      <c r="B811" s="1221"/>
      <c r="C811" s="1221"/>
      <c r="D811" s="1221"/>
      <c r="E811" s="1377"/>
      <c r="F811" s="1222"/>
      <c r="G811" s="1223"/>
      <c r="H811" s="901"/>
      <c r="I811" s="902"/>
      <c r="J811" s="897"/>
      <c r="K811" s="903"/>
      <c r="L811" s="899">
        <f t="shared" si="63"/>
        <v>0</v>
      </c>
      <c r="M811" s="903"/>
      <c r="N811" s="903"/>
      <c r="O811" s="903"/>
      <c r="P811" s="902"/>
      <c r="Q811" s="902"/>
      <c r="R811" s="902"/>
      <c r="S811" s="903"/>
      <c r="T811" s="902"/>
      <c r="U811" s="902"/>
      <c r="V811" s="902"/>
      <c r="W811" s="902"/>
      <c r="X811" s="902"/>
      <c r="Y811" s="902"/>
      <c r="Z811" s="902"/>
      <c r="AA811" s="902"/>
      <c r="AB811" s="902"/>
      <c r="AC811" s="902"/>
    </row>
    <row r="812" spans="1:29" ht="16.3" collapsed="1" thickBot="1">
      <c r="A812" s="1015" t="s">
        <v>5980</v>
      </c>
      <c r="B812" s="1193"/>
      <c r="C812" s="1213">
        <f>SUM(C813:C828)</f>
        <v>3555</v>
      </c>
      <c r="D812" s="1213">
        <f>SUM(D813:D828)</f>
        <v>10290</v>
      </c>
      <c r="E812" s="1367">
        <v>7400</v>
      </c>
      <c r="F812" s="1213">
        <f>SUM(F813:F828)</f>
        <v>4621.5</v>
      </c>
      <c r="G812" s="1227">
        <v>1</v>
      </c>
      <c r="H812" s="895"/>
      <c r="I812" s="902" t="str">
        <f>IF(H812="x",CONCATENATE(A812,"; "),"")</f>
        <v/>
      </c>
      <c r="J812" s="897"/>
      <c r="K812" s="903"/>
      <c r="L812" s="899">
        <f>E812-C812</f>
        <v>3845</v>
      </c>
      <c r="M812" s="902"/>
      <c r="N812" s="902"/>
      <c r="O812" s="902"/>
      <c r="P812" s="902"/>
      <c r="Q812" s="902"/>
      <c r="R812" s="902"/>
      <c r="S812" s="902"/>
      <c r="T812" s="902"/>
      <c r="U812" s="902"/>
      <c r="V812" s="902"/>
      <c r="W812" s="902"/>
      <c r="X812" s="902"/>
      <c r="Y812" s="902"/>
      <c r="Z812" s="902"/>
      <c r="AA812" s="902"/>
      <c r="AB812" s="902"/>
      <c r="AC812" s="902"/>
    </row>
    <row r="813" spans="1:29" hidden="1" outlineLevel="1">
      <c r="A813" s="1214" t="s">
        <v>527</v>
      </c>
      <c r="B813" s="1214" t="s">
        <v>1831</v>
      </c>
      <c r="C813" s="1211">
        <v>340</v>
      </c>
      <c r="D813" s="1211">
        <v>1200</v>
      </c>
      <c r="E813" s="1376"/>
      <c r="F813" s="1212">
        <f t="shared" ref="F813:F827" si="65">C813*1.3</f>
        <v>442</v>
      </c>
      <c r="G813" s="1214">
        <v>1</v>
      </c>
      <c r="H813" s="895"/>
      <c r="I813" s="902"/>
      <c r="J813" s="897"/>
      <c r="K813" s="903"/>
      <c r="L813" s="899"/>
      <c r="M813" s="902"/>
      <c r="N813" s="902"/>
      <c r="O813" s="902"/>
      <c r="P813" s="902"/>
      <c r="Q813" s="902"/>
      <c r="R813" s="902"/>
      <c r="S813" s="902"/>
      <c r="T813" s="902"/>
      <c r="U813" s="902"/>
      <c r="V813" s="902"/>
      <c r="W813" s="902"/>
      <c r="X813" s="902"/>
      <c r="Y813" s="902"/>
      <c r="Z813" s="902"/>
      <c r="AA813" s="902"/>
      <c r="AB813" s="902"/>
      <c r="AC813" s="902"/>
    </row>
    <row r="814" spans="1:29" hidden="1" outlineLevel="1">
      <c r="A814" s="944" t="s">
        <v>1782</v>
      </c>
      <c r="B814" s="944" t="s">
        <v>2355</v>
      </c>
      <c r="C814" s="1030">
        <v>600</v>
      </c>
      <c r="D814" s="1030">
        <v>1300</v>
      </c>
      <c r="E814" s="1376"/>
      <c r="F814" s="1212">
        <f t="shared" si="65"/>
        <v>780</v>
      </c>
      <c r="G814" s="944">
        <v>1</v>
      </c>
      <c r="H814" s="895"/>
      <c r="I814" s="902"/>
      <c r="J814" s="897"/>
      <c r="K814" s="903"/>
      <c r="L814" s="899"/>
      <c r="M814" s="902"/>
      <c r="N814" s="902"/>
      <c r="O814" s="902"/>
      <c r="P814" s="902"/>
      <c r="Q814" s="902"/>
      <c r="R814" s="902"/>
      <c r="S814" s="902"/>
      <c r="T814" s="902"/>
      <c r="U814" s="902"/>
      <c r="V814" s="902"/>
      <c r="W814" s="902"/>
      <c r="X814" s="902"/>
      <c r="Y814" s="902"/>
      <c r="Z814" s="902"/>
      <c r="AA814" s="902"/>
      <c r="AB814" s="902"/>
      <c r="AC814" s="902"/>
    </row>
    <row r="815" spans="1:29" hidden="1" outlineLevel="1">
      <c r="A815" s="1202" t="s">
        <v>1826</v>
      </c>
      <c r="B815" s="1202" t="s">
        <v>1827</v>
      </c>
      <c r="C815" s="1203">
        <v>69</v>
      </c>
      <c r="D815" s="1203">
        <v>640</v>
      </c>
      <c r="E815" s="1376"/>
      <c r="F815" s="1212">
        <f t="shared" si="65"/>
        <v>89.7</v>
      </c>
      <c r="G815" s="1202">
        <v>1</v>
      </c>
      <c r="H815" s="895"/>
      <c r="I815" s="902"/>
      <c r="J815" s="897"/>
      <c r="K815" s="903"/>
      <c r="L815" s="899"/>
      <c r="M815" s="902"/>
      <c r="N815" s="902"/>
      <c r="O815" s="902"/>
      <c r="P815" s="902"/>
      <c r="Q815" s="902"/>
      <c r="R815" s="902"/>
      <c r="S815" s="902"/>
      <c r="T815" s="902"/>
      <c r="U815" s="902"/>
      <c r="V815" s="902"/>
      <c r="W815" s="902"/>
      <c r="X815" s="902"/>
      <c r="Y815" s="902"/>
      <c r="Z815" s="902"/>
      <c r="AA815" s="902"/>
      <c r="AB815" s="902"/>
      <c r="AC815" s="902"/>
    </row>
    <row r="816" spans="1:29" hidden="1" outlineLevel="1">
      <c r="A816" s="1202" t="s">
        <v>1440</v>
      </c>
      <c r="B816" s="1202" t="s">
        <v>1441</v>
      </c>
      <c r="C816" s="1203">
        <v>69</v>
      </c>
      <c r="D816" s="1203">
        <v>500</v>
      </c>
      <c r="E816" s="1376"/>
      <c r="F816" s="1212">
        <f t="shared" si="65"/>
        <v>89.7</v>
      </c>
      <c r="G816" s="1202">
        <v>1</v>
      </c>
      <c r="H816" s="895"/>
      <c r="I816" s="902"/>
      <c r="J816" s="897"/>
      <c r="K816" s="903"/>
      <c r="L816" s="899"/>
      <c r="M816" s="902"/>
      <c r="N816" s="902"/>
      <c r="O816" s="902"/>
      <c r="P816" s="902"/>
      <c r="Q816" s="902"/>
      <c r="R816" s="902"/>
      <c r="S816" s="902"/>
      <c r="T816" s="902"/>
      <c r="U816" s="902"/>
      <c r="V816" s="902"/>
      <c r="W816" s="902"/>
      <c r="X816" s="902"/>
      <c r="Y816" s="902"/>
      <c r="Z816" s="902"/>
      <c r="AA816" s="902"/>
      <c r="AB816" s="902"/>
      <c r="AC816" s="902"/>
    </row>
    <row r="817" spans="1:29" hidden="1" outlineLevel="1">
      <c r="A817" s="1202" t="s">
        <v>684</v>
      </c>
      <c r="B817" s="1202" t="s">
        <v>1538</v>
      </c>
      <c r="C817" s="1203">
        <v>69</v>
      </c>
      <c r="D817" s="1203">
        <v>200</v>
      </c>
      <c r="E817" s="1376"/>
      <c r="F817" s="1212">
        <f t="shared" si="65"/>
        <v>89.7</v>
      </c>
      <c r="G817" s="1202">
        <v>1</v>
      </c>
      <c r="H817" s="895"/>
      <c r="I817" s="902"/>
      <c r="J817" s="897"/>
      <c r="K817" s="903"/>
      <c r="L817" s="899"/>
      <c r="M817" s="902"/>
      <c r="N817" s="902"/>
      <c r="O817" s="902"/>
      <c r="P817" s="902"/>
      <c r="Q817" s="902"/>
      <c r="R817" s="902"/>
      <c r="S817" s="902"/>
      <c r="T817" s="902"/>
      <c r="U817" s="902"/>
      <c r="V817" s="902"/>
      <c r="W817" s="902"/>
      <c r="X817" s="902"/>
      <c r="Y817" s="902"/>
      <c r="Z817" s="902"/>
      <c r="AA817" s="902"/>
      <c r="AB817" s="902"/>
      <c r="AC817" s="902"/>
    </row>
    <row r="818" spans="1:29" hidden="1" outlineLevel="1">
      <c r="A818" s="1202" t="s">
        <v>685</v>
      </c>
      <c r="B818" s="1202" t="s">
        <v>1539</v>
      </c>
      <c r="C818" s="1203">
        <v>69</v>
      </c>
      <c r="D818" s="1203">
        <v>200</v>
      </c>
      <c r="E818" s="1376"/>
      <c r="F818" s="1212">
        <f t="shared" si="65"/>
        <v>89.7</v>
      </c>
      <c r="G818" s="1202">
        <v>1</v>
      </c>
      <c r="H818" s="895"/>
      <c r="I818" s="902"/>
      <c r="J818" s="897"/>
      <c r="K818" s="903"/>
      <c r="L818" s="899"/>
      <c r="M818" s="902"/>
      <c r="N818" s="902"/>
      <c r="O818" s="902"/>
      <c r="P818" s="902"/>
      <c r="Q818" s="902"/>
      <c r="R818" s="902"/>
      <c r="S818" s="902"/>
      <c r="T818" s="902"/>
      <c r="U818" s="902"/>
      <c r="V818" s="902"/>
      <c r="W818" s="902"/>
      <c r="X818" s="902"/>
      <c r="Y818" s="902"/>
      <c r="Z818" s="902"/>
      <c r="AA818" s="902"/>
      <c r="AB818" s="902"/>
      <c r="AC818" s="902"/>
    </row>
    <row r="819" spans="1:29" hidden="1" outlineLevel="1">
      <c r="A819" s="1226" t="s">
        <v>681</v>
      </c>
      <c r="B819" s="1226" t="s">
        <v>15</v>
      </c>
      <c r="C819" s="1203">
        <v>69</v>
      </c>
      <c r="D819" s="1203">
        <v>250</v>
      </c>
      <c r="E819" s="1376"/>
      <c r="F819" s="1212">
        <f t="shared" si="65"/>
        <v>89.7</v>
      </c>
      <c r="G819" s="1226">
        <v>1</v>
      </c>
      <c r="H819" s="895"/>
      <c r="I819" s="902"/>
      <c r="J819" s="897"/>
      <c r="K819" s="903"/>
      <c r="L819" s="899"/>
      <c r="M819" s="902"/>
      <c r="N819" s="902"/>
      <c r="O819" s="902"/>
      <c r="P819" s="902"/>
      <c r="Q819" s="902"/>
      <c r="R819" s="902"/>
      <c r="S819" s="902"/>
      <c r="T819" s="902"/>
      <c r="U819" s="902"/>
      <c r="V819" s="902"/>
      <c r="W819" s="902"/>
      <c r="X819" s="902"/>
      <c r="Y819" s="902"/>
      <c r="Z819" s="902"/>
      <c r="AA819" s="902"/>
      <c r="AB819" s="902"/>
      <c r="AC819" s="902"/>
    </row>
    <row r="820" spans="1:29" hidden="1" outlineLevel="1">
      <c r="A820" s="1202" t="s">
        <v>1395</v>
      </c>
      <c r="B820" s="1202" t="s">
        <v>1396</v>
      </c>
      <c r="C820" s="1203">
        <v>69</v>
      </c>
      <c r="D820" s="1203">
        <v>400</v>
      </c>
      <c r="E820" s="1376"/>
      <c r="F820" s="1212">
        <f t="shared" si="65"/>
        <v>89.7</v>
      </c>
      <c r="G820" s="1202">
        <v>1</v>
      </c>
      <c r="H820" s="895"/>
      <c r="I820" s="902"/>
      <c r="J820" s="897"/>
      <c r="K820" s="903"/>
      <c r="L820" s="899"/>
      <c r="M820" s="902"/>
      <c r="N820" s="902"/>
      <c r="O820" s="902"/>
      <c r="P820" s="902"/>
      <c r="Q820" s="902"/>
      <c r="R820" s="902"/>
      <c r="S820" s="902"/>
      <c r="T820" s="902"/>
      <c r="U820" s="902"/>
      <c r="V820" s="902"/>
      <c r="W820" s="902"/>
      <c r="X820" s="902"/>
      <c r="Y820" s="902"/>
      <c r="Z820" s="902"/>
      <c r="AA820" s="902"/>
      <c r="AB820" s="902"/>
      <c r="AC820" s="902"/>
    </row>
    <row r="821" spans="1:29" hidden="1" outlineLevel="1">
      <c r="A821" s="1202" t="s">
        <v>1608</v>
      </c>
      <c r="B821" s="1202" t="s">
        <v>19</v>
      </c>
      <c r="C821" s="1203">
        <v>69</v>
      </c>
      <c r="D821" s="1203">
        <v>600</v>
      </c>
      <c r="E821" s="1376"/>
      <c r="F821" s="1212">
        <f t="shared" si="65"/>
        <v>89.7</v>
      </c>
      <c r="G821" s="1202">
        <v>1</v>
      </c>
      <c r="H821" s="895"/>
      <c r="I821" s="902"/>
      <c r="J821" s="897"/>
      <c r="K821" s="903"/>
      <c r="L821" s="899"/>
      <c r="M821" s="902"/>
      <c r="N821" s="902"/>
      <c r="O821" s="902"/>
      <c r="P821" s="902"/>
      <c r="Q821" s="902"/>
      <c r="R821" s="902"/>
      <c r="S821" s="902"/>
      <c r="T821" s="902"/>
      <c r="U821" s="902"/>
      <c r="V821" s="902"/>
      <c r="W821" s="902"/>
      <c r="X821" s="902"/>
      <c r="Y821" s="902"/>
      <c r="Z821" s="902"/>
      <c r="AA821" s="902"/>
      <c r="AB821" s="902"/>
      <c r="AC821" s="902"/>
    </row>
    <row r="822" spans="1:29" hidden="1" outlineLevel="1">
      <c r="A822" s="1202" t="s">
        <v>1621</v>
      </c>
      <c r="B822" s="1202" t="s">
        <v>2346</v>
      </c>
      <c r="C822" s="1203">
        <v>175</v>
      </c>
      <c r="D822" s="1203">
        <v>400</v>
      </c>
      <c r="E822" s="1376"/>
      <c r="F822" s="1212">
        <f t="shared" si="65"/>
        <v>227.5</v>
      </c>
      <c r="G822" s="1202">
        <v>1</v>
      </c>
      <c r="H822" s="895"/>
      <c r="I822" s="902"/>
      <c r="J822" s="897"/>
      <c r="K822" s="903"/>
      <c r="L822" s="899"/>
      <c r="M822" s="902"/>
      <c r="N822" s="902"/>
      <c r="O822" s="902"/>
      <c r="P822" s="902"/>
      <c r="Q822" s="902"/>
      <c r="R822" s="902"/>
      <c r="S822" s="902"/>
      <c r="T822" s="902"/>
      <c r="U822" s="902"/>
      <c r="V822" s="902"/>
      <c r="W822" s="902"/>
      <c r="X822" s="902"/>
      <c r="Y822" s="902"/>
      <c r="Z822" s="902"/>
      <c r="AA822" s="902"/>
      <c r="AB822" s="902"/>
      <c r="AC822" s="902"/>
    </row>
    <row r="823" spans="1:29" hidden="1" outlineLevel="1">
      <c r="A823" s="944" t="s">
        <v>1569</v>
      </c>
      <c r="B823" s="944" t="s">
        <v>27</v>
      </c>
      <c r="C823" s="1030">
        <v>69</v>
      </c>
      <c r="D823" s="1030">
        <v>600</v>
      </c>
      <c r="E823" s="1376"/>
      <c r="F823" s="1212">
        <f t="shared" si="65"/>
        <v>89.7</v>
      </c>
      <c r="G823" s="944">
        <v>1</v>
      </c>
      <c r="H823" s="901"/>
      <c r="I823" s="902"/>
      <c r="J823" s="897"/>
      <c r="K823" s="903"/>
      <c r="L823" s="899">
        <f t="shared" ref="L823:L828" si="66">E823-C823</f>
        <v>-69</v>
      </c>
      <c r="M823" s="903" t="s">
        <v>463</v>
      </c>
      <c r="N823" s="903" t="s">
        <v>495</v>
      </c>
      <c r="O823" s="903"/>
      <c r="P823" s="902"/>
      <c r="Q823" s="902"/>
      <c r="R823" s="902">
        <f>(COUNTIF(L823:L828,"&lt;&gt;0"))+IF(H812="x",1,0)</f>
        <v>6</v>
      </c>
      <c r="S823" s="903" t="s">
        <v>510</v>
      </c>
      <c r="T823" s="902"/>
      <c r="U823" s="902"/>
      <c r="V823" s="902"/>
      <c r="W823" s="902"/>
      <c r="X823" s="902"/>
      <c r="Y823" s="902"/>
      <c r="Z823" s="902"/>
      <c r="AA823" s="902"/>
      <c r="AB823" s="902"/>
      <c r="AC823" s="902"/>
    </row>
    <row r="824" spans="1:29" hidden="1" outlineLevel="1">
      <c r="A824" s="1202" t="s">
        <v>1613</v>
      </c>
      <c r="B824" s="1202" t="s">
        <v>32</v>
      </c>
      <c r="C824" s="1203">
        <v>69</v>
      </c>
      <c r="D824" s="1203">
        <v>200</v>
      </c>
      <c r="E824" s="1376"/>
      <c r="F824" s="1212">
        <f t="shared" si="65"/>
        <v>89.7</v>
      </c>
      <c r="G824" s="1202">
        <v>1</v>
      </c>
      <c r="H824" s="901"/>
      <c r="I824" s="902"/>
      <c r="J824" s="897"/>
      <c r="K824" s="903"/>
      <c r="L824" s="899">
        <f t="shared" si="66"/>
        <v>-69</v>
      </c>
      <c r="M824" s="903" t="s">
        <v>487</v>
      </c>
      <c r="N824" s="903" t="s">
        <v>523</v>
      </c>
      <c r="O824" s="903"/>
      <c r="P824" s="902"/>
      <c r="Q824" s="902"/>
      <c r="R824" s="902" t="e">
        <f>COUNTIF(#REF!,"&lt;&gt;0")</f>
        <v>#REF!</v>
      </c>
      <c r="S824" s="903" t="s">
        <v>511</v>
      </c>
      <c r="T824" s="902"/>
      <c r="U824" s="902"/>
      <c r="V824" s="902"/>
      <c r="W824" s="902"/>
      <c r="X824" s="902"/>
      <c r="Y824" s="902"/>
      <c r="Z824" s="902"/>
      <c r="AA824" s="902"/>
      <c r="AB824" s="902"/>
      <c r="AC824" s="902"/>
    </row>
    <row r="825" spans="1:29" hidden="1" outlineLevel="1">
      <c r="A825" s="944" t="s">
        <v>1813</v>
      </c>
      <c r="B825" s="944" t="s">
        <v>505</v>
      </c>
      <c r="C825" s="1030">
        <v>69</v>
      </c>
      <c r="D825" s="1030">
        <v>600</v>
      </c>
      <c r="E825" s="1376"/>
      <c r="F825" s="1212">
        <f t="shared" si="65"/>
        <v>89.7</v>
      </c>
      <c r="G825" s="944">
        <v>1</v>
      </c>
      <c r="H825" s="901"/>
      <c r="I825" s="902"/>
      <c r="J825" s="897"/>
      <c r="K825" s="903"/>
      <c r="L825" s="899">
        <f t="shared" si="66"/>
        <v>-69</v>
      </c>
      <c r="M825" s="903" t="s">
        <v>465</v>
      </c>
      <c r="N825" s="903" t="s">
        <v>523</v>
      </c>
      <c r="O825" s="903"/>
      <c r="P825" s="902"/>
      <c r="Q825" s="902"/>
      <c r="R825" s="902" t="e">
        <f>COUNTIF(#REF!,"&lt;&gt;0")</f>
        <v>#REF!</v>
      </c>
      <c r="S825" s="903" t="s">
        <v>512</v>
      </c>
      <c r="T825" s="902"/>
      <c r="U825" s="902"/>
      <c r="V825" s="902"/>
      <c r="W825" s="902"/>
      <c r="X825" s="902"/>
      <c r="Y825" s="902"/>
      <c r="Z825" s="902"/>
      <c r="AA825" s="902"/>
      <c r="AB825" s="902"/>
      <c r="AC825" s="902"/>
    </row>
    <row r="826" spans="1:29" hidden="1" outlineLevel="1">
      <c r="A826" s="944" t="s">
        <v>649</v>
      </c>
      <c r="B826" s="944" t="s">
        <v>649</v>
      </c>
      <c r="C826" s="1030">
        <v>459.99999999999994</v>
      </c>
      <c r="D826" s="1030">
        <v>1400</v>
      </c>
      <c r="E826" s="1376"/>
      <c r="F826" s="1212">
        <f t="shared" si="65"/>
        <v>598</v>
      </c>
      <c r="G826" s="944">
        <v>1</v>
      </c>
      <c r="H826" s="901"/>
      <c r="I826" s="902"/>
      <c r="J826" s="897"/>
      <c r="K826" s="903"/>
      <c r="L826" s="899">
        <f t="shared" si="66"/>
        <v>-459.99999999999994</v>
      </c>
      <c r="M826" s="903" t="s">
        <v>467</v>
      </c>
      <c r="N826" s="903" t="s">
        <v>523</v>
      </c>
      <c r="O826" s="903"/>
      <c r="P826" s="902"/>
      <c r="Q826" s="902"/>
      <c r="R826" s="902" t="e">
        <f>COUNTIF(#REF!,"&lt;&gt;0")</f>
        <v>#REF!</v>
      </c>
      <c r="S826" s="903" t="s">
        <v>514</v>
      </c>
      <c r="T826" s="902"/>
      <c r="U826" s="902"/>
      <c r="V826" s="902"/>
      <c r="W826" s="902"/>
      <c r="X826" s="902"/>
      <c r="Y826" s="902"/>
      <c r="Z826" s="902"/>
      <c r="AA826" s="902"/>
      <c r="AB826" s="902"/>
      <c r="AC826" s="902"/>
    </row>
    <row r="827" spans="1:29" hidden="1" outlineLevel="1">
      <c r="A827" s="1202" t="s">
        <v>946</v>
      </c>
      <c r="B827" s="1202" t="s">
        <v>2349</v>
      </c>
      <c r="C827" s="1203">
        <v>700</v>
      </c>
      <c r="D827" s="1203">
        <v>1000</v>
      </c>
      <c r="E827" s="1376"/>
      <c r="F827" s="1212">
        <f t="shared" si="65"/>
        <v>910</v>
      </c>
      <c r="G827" s="1202">
        <v>1</v>
      </c>
      <c r="H827" s="901"/>
      <c r="I827" s="902"/>
      <c r="J827" s="897"/>
      <c r="K827" s="903"/>
      <c r="L827" s="899">
        <f t="shared" si="66"/>
        <v>-700</v>
      </c>
      <c r="M827" s="903" t="s">
        <v>472</v>
      </c>
      <c r="N827" s="903" t="s">
        <v>523</v>
      </c>
      <c r="O827" s="903"/>
      <c r="P827" s="902"/>
      <c r="Q827" s="902"/>
      <c r="R827" s="902" t="e">
        <f>COUNTIF(#REF!,"&lt;&gt;0")</f>
        <v>#REF!</v>
      </c>
      <c r="S827" s="903" t="s">
        <v>513</v>
      </c>
      <c r="T827" s="902"/>
      <c r="U827" s="902"/>
      <c r="V827" s="902"/>
      <c r="W827" s="902"/>
      <c r="X827" s="902"/>
      <c r="Y827" s="902"/>
      <c r="Z827" s="902"/>
      <c r="AA827" s="902"/>
      <c r="AB827" s="902"/>
      <c r="AC827" s="902"/>
    </row>
    <row r="828" spans="1:29" hidden="1" outlineLevel="1">
      <c r="A828" s="1214" t="s">
        <v>598</v>
      </c>
      <c r="B828" s="1214" t="s">
        <v>598</v>
      </c>
      <c r="C828" s="1211">
        <v>590</v>
      </c>
      <c r="D828" s="1211">
        <v>800</v>
      </c>
      <c r="E828" s="1376"/>
      <c r="F828" s="1212">
        <f>C828*1.3</f>
        <v>767</v>
      </c>
      <c r="G828" s="1214">
        <v>1</v>
      </c>
      <c r="H828" s="901"/>
      <c r="I828" s="902"/>
      <c r="J828" s="897"/>
      <c r="K828" s="903"/>
      <c r="L828" s="899">
        <f t="shared" si="66"/>
        <v>-590</v>
      </c>
      <c r="M828" s="903" t="s">
        <v>485</v>
      </c>
      <c r="N828" s="903" t="s">
        <v>523</v>
      </c>
      <c r="O828" s="903"/>
      <c r="P828" s="902"/>
      <c r="Q828" s="902"/>
      <c r="R828" s="902" t="e">
        <f>COUNTIF(#REF!,"&lt;&gt;0")</f>
        <v>#REF!</v>
      </c>
      <c r="S828" s="903" t="s">
        <v>515</v>
      </c>
      <c r="T828" s="902"/>
      <c r="U828" s="902"/>
      <c r="V828" s="902"/>
      <c r="W828" s="902"/>
      <c r="X828" s="902"/>
      <c r="Y828" s="902"/>
      <c r="Z828" s="902"/>
      <c r="AA828" s="902"/>
      <c r="AB828" s="902"/>
      <c r="AC828" s="902"/>
    </row>
    <row r="829" spans="1:29" ht="13.95" hidden="1" customHeight="1" outlineLevel="1">
      <c r="A829" s="1200"/>
      <c r="B829" s="1200"/>
      <c r="C829" s="1201"/>
      <c r="D829" s="1201"/>
      <c r="E829" s="1378"/>
      <c r="F829" s="1329"/>
      <c r="G829" s="501"/>
      <c r="H829" s="901"/>
      <c r="I829" s="902"/>
      <c r="J829" s="897"/>
      <c r="K829" s="903"/>
      <c r="L829" s="899"/>
      <c r="M829" s="903"/>
      <c r="N829" s="903"/>
      <c r="O829" s="903"/>
      <c r="P829" s="902"/>
      <c r="Q829" s="902"/>
      <c r="R829" s="902"/>
      <c r="S829" s="903"/>
      <c r="T829" s="902"/>
      <c r="U829" s="902"/>
      <c r="V829" s="902"/>
      <c r="W829" s="902"/>
      <c r="X829" s="902"/>
      <c r="Y829" s="902"/>
      <c r="Z829" s="902"/>
      <c r="AA829" s="902"/>
      <c r="AB829" s="902"/>
      <c r="AC829" s="902"/>
    </row>
    <row r="830" spans="1:29" ht="16.3" hidden="1" outlineLevel="1" thickBot="1">
      <c r="D830" s="902"/>
      <c r="E830" s="1371"/>
      <c r="F830" s="902"/>
    </row>
    <row r="831" spans="1:29" ht="16.3" collapsed="1" thickBot="1">
      <c r="A831" s="1243" t="s">
        <v>1335</v>
      </c>
      <c r="B831" s="1244" t="s">
        <v>5985</v>
      </c>
      <c r="C831" s="1245">
        <f>SUM(C832:C838)</f>
        <v>16200</v>
      </c>
      <c r="D831" s="1245">
        <f>SUM(D832:D838)</f>
        <v>32700</v>
      </c>
      <c r="E831" s="1379">
        <v>25990</v>
      </c>
      <c r="F831" s="1245">
        <f>SUM(F832:F838)</f>
        <v>21060</v>
      </c>
      <c r="G831" s="1246">
        <v>14</v>
      </c>
      <c r="H831" s="979"/>
      <c r="I831" s="902" t="str">
        <f>IF(H831="x",CONCATENATE(A831,"; "),"")</f>
        <v/>
      </c>
      <c r="J831" s="897"/>
      <c r="K831" s="903"/>
      <c r="L831" s="899">
        <f t="shared" ref="L831:L836" si="67">E831-C831</f>
        <v>9790</v>
      </c>
      <c r="M831" s="902"/>
      <c r="N831" s="902"/>
      <c r="O831" s="902"/>
      <c r="P831" s="902"/>
      <c r="Q831" s="902"/>
      <c r="R831" s="902"/>
      <c r="S831" s="902"/>
      <c r="T831" s="902"/>
      <c r="U831" s="902"/>
      <c r="V831" s="902"/>
      <c r="W831" s="902"/>
      <c r="X831" s="902"/>
      <c r="Y831" s="902"/>
      <c r="Z831" s="902"/>
      <c r="AA831" s="902"/>
      <c r="AB831" s="902"/>
      <c r="AC831" s="902"/>
    </row>
    <row r="832" spans="1:29" ht="16.3" hidden="1" outlineLevel="1" thickBot="1">
      <c r="A832" s="944" t="s">
        <v>1485</v>
      </c>
      <c r="B832" s="944" t="s">
        <v>636</v>
      </c>
      <c r="C832" s="1030">
        <v>3500</v>
      </c>
      <c r="D832" s="1030">
        <v>11400</v>
      </c>
      <c r="E832" s="1376"/>
      <c r="F832" s="1212">
        <f t="shared" ref="F832:F838" si="68">C832*1.3</f>
        <v>4550</v>
      </c>
      <c r="G832" s="944">
        <v>3</v>
      </c>
      <c r="H832" s="901"/>
      <c r="I832" s="902" t="str">
        <f>IF(H832="x",CONCATENATE(A832,"; "),"")</f>
        <v/>
      </c>
      <c r="J832" s="897"/>
      <c r="K832" s="903"/>
      <c r="L832" s="899">
        <f t="shared" si="67"/>
        <v>-3500</v>
      </c>
      <c r="M832" s="903"/>
      <c r="N832" s="903"/>
      <c r="O832" s="903"/>
      <c r="P832" s="902"/>
      <c r="Q832" s="902"/>
      <c r="R832" s="902"/>
      <c r="S832" s="903"/>
      <c r="T832" s="902"/>
      <c r="U832" s="902"/>
      <c r="V832" s="902"/>
      <c r="W832" s="902"/>
      <c r="X832" s="902"/>
      <c r="Y832" s="902"/>
      <c r="Z832" s="902"/>
      <c r="AA832" s="902"/>
      <c r="AB832" s="902"/>
      <c r="AC832" s="902"/>
    </row>
    <row r="833" spans="1:29" ht="16.3" hidden="1" outlineLevel="1" thickBot="1">
      <c r="A833" s="944" t="s">
        <v>649</v>
      </c>
      <c r="B833" s="944" t="s">
        <v>649</v>
      </c>
      <c r="C833" s="1030">
        <v>459.99999999999994</v>
      </c>
      <c r="D833" s="1030">
        <v>1400</v>
      </c>
      <c r="E833" s="1376"/>
      <c r="F833" s="1212">
        <f t="shared" si="68"/>
        <v>598</v>
      </c>
      <c r="G833" s="944">
        <v>1</v>
      </c>
      <c r="H833" s="901"/>
      <c r="I833" s="902"/>
      <c r="J833" s="897"/>
      <c r="K833" s="903"/>
      <c r="L833" s="899">
        <f t="shared" si="67"/>
        <v>-459.99999999999994</v>
      </c>
      <c r="M833" s="903" t="s">
        <v>467</v>
      </c>
      <c r="N833" s="903" t="s">
        <v>523</v>
      </c>
      <c r="O833" s="903"/>
      <c r="P833" s="902"/>
      <c r="Q833" s="902"/>
      <c r="R833" s="902" t="e">
        <f>COUNTIF(#REF!,"&lt;&gt;0")</f>
        <v>#REF!</v>
      </c>
      <c r="S833" s="903" t="s">
        <v>514</v>
      </c>
      <c r="T833" s="902"/>
      <c r="U833" s="902"/>
      <c r="V833" s="902"/>
      <c r="W833" s="902"/>
      <c r="X833" s="902"/>
      <c r="Y833" s="902"/>
      <c r="Z833" s="902"/>
      <c r="AA833" s="902"/>
      <c r="AB833" s="902"/>
      <c r="AC833" s="902"/>
    </row>
    <row r="834" spans="1:29" ht="16.3" hidden="1" outlineLevel="1" thickBot="1">
      <c r="A834" s="897" t="s">
        <v>1371</v>
      </c>
      <c r="B834" s="898" t="s">
        <v>1372</v>
      </c>
      <c r="C834" s="898">
        <v>2415</v>
      </c>
      <c r="D834" s="899">
        <v>5800</v>
      </c>
      <c r="E834" s="1332">
        <v>3500</v>
      </c>
      <c r="F834" s="899">
        <f t="shared" si="68"/>
        <v>3139.5</v>
      </c>
      <c r="G834" s="900">
        <v>1</v>
      </c>
      <c r="H834" s="895"/>
      <c r="I834" s="902"/>
      <c r="J834" s="897"/>
      <c r="K834" s="903"/>
      <c r="L834" s="899">
        <f t="shared" si="67"/>
        <v>1085</v>
      </c>
      <c r="M834" s="899"/>
      <c r="N834" s="904"/>
      <c r="O834" s="905"/>
      <c r="P834" s="899"/>
      <c r="Q834" s="899"/>
      <c r="R834" s="898"/>
      <c r="S834" s="899"/>
      <c r="T834" s="899"/>
      <c r="U834" s="904"/>
      <c r="V834" s="905"/>
      <c r="W834" s="902"/>
      <c r="X834" s="897"/>
      <c r="Y834" s="898"/>
      <c r="Z834" s="902"/>
      <c r="AA834" s="902"/>
      <c r="AB834" s="902"/>
      <c r="AC834" s="902"/>
    </row>
    <row r="835" spans="1:29" ht="13.95" hidden="1" customHeight="1" outlineLevel="1">
      <c r="A835" s="897" t="s">
        <v>1522</v>
      </c>
      <c r="B835" s="898" t="s">
        <v>31</v>
      </c>
      <c r="C835" s="898">
        <v>1150</v>
      </c>
      <c r="D835" s="899">
        <v>2800</v>
      </c>
      <c r="E835" s="1332">
        <v>1900</v>
      </c>
      <c r="F835" s="899">
        <f t="shared" si="68"/>
        <v>1495</v>
      </c>
      <c r="G835" s="897">
        <v>1</v>
      </c>
      <c r="H835" s="895"/>
      <c r="I835" s="912"/>
      <c r="J835" s="913"/>
      <c r="K835" s="912"/>
      <c r="L835" s="899">
        <f t="shared" si="67"/>
        <v>750</v>
      </c>
      <c r="M835" s="899"/>
      <c r="N835" s="904"/>
      <c r="O835" s="905"/>
      <c r="P835" s="899"/>
      <c r="Q835" s="899"/>
      <c r="R835" s="898"/>
      <c r="S835" s="899"/>
      <c r="T835" s="899"/>
      <c r="U835" s="904"/>
      <c r="V835" s="905"/>
      <c r="W835" s="902"/>
      <c r="X835" s="897"/>
      <c r="Y835" s="898"/>
      <c r="Z835" s="902"/>
      <c r="AA835" s="902"/>
      <c r="AB835" s="902"/>
      <c r="AC835" s="902"/>
    </row>
    <row r="836" spans="1:29" ht="13.95" hidden="1" customHeight="1" outlineLevel="1">
      <c r="A836" s="897" t="s">
        <v>1769</v>
      </c>
      <c r="B836" s="898" t="s">
        <v>203</v>
      </c>
      <c r="C836" s="899">
        <v>8200</v>
      </c>
      <c r="D836" s="913">
        <v>9500</v>
      </c>
      <c r="E836" s="1332"/>
      <c r="F836" s="899">
        <f t="shared" si="68"/>
        <v>10660</v>
      </c>
      <c r="G836" s="912">
        <v>14</v>
      </c>
      <c r="H836" s="895"/>
      <c r="K836" s="912"/>
      <c r="L836" s="899">
        <f t="shared" si="67"/>
        <v>-8200</v>
      </c>
      <c r="M836" s="899"/>
      <c r="N836" s="904" t="str">
        <f>IF(OR(L836="x", M836="x"), B836 &amp; "; ", "")</f>
        <v/>
      </c>
      <c r="O836" s="905" t="str">
        <f>IF(OR(L836="x", M836="x"), A836 &amp; "     /     ", "")</f>
        <v/>
      </c>
      <c r="P836" s="899" t="s">
        <v>203</v>
      </c>
      <c r="Q836" s="899" t="s">
        <v>2450</v>
      </c>
      <c r="R836" s="898" t="s">
        <v>2496</v>
      </c>
      <c r="S836" s="899" t="s">
        <v>551</v>
      </c>
      <c r="T836" s="899" t="str">
        <f>IF(OR(L836="x", M836="x"), S836,"")</f>
        <v/>
      </c>
      <c r="U836" s="904"/>
      <c r="V836" s="905"/>
      <c r="W836" s="902"/>
      <c r="X836" s="897"/>
      <c r="Y836" s="898"/>
      <c r="Z836" s="902"/>
      <c r="AA836" s="902"/>
      <c r="AB836" s="902"/>
      <c r="AC836" s="902"/>
    </row>
    <row r="837" spans="1:29" ht="13.95" hidden="1" customHeight="1" outlineLevel="1">
      <c r="A837" s="897" t="s">
        <v>1824</v>
      </c>
      <c r="B837" s="898" t="s">
        <v>861</v>
      </c>
      <c r="C837" s="898">
        <v>135</v>
      </c>
      <c r="D837" s="899">
        <v>600</v>
      </c>
      <c r="E837" s="1332">
        <v>600</v>
      </c>
      <c r="F837" s="899">
        <f t="shared" si="68"/>
        <v>175.5</v>
      </c>
      <c r="G837" s="900">
        <v>1</v>
      </c>
      <c r="H837" s="895"/>
      <c r="I837" s="902"/>
      <c r="J837" s="897"/>
      <c r="K837" s="903"/>
      <c r="L837" s="899">
        <f t="shared" ref="L837:L890" si="69">E837-C837</f>
        <v>465</v>
      </c>
      <c r="M837" s="899"/>
      <c r="N837" s="904"/>
      <c r="O837" s="905"/>
      <c r="P837" s="899"/>
      <c r="Q837" s="899"/>
      <c r="R837" s="898"/>
      <c r="S837" s="899"/>
      <c r="T837" s="899"/>
      <c r="U837" s="904"/>
      <c r="V837" s="905"/>
      <c r="W837" s="902"/>
      <c r="X837" s="897"/>
      <c r="Y837" s="898"/>
      <c r="Z837" s="902"/>
      <c r="AA837" s="902"/>
      <c r="AB837" s="902"/>
      <c r="AC837" s="902"/>
    </row>
    <row r="838" spans="1:29" ht="13.95" hidden="1" customHeight="1" outlineLevel="1" thickBot="1">
      <c r="A838" s="897" t="s">
        <v>527</v>
      </c>
      <c r="B838" s="898" t="s">
        <v>1831</v>
      </c>
      <c r="C838" s="898">
        <v>340</v>
      </c>
      <c r="D838" s="899">
        <v>1200</v>
      </c>
      <c r="E838" s="1332">
        <v>500</v>
      </c>
      <c r="F838" s="899">
        <f t="shared" si="68"/>
        <v>442</v>
      </c>
      <c r="G838" s="900">
        <v>1</v>
      </c>
      <c r="H838" s="895"/>
      <c r="I838" s="902"/>
      <c r="J838" s="897"/>
      <c r="K838" s="903"/>
      <c r="L838" s="899">
        <f t="shared" si="69"/>
        <v>160</v>
      </c>
      <c r="M838" s="899"/>
      <c r="N838" s="904"/>
      <c r="O838" s="905"/>
      <c r="P838" s="899"/>
      <c r="Q838" s="899"/>
      <c r="R838" s="898"/>
      <c r="S838" s="899"/>
      <c r="T838" s="899"/>
      <c r="U838" s="904"/>
      <c r="V838" s="905"/>
      <c r="W838" s="902"/>
      <c r="X838" s="897"/>
      <c r="Y838" s="898"/>
      <c r="Z838" s="902"/>
      <c r="AA838" s="902"/>
      <c r="AB838" s="902"/>
      <c r="AC838" s="902"/>
    </row>
    <row r="839" spans="1:29" ht="16.3" collapsed="1" thickBot="1">
      <c r="A839" s="1243" t="s">
        <v>1336</v>
      </c>
      <c r="B839" s="1244" t="s">
        <v>5986</v>
      </c>
      <c r="C839" s="1245">
        <f>SUM(C840:C853)</f>
        <v>40465</v>
      </c>
      <c r="D839" s="1245">
        <f>SUM(D840:D853)</f>
        <v>67200</v>
      </c>
      <c r="E839" s="1379">
        <v>60990</v>
      </c>
      <c r="F839" s="1245">
        <f>SUM(F840:F853)</f>
        <v>52604.5</v>
      </c>
      <c r="G839" s="1246">
        <v>16</v>
      </c>
      <c r="H839" s="979"/>
      <c r="I839" s="902" t="str">
        <f>IF(H839="x",CONCATENATE(A839,"; "),"")</f>
        <v/>
      </c>
      <c r="J839" s="902"/>
      <c r="K839" s="903"/>
      <c r="L839" s="899">
        <f t="shared" si="69"/>
        <v>20525</v>
      </c>
      <c r="M839" s="902"/>
      <c r="N839" s="902"/>
      <c r="O839" s="902"/>
      <c r="P839" s="902"/>
      <c r="Q839" s="902"/>
      <c r="R839" s="902"/>
      <c r="S839" s="902"/>
      <c r="T839" s="902"/>
      <c r="U839" s="902"/>
      <c r="V839" s="902"/>
      <c r="W839" s="902"/>
      <c r="X839" s="902"/>
      <c r="Y839" s="902"/>
      <c r="Z839" s="902"/>
      <c r="AA839" s="902"/>
      <c r="AB839" s="902"/>
      <c r="AC839" s="902"/>
    </row>
    <row r="840" spans="1:29" ht="16.3" hidden="1" outlineLevel="1" thickBot="1">
      <c r="A840" s="944" t="s">
        <v>1431</v>
      </c>
      <c r="B840" s="944" t="s">
        <v>40</v>
      </c>
      <c r="C840" s="1030">
        <v>2070</v>
      </c>
      <c r="D840" s="1030">
        <v>4500</v>
      </c>
      <c r="E840" s="1376"/>
      <c r="F840" s="1212">
        <f t="shared" ref="F840:F849" si="70">C840*1.3</f>
        <v>2691</v>
      </c>
      <c r="G840" s="944">
        <v>1</v>
      </c>
      <c r="H840" s="901"/>
      <c r="I840" s="902" t="str">
        <f>IF(H840="x",CONCATENATE(A840,"; "),"")</f>
        <v/>
      </c>
      <c r="J840" s="897"/>
      <c r="K840" s="903"/>
      <c r="L840" s="899">
        <f t="shared" si="69"/>
        <v>-2070</v>
      </c>
      <c r="M840" s="903"/>
      <c r="N840" s="903"/>
      <c r="O840" s="903"/>
      <c r="P840" s="902"/>
      <c r="Q840" s="902"/>
      <c r="R840" s="902"/>
      <c r="S840" s="903"/>
      <c r="T840" s="902"/>
      <c r="U840" s="902"/>
      <c r="V840" s="902"/>
      <c r="W840" s="902"/>
      <c r="X840" s="902"/>
      <c r="Y840" s="902"/>
      <c r="Z840" s="902"/>
      <c r="AA840" s="902"/>
      <c r="AB840" s="902"/>
      <c r="AC840" s="902"/>
    </row>
    <row r="841" spans="1:29" ht="16.3" hidden="1" outlineLevel="1" thickBot="1">
      <c r="A841" s="944" t="s">
        <v>1485</v>
      </c>
      <c r="B841" s="944" t="s">
        <v>636</v>
      </c>
      <c r="C841" s="1030">
        <v>3500</v>
      </c>
      <c r="D841" s="1030">
        <v>11400</v>
      </c>
      <c r="E841" s="1376"/>
      <c r="F841" s="1212">
        <f t="shared" si="70"/>
        <v>4550</v>
      </c>
      <c r="G841" s="944">
        <v>3</v>
      </c>
      <c r="H841" s="901"/>
      <c r="I841" s="902" t="str">
        <f>IF(H841="x",CONCATENATE(A841,"; "),"")</f>
        <v/>
      </c>
      <c r="J841" s="897"/>
      <c r="K841" s="903"/>
      <c r="L841" s="899">
        <f t="shared" si="69"/>
        <v>-3500</v>
      </c>
      <c r="M841" s="903"/>
      <c r="N841" s="903"/>
      <c r="O841" s="903"/>
      <c r="P841" s="902"/>
      <c r="Q841" s="902"/>
      <c r="R841" s="902"/>
      <c r="S841" s="903"/>
      <c r="T841" s="902"/>
      <c r="U841" s="902"/>
      <c r="V841" s="902"/>
      <c r="W841" s="902"/>
      <c r="X841" s="902"/>
      <c r="Y841" s="902"/>
      <c r="Z841" s="902"/>
      <c r="AA841" s="902"/>
      <c r="AB841" s="902"/>
      <c r="AC841" s="902"/>
    </row>
    <row r="842" spans="1:29" ht="16.3" hidden="1" outlineLevel="1" thickBot="1">
      <c r="A842" s="944" t="s">
        <v>649</v>
      </c>
      <c r="B842" s="944" t="s">
        <v>649</v>
      </c>
      <c r="C842" s="1030">
        <v>459.99999999999994</v>
      </c>
      <c r="D842" s="1030">
        <v>1400</v>
      </c>
      <c r="E842" s="1376"/>
      <c r="F842" s="1212">
        <f t="shared" si="70"/>
        <v>598</v>
      </c>
      <c r="G842" s="944">
        <v>1</v>
      </c>
      <c r="H842" s="901"/>
      <c r="I842" s="902"/>
      <c r="J842" s="897"/>
      <c r="K842" s="903"/>
      <c r="L842" s="899">
        <f t="shared" si="69"/>
        <v>-459.99999999999994</v>
      </c>
      <c r="M842" s="903" t="s">
        <v>467</v>
      </c>
      <c r="N842" s="903" t="s">
        <v>523</v>
      </c>
      <c r="O842" s="903"/>
      <c r="P842" s="902"/>
      <c r="Q842" s="902"/>
      <c r="R842" s="902" t="e">
        <f>COUNTIF(#REF!,"&lt;&gt;0")</f>
        <v>#REF!</v>
      </c>
      <c r="S842" s="903" t="s">
        <v>514</v>
      </c>
      <c r="T842" s="902"/>
      <c r="U842" s="902"/>
      <c r="V842" s="902"/>
      <c r="W842" s="902"/>
      <c r="X842" s="902"/>
      <c r="Y842" s="902"/>
      <c r="Z842" s="902"/>
      <c r="AA842" s="902"/>
      <c r="AB842" s="902"/>
      <c r="AC842" s="902"/>
    </row>
    <row r="843" spans="1:29" ht="16.3" hidden="1" outlineLevel="1" thickBot="1">
      <c r="A843" s="897" t="s">
        <v>1371</v>
      </c>
      <c r="B843" s="898" t="s">
        <v>1372</v>
      </c>
      <c r="C843" s="898">
        <v>2415</v>
      </c>
      <c r="D843" s="899">
        <v>5800</v>
      </c>
      <c r="E843" s="1332">
        <v>3500</v>
      </c>
      <c r="F843" s="899">
        <f t="shared" si="70"/>
        <v>3139.5</v>
      </c>
      <c r="G843" s="900">
        <v>1</v>
      </c>
      <c r="H843" s="895"/>
      <c r="I843" s="902"/>
      <c r="J843" s="897"/>
      <c r="K843" s="903"/>
      <c r="L843" s="899">
        <f t="shared" si="69"/>
        <v>1085</v>
      </c>
      <c r="M843" s="899"/>
      <c r="N843" s="904"/>
      <c r="O843" s="905"/>
      <c r="P843" s="899"/>
      <c r="Q843" s="899"/>
      <c r="R843" s="898"/>
      <c r="S843" s="899"/>
      <c r="T843" s="899"/>
      <c r="U843" s="904"/>
      <c r="V843" s="905"/>
      <c r="W843" s="902"/>
      <c r="X843" s="897"/>
      <c r="Y843" s="898"/>
      <c r="Z843" s="902"/>
      <c r="AA843" s="902"/>
      <c r="AB843" s="902"/>
      <c r="AC843" s="902"/>
    </row>
    <row r="844" spans="1:29" ht="13.95" hidden="1" customHeight="1" outlineLevel="1">
      <c r="A844" s="897" t="s">
        <v>1522</v>
      </c>
      <c r="B844" s="898" t="s">
        <v>31</v>
      </c>
      <c r="C844" s="898">
        <v>1150</v>
      </c>
      <c r="D844" s="899">
        <v>2800</v>
      </c>
      <c r="E844" s="1332">
        <v>1900</v>
      </c>
      <c r="F844" s="899">
        <f t="shared" si="70"/>
        <v>1495</v>
      </c>
      <c r="G844" s="897">
        <v>1</v>
      </c>
      <c r="H844" s="895"/>
      <c r="I844" s="912"/>
      <c r="J844" s="913"/>
      <c r="K844" s="912"/>
      <c r="L844" s="899">
        <f t="shared" si="69"/>
        <v>750</v>
      </c>
      <c r="M844" s="899"/>
      <c r="N844" s="904"/>
      <c r="O844" s="905"/>
      <c r="P844" s="899"/>
      <c r="Q844" s="899"/>
      <c r="R844" s="898"/>
      <c r="S844" s="899"/>
      <c r="T844" s="899"/>
      <c r="U844" s="904"/>
      <c r="V844" s="905"/>
      <c r="W844" s="902"/>
      <c r="X844" s="897"/>
      <c r="Y844" s="898"/>
      <c r="Z844" s="902"/>
      <c r="AA844" s="902"/>
      <c r="AB844" s="902"/>
      <c r="AC844" s="902"/>
    </row>
    <row r="845" spans="1:29" ht="13.95" hidden="1" customHeight="1" outlineLevel="1">
      <c r="A845" s="897" t="s">
        <v>1524</v>
      </c>
      <c r="B845" s="898" t="s">
        <v>41</v>
      </c>
      <c r="C845" s="898">
        <v>2300</v>
      </c>
      <c r="D845" s="899">
        <v>3500</v>
      </c>
      <c r="E845" s="1332"/>
      <c r="F845" s="899">
        <f t="shared" si="70"/>
        <v>2990</v>
      </c>
      <c r="G845" s="897">
        <v>1</v>
      </c>
      <c r="H845" s="901"/>
      <c r="I845" s="912" t="str">
        <f>IF(H845="x",CONCATENATE(A845,"; "),"")</f>
        <v/>
      </c>
      <c r="J845" s="913"/>
      <c r="K845" s="912"/>
      <c r="L845" s="899">
        <f t="shared" si="69"/>
        <v>-2300</v>
      </c>
      <c r="M845" s="899"/>
      <c r="N845" s="904"/>
      <c r="O845" s="905"/>
      <c r="P845" s="899"/>
      <c r="Q845" s="899"/>
      <c r="R845" s="898"/>
      <c r="S845" s="899"/>
      <c r="T845" s="899"/>
      <c r="U845" s="904"/>
      <c r="V845" s="905"/>
      <c r="W845" s="902"/>
      <c r="X845" s="897"/>
      <c r="Y845" s="898"/>
      <c r="Z845" s="902"/>
      <c r="AA845" s="902"/>
      <c r="AB845" s="902"/>
      <c r="AC845" s="902"/>
    </row>
    <row r="846" spans="1:29" ht="16.3" hidden="1" outlineLevel="1" thickBot="1">
      <c r="A846" s="944" t="s">
        <v>1579</v>
      </c>
      <c r="B846" s="944" t="s">
        <v>91</v>
      </c>
      <c r="C846" s="1030">
        <v>1265</v>
      </c>
      <c r="D846" s="1030">
        <v>1700</v>
      </c>
      <c r="E846" s="1376"/>
      <c r="F846" s="1212">
        <f t="shared" si="70"/>
        <v>1644.5</v>
      </c>
      <c r="G846" s="944">
        <v>3</v>
      </c>
      <c r="H846" s="901"/>
      <c r="I846" s="902"/>
      <c r="J846" s="897"/>
      <c r="K846" s="903"/>
      <c r="L846" s="899">
        <f t="shared" si="69"/>
        <v>-1265</v>
      </c>
      <c r="M846" s="903"/>
      <c r="N846" s="903" t="str">
        <f>IF(OR(L846="x", M846="x"), B846 &amp; "; ", "")</f>
        <v/>
      </c>
      <c r="O846" s="903" t="str">
        <f>IF(OR(L846="x", M846="x"), A846 &amp; "     /     ", "")</f>
        <v/>
      </c>
      <c r="P846" s="902" t="s">
        <v>91</v>
      </c>
      <c r="Q846" s="902" t="s">
        <v>2450</v>
      </c>
      <c r="R846" s="902" t="s">
        <v>2452</v>
      </c>
      <c r="S846" s="903" t="s">
        <v>551</v>
      </c>
      <c r="T846" s="902" t="str">
        <f>IF(OR(L846="x", M846="x"), S846,"")</f>
        <v/>
      </c>
      <c r="U846" s="902"/>
      <c r="V846" s="902"/>
      <c r="W846" s="902"/>
      <c r="X846" s="902"/>
      <c r="Y846" s="902"/>
      <c r="Z846" s="902"/>
      <c r="AA846" s="902"/>
      <c r="AB846" s="902"/>
      <c r="AC846" s="902"/>
    </row>
    <row r="847" spans="1:29" ht="16.3" hidden="1" outlineLevel="1" thickBot="1">
      <c r="A847" s="944" t="s">
        <v>1581</v>
      </c>
      <c r="B847" s="944" t="s">
        <v>90</v>
      </c>
      <c r="C847" s="1030">
        <v>1265</v>
      </c>
      <c r="D847" s="1030">
        <v>1700</v>
      </c>
      <c r="E847" s="1376"/>
      <c r="F847" s="1212">
        <f t="shared" si="70"/>
        <v>1644.5</v>
      </c>
      <c r="G847" s="944">
        <v>3</v>
      </c>
      <c r="H847" s="901"/>
      <c r="I847" s="902"/>
      <c r="J847" s="897"/>
      <c r="K847" s="903"/>
      <c r="L847" s="899">
        <f t="shared" si="69"/>
        <v>-1265</v>
      </c>
      <c r="M847" s="903"/>
      <c r="N847" s="903" t="str">
        <f>IF(OR(L847="x", M847="x"), B847 &amp; "; ", "")</f>
        <v/>
      </c>
      <c r="O847" s="903" t="str">
        <f>IF(OR(L847="x", M847="x"), A847 &amp; "     /     ", "")</f>
        <v/>
      </c>
      <c r="P847" s="902" t="s">
        <v>90</v>
      </c>
      <c r="Q847" s="902" t="s">
        <v>2450</v>
      </c>
      <c r="R847" s="902" t="s">
        <v>2452</v>
      </c>
      <c r="S847" s="903" t="s">
        <v>551</v>
      </c>
      <c r="T847" s="902" t="str">
        <f>IF(OR(L847="x", M847="x"), S847,"")</f>
        <v/>
      </c>
      <c r="U847" s="902"/>
      <c r="V847" s="902"/>
      <c r="W847" s="902"/>
      <c r="X847" s="902"/>
      <c r="Y847" s="902"/>
      <c r="Z847" s="902"/>
      <c r="AA847" s="902"/>
      <c r="AB847" s="902"/>
      <c r="AC847" s="902"/>
    </row>
    <row r="848" spans="1:29" ht="16.3" hidden="1" outlineLevel="1" thickBot="1">
      <c r="A848" s="944" t="s">
        <v>1583</v>
      </c>
      <c r="B848" s="944" t="s">
        <v>92</v>
      </c>
      <c r="C848" s="1030">
        <v>1265</v>
      </c>
      <c r="D848" s="1030">
        <v>1700</v>
      </c>
      <c r="E848" s="1376"/>
      <c r="F848" s="1212">
        <f t="shared" si="70"/>
        <v>1644.5</v>
      </c>
      <c r="G848" s="944">
        <v>3</v>
      </c>
      <c r="H848" s="901"/>
      <c r="I848" s="902"/>
      <c r="J848" s="897"/>
      <c r="K848" s="903"/>
      <c r="L848" s="899">
        <f t="shared" si="69"/>
        <v>-1265</v>
      </c>
      <c r="M848" s="903"/>
      <c r="N848" s="903" t="str">
        <f>IF(OR(L848="x", M848="x"), B848 &amp; "; ", "")</f>
        <v/>
      </c>
      <c r="O848" s="903" t="str">
        <f>IF(OR(L848="x", M848="x"), A848 &amp; "     /     ", "")</f>
        <v/>
      </c>
      <c r="P848" s="902" t="s">
        <v>92</v>
      </c>
      <c r="Q848" s="902" t="s">
        <v>2450</v>
      </c>
      <c r="R848" s="902" t="s">
        <v>2452</v>
      </c>
      <c r="S848" s="903" t="s">
        <v>551</v>
      </c>
      <c r="T848" s="902" t="str">
        <f>IF(OR(L848="x", M848="x"), S848,"")</f>
        <v/>
      </c>
      <c r="U848" s="902"/>
      <c r="V848" s="902"/>
      <c r="W848" s="902"/>
      <c r="X848" s="902"/>
      <c r="Y848" s="902"/>
      <c r="Z848" s="902"/>
      <c r="AA848" s="902"/>
      <c r="AB848" s="902"/>
      <c r="AC848" s="902"/>
    </row>
    <row r="849" spans="1:29" ht="16.3" hidden="1" outlineLevel="1" thickBot="1">
      <c r="A849" s="944" t="s">
        <v>1602</v>
      </c>
      <c r="B849" s="944" t="s">
        <v>725</v>
      </c>
      <c r="C849" s="1030">
        <v>14949.999999999998</v>
      </c>
      <c r="D849" s="1030">
        <v>19500</v>
      </c>
      <c r="E849" s="1376"/>
      <c r="F849" s="1212">
        <f t="shared" si="70"/>
        <v>19435</v>
      </c>
      <c r="G849" s="944">
        <v>14</v>
      </c>
      <c r="H849" s="901"/>
      <c r="I849" s="902"/>
      <c r="J849" s="897"/>
      <c r="K849" s="903"/>
      <c r="L849" s="899">
        <f t="shared" si="69"/>
        <v>-14949.999999999998</v>
      </c>
      <c r="M849" s="903"/>
      <c r="N849" s="903" t="str">
        <f>IF(OR(L849="x", M849="x"), B849 &amp; "; ", "")</f>
        <v/>
      </c>
      <c r="O849" s="903" t="str">
        <f>IF(OR(L849="x", M849="x"), A849 &amp; "     /     ", "")</f>
        <v/>
      </c>
      <c r="P849" s="902" t="s">
        <v>725</v>
      </c>
      <c r="Q849" s="902" t="s">
        <v>2450</v>
      </c>
      <c r="R849" s="902" t="s">
        <v>2496</v>
      </c>
      <c r="S849" s="903" t="s">
        <v>551</v>
      </c>
      <c r="T849" s="902" t="str">
        <f>IF(OR(L849="x", M849="x"), S849,"")</f>
        <v/>
      </c>
      <c r="U849" s="902"/>
      <c r="V849" s="902"/>
      <c r="W849" s="902"/>
      <c r="X849" s="902"/>
      <c r="Y849" s="902"/>
      <c r="Z849" s="902"/>
      <c r="AA849" s="902"/>
      <c r="AB849" s="902"/>
      <c r="AC849" s="902"/>
    </row>
    <row r="850" spans="1:29" ht="16.3" hidden="1" outlineLevel="1" thickBot="1">
      <c r="A850" s="944" t="s">
        <v>1769</v>
      </c>
      <c r="B850" s="944" t="s">
        <v>203</v>
      </c>
      <c r="C850" s="1030">
        <v>8200</v>
      </c>
      <c r="D850" s="1030">
        <v>9500</v>
      </c>
      <c r="E850" s="1376"/>
      <c r="F850" s="1212">
        <f>C850*1.3</f>
        <v>10660</v>
      </c>
      <c r="G850" s="944">
        <v>14</v>
      </c>
      <c r="H850" s="901"/>
      <c r="I850" s="902"/>
      <c r="J850" s="897"/>
      <c r="K850" s="903"/>
      <c r="L850" s="899">
        <f t="shared" si="69"/>
        <v>-8200</v>
      </c>
      <c r="M850" s="903"/>
      <c r="N850" s="903" t="str">
        <f>IF(OR(L850="x", M850="x"), B850 &amp; "; ", "")</f>
        <v/>
      </c>
      <c r="O850" s="903" t="str">
        <f>IF(OR(L850="x", M850="x"), A850 &amp; "     /     ", "")</f>
        <v/>
      </c>
      <c r="P850" s="902" t="s">
        <v>203</v>
      </c>
      <c r="Q850" s="902" t="s">
        <v>2450</v>
      </c>
      <c r="R850" s="902" t="s">
        <v>2496</v>
      </c>
      <c r="S850" s="903" t="s">
        <v>551</v>
      </c>
      <c r="T850" s="902" t="str">
        <f>IF(OR(L850="x", M850="x"), S850,"")</f>
        <v/>
      </c>
      <c r="U850" s="902"/>
      <c r="V850" s="902"/>
      <c r="W850" s="902"/>
      <c r="X850" s="902"/>
      <c r="Y850" s="902"/>
      <c r="Z850" s="902"/>
      <c r="AA850" s="902"/>
      <c r="AB850" s="902"/>
      <c r="AC850" s="902"/>
    </row>
    <row r="851" spans="1:29" ht="16.3" hidden="1" outlineLevel="1" thickBot="1">
      <c r="A851" s="897" t="s">
        <v>54</v>
      </c>
      <c r="B851" s="898" t="s">
        <v>54</v>
      </c>
      <c r="C851" s="898">
        <v>1150</v>
      </c>
      <c r="D851" s="899">
        <v>1900</v>
      </c>
      <c r="E851" s="1332">
        <v>1900</v>
      </c>
      <c r="F851" s="899">
        <f>C851*1.3</f>
        <v>1495</v>
      </c>
      <c r="G851" s="900"/>
      <c r="H851" s="895"/>
      <c r="I851" s="902"/>
      <c r="J851" s="897"/>
      <c r="K851" s="903"/>
      <c r="L851" s="899">
        <f t="shared" si="69"/>
        <v>750</v>
      </c>
      <c r="M851" s="899"/>
      <c r="N851" s="904"/>
      <c r="O851" s="905"/>
      <c r="P851" s="899"/>
      <c r="Q851" s="899"/>
      <c r="R851" s="898"/>
      <c r="S851" s="899"/>
      <c r="T851" s="899"/>
      <c r="U851" s="904"/>
      <c r="V851" s="905"/>
      <c r="W851" s="902"/>
      <c r="X851" s="897"/>
      <c r="Y851" s="898"/>
      <c r="Z851" s="902"/>
      <c r="AA851" s="902"/>
      <c r="AB851" s="902"/>
      <c r="AC851" s="902"/>
    </row>
    <row r="852" spans="1:29" ht="13.95" hidden="1" customHeight="1" outlineLevel="1">
      <c r="A852" s="897" t="s">
        <v>1824</v>
      </c>
      <c r="B852" s="898" t="s">
        <v>861</v>
      </c>
      <c r="C852" s="898">
        <v>135</v>
      </c>
      <c r="D852" s="899">
        <v>600</v>
      </c>
      <c r="E852" s="1332">
        <v>600</v>
      </c>
      <c r="F852" s="899">
        <f>C852*1.3</f>
        <v>175.5</v>
      </c>
      <c r="G852" s="900">
        <v>1</v>
      </c>
      <c r="H852" s="895"/>
      <c r="I852" s="902"/>
      <c r="J852" s="897"/>
      <c r="K852" s="903"/>
      <c r="L852" s="899">
        <f>E852-C852</f>
        <v>465</v>
      </c>
      <c r="M852" s="899"/>
      <c r="N852" s="904"/>
      <c r="O852" s="905"/>
      <c r="P852" s="899"/>
      <c r="Q852" s="899"/>
      <c r="R852" s="898"/>
      <c r="S852" s="899"/>
      <c r="T852" s="899"/>
      <c r="U852" s="904"/>
      <c r="V852" s="905"/>
      <c r="W852" s="902"/>
      <c r="X852" s="897"/>
      <c r="Y852" s="898"/>
      <c r="Z852" s="902"/>
      <c r="AA852" s="902"/>
      <c r="AB852" s="902"/>
      <c r="AC852" s="902"/>
    </row>
    <row r="853" spans="1:29" ht="13.95" hidden="1" customHeight="1" outlineLevel="1" thickBot="1">
      <c r="A853" s="897" t="s">
        <v>527</v>
      </c>
      <c r="B853" s="898" t="s">
        <v>1831</v>
      </c>
      <c r="C853" s="898">
        <v>340</v>
      </c>
      <c r="D853" s="899">
        <v>1200</v>
      </c>
      <c r="E853" s="1332">
        <v>500</v>
      </c>
      <c r="F853" s="899">
        <f>C853*1.3</f>
        <v>442</v>
      </c>
      <c r="G853" s="900">
        <v>1</v>
      </c>
      <c r="H853" s="895"/>
      <c r="I853" s="902"/>
      <c r="J853" s="897"/>
      <c r="K853" s="903"/>
      <c r="L853" s="899">
        <f>E853-C853</f>
        <v>160</v>
      </c>
      <c r="M853" s="899"/>
      <c r="N853" s="904"/>
      <c r="O853" s="905"/>
      <c r="P853" s="899"/>
      <c r="Q853" s="899"/>
      <c r="R853" s="898"/>
      <c r="S853" s="899"/>
      <c r="T853" s="899"/>
      <c r="U853" s="904"/>
      <c r="V853" s="905"/>
      <c r="W853" s="902"/>
      <c r="X853" s="897"/>
      <c r="Y853" s="898"/>
      <c r="Z853" s="902"/>
      <c r="AA853" s="902"/>
      <c r="AB853" s="902"/>
      <c r="AC853" s="902"/>
    </row>
    <row r="854" spans="1:29" ht="16.3" collapsed="1" thickBot="1">
      <c r="A854" s="1243" t="s">
        <v>1337</v>
      </c>
      <c r="B854" s="1244" t="s">
        <v>5987</v>
      </c>
      <c r="C854" s="1245">
        <f>SUM(C855:C871)</f>
        <v>70940</v>
      </c>
      <c r="D854" s="1245">
        <f>SUM(D855:D871)</f>
        <v>107500</v>
      </c>
      <c r="E854" s="1379">
        <v>91900</v>
      </c>
      <c r="F854" s="1245">
        <f>SUM(F855:F871)</f>
        <v>92222</v>
      </c>
      <c r="G854" s="1246">
        <v>17</v>
      </c>
      <c r="H854" s="901"/>
      <c r="I854" s="902" t="str">
        <f>IF(H854="x",CONCATENATE(A854,"; "),"")</f>
        <v/>
      </c>
      <c r="J854" s="902"/>
      <c r="K854" s="903"/>
      <c r="L854" s="899">
        <f t="shared" si="69"/>
        <v>20960</v>
      </c>
      <c r="M854" s="902"/>
      <c r="N854" s="902"/>
      <c r="O854" s="902"/>
      <c r="P854" s="902"/>
      <c r="Q854" s="902"/>
      <c r="R854" s="902"/>
      <c r="S854" s="902"/>
      <c r="T854" s="902"/>
      <c r="U854" s="902"/>
      <c r="V854" s="902"/>
      <c r="W854" s="902"/>
      <c r="X854" s="902"/>
      <c r="Y854" s="902"/>
      <c r="Z854" s="902"/>
      <c r="AA854" s="902"/>
      <c r="AB854" s="902"/>
      <c r="AC854" s="902"/>
    </row>
    <row r="855" spans="1:29" ht="31.25" hidden="1" outlineLevel="1">
      <c r="A855" s="944" t="s">
        <v>1416</v>
      </c>
      <c r="B855" s="944" t="s">
        <v>590</v>
      </c>
      <c r="C855" s="1030">
        <v>18400</v>
      </c>
      <c r="D855" s="1030">
        <v>23900</v>
      </c>
      <c r="E855" s="1376"/>
      <c r="F855" s="1212">
        <f t="shared" ref="F855:F860" si="71">C855*1.3</f>
        <v>23920</v>
      </c>
      <c r="G855" s="944" t="s">
        <v>1399</v>
      </c>
      <c r="H855" s="901"/>
      <c r="I855" s="902"/>
      <c r="J855" s="897"/>
      <c r="K855" s="903"/>
      <c r="L855" s="899">
        <f t="shared" ref="L855:L863" si="72">E855-C855</f>
        <v>-18400</v>
      </c>
      <c r="M855" s="903"/>
      <c r="N855" s="903" t="str">
        <f>IF(OR(L855="x", M855="x"), B855 &amp; "; ", "")</f>
        <v/>
      </c>
      <c r="O855" s="903" t="str">
        <f>IF(OR(L855="x", M855="x"), A855 &amp; "     /     ", "")</f>
        <v/>
      </c>
      <c r="P855" s="902" t="s">
        <v>2584</v>
      </c>
      <c r="Q855" s="902" t="s">
        <v>2450</v>
      </c>
      <c r="R855" s="902" t="s">
        <v>2452</v>
      </c>
      <c r="S855" s="903" t="s">
        <v>551</v>
      </c>
      <c r="T855" s="902" t="str">
        <f>IF(OR(L855="x", M855="x"), S855,"")</f>
        <v/>
      </c>
      <c r="U855" s="902"/>
      <c r="V855" s="902"/>
      <c r="W855" s="902"/>
      <c r="X855" s="902"/>
      <c r="Y855" s="902"/>
      <c r="Z855" s="902"/>
      <c r="AA855" s="902"/>
      <c r="AB855" s="902"/>
      <c r="AC855" s="902"/>
    </row>
    <row r="856" spans="1:29" hidden="1" outlineLevel="1">
      <c r="A856" s="944" t="s">
        <v>1431</v>
      </c>
      <c r="B856" s="944" t="s">
        <v>40</v>
      </c>
      <c r="C856" s="1030">
        <v>2070</v>
      </c>
      <c r="D856" s="1030">
        <v>4500</v>
      </c>
      <c r="E856" s="1376"/>
      <c r="F856" s="1212">
        <f t="shared" si="71"/>
        <v>2691</v>
      </c>
      <c r="G856" s="944">
        <v>1</v>
      </c>
      <c r="H856" s="901"/>
      <c r="I856" s="902" t="str">
        <f>IF(H856="x",CONCATENATE(A856,"; "),"")</f>
        <v/>
      </c>
      <c r="J856" s="897"/>
      <c r="K856" s="903"/>
      <c r="L856" s="899">
        <f t="shared" si="72"/>
        <v>-2070</v>
      </c>
      <c r="M856" s="903"/>
      <c r="N856" s="903"/>
      <c r="O856" s="903"/>
      <c r="P856" s="902"/>
      <c r="Q856" s="902"/>
      <c r="R856" s="902"/>
      <c r="S856" s="903"/>
      <c r="T856" s="902"/>
      <c r="U856" s="902"/>
      <c r="V856" s="902"/>
      <c r="W856" s="902"/>
      <c r="X856" s="902"/>
      <c r="Y856" s="902"/>
      <c r="Z856" s="902"/>
      <c r="AA856" s="902"/>
      <c r="AB856" s="902"/>
      <c r="AC856" s="902"/>
    </row>
    <row r="857" spans="1:29" hidden="1" outlineLevel="1">
      <c r="A857" s="944" t="s">
        <v>1485</v>
      </c>
      <c r="B857" s="944" t="s">
        <v>636</v>
      </c>
      <c r="C857" s="1030">
        <v>3500</v>
      </c>
      <c r="D857" s="1030">
        <v>11400</v>
      </c>
      <c r="E857" s="1376"/>
      <c r="F857" s="1212">
        <f t="shared" si="71"/>
        <v>4550</v>
      </c>
      <c r="G857" s="944">
        <v>3</v>
      </c>
      <c r="H857" s="901"/>
      <c r="I857" s="902" t="str">
        <f>IF(H857="x",CONCATENATE(A857,"; "),"")</f>
        <v/>
      </c>
      <c r="J857" s="897"/>
      <c r="K857" s="903"/>
      <c r="L857" s="899">
        <f t="shared" si="72"/>
        <v>-3500</v>
      </c>
      <c r="M857" s="903"/>
      <c r="N857" s="903"/>
      <c r="O857" s="903"/>
      <c r="P857" s="902"/>
      <c r="Q857" s="902"/>
      <c r="R857" s="902"/>
      <c r="S857" s="903"/>
      <c r="T857" s="902"/>
      <c r="U857" s="902"/>
      <c r="V857" s="902"/>
      <c r="W857" s="902"/>
      <c r="X857" s="902"/>
      <c r="Y857" s="902"/>
      <c r="Z857" s="902"/>
      <c r="AA857" s="902"/>
      <c r="AB857" s="902"/>
      <c r="AC857" s="902"/>
    </row>
    <row r="858" spans="1:29" hidden="1" outlineLevel="1">
      <c r="A858" s="897" t="s">
        <v>649</v>
      </c>
      <c r="B858" s="898" t="s">
        <v>649</v>
      </c>
      <c r="C858" s="898">
        <v>459.99999999999994</v>
      </c>
      <c r="D858" s="899">
        <v>1400</v>
      </c>
      <c r="E858" s="1332"/>
      <c r="F858" s="899">
        <f t="shared" si="71"/>
        <v>598</v>
      </c>
      <c r="G858" s="900">
        <v>1</v>
      </c>
      <c r="H858" s="901"/>
      <c r="I858" s="902"/>
      <c r="J858" s="897"/>
      <c r="K858" s="903"/>
      <c r="L858" s="899">
        <f t="shared" si="72"/>
        <v>-459.99999999999994</v>
      </c>
      <c r="M858" s="899" t="s">
        <v>467</v>
      </c>
      <c r="N858" s="904" t="s">
        <v>523</v>
      </c>
      <c r="O858" s="905"/>
      <c r="P858" s="899"/>
      <c r="Q858" s="899"/>
      <c r="R858" s="898" t="e">
        <f>COUNTIF(#REF!,"&lt;&gt;0")</f>
        <v>#REF!</v>
      </c>
      <c r="S858" s="899" t="s">
        <v>514</v>
      </c>
      <c r="T858" s="899"/>
      <c r="U858" s="904"/>
      <c r="V858" s="905"/>
      <c r="W858" s="902"/>
      <c r="X858" s="897"/>
      <c r="Y858" s="898"/>
      <c r="Z858" s="902"/>
      <c r="AA858" s="902"/>
      <c r="AB858" s="902"/>
      <c r="AC858" s="902"/>
    </row>
    <row r="859" spans="1:29" hidden="1" outlineLevel="1">
      <c r="A859" s="897" t="s">
        <v>1371</v>
      </c>
      <c r="B859" s="898" t="s">
        <v>1372</v>
      </c>
      <c r="C859" s="898">
        <v>2415</v>
      </c>
      <c r="D859" s="899">
        <v>5800</v>
      </c>
      <c r="E859" s="1332"/>
      <c r="F859" s="899">
        <f t="shared" si="71"/>
        <v>3139.5</v>
      </c>
      <c r="G859" s="900">
        <v>1</v>
      </c>
      <c r="H859" s="901"/>
      <c r="I859" s="902"/>
      <c r="J859" s="897"/>
      <c r="K859" s="903"/>
      <c r="L859" s="899">
        <f t="shared" si="72"/>
        <v>-2415</v>
      </c>
      <c r="M859" s="899"/>
      <c r="N859" s="904"/>
      <c r="O859" s="905"/>
      <c r="P859" s="899"/>
      <c r="Q859" s="899"/>
      <c r="R859" s="898"/>
      <c r="S859" s="899"/>
      <c r="T859" s="899"/>
      <c r="U859" s="904"/>
      <c r="V859" s="905"/>
      <c r="W859" s="902"/>
      <c r="X859" s="897"/>
      <c r="Y859" s="898"/>
      <c r="Z859" s="902"/>
      <c r="AA859" s="902"/>
      <c r="AB859" s="902"/>
      <c r="AC859" s="902"/>
    </row>
    <row r="860" spans="1:29" hidden="1" outlineLevel="1">
      <c r="A860" s="944" t="s">
        <v>1512</v>
      </c>
      <c r="B860" s="944" t="s">
        <v>660</v>
      </c>
      <c r="C860" s="1030">
        <v>10350</v>
      </c>
      <c r="D860" s="1030">
        <v>13500</v>
      </c>
      <c r="E860" s="1376"/>
      <c r="F860" s="1212">
        <f t="shared" si="71"/>
        <v>13455</v>
      </c>
      <c r="G860" s="944">
        <v>17</v>
      </c>
      <c r="H860" s="901"/>
      <c r="I860" s="902"/>
      <c r="J860" s="897"/>
      <c r="K860" s="903"/>
      <c r="L860" s="899">
        <f t="shared" si="72"/>
        <v>-10350</v>
      </c>
      <c r="M860" s="903"/>
      <c r="N860" s="903" t="str">
        <f>IF(OR(L860="x", M860="x"), B860 &amp; "; ", "")</f>
        <v/>
      </c>
      <c r="O860" s="903" t="str">
        <f>IF(OR(L860="x", M860="x"), A860 &amp; "     /     ", "")</f>
        <v/>
      </c>
      <c r="P860" s="902" t="s">
        <v>2607</v>
      </c>
      <c r="Q860" s="902" t="s">
        <v>2450</v>
      </c>
      <c r="R860" s="902" t="s">
        <v>2496</v>
      </c>
      <c r="S860" s="903" t="s">
        <v>551</v>
      </c>
      <c r="T860" s="902" t="str">
        <f>IF(OR(L860="x", M860="x"), S860,"")</f>
        <v/>
      </c>
      <c r="U860" s="902"/>
      <c r="V860" s="902"/>
      <c r="W860" s="902"/>
      <c r="X860" s="902"/>
      <c r="Y860" s="902"/>
      <c r="Z860" s="902"/>
      <c r="AA860" s="902"/>
      <c r="AB860" s="902"/>
      <c r="AC860" s="902"/>
    </row>
    <row r="861" spans="1:29" hidden="1" outlineLevel="1">
      <c r="A861" s="944" t="s">
        <v>1522</v>
      </c>
      <c r="B861" s="944" t="s">
        <v>31</v>
      </c>
      <c r="C861" s="1030">
        <v>1150</v>
      </c>
      <c r="D861" s="1030">
        <v>2800</v>
      </c>
      <c r="E861" s="1376"/>
      <c r="F861" s="1212">
        <f>C861*1.3</f>
        <v>1495</v>
      </c>
      <c r="G861" s="944">
        <v>1</v>
      </c>
      <c r="H861" s="901"/>
      <c r="I861" s="902"/>
      <c r="J861" s="897"/>
      <c r="K861" s="903"/>
      <c r="L861" s="899">
        <f t="shared" si="72"/>
        <v>-1150</v>
      </c>
      <c r="M861" s="903"/>
      <c r="N861" s="903"/>
      <c r="O861" s="903"/>
      <c r="P861" s="902"/>
      <c r="Q861" s="902"/>
      <c r="R861" s="902"/>
      <c r="S861" s="903"/>
      <c r="T861" s="902"/>
      <c r="U861" s="902"/>
      <c r="V861" s="902"/>
      <c r="W861" s="902"/>
      <c r="X861" s="902"/>
      <c r="Y861" s="902"/>
      <c r="Z861" s="902"/>
      <c r="AA861" s="902"/>
      <c r="AB861" s="902"/>
      <c r="AC861" s="902"/>
    </row>
    <row r="862" spans="1:29" hidden="1" outlineLevel="1">
      <c r="A862" s="944" t="s">
        <v>1524</v>
      </c>
      <c r="B862" s="944" t="s">
        <v>41</v>
      </c>
      <c r="C862" s="1030">
        <v>2300</v>
      </c>
      <c r="D862" s="1030">
        <v>3500</v>
      </c>
      <c r="E862" s="1376"/>
      <c r="F862" s="1212">
        <f>C862*1.3</f>
        <v>2990</v>
      </c>
      <c r="G862" s="944">
        <v>1</v>
      </c>
      <c r="H862" s="901"/>
      <c r="I862" s="902" t="str">
        <f>IF(H862="x",CONCATENATE(A862,"; "),"")</f>
        <v/>
      </c>
      <c r="J862" s="897"/>
      <c r="K862" s="903"/>
      <c r="L862" s="899">
        <f t="shared" si="72"/>
        <v>-2300</v>
      </c>
      <c r="M862" s="903"/>
      <c r="N862" s="903"/>
      <c r="O862" s="903"/>
      <c r="P862" s="902"/>
      <c r="Q862" s="902"/>
      <c r="R862" s="902"/>
      <c r="S862" s="903"/>
      <c r="T862" s="902"/>
      <c r="U862" s="902"/>
      <c r="V862" s="902"/>
      <c r="W862" s="902"/>
      <c r="X862" s="902"/>
      <c r="Y862" s="902"/>
      <c r="Z862" s="902"/>
      <c r="AA862" s="902"/>
      <c r="AB862" s="902"/>
      <c r="AC862" s="902"/>
    </row>
    <row r="863" spans="1:29" hidden="1" outlineLevel="1">
      <c r="A863" s="897" t="s">
        <v>1531</v>
      </c>
      <c r="B863" s="898" t="s">
        <v>1531</v>
      </c>
      <c r="C863" s="898">
        <v>1724.9999999999998</v>
      </c>
      <c r="D863" s="899">
        <v>2900</v>
      </c>
      <c r="E863" s="1332"/>
      <c r="F863" s="1212">
        <f>C863*1.3</f>
        <v>2242.5</v>
      </c>
      <c r="G863" s="900">
        <v>1</v>
      </c>
      <c r="H863" s="901"/>
      <c r="I863" s="902"/>
      <c r="J863" s="897"/>
      <c r="K863" s="903"/>
      <c r="L863" s="899">
        <f t="shared" si="72"/>
        <v>-1724.9999999999998</v>
      </c>
      <c r="M863" s="899"/>
      <c r="N863" s="904" t="str">
        <f t="shared" ref="N863:N868" si="73">IF(OR(L863="x", M863="x"), B863 &amp; "; ", "")</f>
        <v/>
      </c>
      <c r="O863" s="905" t="str">
        <f t="shared" ref="O863:O868" si="74">IF(OR(L863="x", M863="x"), A863 &amp; "     /     ", "")</f>
        <v/>
      </c>
      <c r="P863" s="899" t="s">
        <v>1531</v>
      </c>
      <c r="Q863" s="899" t="s">
        <v>2450</v>
      </c>
      <c r="R863" s="898" t="s">
        <v>2452</v>
      </c>
      <c r="S863" s="899" t="s">
        <v>551</v>
      </c>
      <c r="T863" s="899" t="str">
        <f t="shared" ref="T863:T868" si="75">IF(OR(L863="x", M863="x"), S863,"")</f>
        <v/>
      </c>
      <c r="U863" s="904"/>
      <c r="V863" s="905"/>
      <c r="W863" s="902"/>
      <c r="X863" s="897"/>
      <c r="Y863" s="898"/>
      <c r="Z863" s="902"/>
      <c r="AA863" s="902"/>
      <c r="AB863" s="902"/>
      <c r="AC863" s="902"/>
    </row>
    <row r="864" spans="1:29" hidden="1" outlineLevel="1">
      <c r="A864" s="944" t="s">
        <v>1579</v>
      </c>
      <c r="B864" s="944" t="s">
        <v>91</v>
      </c>
      <c r="C864" s="1030">
        <v>1265</v>
      </c>
      <c r="D864" s="1030">
        <v>1700</v>
      </c>
      <c r="E864" s="1376"/>
      <c r="F864" s="1212">
        <f t="shared" ref="F864:F871" si="76">C864*1.3</f>
        <v>1644.5</v>
      </c>
      <c r="G864" s="944">
        <v>3</v>
      </c>
      <c r="H864" s="901"/>
      <c r="I864" s="902"/>
      <c r="J864" s="897"/>
      <c r="K864" s="903"/>
      <c r="L864" s="899">
        <f t="shared" ref="L864:L871" si="77">E864-C864</f>
        <v>-1265</v>
      </c>
      <c r="M864" s="903"/>
      <c r="N864" s="903" t="str">
        <f t="shared" si="73"/>
        <v/>
      </c>
      <c r="O864" s="903" t="str">
        <f t="shared" si="74"/>
        <v/>
      </c>
      <c r="P864" s="902" t="s">
        <v>91</v>
      </c>
      <c r="Q864" s="902" t="s">
        <v>2450</v>
      </c>
      <c r="R864" s="902" t="s">
        <v>2452</v>
      </c>
      <c r="S864" s="903" t="s">
        <v>551</v>
      </c>
      <c r="T864" s="902" t="str">
        <f t="shared" si="75"/>
        <v/>
      </c>
      <c r="U864" s="902"/>
      <c r="V864" s="902"/>
      <c r="W864" s="902"/>
      <c r="X864" s="902"/>
      <c r="Y864" s="902"/>
      <c r="Z864" s="902"/>
      <c r="AA864" s="902"/>
      <c r="AB864" s="902"/>
      <c r="AC864" s="902"/>
    </row>
    <row r="865" spans="1:29" hidden="1" outlineLevel="1">
      <c r="A865" s="944" t="s">
        <v>1581</v>
      </c>
      <c r="B865" s="944" t="s">
        <v>90</v>
      </c>
      <c r="C865" s="1030">
        <v>1265</v>
      </c>
      <c r="D865" s="1030">
        <v>1700</v>
      </c>
      <c r="E865" s="1376"/>
      <c r="F865" s="1212">
        <f t="shared" si="76"/>
        <v>1644.5</v>
      </c>
      <c r="G865" s="944">
        <v>3</v>
      </c>
      <c r="H865" s="901"/>
      <c r="I865" s="902"/>
      <c r="J865" s="897"/>
      <c r="K865" s="903"/>
      <c r="L865" s="899">
        <f t="shared" si="77"/>
        <v>-1265</v>
      </c>
      <c r="M865" s="903"/>
      <c r="N865" s="903" t="str">
        <f t="shared" si="73"/>
        <v/>
      </c>
      <c r="O865" s="903" t="str">
        <f t="shared" si="74"/>
        <v/>
      </c>
      <c r="P865" s="902" t="s">
        <v>90</v>
      </c>
      <c r="Q865" s="902" t="s">
        <v>2450</v>
      </c>
      <c r="R865" s="902" t="s">
        <v>2452</v>
      </c>
      <c r="S865" s="903" t="s">
        <v>551</v>
      </c>
      <c r="T865" s="902" t="str">
        <f t="shared" si="75"/>
        <v/>
      </c>
      <c r="U865" s="902"/>
      <c r="V865" s="902"/>
      <c r="W865" s="902"/>
      <c r="X865" s="902"/>
      <c r="Y865" s="902"/>
      <c r="Z865" s="902"/>
      <c r="AA865" s="902"/>
      <c r="AB865" s="902"/>
      <c r="AC865" s="902"/>
    </row>
    <row r="866" spans="1:29" hidden="1" outlineLevel="1">
      <c r="A866" s="944" t="s">
        <v>1583</v>
      </c>
      <c r="B866" s="944" t="s">
        <v>92</v>
      </c>
      <c r="C866" s="1030">
        <v>1265</v>
      </c>
      <c r="D866" s="1030">
        <v>1700</v>
      </c>
      <c r="E866" s="1376"/>
      <c r="F866" s="1212">
        <f t="shared" si="76"/>
        <v>1644.5</v>
      </c>
      <c r="G866" s="944">
        <v>3</v>
      </c>
      <c r="H866" s="901"/>
      <c r="I866" s="902"/>
      <c r="J866" s="897"/>
      <c r="K866" s="903"/>
      <c r="L866" s="899">
        <f t="shared" si="77"/>
        <v>-1265</v>
      </c>
      <c r="M866" s="903"/>
      <c r="N866" s="903" t="str">
        <f t="shared" si="73"/>
        <v/>
      </c>
      <c r="O866" s="903" t="str">
        <f t="shared" si="74"/>
        <v/>
      </c>
      <c r="P866" s="902" t="s">
        <v>92</v>
      </c>
      <c r="Q866" s="902" t="s">
        <v>2450</v>
      </c>
      <c r="R866" s="902" t="s">
        <v>2452</v>
      </c>
      <c r="S866" s="903" t="s">
        <v>551</v>
      </c>
      <c r="T866" s="902" t="str">
        <f t="shared" si="75"/>
        <v/>
      </c>
      <c r="U866" s="902"/>
      <c r="V866" s="902"/>
      <c r="W866" s="902"/>
      <c r="X866" s="902"/>
      <c r="Y866" s="902"/>
      <c r="Z866" s="902"/>
      <c r="AA866" s="902"/>
      <c r="AB866" s="902"/>
      <c r="AC866" s="902"/>
    </row>
    <row r="867" spans="1:29" hidden="1" outlineLevel="1">
      <c r="A867" s="944" t="s">
        <v>1602</v>
      </c>
      <c r="B867" s="944" t="s">
        <v>725</v>
      </c>
      <c r="C867" s="1030">
        <v>14949.999999999998</v>
      </c>
      <c r="D867" s="1030">
        <v>19500</v>
      </c>
      <c r="E867" s="1376"/>
      <c r="F867" s="1212">
        <f t="shared" si="76"/>
        <v>19435</v>
      </c>
      <c r="G867" s="944">
        <v>14</v>
      </c>
      <c r="H867" s="901"/>
      <c r="I867" s="902"/>
      <c r="J867" s="897"/>
      <c r="K867" s="903"/>
      <c r="L867" s="899">
        <f t="shared" si="77"/>
        <v>-14949.999999999998</v>
      </c>
      <c r="M867" s="903"/>
      <c r="N867" s="903" t="str">
        <f t="shared" si="73"/>
        <v/>
      </c>
      <c r="O867" s="903" t="str">
        <f t="shared" si="74"/>
        <v/>
      </c>
      <c r="P867" s="902" t="s">
        <v>725</v>
      </c>
      <c r="Q867" s="902" t="s">
        <v>2450</v>
      </c>
      <c r="R867" s="902" t="s">
        <v>2496</v>
      </c>
      <c r="S867" s="903" t="s">
        <v>551</v>
      </c>
      <c r="T867" s="902" t="str">
        <f t="shared" si="75"/>
        <v/>
      </c>
      <c r="U867" s="902"/>
      <c r="V867" s="902"/>
      <c r="W867" s="902"/>
      <c r="X867" s="902"/>
      <c r="Y867" s="902"/>
      <c r="Z867" s="902"/>
      <c r="AA867" s="902"/>
      <c r="AB867" s="902"/>
      <c r="AC867" s="902"/>
    </row>
    <row r="868" spans="1:29" hidden="1" outlineLevel="1">
      <c r="A868" s="944" t="s">
        <v>1769</v>
      </c>
      <c r="B868" s="944" t="s">
        <v>203</v>
      </c>
      <c r="C868" s="1030">
        <v>8200</v>
      </c>
      <c r="D868" s="1030">
        <v>9500</v>
      </c>
      <c r="E868" s="1376"/>
      <c r="F868" s="1212">
        <f t="shared" si="76"/>
        <v>10660</v>
      </c>
      <c r="G868" s="944">
        <v>14</v>
      </c>
      <c r="H868" s="901"/>
      <c r="I868" s="902"/>
      <c r="J868" s="897"/>
      <c r="K868" s="903"/>
      <c r="L868" s="899">
        <f t="shared" si="77"/>
        <v>-8200</v>
      </c>
      <c r="M868" s="903"/>
      <c r="N868" s="903" t="str">
        <f t="shared" si="73"/>
        <v/>
      </c>
      <c r="O868" s="903" t="str">
        <f t="shared" si="74"/>
        <v/>
      </c>
      <c r="P868" s="902" t="s">
        <v>203</v>
      </c>
      <c r="Q868" s="902" t="s">
        <v>2450</v>
      </c>
      <c r="R868" s="902" t="s">
        <v>2496</v>
      </c>
      <c r="S868" s="903" t="s">
        <v>551</v>
      </c>
      <c r="T868" s="902" t="str">
        <f t="shared" si="75"/>
        <v/>
      </c>
      <c r="U868" s="902"/>
      <c r="V868" s="902"/>
      <c r="W868" s="902"/>
      <c r="X868" s="902"/>
      <c r="Y868" s="902"/>
      <c r="Z868" s="902"/>
      <c r="AA868" s="902"/>
      <c r="AB868" s="902"/>
      <c r="AC868" s="902"/>
    </row>
    <row r="869" spans="1:29" hidden="1" outlineLevel="1">
      <c r="A869" s="897" t="s">
        <v>54</v>
      </c>
      <c r="B869" s="898" t="s">
        <v>54</v>
      </c>
      <c r="C869" s="898">
        <v>1150</v>
      </c>
      <c r="D869" s="899">
        <v>1900</v>
      </c>
      <c r="E869" s="1332"/>
      <c r="F869" s="899">
        <f t="shared" si="76"/>
        <v>1495</v>
      </c>
      <c r="G869" s="900">
        <v>1</v>
      </c>
      <c r="H869" s="895"/>
      <c r="I869" s="902"/>
      <c r="J869" s="897"/>
      <c r="K869" s="903"/>
      <c r="L869" s="899">
        <f t="shared" si="77"/>
        <v>-1150</v>
      </c>
      <c r="M869" s="899"/>
      <c r="N869" s="904"/>
      <c r="O869" s="905"/>
      <c r="P869" s="899"/>
      <c r="Q869" s="899"/>
      <c r="R869" s="898"/>
      <c r="S869" s="899"/>
      <c r="T869" s="899"/>
      <c r="U869" s="904"/>
      <c r="V869" s="905"/>
      <c r="W869" s="902"/>
      <c r="X869" s="897"/>
      <c r="Y869" s="898"/>
      <c r="Z869" s="902"/>
      <c r="AA869" s="902"/>
      <c r="AB869" s="902"/>
      <c r="AC869" s="902"/>
    </row>
    <row r="870" spans="1:29" ht="13.95" hidden="1" customHeight="1" outlineLevel="1">
      <c r="A870" s="897" t="s">
        <v>1824</v>
      </c>
      <c r="B870" s="898" t="s">
        <v>861</v>
      </c>
      <c r="C870" s="898">
        <v>135</v>
      </c>
      <c r="D870" s="899">
        <v>600</v>
      </c>
      <c r="E870" s="1332"/>
      <c r="F870" s="899">
        <f t="shared" si="76"/>
        <v>175.5</v>
      </c>
      <c r="G870" s="900">
        <v>1</v>
      </c>
      <c r="H870" s="895"/>
      <c r="I870" s="902"/>
      <c r="J870" s="897"/>
      <c r="K870" s="903"/>
      <c r="L870" s="899">
        <f t="shared" si="77"/>
        <v>-135</v>
      </c>
      <c r="M870" s="899"/>
      <c r="N870" s="904"/>
      <c r="O870" s="905"/>
      <c r="P870" s="899"/>
      <c r="Q870" s="899"/>
      <c r="R870" s="898"/>
      <c r="S870" s="899"/>
      <c r="T870" s="899"/>
      <c r="U870" s="904"/>
      <c r="V870" s="905"/>
      <c r="W870" s="902"/>
      <c r="X870" s="897"/>
      <c r="Y870" s="898"/>
      <c r="Z870" s="902"/>
      <c r="AA870" s="902"/>
      <c r="AB870" s="902"/>
      <c r="AC870" s="902"/>
    </row>
    <row r="871" spans="1:29" ht="13.95" hidden="1" customHeight="1" outlineLevel="1">
      <c r="A871" s="897" t="s">
        <v>527</v>
      </c>
      <c r="B871" s="898" t="s">
        <v>1831</v>
      </c>
      <c r="C871" s="898">
        <v>340</v>
      </c>
      <c r="D871" s="899">
        <v>1200</v>
      </c>
      <c r="E871" s="1332"/>
      <c r="F871" s="899">
        <f t="shared" si="76"/>
        <v>442</v>
      </c>
      <c r="G871" s="900">
        <v>1</v>
      </c>
      <c r="H871" s="895"/>
      <c r="I871" s="902"/>
      <c r="J871" s="897"/>
      <c r="K871" s="903"/>
      <c r="L871" s="899">
        <f t="shared" si="77"/>
        <v>-340</v>
      </c>
      <c r="M871" s="899"/>
      <c r="N871" s="904"/>
      <c r="O871" s="905"/>
      <c r="P871" s="899"/>
      <c r="Q871" s="899"/>
      <c r="R871" s="898"/>
      <c r="S871" s="899"/>
      <c r="T871" s="899"/>
      <c r="U871" s="904"/>
      <c r="V871" s="905"/>
      <c r="W871" s="902"/>
      <c r="X871" s="897"/>
      <c r="Y871" s="898"/>
      <c r="Z871" s="902"/>
      <c r="AA871" s="902"/>
      <c r="AB871" s="902"/>
      <c r="AC871" s="902"/>
    </row>
    <row r="872" spans="1:29" ht="16.3" collapsed="1" thickBot="1">
      <c r="A872" s="975" t="s">
        <v>5997</v>
      </c>
      <c r="B872" s="910" t="s">
        <v>490</v>
      </c>
      <c r="C872" s="910"/>
      <c r="D872" s="902"/>
      <c r="E872" s="1363">
        <v>9900</v>
      </c>
      <c r="F872" s="980"/>
      <c r="G872" s="910" t="s">
        <v>1340</v>
      </c>
      <c r="H872" s="979"/>
      <c r="I872" s="902" t="str">
        <f t="shared" ref="I872:I886" si="78">IF(H872="x",CONCATENATE(A872,"; "),"")</f>
        <v/>
      </c>
      <c r="J872" s="902"/>
      <c r="K872" s="903"/>
      <c r="L872" s="899">
        <f t="shared" si="69"/>
        <v>9900</v>
      </c>
      <c r="M872" s="902"/>
      <c r="N872" s="902"/>
      <c r="O872" s="902"/>
      <c r="P872" s="902"/>
      <c r="Q872" s="902"/>
      <c r="R872" s="902"/>
      <c r="S872" s="902"/>
      <c r="T872" s="902"/>
      <c r="U872" s="902"/>
      <c r="V872" s="902"/>
      <c r="W872" s="902"/>
      <c r="X872" s="902"/>
      <c r="Y872" s="902"/>
      <c r="Z872" s="902"/>
      <c r="AA872" s="902"/>
      <c r="AB872" s="902"/>
      <c r="AC872" s="902"/>
    </row>
    <row r="873" spans="1:29" hidden="1" outlineLevel="1">
      <c r="A873" s="981"/>
      <c r="B873" s="910" t="s">
        <v>5998</v>
      </c>
      <c r="C873" s="910"/>
      <c r="D873" s="902"/>
      <c r="E873" s="1363"/>
      <c r="F873" s="980"/>
      <c r="G873" s="910"/>
      <c r="H873" s="979"/>
      <c r="I873" s="902" t="str">
        <f t="shared" si="78"/>
        <v/>
      </c>
      <c r="J873" s="902"/>
      <c r="K873" s="903"/>
      <c r="L873" s="899">
        <f t="shared" si="69"/>
        <v>0</v>
      </c>
      <c r="M873" s="902"/>
      <c r="N873" s="902"/>
      <c r="O873" s="902"/>
      <c r="P873" s="902"/>
      <c r="Q873" s="902"/>
      <c r="R873" s="902"/>
      <c r="S873" s="902"/>
      <c r="T873" s="902"/>
      <c r="U873" s="902"/>
      <c r="V873" s="902"/>
      <c r="W873" s="902"/>
      <c r="X873" s="902"/>
      <c r="Y873" s="902"/>
      <c r="Z873" s="902"/>
      <c r="AA873" s="902"/>
      <c r="AB873" s="902"/>
      <c r="AC873" s="902"/>
    </row>
    <row r="874" spans="1:29" hidden="1" outlineLevel="1">
      <c r="A874" s="981"/>
      <c r="B874" s="910" t="s">
        <v>5999</v>
      </c>
      <c r="C874" s="910"/>
      <c r="D874" s="902"/>
      <c r="E874" s="1363"/>
      <c r="F874" s="980"/>
      <c r="G874" s="910"/>
      <c r="H874" s="979"/>
      <c r="I874" s="902" t="str">
        <f t="shared" si="78"/>
        <v/>
      </c>
      <c r="J874" s="902"/>
      <c r="K874" s="903"/>
      <c r="L874" s="899">
        <f t="shared" si="69"/>
        <v>0</v>
      </c>
      <c r="M874" s="902"/>
      <c r="N874" s="902"/>
      <c r="O874" s="902"/>
      <c r="P874" s="902"/>
      <c r="Q874" s="902"/>
      <c r="R874" s="902"/>
      <c r="S874" s="902"/>
      <c r="T874" s="902"/>
      <c r="U874" s="902"/>
      <c r="V874" s="902"/>
      <c r="W874" s="902"/>
      <c r="X874" s="902"/>
      <c r="Y874" s="902"/>
      <c r="Z874" s="902"/>
      <c r="AA874" s="902"/>
      <c r="AB874" s="902"/>
      <c r="AC874" s="902"/>
    </row>
    <row r="875" spans="1:29" hidden="1" outlineLevel="1">
      <c r="A875" s="981"/>
      <c r="B875" s="910" t="s">
        <v>6001</v>
      </c>
      <c r="C875" s="910"/>
      <c r="D875" s="902"/>
      <c r="E875" s="1363"/>
      <c r="F875" s="980"/>
      <c r="G875" s="910"/>
      <c r="H875" s="979"/>
      <c r="I875" s="902" t="str">
        <f t="shared" si="78"/>
        <v/>
      </c>
      <c r="J875" s="902"/>
      <c r="K875" s="903"/>
      <c r="L875" s="899">
        <f t="shared" si="69"/>
        <v>0</v>
      </c>
      <c r="M875" s="902"/>
      <c r="N875" s="902"/>
      <c r="O875" s="902"/>
      <c r="P875" s="902"/>
      <c r="Q875" s="902"/>
      <c r="R875" s="902"/>
      <c r="S875" s="902"/>
      <c r="T875" s="902"/>
      <c r="U875" s="902"/>
      <c r="V875" s="902"/>
      <c r="W875" s="902"/>
      <c r="X875" s="902"/>
      <c r="Y875" s="902"/>
      <c r="Z875" s="902"/>
      <c r="AA875" s="902"/>
      <c r="AB875" s="902"/>
      <c r="AC875" s="902"/>
    </row>
    <row r="876" spans="1:29" hidden="1" outlineLevel="1">
      <c r="A876" s="981"/>
      <c r="B876" s="910" t="s">
        <v>6000</v>
      </c>
      <c r="C876" s="910"/>
      <c r="D876" s="902"/>
      <c r="E876" s="1363"/>
      <c r="F876" s="980"/>
      <c r="G876" s="910"/>
      <c r="H876" s="979"/>
      <c r="I876" s="902" t="str">
        <f t="shared" si="78"/>
        <v/>
      </c>
      <c r="J876" s="902"/>
      <c r="K876" s="903"/>
      <c r="L876" s="899">
        <f t="shared" si="69"/>
        <v>0</v>
      </c>
      <c r="M876" s="902"/>
      <c r="N876" s="902"/>
      <c r="O876" s="902"/>
      <c r="P876" s="902"/>
      <c r="Q876" s="902"/>
      <c r="R876" s="902"/>
      <c r="S876" s="902"/>
      <c r="T876" s="902"/>
      <c r="U876" s="902"/>
      <c r="V876" s="902"/>
      <c r="W876" s="902"/>
      <c r="X876" s="902"/>
      <c r="Y876" s="902"/>
      <c r="Z876" s="902"/>
      <c r="AA876" s="902"/>
      <c r="AB876" s="902"/>
      <c r="AC876" s="902"/>
    </row>
    <row r="877" spans="1:29" hidden="1" outlineLevel="1">
      <c r="A877" s="981"/>
      <c r="B877" s="910" t="s">
        <v>598</v>
      </c>
      <c r="C877" s="910"/>
      <c r="D877" s="902"/>
      <c r="E877" s="1363"/>
      <c r="F877" s="980"/>
      <c r="G877" s="910"/>
      <c r="H877" s="979"/>
      <c r="I877" s="902" t="str">
        <f t="shared" si="78"/>
        <v/>
      </c>
      <c r="J877" s="902"/>
      <c r="K877" s="903"/>
      <c r="L877" s="899">
        <f t="shared" si="69"/>
        <v>0</v>
      </c>
      <c r="M877" s="902"/>
      <c r="N877" s="902"/>
      <c r="O877" s="902"/>
      <c r="P877" s="902"/>
      <c r="Q877" s="902"/>
      <c r="R877" s="902"/>
      <c r="S877" s="902"/>
      <c r="T877" s="902"/>
      <c r="U877" s="902"/>
      <c r="V877" s="902"/>
      <c r="W877" s="902"/>
      <c r="X877" s="902"/>
      <c r="Y877" s="902"/>
      <c r="Z877" s="902"/>
      <c r="AA877" s="902"/>
      <c r="AB877" s="902"/>
      <c r="AC877" s="902"/>
    </row>
    <row r="878" spans="1:29" hidden="1" outlineLevel="1">
      <c r="A878" s="981"/>
      <c r="B878" s="910" t="s">
        <v>6002</v>
      </c>
      <c r="C878" s="910"/>
      <c r="D878" s="902"/>
      <c r="E878" s="1363"/>
      <c r="F878" s="980"/>
      <c r="G878" s="910"/>
      <c r="H878" s="979"/>
      <c r="I878" s="902" t="str">
        <f t="shared" si="78"/>
        <v/>
      </c>
      <c r="J878" s="902"/>
      <c r="K878" s="903"/>
      <c r="L878" s="899">
        <f t="shared" si="69"/>
        <v>0</v>
      </c>
      <c r="M878" s="902"/>
      <c r="N878" s="902"/>
      <c r="O878" s="902"/>
      <c r="P878" s="902"/>
      <c r="Q878" s="902"/>
      <c r="R878" s="902"/>
      <c r="S878" s="902"/>
      <c r="T878" s="902"/>
      <c r="U878" s="902"/>
      <c r="V878" s="902"/>
      <c r="W878" s="902"/>
      <c r="X878" s="902"/>
      <c r="Y878" s="902"/>
      <c r="Z878" s="902"/>
      <c r="AA878" s="902"/>
      <c r="AB878" s="902"/>
      <c r="AC878" s="902"/>
    </row>
    <row r="879" spans="1:29" hidden="1" outlineLevel="1">
      <c r="A879" s="981"/>
      <c r="B879" s="910" t="s">
        <v>6003</v>
      </c>
      <c r="C879" s="910"/>
      <c r="D879" s="902"/>
      <c r="E879" s="1363"/>
      <c r="F879" s="980"/>
      <c r="G879" s="910"/>
      <c r="H879" s="979"/>
      <c r="I879" s="902" t="str">
        <f t="shared" si="78"/>
        <v/>
      </c>
      <c r="J879" s="902"/>
      <c r="K879" s="903"/>
      <c r="L879" s="899">
        <f t="shared" si="69"/>
        <v>0</v>
      </c>
      <c r="M879" s="902"/>
      <c r="N879" s="902"/>
      <c r="O879" s="902"/>
      <c r="P879" s="902"/>
      <c r="Q879" s="902"/>
      <c r="R879" s="902"/>
      <c r="S879" s="902"/>
      <c r="T879" s="902"/>
      <c r="U879" s="902"/>
      <c r="V879" s="902"/>
      <c r="W879" s="902"/>
      <c r="X879" s="902"/>
      <c r="Y879" s="902"/>
      <c r="Z879" s="902"/>
      <c r="AA879" s="902"/>
      <c r="AB879" s="902"/>
      <c r="AC879" s="902"/>
    </row>
    <row r="880" spans="1:29" hidden="1" outlineLevel="1">
      <c r="A880" s="981"/>
      <c r="B880" s="910" t="s">
        <v>6004</v>
      </c>
      <c r="C880" s="910"/>
      <c r="D880" s="902"/>
      <c r="E880" s="1363"/>
      <c r="F880" s="980"/>
      <c r="G880" s="910"/>
      <c r="H880" s="979"/>
      <c r="I880" s="902" t="str">
        <f t="shared" si="78"/>
        <v/>
      </c>
      <c r="J880" s="902"/>
      <c r="K880" s="903"/>
      <c r="L880" s="899">
        <f t="shared" si="69"/>
        <v>0</v>
      </c>
      <c r="M880" s="902"/>
      <c r="N880" s="902"/>
      <c r="O880" s="902"/>
      <c r="P880" s="902"/>
      <c r="Q880" s="902"/>
      <c r="R880" s="902"/>
      <c r="S880" s="902"/>
      <c r="T880" s="902"/>
      <c r="U880" s="902"/>
      <c r="V880" s="902"/>
      <c r="W880" s="902"/>
      <c r="X880" s="902"/>
      <c r="Y880" s="902"/>
      <c r="Z880" s="902"/>
      <c r="AA880" s="902"/>
      <c r="AB880" s="902"/>
      <c r="AC880" s="902"/>
    </row>
    <row r="881" spans="1:29" hidden="1" outlineLevel="1">
      <c r="A881" s="981"/>
      <c r="B881" s="910" t="s">
        <v>6005</v>
      </c>
      <c r="C881" s="910"/>
      <c r="D881" s="902"/>
      <c r="E881" s="1363"/>
      <c r="F881" s="980"/>
      <c r="G881" s="910"/>
      <c r="H881" s="979"/>
      <c r="I881" s="902" t="str">
        <f t="shared" si="78"/>
        <v/>
      </c>
      <c r="J881" s="902"/>
      <c r="K881" s="903"/>
      <c r="L881" s="899">
        <f t="shared" si="69"/>
        <v>0</v>
      </c>
      <c r="M881" s="902"/>
      <c r="N881" s="902"/>
      <c r="O881" s="902"/>
      <c r="P881" s="902"/>
      <c r="Q881" s="902"/>
      <c r="R881" s="902"/>
      <c r="S881" s="902"/>
      <c r="T881" s="902"/>
      <c r="U881" s="902"/>
      <c r="V881" s="902"/>
      <c r="W881" s="902"/>
      <c r="X881" s="902"/>
      <c r="Y881" s="902"/>
      <c r="Z881" s="902"/>
      <c r="AA881" s="902"/>
      <c r="AB881" s="902"/>
      <c r="AC881" s="902"/>
    </row>
    <row r="882" spans="1:29" hidden="1" outlineLevel="1">
      <c r="A882" s="981"/>
      <c r="B882" s="910" t="s">
        <v>6006</v>
      </c>
      <c r="C882" s="910"/>
      <c r="D882" s="902"/>
      <c r="E882" s="1363"/>
      <c r="F882" s="980"/>
      <c r="G882" s="910"/>
      <c r="H882" s="979"/>
      <c r="I882" s="902" t="str">
        <f t="shared" si="78"/>
        <v/>
      </c>
      <c r="J882" s="902"/>
      <c r="K882" s="903"/>
      <c r="L882" s="899">
        <f t="shared" si="69"/>
        <v>0</v>
      </c>
      <c r="M882" s="902"/>
      <c r="N882" s="902"/>
      <c r="O882" s="902"/>
      <c r="P882" s="902"/>
      <c r="Q882" s="902"/>
      <c r="R882" s="902"/>
      <c r="S882" s="902"/>
      <c r="T882" s="902"/>
      <c r="U882" s="902"/>
      <c r="V882" s="902"/>
      <c r="W882" s="902"/>
      <c r="X882" s="902"/>
      <c r="Y882" s="902"/>
      <c r="Z882" s="902"/>
      <c r="AA882" s="902"/>
      <c r="AB882" s="902"/>
      <c r="AC882" s="902"/>
    </row>
    <row r="883" spans="1:29" hidden="1" outlineLevel="1">
      <c r="A883" s="981"/>
      <c r="B883" s="910" t="s">
        <v>6007</v>
      </c>
      <c r="C883" s="910"/>
      <c r="D883" s="902"/>
      <c r="E883" s="1363"/>
      <c r="F883" s="980"/>
      <c r="G883" s="910"/>
      <c r="H883" s="979"/>
      <c r="I883" s="902" t="str">
        <f t="shared" si="78"/>
        <v/>
      </c>
      <c r="J883" s="902"/>
      <c r="K883" s="903"/>
      <c r="L883" s="899">
        <f t="shared" si="69"/>
        <v>0</v>
      </c>
      <c r="M883" s="902"/>
      <c r="N883" s="902"/>
      <c r="O883" s="902"/>
      <c r="P883" s="902"/>
      <c r="Q883" s="902"/>
      <c r="R883" s="902"/>
      <c r="S883" s="902"/>
      <c r="T883" s="902"/>
      <c r="U883" s="902"/>
      <c r="V883" s="902"/>
      <c r="W883" s="902"/>
      <c r="X883" s="902"/>
      <c r="Y883" s="902"/>
      <c r="Z883" s="902"/>
      <c r="AA883" s="902"/>
      <c r="AB883" s="902"/>
      <c r="AC883" s="902"/>
    </row>
    <row r="884" spans="1:29" hidden="1" outlineLevel="1">
      <c r="A884" s="981" t="s">
        <v>6008</v>
      </c>
      <c r="B884" s="910"/>
      <c r="C884" s="910"/>
      <c r="D884" s="902"/>
      <c r="E884" s="1363"/>
      <c r="F884" s="980"/>
      <c r="G884" s="910"/>
      <c r="H884" s="979"/>
      <c r="I884" s="902" t="str">
        <f t="shared" si="78"/>
        <v/>
      </c>
      <c r="J884" s="902"/>
      <c r="K884" s="903"/>
      <c r="L884" s="899">
        <f t="shared" si="69"/>
        <v>0</v>
      </c>
      <c r="M884" s="902"/>
      <c r="N884" s="902"/>
      <c r="O884" s="902"/>
      <c r="P884" s="902"/>
      <c r="Q884" s="902"/>
      <c r="R884" s="902"/>
      <c r="S884" s="902"/>
      <c r="T884" s="902"/>
      <c r="U884" s="902"/>
      <c r="V884" s="902"/>
      <c r="W884" s="902"/>
      <c r="X884" s="902"/>
      <c r="Y884" s="902"/>
      <c r="Z884" s="902"/>
      <c r="AA884" s="902"/>
      <c r="AB884" s="902"/>
      <c r="AC884" s="902"/>
    </row>
    <row r="885" spans="1:29" hidden="1" outlineLevel="1">
      <c r="A885" s="981"/>
      <c r="B885" s="910"/>
      <c r="C885" s="910"/>
      <c r="D885" s="902"/>
      <c r="E885" s="1363"/>
      <c r="F885" s="980"/>
      <c r="G885" s="910"/>
      <c r="H885" s="979"/>
      <c r="I885" s="902" t="str">
        <f t="shared" si="78"/>
        <v/>
      </c>
      <c r="J885" s="902"/>
      <c r="K885" s="903"/>
      <c r="L885" s="899">
        <f t="shared" si="69"/>
        <v>0</v>
      </c>
      <c r="M885" s="902"/>
      <c r="N885" s="902"/>
      <c r="O885" s="902"/>
      <c r="P885" s="902"/>
      <c r="Q885" s="902"/>
      <c r="R885" s="902"/>
      <c r="S885" s="902"/>
      <c r="T885" s="902"/>
      <c r="U885" s="902"/>
      <c r="V885" s="902"/>
      <c r="W885" s="902"/>
      <c r="X885" s="902"/>
      <c r="Y885" s="902"/>
      <c r="Z885" s="902"/>
      <c r="AA885" s="902"/>
      <c r="AB885" s="902"/>
      <c r="AC885" s="902"/>
    </row>
    <row r="886" spans="1:29" hidden="1" outlineLevel="1">
      <c r="A886" s="981"/>
      <c r="B886" s="910"/>
      <c r="C886" s="910"/>
      <c r="D886" s="902"/>
      <c r="E886" s="1363"/>
      <c r="F886" s="980"/>
      <c r="G886" s="910"/>
      <c r="H886" s="979"/>
      <c r="I886" s="902" t="str">
        <f t="shared" si="78"/>
        <v/>
      </c>
      <c r="J886" s="902"/>
      <c r="K886" s="903"/>
      <c r="L886" s="899">
        <f t="shared" si="69"/>
        <v>0</v>
      </c>
      <c r="M886" s="902"/>
      <c r="N886" s="902"/>
      <c r="O886" s="902"/>
      <c r="P886" s="902"/>
      <c r="Q886" s="902"/>
      <c r="R886" s="902"/>
      <c r="S886" s="902"/>
      <c r="T886" s="902"/>
      <c r="U886" s="902"/>
      <c r="V886" s="902"/>
      <c r="W886" s="902"/>
      <c r="X886" s="902"/>
      <c r="Y886" s="902"/>
      <c r="Z886" s="902"/>
      <c r="AA886" s="902"/>
      <c r="AB886" s="902"/>
      <c r="AC886" s="902"/>
    </row>
    <row r="887" spans="1:29" hidden="1" outlineLevel="1">
      <c r="A887" s="981"/>
      <c r="B887" s="910"/>
      <c r="C887" s="910"/>
      <c r="D887" s="902"/>
      <c r="E887" s="1363"/>
      <c r="F887" s="980"/>
      <c r="G887" s="910"/>
      <c r="H887" s="979"/>
      <c r="I887" s="902"/>
      <c r="J887" s="902"/>
      <c r="K887" s="903"/>
      <c r="L887" s="899">
        <f t="shared" si="69"/>
        <v>0</v>
      </c>
      <c r="M887" s="902"/>
      <c r="N887" s="902"/>
      <c r="O887" s="902"/>
      <c r="P887" s="902"/>
      <c r="Q887" s="902"/>
      <c r="R887" s="902"/>
      <c r="S887" s="902"/>
      <c r="T887" s="902"/>
      <c r="U887" s="902"/>
      <c r="V887" s="902"/>
      <c r="W887" s="902"/>
      <c r="X887" s="902"/>
      <c r="Y887" s="902"/>
      <c r="Z887" s="902"/>
      <c r="AA887" s="902"/>
      <c r="AB887" s="902"/>
      <c r="AC887" s="902"/>
    </row>
    <row r="888" spans="1:29" hidden="1" outlineLevel="1">
      <c r="A888" s="981"/>
      <c r="B888" s="910"/>
      <c r="C888" s="910"/>
      <c r="D888" s="902"/>
      <c r="E888" s="1363"/>
      <c r="F888" s="980"/>
      <c r="G888" s="910"/>
      <c r="H888" s="979"/>
      <c r="I888" s="902" t="str">
        <f t="shared" ref="I888:I906" si="79">IF(H888="x",CONCATENATE(A888,"; "),"")</f>
        <v/>
      </c>
      <c r="J888" s="902"/>
      <c r="K888" s="903"/>
      <c r="L888" s="899">
        <f t="shared" si="69"/>
        <v>0</v>
      </c>
      <c r="M888" s="902"/>
      <c r="N888" s="902"/>
      <c r="O888" s="902"/>
      <c r="P888" s="902"/>
      <c r="Q888" s="902"/>
      <c r="R888" s="902"/>
      <c r="S888" s="902"/>
      <c r="T888" s="902"/>
      <c r="U888" s="902"/>
      <c r="V888" s="902"/>
      <c r="W888" s="902"/>
      <c r="X888" s="902"/>
      <c r="Y888" s="902"/>
      <c r="Z888" s="902"/>
      <c r="AA888" s="902"/>
      <c r="AB888" s="902"/>
      <c r="AC888" s="902"/>
    </row>
    <row r="889" spans="1:29" hidden="1" outlineLevel="1">
      <c r="A889" s="981"/>
      <c r="B889" s="910"/>
      <c r="C889" s="910"/>
      <c r="D889" s="902"/>
      <c r="E889" s="1363"/>
      <c r="F889" s="980"/>
      <c r="G889" s="910"/>
      <c r="H889" s="979"/>
      <c r="I889" s="902" t="str">
        <f t="shared" si="79"/>
        <v/>
      </c>
      <c r="J889" s="902"/>
      <c r="K889" s="903"/>
      <c r="L889" s="899">
        <f t="shared" si="69"/>
        <v>0</v>
      </c>
      <c r="M889" s="902"/>
      <c r="N889" s="902"/>
      <c r="O889" s="902"/>
      <c r="P889" s="902"/>
      <c r="Q889" s="902"/>
      <c r="R889" s="902"/>
      <c r="S889" s="902"/>
      <c r="T889" s="902"/>
      <c r="U889" s="902"/>
      <c r="V889" s="902"/>
      <c r="W889" s="902"/>
      <c r="X889" s="902"/>
      <c r="Y889" s="902"/>
      <c r="Z889" s="902"/>
      <c r="AA889" s="902"/>
      <c r="AB889" s="902"/>
      <c r="AC889" s="902"/>
    </row>
    <row r="890" spans="1:29" ht="16.3" hidden="1" outlineLevel="1" thickBot="1">
      <c r="A890" s="981"/>
      <c r="B890" s="910"/>
      <c r="C890" s="910"/>
      <c r="D890" s="902"/>
      <c r="E890" s="1363"/>
      <c r="F890" s="980"/>
      <c r="G890" s="910"/>
      <c r="H890" s="979"/>
      <c r="I890" s="902" t="str">
        <f t="shared" si="79"/>
        <v/>
      </c>
      <c r="J890" s="902"/>
      <c r="K890" s="903"/>
      <c r="L890" s="899">
        <f t="shared" si="69"/>
        <v>0</v>
      </c>
      <c r="M890" s="902"/>
      <c r="N890" s="902"/>
      <c r="O890" s="902"/>
      <c r="P890" s="902"/>
      <c r="Q890" s="902"/>
      <c r="R890" s="902"/>
      <c r="S890" s="902"/>
      <c r="T890" s="902"/>
      <c r="U890" s="902"/>
      <c r="V890" s="902"/>
      <c r="W890" s="902"/>
      <c r="X890" s="902"/>
      <c r="Y890" s="902"/>
      <c r="Z890" s="902"/>
      <c r="AA890" s="902"/>
      <c r="AB890" s="902"/>
      <c r="AC890" s="902"/>
    </row>
    <row r="891" spans="1:29" s="933" customFormat="1" ht="16.3" collapsed="1" thickBot="1">
      <c r="A891" s="1268" t="s">
        <v>6031</v>
      </c>
      <c r="B891" s="1269"/>
      <c r="C891" s="1270">
        <v>552</v>
      </c>
      <c r="D891" s="1270">
        <v>3200</v>
      </c>
      <c r="E891" s="1380">
        <v>3200</v>
      </c>
      <c r="F891" s="1271"/>
      <c r="G891" s="1272">
        <v>1</v>
      </c>
      <c r="H891" s="1273"/>
      <c r="I891" s="933" t="s">
        <v>5966</v>
      </c>
      <c r="K891" s="903"/>
      <c r="L891" s="930">
        <v>2648</v>
      </c>
    </row>
    <row r="892" spans="1:29" s="933" customFormat="1" hidden="1" outlineLevel="1">
      <c r="A892" s="897" t="s">
        <v>685</v>
      </c>
      <c r="B892" s="932" t="s">
        <v>1539</v>
      </c>
      <c r="C892" s="932">
        <v>69</v>
      </c>
      <c r="D892" s="930">
        <v>200</v>
      </c>
      <c r="E892" s="1332">
        <v>200</v>
      </c>
      <c r="F892" s="930">
        <v>89.7</v>
      </c>
      <c r="G892" s="900"/>
      <c r="H892" s="1273"/>
      <c r="I892" s="933" t="s">
        <v>5966</v>
      </c>
      <c r="K892" s="903"/>
      <c r="L892" s="930">
        <v>131</v>
      </c>
    </row>
    <row r="893" spans="1:29" s="933" customFormat="1" ht="13.95" hidden="1" customHeight="1" outlineLevel="1">
      <c r="A893" s="897" t="s">
        <v>684</v>
      </c>
      <c r="B893" s="932" t="s">
        <v>1538</v>
      </c>
      <c r="C893" s="932">
        <v>69</v>
      </c>
      <c r="D893" s="930">
        <v>200</v>
      </c>
      <c r="E893" s="1332">
        <v>200</v>
      </c>
      <c r="F893" s="930">
        <v>89.7</v>
      </c>
      <c r="G893" s="897"/>
      <c r="H893" s="1274"/>
      <c r="J893" s="897"/>
      <c r="K893" s="903"/>
      <c r="L893" s="930">
        <v>131</v>
      </c>
      <c r="M893" s="930"/>
      <c r="N893" s="904"/>
      <c r="O893" s="931"/>
      <c r="P893" s="930"/>
      <c r="Q893" s="930"/>
      <c r="R893" s="932"/>
      <c r="S893" s="930"/>
      <c r="T893" s="930"/>
      <c r="U893" s="904"/>
      <c r="V893" s="931"/>
      <c r="X893" s="897"/>
      <c r="Y893" s="932"/>
    </row>
    <row r="894" spans="1:29" s="933" customFormat="1" ht="13.95" hidden="1" customHeight="1" outlineLevel="1">
      <c r="A894" s="897" t="s">
        <v>681</v>
      </c>
      <c r="B894" s="932" t="s">
        <v>15</v>
      </c>
      <c r="C894" s="932">
        <v>69</v>
      </c>
      <c r="D894" s="930">
        <v>250</v>
      </c>
      <c r="E894" s="1332">
        <v>250</v>
      </c>
      <c r="F894" s="930">
        <v>89.7</v>
      </c>
      <c r="G894" s="897"/>
      <c r="H894" s="1274"/>
      <c r="J894" s="897"/>
      <c r="K894" s="903"/>
      <c r="L894" s="930">
        <v>181</v>
      </c>
      <c r="M894" s="930"/>
      <c r="N894" s="904"/>
      <c r="O894" s="931"/>
      <c r="P894" s="930"/>
      <c r="Q894" s="930"/>
      <c r="R894" s="932"/>
      <c r="S894" s="930"/>
      <c r="T894" s="930"/>
      <c r="U894" s="904"/>
      <c r="V894" s="931"/>
      <c r="X894" s="897"/>
      <c r="Y894" s="932"/>
    </row>
    <row r="895" spans="1:29" s="933" customFormat="1" ht="13.95" hidden="1" customHeight="1" outlineLevel="1">
      <c r="A895" s="897" t="s">
        <v>1395</v>
      </c>
      <c r="B895" s="932" t="s">
        <v>1396</v>
      </c>
      <c r="C895" s="932">
        <v>69</v>
      </c>
      <c r="D895" s="930">
        <v>400</v>
      </c>
      <c r="E895" s="1332">
        <v>400</v>
      </c>
      <c r="F895" s="930">
        <v>89.7</v>
      </c>
      <c r="G895" s="897"/>
      <c r="H895" s="1274"/>
      <c r="I895" s="1275"/>
      <c r="J895" s="1276"/>
      <c r="K895" s="903"/>
      <c r="L895" s="930">
        <v>331</v>
      </c>
      <c r="M895" s="930"/>
      <c r="N895" s="904"/>
      <c r="O895" s="931"/>
      <c r="P895" s="930"/>
      <c r="Q895" s="930"/>
      <c r="R895" s="932"/>
      <c r="S895" s="930"/>
      <c r="T895" s="930"/>
      <c r="U895" s="904"/>
      <c r="V895" s="931"/>
      <c r="X895" s="897"/>
      <c r="Y895" s="932"/>
    </row>
    <row r="896" spans="1:29" s="933" customFormat="1" ht="13.95" hidden="1" customHeight="1" outlineLevel="1">
      <c r="A896" s="897" t="s">
        <v>1440</v>
      </c>
      <c r="B896" s="932" t="s">
        <v>1441</v>
      </c>
      <c r="C896" s="932">
        <v>69</v>
      </c>
      <c r="D896" s="930">
        <v>500</v>
      </c>
      <c r="E896" s="1332">
        <v>500</v>
      </c>
      <c r="F896" s="930">
        <v>89.7</v>
      </c>
      <c r="G896" s="897"/>
      <c r="H896" s="1274"/>
      <c r="J896" s="897"/>
      <c r="K896" s="903"/>
      <c r="L896" s="930">
        <v>431</v>
      </c>
      <c r="M896" s="930"/>
      <c r="N896" s="904"/>
      <c r="O896" s="931"/>
      <c r="P896" s="930"/>
      <c r="Q896" s="930"/>
      <c r="R896" s="932"/>
      <c r="S896" s="930"/>
      <c r="T896" s="930"/>
      <c r="U896" s="904"/>
      <c r="V896" s="931"/>
      <c r="X896" s="897"/>
      <c r="Y896" s="932"/>
    </row>
    <row r="897" spans="1:29" s="933" customFormat="1" ht="13.95" hidden="1" customHeight="1" outlineLevel="1">
      <c r="A897" s="897" t="s">
        <v>1391</v>
      </c>
      <c r="B897" s="932" t="s">
        <v>1392</v>
      </c>
      <c r="C897" s="932">
        <v>69</v>
      </c>
      <c r="D897" s="930">
        <v>400</v>
      </c>
      <c r="E897" s="1332">
        <v>400</v>
      </c>
      <c r="F897" s="930">
        <v>89.7</v>
      </c>
      <c r="G897" s="900"/>
      <c r="H897" s="1274"/>
      <c r="J897" s="897"/>
      <c r="K897" s="903"/>
      <c r="L897" s="930">
        <v>331</v>
      </c>
      <c r="M897" s="930"/>
      <c r="N897" s="904"/>
      <c r="O897" s="931"/>
      <c r="P897" s="930"/>
      <c r="Q897" s="930"/>
      <c r="R897" s="932"/>
      <c r="S897" s="930"/>
      <c r="T897" s="930"/>
      <c r="U897" s="904"/>
      <c r="V897" s="931"/>
      <c r="X897" s="897"/>
      <c r="Y897" s="932"/>
    </row>
    <row r="898" spans="1:29" s="933" customFormat="1" ht="13.95" hidden="1" customHeight="1" outlineLevel="1">
      <c r="A898" s="897" t="s">
        <v>1716</v>
      </c>
      <c r="B898" s="932" t="s">
        <v>25</v>
      </c>
      <c r="C898" s="932">
        <v>69</v>
      </c>
      <c r="D898" s="930">
        <v>600</v>
      </c>
      <c r="E898" s="1332">
        <v>600</v>
      </c>
      <c r="F898" s="930">
        <v>89.7</v>
      </c>
      <c r="G898" s="897"/>
      <c r="H898" s="1274"/>
      <c r="J898" s="897"/>
      <c r="K898" s="903"/>
      <c r="L898" s="930">
        <v>531</v>
      </c>
      <c r="M898" s="930"/>
      <c r="N898" s="904"/>
      <c r="O898" s="931"/>
      <c r="P898" s="930"/>
      <c r="Q898" s="930"/>
      <c r="R898" s="932"/>
      <c r="S898" s="930"/>
      <c r="T898" s="930"/>
      <c r="U898" s="904"/>
      <c r="V898" s="931"/>
      <c r="X898" s="897"/>
      <c r="Y898" s="932"/>
    </row>
    <row r="899" spans="1:29" s="933" customFormat="1" ht="13.95" hidden="1" customHeight="1" outlineLevel="1" thickBot="1">
      <c r="A899" s="897" t="s">
        <v>1438</v>
      </c>
      <c r="B899" s="932" t="s">
        <v>1439</v>
      </c>
      <c r="C899" s="932">
        <v>69</v>
      </c>
      <c r="D899" s="930">
        <v>650</v>
      </c>
      <c r="E899" s="1332">
        <v>650</v>
      </c>
      <c r="F899" s="930">
        <v>89.7</v>
      </c>
      <c r="G899" s="897"/>
      <c r="H899" s="1274"/>
      <c r="I899" s="1275" t="s">
        <v>5966</v>
      </c>
      <c r="J899" s="1276"/>
      <c r="K899" s="903"/>
      <c r="L899" s="930">
        <v>581</v>
      </c>
      <c r="M899" s="930"/>
      <c r="N899" s="904"/>
      <c r="O899" s="931"/>
      <c r="P899" s="930"/>
      <c r="Q899" s="930"/>
      <c r="R899" s="932"/>
      <c r="S899" s="930"/>
      <c r="T899" s="930"/>
      <c r="U899" s="904"/>
      <c r="V899" s="931"/>
      <c r="X899" s="897"/>
      <c r="Y899" s="932"/>
    </row>
    <row r="900" spans="1:29" s="933" customFormat="1" ht="16.3" collapsed="1" thickBot="1">
      <c r="A900" s="1277" t="s">
        <v>6032</v>
      </c>
      <c r="B900" s="1278"/>
      <c r="C900" s="1279">
        <v>244</v>
      </c>
      <c r="D900" s="1279">
        <v>1000</v>
      </c>
      <c r="E900" s="1381">
        <v>1000</v>
      </c>
      <c r="F900" s="1280"/>
      <c r="G900" s="1281">
        <v>1</v>
      </c>
      <c r="H900" s="1273"/>
      <c r="I900" s="933" t="s">
        <v>5966</v>
      </c>
      <c r="K900" s="903"/>
      <c r="L900" s="930">
        <v>756</v>
      </c>
    </row>
    <row r="901" spans="1:29" s="933" customFormat="1" ht="13.95" hidden="1" customHeight="1" outlineLevel="1">
      <c r="A901" s="897" t="s">
        <v>1621</v>
      </c>
      <c r="B901" s="932" t="s">
        <v>2346</v>
      </c>
      <c r="C901" s="932">
        <v>175</v>
      </c>
      <c r="D901" s="930">
        <v>400</v>
      </c>
      <c r="E901" s="1332">
        <v>400</v>
      </c>
      <c r="F901" s="930">
        <v>227.5</v>
      </c>
      <c r="G901" s="900"/>
      <c r="H901" s="1274"/>
      <c r="J901" s="897"/>
      <c r="K901" s="903"/>
      <c r="L901" s="930">
        <v>225</v>
      </c>
      <c r="M901" s="930"/>
      <c r="N901" s="904"/>
      <c r="O901" s="931"/>
      <c r="P901" s="930"/>
      <c r="Q901" s="930"/>
      <c r="R901" s="932"/>
      <c r="S901" s="930"/>
      <c r="T901" s="930"/>
      <c r="U901" s="904"/>
      <c r="V901" s="931"/>
      <c r="X901" s="897"/>
      <c r="Y901" s="932"/>
    </row>
    <row r="902" spans="1:29" s="933" customFormat="1" ht="13.95" hidden="1" customHeight="1" outlineLevel="1">
      <c r="A902" s="897" t="s">
        <v>1608</v>
      </c>
      <c r="B902" s="932" t="s">
        <v>19</v>
      </c>
      <c r="C902" s="932">
        <v>69</v>
      </c>
      <c r="D902" s="930">
        <v>600</v>
      </c>
      <c r="E902" s="1332">
        <v>600</v>
      </c>
      <c r="F902" s="930">
        <v>89.7</v>
      </c>
      <c r="G902" s="900"/>
      <c r="H902" s="1274"/>
      <c r="J902" s="897"/>
      <c r="K902" s="903"/>
      <c r="L902" s="930">
        <v>531</v>
      </c>
      <c r="M902" s="930"/>
      <c r="N902" s="904"/>
      <c r="O902" s="931"/>
      <c r="P902" s="930"/>
      <c r="Q902" s="930"/>
      <c r="R902" s="932"/>
      <c r="S902" s="930"/>
      <c r="T902" s="930"/>
      <c r="U902" s="904"/>
      <c r="V902" s="931"/>
      <c r="X902" s="897"/>
      <c r="Y902" s="932"/>
    </row>
    <row r="903" spans="1:29" s="933" customFormat="1" collapsed="1">
      <c r="A903" s="1282"/>
      <c r="B903" s="1283"/>
      <c r="C903" s="1283"/>
      <c r="E903" s="1382"/>
      <c r="F903" s="1284"/>
      <c r="G903" s="1283"/>
      <c r="H903" s="1273"/>
      <c r="I903" s="933" t="s">
        <v>5966</v>
      </c>
      <c r="K903" s="903"/>
      <c r="L903" s="930">
        <v>0</v>
      </c>
    </row>
    <row r="904" spans="1:29" hidden="1" outlineLevel="1">
      <c r="A904" s="981"/>
      <c r="B904" s="910"/>
      <c r="C904" s="910"/>
      <c r="D904" s="902"/>
      <c r="E904" s="1363"/>
      <c r="F904" s="980"/>
      <c r="G904" s="910"/>
      <c r="H904" s="979"/>
      <c r="I904" s="902" t="str">
        <f t="shared" si="79"/>
        <v/>
      </c>
      <c r="J904" s="902"/>
      <c r="K904" s="903"/>
      <c r="L904" s="899">
        <f t="shared" ref="L904:L955" si="80">E904-C904</f>
        <v>0</v>
      </c>
      <c r="M904" s="902"/>
      <c r="N904" s="902"/>
      <c r="O904" s="902"/>
      <c r="P904" s="902"/>
      <c r="Q904" s="902"/>
      <c r="R904" s="902"/>
      <c r="S904" s="902"/>
      <c r="T904" s="902"/>
      <c r="U904" s="902"/>
      <c r="V904" s="902"/>
      <c r="W904" s="902"/>
      <c r="X904" s="902"/>
      <c r="Y904" s="902"/>
      <c r="Z904" s="902"/>
      <c r="AA904" s="902"/>
      <c r="AB904" s="902"/>
      <c r="AC904" s="902"/>
    </row>
    <row r="905" spans="1:29" hidden="1" outlineLevel="1">
      <c r="A905" s="981"/>
      <c r="B905" s="910"/>
      <c r="C905" s="910"/>
      <c r="D905" s="902"/>
      <c r="E905" s="1363"/>
      <c r="F905" s="980"/>
      <c r="G905" s="910"/>
      <c r="H905" s="979"/>
      <c r="I905" s="902" t="str">
        <f t="shared" si="79"/>
        <v/>
      </c>
      <c r="J905" s="902"/>
      <c r="K905" s="903"/>
      <c r="L905" s="899">
        <f t="shared" si="80"/>
        <v>0</v>
      </c>
      <c r="M905" s="902"/>
      <c r="N905" s="902"/>
      <c r="O905" s="902"/>
      <c r="P905" s="902"/>
      <c r="Q905" s="902"/>
      <c r="R905" s="902"/>
      <c r="S905" s="902"/>
      <c r="T905" s="902"/>
      <c r="U905" s="902"/>
      <c r="V905" s="902"/>
      <c r="W905" s="902"/>
      <c r="X905" s="902"/>
      <c r="Y905" s="902"/>
      <c r="Z905" s="902"/>
      <c r="AA905" s="902"/>
      <c r="AB905" s="902"/>
      <c r="AC905" s="902"/>
    </row>
    <row r="906" spans="1:29" hidden="1" outlineLevel="1">
      <c r="A906" s="981"/>
      <c r="B906" s="910"/>
      <c r="C906" s="910"/>
      <c r="D906" s="902"/>
      <c r="E906" s="1363"/>
      <c r="F906" s="980"/>
      <c r="G906" s="910"/>
      <c r="H906" s="979"/>
      <c r="I906" s="902" t="str">
        <f t="shared" si="79"/>
        <v/>
      </c>
      <c r="J906" s="902"/>
      <c r="K906" s="903"/>
      <c r="L906" s="899">
        <f t="shared" si="80"/>
        <v>0</v>
      </c>
      <c r="M906" s="902"/>
      <c r="N906" s="902"/>
      <c r="O906" s="902"/>
      <c r="P906" s="902"/>
      <c r="Q906" s="902"/>
      <c r="R906" s="902"/>
      <c r="S906" s="902"/>
      <c r="T906" s="902"/>
      <c r="U906" s="902"/>
      <c r="V906" s="902"/>
      <c r="W906" s="902"/>
      <c r="X906" s="902"/>
      <c r="Y906" s="902"/>
      <c r="Z906" s="902"/>
      <c r="AA906" s="902"/>
      <c r="AB906" s="902"/>
      <c r="AC906" s="902"/>
    </row>
    <row r="907" spans="1:29" hidden="1" outlineLevel="1">
      <c r="A907" s="897"/>
      <c r="B907" s="898"/>
      <c r="C907" s="898"/>
      <c r="D907" s="899"/>
      <c r="E907" s="1335"/>
      <c r="F907" s="899"/>
      <c r="G907" s="897"/>
      <c r="H907" s="901"/>
      <c r="I907" s="902"/>
      <c r="J907" s="897"/>
      <c r="K907" s="899"/>
      <c r="L907" s="899">
        <f t="shared" si="80"/>
        <v>0</v>
      </c>
      <c r="M907" s="899"/>
      <c r="N907" s="904"/>
      <c r="O907" s="905"/>
      <c r="P907" s="899"/>
      <c r="Q907" s="899"/>
      <c r="R907" s="898"/>
      <c r="S907" s="899"/>
      <c r="T907" s="899"/>
      <c r="U907" s="904"/>
      <c r="V907" s="905"/>
      <c r="W907" s="902"/>
      <c r="X907" s="897"/>
      <c r="Y907" s="898"/>
      <c r="Z907" s="902"/>
      <c r="AA907" s="902"/>
      <c r="AB907" s="902"/>
      <c r="AC907" s="902"/>
    </row>
    <row r="908" spans="1:29" hidden="1" outlineLevel="1">
      <c r="A908" s="981"/>
      <c r="B908" s="910"/>
      <c r="C908" s="910"/>
      <c r="D908" s="902"/>
      <c r="E908" s="1363"/>
      <c r="F908" s="980"/>
      <c r="G908" s="910"/>
      <c r="H908" s="979"/>
      <c r="I908" s="902" t="str">
        <f>IF(H908="x",CONCATENATE(A908,"; "),"")</f>
        <v/>
      </c>
      <c r="J908" s="902"/>
      <c r="K908" s="903"/>
      <c r="L908" s="899">
        <f t="shared" si="80"/>
        <v>0</v>
      </c>
      <c r="M908" s="902"/>
      <c r="N908" s="902"/>
      <c r="O908" s="902"/>
      <c r="P908" s="902"/>
      <c r="Q908" s="902"/>
      <c r="R908" s="902"/>
      <c r="S908" s="902"/>
      <c r="T908" s="902"/>
      <c r="U908" s="902"/>
      <c r="V908" s="902"/>
      <c r="W908" s="902"/>
      <c r="X908" s="902"/>
      <c r="Y908" s="902"/>
      <c r="Z908" s="902"/>
      <c r="AA908" s="902"/>
      <c r="AB908" s="902"/>
      <c r="AC908" s="902"/>
    </row>
    <row r="909" spans="1:29" hidden="1" outlineLevel="1">
      <c r="A909" s="981"/>
      <c r="B909" s="910"/>
      <c r="C909" s="910"/>
      <c r="D909" s="902"/>
      <c r="E909" s="1363"/>
      <c r="F909" s="980"/>
      <c r="G909" s="910"/>
      <c r="H909" s="979"/>
      <c r="I909" s="902" t="str">
        <f>IF(H909="x",CONCATENATE(A909,"; "),"")</f>
        <v/>
      </c>
      <c r="J909" s="902"/>
      <c r="K909" s="903"/>
      <c r="L909" s="899">
        <f t="shared" si="80"/>
        <v>0</v>
      </c>
      <c r="M909" s="902"/>
      <c r="N909" s="902"/>
      <c r="O909" s="902"/>
      <c r="P909" s="902"/>
      <c r="Q909" s="902"/>
      <c r="R909" s="902"/>
      <c r="S909" s="902"/>
      <c r="T909" s="902"/>
      <c r="U909" s="902"/>
      <c r="V909" s="902"/>
      <c r="W909" s="902"/>
      <c r="X909" s="902"/>
      <c r="Y909" s="902"/>
      <c r="Z909" s="902"/>
      <c r="AA909" s="902"/>
      <c r="AB909" s="902"/>
      <c r="AC909" s="902"/>
    </row>
    <row r="910" spans="1:29" hidden="1" outlineLevel="1">
      <c r="A910" s="981"/>
      <c r="B910" s="910"/>
      <c r="C910" s="910"/>
      <c r="D910" s="902"/>
      <c r="E910" s="1363"/>
      <c r="F910" s="980"/>
      <c r="G910" s="910"/>
      <c r="H910" s="979"/>
      <c r="I910" s="902" t="str">
        <f>IF(H910="x",CONCATENATE(A910,"; "),"")</f>
        <v/>
      </c>
      <c r="J910" s="902"/>
      <c r="K910" s="903"/>
      <c r="L910" s="899">
        <f t="shared" si="80"/>
        <v>0</v>
      </c>
      <c r="M910" s="902"/>
      <c r="N910" s="902"/>
      <c r="O910" s="902"/>
      <c r="P910" s="902"/>
      <c r="Q910" s="902"/>
      <c r="R910" s="902"/>
      <c r="S910" s="902"/>
      <c r="T910" s="902"/>
      <c r="U910" s="902"/>
      <c r="V910" s="902"/>
      <c r="W910" s="902"/>
      <c r="X910" s="902"/>
      <c r="Y910" s="902"/>
      <c r="Z910" s="902"/>
      <c r="AA910" s="902"/>
      <c r="AB910" s="902"/>
      <c r="AC910" s="902"/>
    </row>
    <row r="911" spans="1:29" hidden="1" outlineLevel="1">
      <c r="A911" s="981"/>
      <c r="B911" s="910"/>
      <c r="C911" s="910"/>
      <c r="D911" s="902"/>
      <c r="E911" s="1363"/>
      <c r="F911" s="980"/>
      <c r="G911" s="910"/>
      <c r="H911" s="979"/>
      <c r="I911" s="902" t="str">
        <f>IF(H911="x",CONCATENATE(A911,"; "),"")</f>
        <v/>
      </c>
      <c r="J911" s="902"/>
      <c r="K911" s="903"/>
      <c r="L911" s="899">
        <f t="shared" si="80"/>
        <v>0</v>
      </c>
      <c r="M911" s="902"/>
      <c r="N911" s="902"/>
      <c r="O911" s="902"/>
      <c r="P911" s="902"/>
      <c r="Q911" s="902"/>
      <c r="R911" s="902"/>
      <c r="S911" s="902"/>
      <c r="T911" s="902"/>
      <c r="U911" s="902"/>
      <c r="V911" s="902"/>
      <c r="W911" s="902"/>
      <c r="X911" s="902"/>
      <c r="Y911" s="902"/>
      <c r="Z911" s="902"/>
      <c r="AA911" s="902"/>
      <c r="AB911" s="902"/>
      <c r="AC911" s="902"/>
    </row>
    <row r="912" spans="1:29" hidden="1" outlineLevel="1">
      <c r="A912" s="897"/>
      <c r="B912" s="932"/>
      <c r="C912" s="932"/>
      <c r="D912" s="930"/>
      <c r="E912" s="1346"/>
      <c r="F912" s="930"/>
      <c r="G912" s="897"/>
      <c r="H912" s="936"/>
      <c r="I912" s="933"/>
      <c r="J912" s="897"/>
      <c r="K912" s="903"/>
      <c r="L912" s="899">
        <f t="shared" si="80"/>
        <v>0</v>
      </c>
      <c r="M912" s="930"/>
      <c r="N912" s="904"/>
      <c r="O912" s="931"/>
      <c r="P912" s="930"/>
      <c r="Q912" s="930"/>
      <c r="R912" s="932"/>
      <c r="S912" s="930"/>
      <c r="T912" s="930"/>
      <c r="U912" s="904"/>
      <c r="V912" s="931"/>
      <c r="W912" s="933"/>
      <c r="X912" s="897"/>
      <c r="Y912" s="932"/>
      <c r="Z912" s="902"/>
      <c r="AA912" s="902"/>
      <c r="AB912" s="902"/>
      <c r="AC912" s="902"/>
    </row>
    <row r="913" spans="1:29" hidden="1" outlineLevel="1">
      <c r="A913" s="897"/>
      <c r="B913" s="932"/>
      <c r="C913" s="932"/>
      <c r="D913" s="930"/>
      <c r="E913" s="1346"/>
      <c r="F913" s="930"/>
      <c r="G913" s="897"/>
      <c r="H913" s="936"/>
      <c r="I913" s="933"/>
      <c r="J913" s="897"/>
      <c r="K913" s="903"/>
      <c r="L913" s="899">
        <f t="shared" si="80"/>
        <v>0</v>
      </c>
      <c r="M913" s="930"/>
      <c r="N913" s="904"/>
      <c r="O913" s="931"/>
      <c r="P913" s="930"/>
      <c r="Q913" s="930"/>
      <c r="R913" s="932"/>
      <c r="S913" s="930"/>
      <c r="T913" s="930"/>
      <c r="U913" s="904"/>
      <c r="V913" s="931"/>
      <c r="W913" s="933"/>
      <c r="X913" s="897"/>
      <c r="Y913" s="932"/>
      <c r="Z913" s="902"/>
      <c r="AA913" s="902"/>
      <c r="AB913" s="902"/>
      <c r="AC913" s="902"/>
    </row>
    <row r="914" spans="1:29" hidden="1" outlineLevel="1">
      <c r="A914" s="981"/>
      <c r="B914" s="910"/>
      <c r="C914" s="910"/>
      <c r="D914" s="902"/>
      <c r="E914" s="1363"/>
      <c r="F914" s="980"/>
      <c r="G914" s="910"/>
      <c r="H914" s="979"/>
      <c r="I914" s="902" t="str">
        <f t="shared" ref="I914:I935" si="81">IF(H914="x",CONCATENATE(A914,"; "),"")</f>
        <v/>
      </c>
      <c r="J914" s="902"/>
      <c r="K914" s="903"/>
      <c r="L914" s="899">
        <f t="shared" si="80"/>
        <v>0</v>
      </c>
      <c r="M914" s="902"/>
      <c r="N914" s="902"/>
      <c r="O914" s="902"/>
      <c r="P914" s="902"/>
      <c r="Q914" s="902"/>
      <c r="R914" s="902"/>
      <c r="S914" s="902"/>
      <c r="T914" s="902"/>
      <c r="U914" s="902"/>
      <c r="V914" s="902"/>
      <c r="W914" s="902"/>
      <c r="X914" s="902"/>
      <c r="Y914" s="902"/>
      <c r="Z914" s="902"/>
      <c r="AA914" s="902"/>
      <c r="AB914" s="902"/>
      <c r="AC914" s="902"/>
    </row>
    <row r="915" spans="1:29" hidden="1" outlineLevel="1">
      <c r="A915" s="981"/>
      <c r="B915" s="910"/>
      <c r="C915" s="910"/>
      <c r="D915" s="902"/>
      <c r="E915" s="1363"/>
      <c r="F915" s="980"/>
      <c r="G915" s="910"/>
      <c r="H915" s="979"/>
      <c r="I915" s="902" t="str">
        <f t="shared" si="81"/>
        <v/>
      </c>
      <c r="J915" s="902"/>
      <c r="K915" s="903"/>
      <c r="L915" s="899">
        <f t="shared" si="80"/>
        <v>0</v>
      </c>
      <c r="M915" s="902"/>
      <c r="N915" s="902"/>
      <c r="O915" s="902"/>
      <c r="P915" s="902"/>
      <c r="Q915" s="902"/>
      <c r="R915" s="902"/>
      <c r="S915" s="902"/>
      <c r="T915" s="902"/>
      <c r="U915" s="902"/>
      <c r="V915" s="902"/>
      <c r="W915" s="902"/>
      <c r="X915" s="902"/>
      <c r="Y915" s="902"/>
      <c r="Z915" s="902"/>
      <c r="AA915" s="902"/>
      <c r="AB915" s="902"/>
      <c r="AC915" s="902"/>
    </row>
    <row r="916" spans="1:29" hidden="1" outlineLevel="1">
      <c r="A916" s="981"/>
      <c r="B916" s="910"/>
      <c r="C916" s="910"/>
      <c r="D916" s="902"/>
      <c r="E916" s="1363"/>
      <c r="F916" s="980"/>
      <c r="G916" s="910"/>
      <c r="H916" s="979"/>
      <c r="I916" s="902" t="str">
        <f t="shared" si="81"/>
        <v/>
      </c>
      <c r="J916" s="902"/>
      <c r="K916" s="903"/>
      <c r="L916" s="899">
        <f t="shared" si="80"/>
        <v>0</v>
      </c>
      <c r="M916" s="902"/>
      <c r="N916" s="902"/>
      <c r="O916" s="902"/>
      <c r="P916" s="902"/>
      <c r="Q916" s="902"/>
      <c r="R916" s="902"/>
      <c r="S916" s="902"/>
      <c r="T916" s="902"/>
      <c r="U916" s="902"/>
      <c r="V916" s="902"/>
      <c r="W916" s="902"/>
      <c r="X916" s="902"/>
      <c r="Y916" s="902"/>
      <c r="Z916" s="902"/>
      <c r="AA916" s="902"/>
      <c r="AB916" s="902"/>
      <c r="AC916" s="902"/>
    </row>
    <row r="917" spans="1:29" hidden="1" outlineLevel="1">
      <c r="A917" s="981"/>
      <c r="B917" s="910"/>
      <c r="C917" s="910"/>
      <c r="D917" s="902"/>
      <c r="E917" s="1363"/>
      <c r="F917" s="980"/>
      <c r="G917" s="910"/>
      <c r="H917" s="979"/>
      <c r="I917" s="902" t="str">
        <f t="shared" si="81"/>
        <v/>
      </c>
      <c r="J917" s="902"/>
      <c r="K917" s="903"/>
      <c r="L917" s="899">
        <f t="shared" si="80"/>
        <v>0</v>
      </c>
      <c r="M917" s="902"/>
      <c r="N917" s="902"/>
      <c r="O917" s="902"/>
      <c r="P917" s="902"/>
      <c r="Q917" s="902"/>
      <c r="R917" s="902"/>
      <c r="S917" s="902"/>
      <c r="T917" s="902"/>
      <c r="U917" s="902"/>
      <c r="V917" s="902"/>
      <c r="W917" s="902"/>
      <c r="X917" s="902"/>
      <c r="Y917" s="902"/>
      <c r="Z917" s="902"/>
      <c r="AA917" s="902"/>
      <c r="AB917" s="902"/>
      <c r="AC917" s="902"/>
    </row>
    <row r="918" spans="1:29" hidden="1" outlineLevel="1">
      <c r="A918" s="981"/>
      <c r="B918" s="910"/>
      <c r="C918" s="910"/>
      <c r="D918" s="902"/>
      <c r="E918" s="1363"/>
      <c r="F918" s="980"/>
      <c r="G918" s="910"/>
      <c r="H918" s="979"/>
      <c r="I918" s="902" t="str">
        <f t="shared" si="81"/>
        <v/>
      </c>
      <c r="J918" s="902"/>
      <c r="K918" s="903"/>
      <c r="L918" s="899">
        <f t="shared" si="80"/>
        <v>0</v>
      </c>
      <c r="M918" s="902"/>
      <c r="N918" s="902"/>
      <c r="O918" s="902"/>
      <c r="P918" s="902"/>
      <c r="Q918" s="902"/>
      <c r="R918" s="902"/>
      <c r="S918" s="902"/>
      <c r="T918" s="902"/>
      <c r="U918" s="902"/>
      <c r="V918" s="902"/>
      <c r="W918" s="902"/>
      <c r="X918" s="902"/>
      <c r="Y918" s="902"/>
      <c r="Z918" s="902"/>
      <c r="AA918" s="902"/>
      <c r="AB918" s="902"/>
      <c r="AC918" s="902"/>
    </row>
    <row r="919" spans="1:29" hidden="1" outlineLevel="1">
      <c r="A919" s="981"/>
      <c r="B919" s="910"/>
      <c r="C919" s="910"/>
      <c r="D919" s="902"/>
      <c r="E919" s="1363"/>
      <c r="F919" s="980"/>
      <c r="G919" s="910"/>
      <c r="H919" s="979"/>
      <c r="I919" s="902" t="str">
        <f t="shared" si="81"/>
        <v/>
      </c>
      <c r="J919" s="902"/>
      <c r="K919" s="903"/>
      <c r="L919" s="899">
        <f t="shared" si="80"/>
        <v>0</v>
      </c>
      <c r="M919" s="902"/>
      <c r="N919" s="902"/>
      <c r="O919" s="902"/>
      <c r="P919" s="902"/>
      <c r="Q919" s="902"/>
      <c r="R919" s="902"/>
      <c r="S919" s="902"/>
      <c r="T919" s="902"/>
      <c r="U919" s="902"/>
      <c r="V919" s="902"/>
      <c r="W919" s="902"/>
      <c r="X919" s="902"/>
      <c r="Y919" s="902"/>
      <c r="Z919" s="902"/>
      <c r="AA919" s="902"/>
      <c r="AB919" s="902"/>
      <c r="AC919" s="902"/>
    </row>
    <row r="920" spans="1:29" collapsed="1">
      <c r="A920" s="1197" t="s">
        <v>1342</v>
      </c>
      <c r="B920" s="910" t="s">
        <v>490</v>
      </c>
      <c r="C920" s="910"/>
      <c r="D920" s="902"/>
      <c r="E920" s="1363">
        <v>49200</v>
      </c>
      <c r="F920" s="980"/>
      <c r="G920" s="910" t="s">
        <v>1343</v>
      </c>
      <c r="H920" s="979"/>
      <c r="I920" s="902" t="str">
        <f t="shared" si="81"/>
        <v/>
      </c>
      <c r="J920" s="902"/>
      <c r="K920" s="903"/>
      <c r="L920" s="899">
        <f t="shared" si="80"/>
        <v>49200</v>
      </c>
      <c r="M920" s="902"/>
      <c r="N920" s="902"/>
      <c r="O920" s="902"/>
      <c r="P920" s="902"/>
      <c r="Q920" s="902"/>
      <c r="R920" s="902"/>
      <c r="S920" s="902"/>
      <c r="T920" s="902"/>
      <c r="U920" s="902"/>
      <c r="V920" s="902"/>
      <c r="W920" s="902"/>
      <c r="X920" s="902"/>
      <c r="Y920" s="902"/>
      <c r="Z920" s="902"/>
      <c r="AA920" s="902"/>
      <c r="AB920" s="902"/>
      <c r="AC920" s="902"/>
    </row>
    <row r="921" spans="1:29" hidden="1" outlineLevel="1">
      <c r="A921" s="1198" t="s">
        <v>18</v>
      </c>
      <c r="B921" s="910"/>
      <c r="C921" s="910"/>
      <c r="D921" s="902"/>
      <c r="E921" s="1363"/>
      <c r="F921" s="980"/>
      <c r="G921" s="910"/>
      <c r="H921" s="979"/>
      <c r="I921" s="902" t="str">
        <f t="shared" si="81"/>
        <v/>
      </c>
      <c r="J921" s="902"/>
      <c r="K921" s="903"/>
      <c r="L921" s="899">
        <f t="shared" si="80"/>
        <v>0</v>
      </c>
      <c r="M921" s="902"/>
      <c r="N921" s="902"/>
      <c r="O921" s="902"/>
      <c r="P921" s="902"/>
      <c r="Q921" s="902"/>
      <c r="R921" s="902"/>
      <c r="S921" s="902"/>
      <c r="T921" s="902"/>
      <c r="U921" s="902"/>
      <c r="V921" s="902"/>
      <c r="W921" s="902"/>
      <c r="X921" s="902"/>
      <c r="Y921" s="902"/>
      <c r="Z921" s="902"/>
      <c r="AA921" s="902"/>
      <c r="AB921" s="902"/>
      <c r="AC921" s="902"/>
    </row>
    <row r="922" spans="1:29" hidden="1" outlineLevel="1">
      <c r="A922" s="1198" t="s">
        <v>1339</v>
      </c>
      <c r="B922" s="910"/>
      <c r="C922" s="910"/>
      <c r="D922" s="902"/>
      <c r="E922" s="1363"/>
      <c r="F922" s="980"/>
      <c r="G922" s="910"/>
      <c r="H922" s="979"/>
      <c r="I922" s="902" t="str">
        <f t="shared" si="81"/>
        <v/>
      </c>
      <c r="J922" s="902"/>
      <c r="K922" s="903"/>
      <c r="L922" s="899">
        <f t="shared" si="80"/>
        <v>0</v>
      </c>
      <c r="M922" s="902"/>
      <c r="N922" s="902"/>
      <c r="O922" s="902"/>
      <c r="P922" s="902"/>
      <c r="Q922" s="902"/>
      <c r="R922" s="902"/>
      <c r="S922" s="902"/>
      <c r="T922" s="902"/>
      <c r="U922" s="902"/>
      <c r="V922" s="902"/>
      <c r="W922" s="902"/>
      <c r="X922" s="902"/>
      <c r="Y922" s="902"/>
      <c r="Z922" s="902"/>
      <c r="AA922" s="902"/>
      <c r="AB922" s="902"/>
      <c r="AC922" s="902"/>
    </row>
    <row r="923" spans="1:29" hidden="1" outlineLevel="1">
      <c r="A923" s="1198" t="s">
        <v>648</v>
      </c>
      <c r="B923" s="910"/>
      <c r="C923" s="910"/>
      <c r="D923" s="902"/>
      <c r="E923" s="1363"/>
      <c r="F923" s="980"/>
      <c r="G923" s="910"/>
      <c r="H923" s="979"/>
      <c r="I923" s="902" t="str">
        <f t="shared" si="81"/>
        <v/>
      </c>
      <c r="J923" s="902"/>
      <c r="K923" s="903"/>
      <c r="L923" s="899">
        <f t="shared" si="80"/>
        <v>0</v>
      </c>
      <c r="M923" s="902"/>
      <c r="N923" s="902"/>
      <c r="O923" s="902"/>
      <c r="P923" s="902"/>
      <c r="Q923" s="902"/>
      <c r="R923" s="902"/>
      <c r="S923" s="902"/>
      <c r="T923" s="902"/>
      <c r="U923" s="902"/>
      <c r="V923" s="902"/>
      <c r="W923" s="902"/>
      <c r="X923" s="902"/>
      <c r="Y923" s="902"/>
      <c r="Z923" s="902"/>
      <c r="AA923" s="902"/>
      <c r="AB923" s="902"/>
      <c r="AC923" s="902"/>
    </row>
    <row r="924" spans="1:29" hidden="1" outlineLevel="1">
      <c r="A924" s="1198" t="s">
        <v>649</v>
      </c>
      <c r="B924" s="910"/>
      <c r="C924" s="910"/>
      <c r="D924" s="902"/>
      <c r="E924" s="1363"/>
      <c r="F924" s="980"/>
      <c r="G924" s="910"/>
      <c r="H924" s="979"/>
      <c r="I924" s="902" t="str">
        <f t="shared" si="81"/>
        <v/>
      </c>
      <c r="J924" s="902"/>
      <c r="K924" s="903"/>
      <c r="L924" s="899">
        <f t="shared" si="80"/>
        <v>0</v>
      </c>
      <c r="M924" s="902"/>
      <c r="N924" s="902"/>
      <c r="O924" s="902"/>
      <c r="P924" s="902"/>
      <c r="Q924" s="902"/>
      <c r="R924" s="902"/>
      <c r="S924" s="902"/>
      <c r="T924" s="902"/>
      <c r="U924" s="902"/>
      <c r="V924" s="902"/>
      <c r="W924" s="902"/>
      <c r="X924" s="902"/>
      <c r="Y924" s="902"/>
      <c r="Z924" s="902"/>
      <c r="AA924" s="902"/>
      <c r="AB924" s="902"/>
      <c r="AC924" s="902"/>
    </row>
    <row r="925" spans="1:29" hidden="1" outlineLevel="1">
      <c r="A925" s="1198" t="s">
        <v>659</v>
      </c>
      <c r="B925" s="910"/>
      <c r="C925" s="910"/>
      <c r="D925" s="902"/>
      <c r="E925" s="1363"/>
      <c r="F925" s="980"/>
      <c r="G925" s="910"/>
      <c r="H925" s="979"/>
      <c r="I925" s="902" t="str">
        <f t="shared" si="81"/>
        <v/>
      </c>
      <c r="J925" s="902"/>
      <c r="K925" s="903"/>
      <c r="L925" s="899">
        <f t="shared" si="80"/>
        <v>0</v>
      </c>
      <c r="M925" s="902"/>
      <c r="N925" s="902"/>
      <c r="O925" s="902"/>
      <c r="P925" s="902"/>
      <c r="Q925" s="902"/>
      <c r="R925" s="902"/>
      <c r="S925" s="902"/>
      <c r="T925" s="902"/>
      <c r="U925" s="902"/>
      <c r="V925" s="902"/>
      <c r="W925" s="902"/>
      <c r="X925" s="902"/>
      <c r="Y925" s="902"/>
      <c r="Z925" s="902"/>
      <c r="AA925" s="902"/>
      <c r="AB925" s="902"/>
      <c r="AC925" s="902"/>
    </row>
    <row r="926" spans="1:29" hidden="1" outlineLevel="1">
      <c r="A926" s="1198" t="s">
        <v>1344</v>
      </c>
      <c r="B926" s="910"/>
      <c r="C926" s="910"/>
      <c r="D926" s="902"/>
      <c r="E926" s="1363"/>
      <c r="F926" s="980"/>
      <c r="G926" s="910"/>
      <c r="H926" s="979"/>
      <c r="I926" s="902" t="str">
        <f t="shared" si="81"/>
        <v/>
      </c>
      <c r="J926" s="902"/>
      <c r="K926" s="903"/>
      <c r="L926" s="899">
        <f t="shared" si="80"/>
        <v>0</v>
      </c>
      <c r="M926" s="902"/>
      <c r="N926" s="902"/>
      <c r="O926" s="902"/>
      <c r="P926" s="902"/>
      <c r="Q926" s="902"/>
      <c r="R926" s="902"/>
      <c r="S926" s="902"/>
      <c r="T926" s="902"/>
      <c r="U926" s="902"/>
      <c r="V926" s="902"/>
      <c r="W926" s="902"/>
      <c r="X926" s="902"/>
      <c r="Y926" s="902"/>
      <c r="Z926" s="902"/>
      <c r="AA926" s="902"/>
      <c r="AB926" s="902"/>
      <c r="AC926" s="902"/>
    </row>
    <row r="927" spans="1:29" hidden="1" outlineLevel="1">
      <c r="A927" s="1198" t="s">
        <v>662</v>
      </c>
      <c r="B927" s="910"/>
      <c r="C927" s="910"/>
      <c r="D927" s="902"/>
      <c r="E927" s="1363"/>
      <c r="F927" s="980"/>
      <c r="G927" s="910"/>
      <c r="H927" s="979"/>
      <c r="I927" s="902" t="str">
        <f t="shared" si="81"/>
        <v/>
      </c>
      <c r="J927" s="902"/>
      <c r="K927" s="903"/>
      <c r="L927" s="899">
        <f t="shared" si="80"/>
        <v>0</v>
      </c>
      <c r="M927" s="902"/>
      <c r="N927" s="902"/>
      <c r="O927" s="902"/>
      <c r="P927" s="902"/>
      <c r="Q927" s="902"/>
      <c r="R927" s="902"/>
      <c r="S927" s="902"/>
      <c r="T927" s="902"/>
      <c r="U927" s="902"/>
      <c r="V927" s="902"/>
      <c r="W927" s="902"/>
      <c r="X927" s="902"/>
      <c r="Y927" s="902"/>
      <c r="Z927" s="902"/>
      <c r="AA927" s="902"/>
      <c r="AB927" s="902"/>
      <c r="AC927" s="902"/>
    </row>
    <row r="928" spans="1:29" hidden="1" outlineLevel="1">
      <c r="A928" s="1198" t="s">
        <v>681</v>
      </c>
      <c r="B928" s="910"/>
      <c r="C928" s="910"/>
      <c r="D928" s="902"/>
      <c r="E928" s="1363"/>
      <c r="F928" s="980"/>
      <c r="G928" s="910"/>
      <c r="H928" s="979"/>
      <c r="I928" s="902" t="str">
        <f t="shared" si="81"/>
        <v/>
      </c>
      <c r="J928" s="902"/>
      <c r="K928" s="903"/>
      <c r="L928" s="899">
        <f t="shared" si="80"/>
        <v>0</v>
      </c>
      <c r="M928" s="902"/>
      <c r="N928" s="902"/>
      <c r="O928" s="902"/>
      <c r="P928" s="902"/>
      <c r="Q928" s="902"/>
      <c r="R928" s="902"/>
      <c r="S928" s="902"/>
      <c r="T928" s="902"/>
      <c r="U928" s="902"/>
      <c r="V928" s="902"/>
      <c r="W928" s="902"/>
      <c r="X928" s="902"/>
      <c r="Y928" s="902"/>
      <c r="Z928" s="902"/>
      <c r="AA928" s="902"/>
      <c r="AB928" s="902"/>
      <c r="AC928" s="902"/>
    </row>
    <row r="929" spans="1:29" hidden="1" outlineLevel="1">
      <c r="A929" s="1198" t="s">
        <v>684</v>
      </c>
      <c r="B929" s="910"/>
      <c r="C929" s="910"/>
      <c r="D929" s="902"/>
      <c r="E929" s="1363"/>
      <c r="F929" s="980"/>
      <c r="G929" s="910"/>
      <c r="H929" s="979"/>
      <c r="I929" s="902" t="str">
        <f t="shared" si="81"/>
        <v/>
      </c>
      <c r="J929" s="902"/>
      <c r="K929" s="903"/>
      <c r="L929" s="899">
        <f t="shared" si="80"/>
        <v>0</v>
      </c>
      <c r="M929" s="902"/>
      <c r="N929" s="902"/>
      <c r="O929" s="902"/>
      <c r="P929" s="902"/>
      <c r="Q929" s="902"/>
      <c r="R929" s="902"/>
      <c r="S929" s="902"/>
      <c r="T929" s="902"/>
      <c r="U929" s="902"/>
      <c r="V929" s="902"/>
      <c r="W929" s="902"/>
      <c r="X929" s="902"/>
      <c r="Y929" s="902"/>
      <c r="Z929" s="902"/>
      <c r="AA929" s="902"/>
      <c r="AB929" s="902"/>
      <c r="AC929" s="902"/>
    </row>
    <row r="930" spans="1:29" hidden="1" outlineLevel="1">
      <c r="A930" s="1198" t="s">
        <v>685</v>
      </c>
      <c r="B930" s="910"/>
      <c r="C930" s="910"/>
      <c r="D930" s="902"/>
      <c r="E930" s="1363"/>
      <c r="F930" s="980"/>
      <c r="G930" s="910"/>
      <c r="H930" s="979"/>
      <c r="I930" s="902" t="str">
        <f t="shared" si="81"/>
        <v/>
      </c>
      <c r="J930" s="902"/>
      <c r="K930" s="903"/>
      <c r="L930" s="899">
        <f t="shared" si="80"/>
        <v>0</v>
      </c>
      <c r="M930" s="902"/>
      <c r="N930" s="902"/>
      <c r="O930" s="902"/>
      <c r="P930" s="902"/>
      <c r="Q930" s="902"/>
      <c r="R930" s="902"/>
      <c r="S930" s="902"/>
      <c r="T930" s="902"/>
      <c r="U930" s="902"/>
      <c r="V930" s="902"/>
      <c r="W930" s="902"/>
      <c r="X930" s="902"/>
      <c r="Y930" s="902"/>
      <c r="Z930" s="902"/>
      <c r="AA930" s="902"/>
      <c r="AB930" s="902"/>
      <c r="AC930" s="902"/>
    </row>
    <row r="931" spans="1:29" hidden="1" outlineLevel="1">
      <c r="A931" s="1198" t="s">
        <v>682</v>
      </c>
      <c r="B931" s="910"/>
      <c r="C931" s="910"/>
      <c r="D931" s="902"/>
      <c r="E931" s="1363"/>
      <c r="F931" s="980"/>
      <c r="G931" s="910"/>
      <c r="H931" s="979"/>
      <c r="I931" s="902" t="str">
        <f t="shared" si="81"/>
        <v/>
      </c>
      <c r="J931" s="902"/>
      <c r="K931" s="903"/>
      <c r="L931" s="899">
        <f t="shared" si="80"/>
        <v>0</v>
      </c>
      <c r="M931" s="902"/>
      <c r="N931" s="902"/>
      <c r="O931" s="902"/>
      <c r="P931" s="902"/>
      <c r="Q931" s="902"/>
      <c r="R931" s="902"/>
      <c r="S931" s="902"/>
      <c r="T931" s="902"/>
      <c r="U931" s="902"/>
      <c r="V931" s="902"/>
      <c r="W931" s="902"/>
      <c r="X931" s="902"/>
      <c r="Y931" s="902"/>
      <c r="Z931" s="902"/>
      <c r="AA931" s="902"/>
      <c r="AB931" s="902"/>
      <c r="AC931" s="902"/>
    </row>
    <row r="932" spans="1:29" hidden="1" outlineLevel="1">
      <c r="A932" s="1198" t="s">
        <v>34</v>
      </c>
      <c r="B932" s="910"/>
      <c r="C932" s="910"/>
      <c r="D932" s="902"/>
      <c r="E932" s="1363"/>
      <c r="F932" s="980"/>
      <c r="G932" s="910"/>
      <c r="H932" s="979"/>
      <c r="I932" s="902" t="str">
        <f t="shared" si="81"/>
        <v/>
      </c>
      <c r="J932" s="902"/>
      <c r="K932" s="903"/>
      <c r="L932" s="899">
        <f t="shared" si="80"/>
        <v>0</v>
      </c>
      <c r="M932" s="902"/>
      <c r="N932" s="902"/>
      <c r="O932" s="902"/>
      <c r="P932" s="902"/>
      <c r="Q932" s="902"/>
      <c r="R932" s="902"/>
      <c r="S932" s="902"/>
      <c r="T932" s="902"/>
      <c r="U932" s="902"/>
      <c r="V932" s="902"/>
      <c r="W932" s="902"/>
      <c r="X932" s="902"/>
      <c r="Y932" s="902"/>
      <c r="Z932" s="902"/>
      <c r="AA932" s="902"/>
      <c r="AB932" s="902"/>
      <c r="AC932" s="902"/>
    </row>
    <row r="933" spans="1:29" hidden="1" outlineLevel="1">
      <c r="A933" s="1198" t="s">
        <v>692</v>
      </c>
      <c r="B933" s="910"/>
      <c r="C933" s="910"/>
      <c r="D933" s="902"/>
      <c r="E933" s="1363"/>
      <c r="F933" s="980"/>
      <c r="G933" s="910"/>
      <c r="H933" s="979"/>
      <c r="I933" s="902" t="str">
        <f t="shared" si="81"/>
        <v/>
      </c>
      <c r="J933" s="902"/>
      <c r="K933" s="903"/>
      <c r="L933" s="899">
        <f t="shared" si="80"/>
        <v>0</v>
      </c>
      <c r="M933" s="902"/>
      <c r="N933" s="902"/>
      <c r="O933" s="902"/>
      <c r="P933" s="902"/>
      <c r="Q933" s="902"/>
      <c r="R933" s="902"/>
      <c r="S933" s="902"/>
      <c r="T933" s="902"/>
      <c r="U933" s="902"/>
      <c r="V933" s="902"/>
      <c r="W933" s="902"/>
      <c r="X933" s="902"/>
      <c r="Y933" s="902"/>
      <c r="Z933" s="902"/>
      <c r="AA933" s="902"/>
      <c r="AB933" s="902"/>
      <c r="AC933" s="902"/>
    </row>
    <row r="934" spans="1:29" hidden="1" outlineLevel="1">
      <c r="A934" s="1198" t="s">
        <v>48</v>
      </c>
      <c r="B934" s="910"/>
      <c r="C934" s="910"/>
      <c r="D934" s="902"/>
      <c r="E934" s="1363"/>
      <c r="F934" s="980"/>
      <c r="G934" s="910"/>
      <c r="H934" s="979"/>
      <c r="I934" s="902" t="str">
        <f t="shared" si="81"/>
        <v/>
      </c>
      <c r="J934" s="902"/>
      <c r="K934" s="903"/>
      <c r="L934" s="899">
        <f t="shared" si="80"/>
        <v>0</v>
      </c>
      <c r="M934" s="902"/>
      <c r="N934" s="902"/>
      <c r="O934" s="902"/>
      <c r="P934" s="902"/>
      <c r="Q934" s="902"/>
      <c r="R934" s="902"/>
      <c r="S934" s="902"/>
      <c r="T934" s="902"/>
      <c r="U934" s="902"/>
      <c r="V934" s="902"/>
      <c r="W934" s="902"/>
      <c r="X934" s="902"/>
      <c r="Y934" s="902"/>
      <c r="Z934" s="902"/>
      <c r="AA934" s="902"/>
      <c r="AB934" s="902"/>
      <c r="AC934" s="902"/>
    </row>
    <row r="935" spans="1:29" hidden="1" outlineLevel="1">
      <c r="A935" s="1198" t="s">
        <v>19</v>
      </c>
      <c r="B935" s="910"/>
      <c r="C935" s="910"/>
      <c r="D935" s="902"/>
      <c r="E935" s="1363"/>
      <c r="F935" s="980"/>
      <c r="G935" s="910"/>
      <c r="H935" s="979"/>
      <c r="I935" s="902" t="str">
        <f t="shared" si="81"/>
        <v/>
      </c>
      <c r="J935" s="902"/>
      <c r="K935" s="903"/>
      <c r="L935" s="899">
        <f t="shared" si="80"/>
        <v>0</v>
      </c>
      <c r="M935" s="902"/>
      <c r="N935" s="902"/>
      <c r="O935" s="902"/>
      <c r="P935" s="902"/>
      <c r="Q935" s="902"/>
      <c r="R935" s="902"/>
      <c r="S935" s="902"/>
      <c r="T935" s="902"/>
      <c r="U935" s="902"/>
      <c r="V935" s="902"/>
      <c r="W935" s="902"/>
      <c r="X935" s="902"/>
      <c r="Y935" s="902"/>
      <c r="Z935" s="902"/>
      <c r="AA935" s="902"/>
      <c r="AB935" s="902"/>
      <c r="AC935" s="902"/>
    </row>
    <row r="936" spans="1:29" hidden="1" outlineLevel="1">
      <c r="A936" s="1199" t="s">
        <v>1498</v>
      </c>
      <c r="B936" s="898" t="s">
        <v>734</v>
      </c>
      <c r="C936" s="898">
        <v>1725</v>
      </c>
      <c r="D936" s="899">
        <v>3500</v>
      </c>
      <c r="E936" s="1335">
        <v>3500</v>
      </c>
      <c r="F936" s="899">
        <f>C936*1.3</f>
        <v>2242.5</v>
      </c>
      <c r="G936" s="897">
        <v>2</v>
      </c>
      <c r="H936" s="901"/>
      <c r="I936" s="902"/>
      <c r="J936" s="897"/>
      <c r="K936" s="899"/>
      <c r="L936" s="899">
        <f t="shared" si="80"/>
        <v>1775</v>
      </c>
      <c r="M936" s="899"/>
      <c r="N936" s="904"/>
      <c r="O936" s="905"/>
      <c r="P936" s="899"/>
      <c r="Q936" s="899"/>
      <c r="R936" s="898"/>
      <c r="S936" s="899"/>
      <c r="T936" s="899"/>
      <c r="U936" s="904"/>
      <c r="V936" s="905"/>
      <c r="W936" s="902"/>
      <c r="X936" s="897"/>
      <c r="Y936" s="898"/>
      <c r="Z936" s="902"/>
      <c r="AA936" s="902"/>
      <c r="AB936" s="902"/>
      <c r="AC936" s="902"/>
    </row>
    <row r="937" spans="1:29" hidden="1" outlineLevel="1">
      <c r="A937" s="1198" t="s">
        <v>35</v>
      </c>
      <c r="B937" s="910"/>
      <c r="C937" s="910"/>
      <c r="D937" s="902"/>
      <c r="E937" s="1363"/>
      <c r="F937" s="980"/>
      <c r="G937" s="910"/>
      <c r="H937" s="979"/>
      <c r="I937" s="902" t="str">
        <f>IF(H937="x",CONCATENATE(A937,"; "),"")</f>
        <v/>
      </c>
      <c r="J937" s="902"/>
      <c r="K937" s="903"/>
      <c r="L937" s="899">
        <f t="shared" si="80"/>
        <v>0</v>
      </c>
      <c r="M937" s="902"/>
      <c r="N937" s="902"/>
      <c r="O937" s="902"/>
      <c r="P937" s="902"/>
      <c r="Q937" s="902"/>
      <c r="R937" s="902"/>
      <c r="S937" s="902"/>
      <c r="T937" s="902"/>
      <c r="U937" s="902"/>
      <c r="V937" s="902"/>
      <c r="W937" s="902"/>
      <c r="X937" s="902"/>
      <c r="Y937" s="902"/>
      <c r="Z937" s="902"/>
      <c r="AA937" s="902"/>
      <c r="AB937" s="902"/>
      <c r="AC937" s="902"/>
    </row>
    <row r="938" spans="1:29" hidden="1" outlineLevel="1">
      <c r="A938" s="1198" t="s">
        <v>1341</v>
      </c>
      <c r="B938" s="910"/>
      <c r="C938" s="910"/>
      <c r="D938" s="902"/>
      <c r="E938" s="1363"/>
      <c r="F938" s="980"/>
      <c r="G938" s="910"/>
      <c r="H938" s="979"/>
      <c r="I938" s="902" t="str">
        <f>IF(H938="x",CONCATENATE(A938,"; "),"")</f>
        <v/>
      </c>
      <c r="J938" s="902"/>
      <c r="K938" s="903"/>
      <c r="L938" s="899">
        <f t="shared" si="80"/>
        <v>0</v>
      </c>
      <c r="M938" s="902"/>
      <c r="N938" s="902"/>
      <c r="O938" s="902"/>
      <c r="P938" s="902"/>
      <c r="Q938" s="902"/>
      <c r="R938" s="902"/>
      <c r="S938" s="902"/>
      <c r="T938" s="902"/>
      <c r="U938" s="902"/>
      <c r="V938" s="902"/>
      <c r="W938" s="902"/>
      <c r="X938" s="902"/>
      <c r="Y938" s="902"/>
      <c r="Z938" s="902"/>
      <c r="AA938" s="902"/>
      <c r="AB938" s="902"/>
      <c r="AC938" s="902"/>
    </row>
    <row r="939" spans="1:29" hidden="1" outlineLevel="1">
      <c r="A939" s="1198" t="s">
        <v>1345</v>
      </c>
      <c r="B939" s="910"/>
      <c r="C939" s="910"/>
      <c r="D939" s="902"/>
      <c r="E939" s="1363"/>
      <c r="F939" s="980"/>
      <c r="G939" s="910"/>
      <c r="H939" s="979"/>
      <c r="I939" s="902" t="str">
        <f>IF(H939="x",CONCATENATE(A939,"; "),"")</f>
        <v/>
      </c>
      <c r="J939" s="902"/>
      <c r="K939" s="903"/>
      <c r="L939" s="899">
        <f t="shared" si="80"/>
        <v>0</v>
      </c>
      <c r="M939" s="902"/>
      <c r="N939" s="902"/>
      <c r="O939" s="902"/>
      <c r="P939" s="902"/>
      <c r="Q939" s="902"/>
      <c r="R939" s="902"/>
      <c r="S939" s="902"/>
      <c r="T939" s="902"/>
      <c r="U939" s="902"/>
      <c r="V939" s="902"/>
      <c r="W939" s="902"/>
      <c r="X939" s="902"/>
      <c r="Y939" s="902"/>
      <c r="Z939" s="902"/>
      <c r="AA939" s="902"/>
      <c r="AB939" s="902"/>
      <c r="AC939" s="902"/>
    </row>
    <row r="940" spans="1:29" hidden="1" outlineLevel="1">
      <c r="A940" s="1199" t="s">
        <v>1440</v>
      </c>
      <c r="B940" s="932" t="s">
        <v>2759</v>
      </c>
      <c r="C940" s="932">
        <v>69</v>
      </c>
      <c r="D940" s="930">
        <v>500</v>
      </c>
      <c r="E940" s="1346">
        <v>500</v>
      </c>
      <c r="F940" s="930">
        <v>90</v>
      </c>
      <c r="G940" s="897"/>
      <c r="H940" s="936"/>
      <c r="I940" s="933"/>
      <c r="J940" s="897"/>
      <c r="K940" s="903"/>
      <c r="L940" s="899">
        <f t="shared" si="80"/>
        <v>431</v>
      </c>
      <c r="M940" s="930"/>
      <c r="N940" s="904"/>
      <c r="O940" s="931"/>
      <c r="P940" s="930"/>
      <c r="Q940" s="930"/>
      <c r="R940" s="932"/>
      <c r="S940" s="930"/>
      <c r="T940" s="930"/>
      <c r="U940" s="904"/>
      <c r="V940" s="931"/>
      <c r="W940" s="933"/>
      <c r="X940" s="897"/>
      <c r="Y940" s="932"/>
      <c r="Z940" s="902"/>
      <c r="AA940" s="902"/>
      <c r="AB940" s="902"/>
      <c r="AC940" s="902"/>
    </row>
    <row r="941" spans="1:29" hidden="1" outlineLevel="1">
      <c r="A941" s="1198" t="s">
        <v>1346</v>
      </c>
      <c r="B941" s="910"/>
      <c r="C941" s="910"/>
      <c r="D941" s="902"/>
      <c r="E941" s="1363"/>
      <c r="F941" s="980"/>
      <c r="G941" s="910"/>
      <c r="H941" s="979"/>
      <c r="I941" s="902" t="str">
        <f t="shared" ref="I941:I964" si="82">IF(H941="x",CONCATENATE(A941,"; "),"")</f>
        <v/>
      </c>
      <c r="J941" s="902"/>
      <c r="K941" s="903"/>
      <c r="L941" s="899">
        <f t="shared" si="80"/>
        <v>0</v>
      </c>
      <c r="M941" s="902"/>
      <c r="N941" s="902"/>
      <c r="O941" s="902"/>
      <c r="P941" s="902"/>
      <c r="Q941" s="902"/>
      <c r="R941" s="902"/>
      <c r="S941" s="902"/>
      <c r="T941" s="902"/>
      <c r="U941" s="902"/>
      <c r="V941" s="902"/>
      <c r="W941" s="902"/>
      <c r="X941" s="902"/>
      <c r="Y941" s="902"/>
      <c r="Z941" s="902"/>
      <c r="AA941" s="902"/>
      <c r="AB941" s="902"/>
      <c r="AC941" s="902"/>
    </row>
    <row r="942" spans="1:29" hidden="1" outlineLevel="1">
      <c r="A942" s="1198" t="s">
        <v>69</v>
      </c>
      <c r="B942" s="910"/>
      <c r="C942" s="910"/>
      <c r="D942" s="902"/>
      <c r="E942" s="1363"/>
      <c r="F942" s="980"/>
      <c r="G942" s="910"/>
      <c r="H942" s="979"/>
      <c r="I942" s="902" t="str">
        <f t="shared" si="82"/>
        <v/>
      </c>
      <c r="J942" s="902"/>
      <c r="K942" s="903"/>
      <c r="L942" s="899">
        <f t="shared" si="80"/>
        <v>0</v>
      </c>
      <c r="M942" s="902"/>
      <c r="N942" s="902"/>
      <c r="O942" s="902"/>
      <c r="P942" s="902"/>
      <c r="Q942" s="902"/>
      <c r="R942" s="902"/>
      <c r="S942" s="902"/>
      <c r="T942" s="902"/>
      <c r="U942" s="902"/>
      <c r="V942" s="902"/>
      <c r="W942" s="902"/>
      <c r="X942" s="902"/>
      <c r="Y942" s="902"/>
      <c r="Z942" s="902"/>
      <c r="AA942" s="902"/>
      <c r="AB942" s="902"/>
      <c r="AC942" s="902"/>
    </row>
    <row r="943" spans="1:29" hidden="1" outlineLevel="1">
      <c r="A943" s="1198" t="s">
        <v>505</v>
      </c>
      <c r="B943" s="910"/>
      <c r="C943" s="910"/>
      <c r="D943" s="902"/>
      <c r="E943" s="1363"/>
      <c r="F943" s="980"/>
      <c r="G943" s="910"/>
      <c r="H943" s="979"/>
      <c r="I943" s="902" t="str">
        <f t="shared" si="82"/>
        <v/>
      </c>
      <c r="J943" s="902"/>
      <c r="K943" s="903"/>
      <c r="L943" s="899">
        <f t="shared" si="80"/>
        <v>0</v>
      </c>
      <c r="M943" s="902"/>
      <c r="N943" s="902"/>
      <c r="O943" s="902"/>
      <c r="P943" s="902"/>
      <c r="Q943" s="902"/>
      <c r="R943" s="902"/>
      <c r="S943" s="902"/>
      <c r="T943" s="902"/>
      <c r="U943" s="902"/>
      <c r="V943" s="902"/>
      <c r="W943" s="902"/>
      <c r="X943" s="902"/>
      <c r="Y943" s="902"/>
      <c r="Z943" s="902"/>
      <c r="AA943" s="902"/>
      <c r="AB943" s="902"/>
      <c r="AC943" s="902"/>
    </row>
    <row r="944" spans="1:29" hidden="1" outlineLevel="1">
      <c r="A944" s="1198" t="s">
        <v>54</v>
      </c>
      <c r="B944" s="910"/>
      <c r="C944" s="910"/>
      <c r="D944" s="902"/>
      <c r="E944" s="1363"/>
      <c r="F944" s="980"/>
      <c r="G944" s="910"/>
      <c r="H944" s="979"/>
      <c r="I944" s="902" t="str">
        <f t="shared" si="82"/>
        <v/>
      </c>
      <c r="J944" s="902"/>
      <c r="K944" s="903"/>
      <c r="L944" s="899">
        <f t="shared" si="80"/>
        <v>0</v>
      </c>
      <c r="M944" s="902"/>
      <c r="N944" s="902"/>
      <c r="O944" s="902"/>
      <c r="P944" s="902"/>
      <c r="Q944" s="902"/>
      <c r="R944" s="902"/>
      <c r="S944" s="902"/>
      <c r="T944" s="902"/>
      <c r="U944" s="902"/>
      <c r="V944" s="902"/>
      <c r="W944" s="902"/>
      <c r="X944" s="902"/>
      <c r="Y944" s="902"/>
      <c r="Z944" s="902"/>
      <c r="AA944" s="902"/>
      <c r="AB944" s="902"/>
      <c r="AC944" s="902"/>
    </row>
    <row r="945" spans="1:29" hidden="1" outlineLevel="1">
      <c r="A945" s="1198" t="s">
        <v>1</v>
      </c>
      <c r="B945" s="910"/>
      <c r="C945" s="910"/>
      <c r="D945" s="902"/>
      <c r="E945" s="1363"/>
      <c r="F945" s="980"/>
      <c r="G945" s="910"/>
      <c r="H945" s="979"/>
      <c r="I945" s="902" t="str">
        <f t="shared" si="82"/>
        <v/>
      </c>
      <c r="J945" s="902"/>
      <c r="K945" s="903"/>
      <c r="L945" s="899">
        <f t="shared" si="80"/>
        <v>0</v>
      </c>
      <c r="M945" s="902"/>
      <c r="N945" s="902"/>
      <c r="O945" s="902"/>
      <c r="P945" s="902"/>
      <c r="Q945" s="902"/>
      <c r="R945" s="902"/>
      <c r="S945" s="902"/>
      <c r="T945" s="902"/>
      <c r="U945" s="902"/>
      <c r="V945" s="902"/>
      <c r="W945" s="902"/>
      <c r="X945" s="902"/>
      <c r="Y945" s="902"/>
      <c r="Z945" s="902"/>
      <c r="AA945" s="902"/>
      <c r="AB945" s="902"/>
      <c r="AC945" s="902"/>
    </row>
    <row r="946" spans="1:29" collapsed="1">
      <c r="A946" s="1197" t="s">
        <v>1347</v>
      </c>
      <c r="B946" s="910" t="s">
        <v>490</v>
      </c>
      <c r="C946" s="910"/>
      <c r="D946" s="902"/>
      <c r="E946" s="1363">
        <v>53600</v>
      </c>
      <c r="F946" s="980"/>
      <c r="G946" s="910" t="s">
        <v>1348</v>
      </c>
      <c r="H946" s="979"/>
      <c r="I946" s="902" t="str">
        <f t="shared" si="82"/>
        <v/>
      </c>
      <c r="J946" s="902"/>
      <c r="K946" s="903"/>
      <c r="L946" s="899">
        <f t="shared" si="80"/>
        <v>53600</v>
      </c>
      <c r="M946" s="902"/>
      <c r="N946" s="902"/>
      <c r="O946" s="902"/>
      <c r="P946" s="902"/>
      <c r="Q946" s="902"/>
      <c r="R946" s="902"/>
      <c r="S946" s="902"/>
      <c r="T946" s="902"/>
      <c r="U946" s="902"/>
      <c r="V946" s="902"/>
      <c r="W946" s="902"/>
      <c r="X946" s="902"/>
      <c r="Y946" s="902"/>
      <c r="Z946" s="902"/>
      <c r="AA946" s="902"/>
      <c r="AB946" s="902"/>
      <c r="AC946" s="902"/>
    </row>
    <row r="947" spans="1:29" hidden="1" outlineLevel="1">
      <c r="A947" s="1198" t="s">
        <v>558</v>
      </c>
      <c r="B947" s="910"/>
      <c r="C947" s="910"/>
      <c r="D947" s="902"/>
      <c r="E947" s="1363"/>
      <c r="F947" s="980"/>
      <c r="G947" s="910"/>
      <c r="H947" s="979"/>
      <c r="I947" s="902" t="str">
        <f t="shared" si="82"/>
        <v/>
      </c>
      <c r="J947" s="902"/>
      <c r="K947" s="903"/>
      <c r="L947" s="899">
        <f t="shared" si="80"/>
        <v>0</v>
      </c>
      <c r="M947" s="902"/>
      <c r="N947" s="902"/>
      <c r="O947" s="902"/>
      <c r="P947" s="902"/>
      <c r="Q947" s="902"/>
      <c r="R947" s="902"/>
      <c r="S947" s="902"/>
      <c r="T947" s="902"/>
      <c r="U947" s="902"/>
      <c r="V947" s="902"/>
      <c r="W947" s="902"/>
      <c r="X947" s="902"/>
      <c r="Y947" s="902"/>
      <c r="Z947" s="902"/>
      <c r="AA947" s="902"/>
      <c r="AB947" s="902"/>
      <c r="AC947" s="902"/>
    </row>
    <row r="948" spans="1:29" hidden="1" outlineLevel="1">
      <c r="A948" s="1198" t="s">
        <v>18</v>
      </c>
      <c r="B948" s="910"/>
      <c r="C948" s="910"/>
      <c r="D948" s="902"/>
      <c r="E948" s="1363"/>
      <c r="F948" s="980"/>
      <c r="G948" s="910"/>
      <c r="H948" s="979"/>
      <c r="I948" s="902" t="str">
        <f t="shared" si="82"/>
        <v/>
      </c>
      <c r="J948" s="902"/>
      <c r="K948" s="903"/>
      <c r="L948" s="899">
        <f t="shared" si="80"/>
        <v>0</v>
      </c>
      <c r="M948" s="902"/>
      <c r="N948" s="902"/>
      <c r="O948" s="902"/>
      <c r="P948" s="902"/>
      <c r="Q948" s="902"/>
      <c r="R948" s="902"/>
      <c r="S948" s="902"/>
      <c r="T948" s="902"/>
      <c r="U948" s="902"/>
      <c r="V948" s="902"/>
      <c r="W948" s="902"/>
      <c r="X948" s="902"/>
      <c r="Y948" s="902"/>
      <c r="Z948" s="902"/>
      <c r="AA948" s="902"/>
      <c r="AB948" s="902"/>
      <c r="AC948" s="902"/>
    </row>
    <row r="949" spans="1:29" hidden="1" outlineLevel="1">
      <c r="A949" s="1198" t="s">
        <v>1339</v>
      </c>
      <c r="B949" s="910"/>
      <c r="C949" s="910"/>
      <c r="D949" s="902"/>
      <c r="E949" s="1363"/>
      <c r="F949" s="980"/>
      <c r="G949" s="910"/>
      <c r="H949" s="979"/>
      <c r="I949" s="902" t="str">
        <f t="shared" si="82"/>
        <v/>
      </c>
      <c r="J949" s="902"/>
      <c r="K949" s="903"/>
      <c r="L949" s="899">
        <f t="shared" si="80"/>
        <v>0</v>
      </c>
      <c r="M949" s="902"/>
      <c r="N949" s="902"/>
      <c r="O949" s="902"/>
      <c r="P949" s="902"/>
      <c r="Q949" s="902"/>
      <c r="R949" s="902"/>
      <c r="S949" s="902"/>
      <c r="T949" s="902"/>
      <c r="U949" s="902"/>
      <c r="V949" s="902"/>
      <c r="W949" s="902"/>
      <c r="X949" s="902"/>
      <c r="Y949" s="902"/>
      <c r="Z949" s="902"/>
      <c r="AA949" s="902"/>
      <c r="AB949" s="902"/>
      <c r="AC949" s="902"/>
    </row>
    <row r="950" spans="1:29" hidden="1" outlineLevel="1">
      <c r="A950" s="1198" t="s">
        <v>57</v>
      </c>
      <c r="B950" s="910"/>
      <c r="C950" s="910"/>
      <c r="D950" s="902"/>
      <c r="E950" s="1363"/>
      <c r="F950" s="980"/>
      <c r="G950" s="910"/>
      <c r="H950" s="979"/>
      <c r="I950" s="902" t="str">
        <f t="shared" si="82"/>
        <v/>
      </c>
      <c r="J950" s="902"/>
      <c r="K950" s="903"/>
      <c r="L950" s="899">
        <f t="shared" si="80"/>
        <v>0</v>
      </c>
      <c r="M950" s="902"/>
      <c r="N950" s="902"/>
      <c r="O950" s="902"/>
      <c r="P950" s="902"/>
      <c r="Q950" s="902"/>
      <c r="R950" s="902"/>
      <c r="S950" s="902"/>
      <c r="T950" s="902"/>
      <c r="U950" s="902"/>
      <c r="V950" s="902"/>
      <c r="W950" s="902"/>
      <c r="X950" s="902"/>
      <c r="Y950" s="902"/>
      <c r="Z950" s="902"/>
      <c r="AA950" s="902"/>
      <c r="AB950" s="902"/>
      <c r="AC950" s="902"/>
    </row>
    <row r="951" spans="1:29" hidden="1" outlineLevel="1">
      <c r="A951" s="1198" t="s">
        <v>648</v>
      </c>
      <c r="B951" s="910"/>
      <c r="C951" s="910"/>
      <c r="D951" s="902"/>
      <c r="E951" s="1363"/>
      <c r="F951" s="980"/>
      <c r="G951" s="910"/>
      <c r="H951" s="979"/>
      <c r="I951" s="902" t="str">
        <f t="shared" si="82"/>
        <v/>
      </c>
      <c r="J951" s="902"/>
      <c r="K951" s="903"/>
      <c r="L951" s="899">
        <f t="shared" si="80"/>
        <v>0</v>
      </c>
      <c r="M951" s="902"/>
      <c r="N951" s="902"/>
      <c r="O951" s="902"/>
      <c r="P951" s="902"/>
      <c r="Q951" s="902"/>
      <c r="R951" s="902"/>
      <c r="S951" s="902"/>
      <c r="T951" s="902"/>
      <c r="U951" s="902"/>
      <c r="V951" s="902"/>
      <c r="W951" s="902"/>
      <c r="X951" s="902"/>
      <c r="Y951" s="902"/>
      <c r="Z951" s="902"/>
      <c r="AA951" s="902"/>
      <c r="AB951" s="902"/>
      <c r="AC951" s="902"/>
    </row>
    <row r="952" spans="1:29" hidden="1" outlineLevel="1">
      <c r="A952" s="1198" t="s">
        <v>649</v>
      </c>
      <c r="B952" s="910"/>
      <c r="C952" s="910"/>
      <c r="D952" s="902"/>
      <c r="E952" s="1363"/>
      <c r="F952" s="980"/>
      <c r="G952" s="910"/>
      <c r="H952" s="979"/>
      <c r="I952" s="902" t="str">
        <f t="shared" si="82"/>
        <v/>
      </c>
      <c r="J952" s="902"/>
      <c r="K952" s="903"/>
      <c r="L952" s="899">
        <f t="shared" si="80"/>
        <v>0</v>
      </c>
      <c r="M952" s="902"/>
      <c r="N952" s="902"/>
      <c r="O952" s="902"/>
      <c r="P952" s="902"/>
      <c r="Q952" s="902"/>
      <c r="R952" s="902"/>
      <c r="S952" s="902"/>
      <c r="T952" s="902"/>
      <c r="U952" s="902"/>
      <c r="V952" s="902"/>
      <c r="W952" s="902"/>
      <c r="X952" s="902"/>
      <c r="Y952" s="902"/>
      <c r="Z952" s="902"/>
      <c r="AA952" s="902"/>
      <c r="AB952" s="902"/>
      <c r="AC952" s="902"/>
    </row>
    <row r="953" spans="1:29" hidden="1" outlineLevel="1">
      <c r="A953" s="1198" t="s">
        <v>659</v>
      </c>
      <c r="B953" s="910"/>
      <c r="C953" s="910"/>
      <c r="D953" s="902"/>
      <c r="E953" s="1363"/>
      <c r="F953" s="980"/>
      <c r="G953" s="910"/>
      <c r="H953" s="979"/>
      <c r="I953" s="902" t="str">
        <f t="shared" si="82"/>
        <v/>
      </c>
      <c r="J953" s="902"/>
      <c r="K953" s="903"/>
      <c r="L953" s="899">
        <f t="shared" si="80"/>
        <v>0</v>
      </c>
      <c r="M953" s="902"/>
      <c r="N953" s="902"/>
      <c r="O953" s="902"/>
      <c r="P953" s="902"/>
      <c r="Q953" s="902"/>
      <c r="R953" s="902"/>
      <c r="S953" s="902"/>
      <c r="T953" s="902"/>
      <c r="U953" s="902"/>
      <c r="V953" s="902"/>
      <c r="W953" s="902"/>
      <c r="X953" s="902"/>
      <c r="Y953" s="902"/>
      <c r="Z953" s="902"/>
      <c r="AA953" s="902"/>
      <c r="AB953" s="902"/>
      <c r="AC953" s="902"/>
    </row>
    <row r="954" spans="1:29" hidden="1" outlineLevel="1">
      <c r="A954" s="1198" t="s">
        <v>1344</v>
      </c>
      <c r="B954" s="910"/>
      <c r="C954" s="910"/>
      <c r="D954" s="902"/>
      <c r="E954" s="1363"/>
      <c r="F954" s="980"/>
      <c r="G954" s="910"/>
      <c r="H954" s="979"/>
      <c r="I954" s="902" t="str">
        <f t="shared" si="82"/>
        <v/>
      </c>
      <c r="J954" s="902"/>
      <c r="K954" s="903"/>
      <c r="L954" s="899">
        <f t="shared" si="80"/>
        <v>0</v>
      </c>
      <c r="M954" s="902"/>
      <c r="N954" s="902"/>
      <c r="O954" s="902"/>
      <c r="P954" s="902"/>
      <c r="Q954" s="902"/>
      <c r="R954" s="902"/>
      <c r="S954" s="902"/>
      <c r="T954" s="902"/>
      <c r="U954" s="902"/>
      <c r="V954" s="902"/>
      <c r="W954" s="902"/>
      <c r="X954" s="902"/>
      <c r="Y954" s="902"/>
      <c r="Z954" s="902"/>
      <c r="AA954" s="902"/>
      <c r="AB954" s="902"/>
      <c r="AC954" s="902"/>
    </row>
    <row r="955" spans="1:29" hidden="1" outlineLevel="1">
      <c r="A955" s="1198" t="s">
        <v>662</v>
      </c>
      <c r="B955" s="910"/>
      <c r="C955" s="910"/>
      <c r="D955" s="902"/>
      <c r="E955" s="1363"/>
      <c r="F955" s="980"/>
      <c r="G955" s="910"/>
      <c r="H955" s="979"/>
      <c r="I955" s="902" t="str">
        <f t="shared" si="82"/>
        <v/>
      </c>
      <c r="J955" s="902"/>
      <c r="K955" s="903"/>
      <c r="L955" s="899">
        <f t="shared" si="80"/>
        <v>0</v>
      </c>
      <c r="M955" s="902"/>
      <c r="N955" s="902"/>
      <c r="O955" s="902"/>
      <c r="P955" s="902"/>
      <c r="Q955" s="902"/>
      <c r="R955" s="902"/>
      <c r="S955" s="902"/>
      <c r="T955" s="902"/>
      <c r="U955" s="902"/>
      <c r="V955" s="902"/>
      <c r="W955" s="902"/>
      <c r="X955" s="902"/>
      <c r="Y955" s="902"/>
      <c r="Z955" s="902"/>
      <c r="AA955" s="902"/>
      <c r="AB955" s="902"/>
      <c r="AC955" s="902"/>
    </row>
    <row r="956" spans="1:29" hidden="1" outlineLevel="1">
      <c r="A956" s="1198" t="s">
        <v>674</v>
      </c>
      <c r="B956" s="910"/>
      <c r="C956" s="910"/>
      <c r="D956" s="902"/>
      <c r="E956" s="1363"/>
      <c r="F956" s="980"/>
      <c r="G956" s="910"/>
      <c r="H956" s="979"/>
      <c r="I956" s="902" t="str">
        <f t="shared" si="82"/>
        <v/>
      </c>
      <c r="J956" s="902"/>
      <c r="K956" s="903"/>
      <c r="L956" s="899">
        <f t="shared" ref="L956:L990" si="83">E956-C956</f>
        <v>0</v>
      </c>
      <c r="M956" s="902"/>
      <c r="N956" s="902"/>
      <c r="O956" s="902"/>
      <c r="P956" s="902"/>
      <c r="Q956" s="902"/>
      <c r="R956" s="902"/>
      <c r="S956" s="902"/>
      <c r="T956" s="902"/>
      <c r="U956" s="902"/>
      <c r="V956" s="902"/>
      <c r="W956" s="902"/>
      <c r="X956" s="902"/>
      <c r="Y956" s="902"/>
      <c r="Z956" s="902"/>
      <c r="AA956" s="902"/>
      <c r="AB956" s="902"/>
      <c r="AC956" s="902"/>
    </row>
    <row r="957" spans="1:29" hidden="1" outlineLevel="1">
      <c r="A957" s="1198" t="s">
        <v>681</v>
      </c>
      <c r="B957" s="910"/>
      <c r="C957" s="910"/>
      <c r="D957" s="902"/>
      <c r="E957" s="1363"/>
      <c r="F957" s="980"/>
      <c r="G957" s="910"/>
      <c r="H957" s="979"/>
      <c r="I957" s="902" t="str">
        <f t="shared" si="82"/>
        <v/>
      </c>
      <c r="J957" s="902"/>
      <c r="K957" s="903"/>
      <c r="L957" s="899">
        <f t="shared" si="83"/>
        <v>0</v>
      </c>
      <c r="M957" s="902"/>
      <c r="N957" s="902"/>
      <c r="O957" s="902"/>
      <c r="P957" s="902"/>
      <c r="Q957" s="902"/>
      <c r="R957" s="902"/>
      <c r="S957" s="902"/>
      <c r="T957" s="902"/>
      <c r="U957" s="902"/>
      <c r="V957" s="902"/>
      <c r="W957" s="902"/>
      <c r="X957" s="902"/>
      <c r="Y957" s="902"/>
      <c r="Z957" s="902"/>
      <c r="AA957" s="902"/>
      <c r="AB957" s="902"/>
      <c r="AC957" s="902"/>
    </row>
    <row r="958" spans="1:29" hidden="1" outlineLevel="1">
      <c r="A958" s="1198" t="s">
        <v>682</v>
      </c>
      <c r="B958" s="910"/>
      <c r="C958" s="910"/>
      <c r="D958" s="902"/>
      <c r="E958" s="1363"/>
      <c r="F958" s="980"/>
      <c r="G958" s="910"/>
      <c r="H958" s="979"/>
      <c r="I958" s="902" t="str">
        <f t="shared" si="82"/>
        <v/>
      </c>
      <c r="J958" s="902"/>
      <c r="K958" s="903"/>
      <c r="L958" s="899">
        <f t="shared" si="83"/>
        <v>0</v>
      </c>
      <c r="M958" s="902"/>
      <c r="N958" s="902"/>
      <c r="O958" s="902"/>
      <c r="P958" s="902"/>
      <c r="Q958" s="902"/>
      <c r="R958" s="902"/>
      <c r="S958" s="902"/>
      <c r="T958" s="902"/>
      <c r="U958" s="902"/>
      <c r="V958" s="902"/>
      <c r="W958" s="902"/>
      <c r="X958" s="902"/>
      <c r="Y958" s="902"/>
      <c r="Z958" s="902"/>
      <c r="AA958" s="902"/>
      <c r="AB958" s="902"/>
      <c r="AC958" s="902"/>
    </row>
    <row r="959" spans="1:29" hidden="1" outlineLevel="1">
      <c r="A959" s="1198" t="s">
        <v>684</v>
      </c>
      <c r="B959" s="910"/>
      <c r="C959" s="910"/>
      <c r="D959" s="902"/>
      <c r="E959" s="1363"/>
      <c r="F959" s="980"/>
      <c r="G959" s="910"/>
      <c r="H959" s="979"/>
      <c r="I959" s="902" t="str">
        <f t="shared" si="82"/>
        <v/>
      </c>
      <c r="J959" s="902"/>
      <c r="K959" s="903"/>
      <c r="L959" s="899">
        <f t="shared" si="83"/>
        <v>0</v>
      </c>
      <c r="M959" s="902"/>
      <c r="N959" s="902"/>
      <c r="O959" s="902"/>
      <c r="P959" s="902"/>
      <c r="Q959" s="902"/>
      <c r="R959" s="902"/>
      <c r="S959" s="902"/>
      <c r="T959" s="902"/>
      <c r="U959" s="902"/>
      <c r="V959" s="902"/>
      <c r="W959" s="902"/>
      <c r="X959" s="902"/>
      <c r="Y959" s="902"/>
      <c r="Z959" s="902"/>
      <c r="AA959" s="902"/>
      <c r="AB959" s="902"/>
      <c r="AC959" s="902"/>
    </row>
    <row r="960" spans="1:29" hidden="1" outlineLevel="1">
      <c r="A960" s="1198" t="s">
        <v>685</v>
      </c>
      <c r="B960" s="910"/>
      <c r="C960" s="910"/>
      <c r="D960" s="902"/>
      <c r="E960" s="1363"/>
      <c r="F960" s="980"/>
      <c r="G960" s="910"/>
      <c r="H960" s="979"/>
      <c r="I960" s="902" t="str">
        <f t="shared" si="82"/>
        <v/>
      </c>
      <c r="J960" s="902"/>
      <c r="K960" s="903"/>
      <c r="L960" s="899">
        <f t="shared" si="83"/>
        <v>0</v>
      </c>
      <c r="M960" s="902"/>
      <c r="N960" s="902"/>
      <c r="O960" s="902"/>
      <c r="P960" s="902"/>
      <c r="Q960" s="902"/>
      <c r="R960" s="902"/>
      <c r="S960" s="902"/>
      <c r="T960" s="902"/>
      <c r="U960" s="902"/>
      <c r="V960" s="902"/>
      <c r="W960" s="902"/>
      <c r="X960" s="902"/>
      <c r="Y960" s="902"/>
      <c r="Z960" s="902"/>
      <c r="AA960" s="902"/>
      <c r="AB960" s="902"/>
      <c r="AC960" s="902"/>
    </row>
    <row r="961" spans="1:29" hidden="1" outlineLevel="1">
      <c r="A961" s="1198" t="s">
        <v>34</v>
      </c>
      <c r="B961" s="910"/>
      <c r="C961" s="910"/>
      <c r="D961" s="902"/>
      <c r="E961" s="1363"/>
      <c r="F961" s="980"/>
      <c r="G961" s="910"/>
      <c r="H961" s="979"/>
      <c r="I961" s="902" t="str">
        <f t="shared" si="82"/>
        <v/>
      </c>
      <c r="J961" s="902"/>
      <c r="K961" s="903"/>
      <c r="L961" s="899">
        <f t="shared" si="83"/>
        <v>0</v>
      </c>
      <c r="M961" s="902"/>
      <c r="N961" s="902"/>
      <c r="O961" s="902"/>
      <c r="P961" s="902"/>
      <c r="Q961" s="902"/>
      <c r="R961" s="902"/>
      <c r="S961" s="902"/>
      <c r="T961" s="902"/>
      <c r="U961" s="902"/>
      <c r="V961" s="902"/>
      <c r="W961" s="902"/>
      <c r="X961" s="902"/>
      <c r="Y961" s="902"/>
      <c r="Z961" s="902"/>
      <c r="AA961" s="902"/>
      <c r="AB961" s="902"/>
      <c r="AC961" s="902"/>
    </row>
    <row r="962" spans="1:29" hidden="1" outlineLevel="1">
      <c r="A962" s="1198" t="s">
        <v>692</v>
      </c>
      <c r="B962" s="910"/>
      <c r="C962" s="910"/>
      <c r="D962" s="902"/>
      <c r="E962" s="1363"/>
      <c r="F962" s="980"/>
      <c r="G962" s="910"/>
      <c r="H962" s="979"/>
      <c r="I962" s="902" t="str">
        <f t="shared" si="82"/>
        <v/>
      </c>
      <c r="J962" s="902"/>
      <c r="K962" s="903"/>
      <c r="L962" s="899">
        <f t="shared" si="83"/>
        <v>0</v>
      </c>
      <c r="M962" s="902"/>
      <c r="N962" s="902"/>
      <c r="O962" s="902"/>
      <c r="P962" s="902"/>
      <c r="Q962" s="902"/>
      <c r="R962" s="902"/>
      <c r="S962" s="902"/>
      <c r="T962" s="902"/>
      <c r="U962" s="902"/>
      <c r="V962" s="902"/>
      <c r="W962" s="902"/>
      <c r="X962" s="902"/>
      <c r="Y962" s="902"/>
      <c r="Z962" s="902"/>
      <c r="AA962" s="902"/>
      <c r="AB962" s="902"/>
      <c r="AC962" s="902"/>
    </row>
    <row r="963" spans="1:29" hidden="1" outlineLevel="1">
      <c r="A963" s="1198" t="s">
        <v>48</v>
      </c>
      <c r="B963" s="910"/>
      <c r="C963" s="910"/>
      <c r="D963" s="902"/>
      <c r="E963" s="1363"/>
      <c r="F963" s="980"/>
      <c r="G963" s="910"/>
      <c r="H963" s="979"/>
      <c r="I963" s="902" t="str">
        <f t="shared" si="82"/>
        <v/>
      </c>
      <c r="J963" s="902"/>
      <c r="K963" s="903"/>
      <c r="L963" s="899">
        <f t="shared" si="83"/>
        <v>0</v>
      </c>
      <c r="M963" s="902"/>
      <c r="N963" s="902"/>
      <c r="O963" s="902"/>
      <c r="P963" s="902"/>
      <c r="Q963" s="902"/>
      <c r="R963" s="902"/>
      <c r="S963" s="902"/>
      <c r="T963" s="902"/>
      <c r="U963" s="902"/>
      <c r="V963" s="902"/>
      <c r="W963" s="902"/>
      <c r="X963" s="902"/>
      <c r="Y963" s="902"/>
      <c r="Z963" s="902"/>
      <c r="AA963" s="902"/>
      <c r="AB963" s="902"/>
      <c r="AC963" s="902"/>
    </row>
    <row r="964" spans="1:29" hidden="1" outlineLevel="1">
      <c r="A964" s="1198" t="s">
        <v>19</v>
      </c>
      <c r="B964" s="910"/>
      <c r="C964" s="910"/>
      <c r="D964" s="902"/>
      <c r="E964" s="1363"/>
      <c r="F964" s="980"/>
      <c r="G964" s="910"/>
      <c r="H964" s="979"/>
      <c r="I964" s="902" t="str">
        <f t="shared" si="82"/>
        <v/>
      </c>
      <c r="J964" s="902"/>
      <c r="K964" s="903"/>
      <c r="L964" s="899">
        <f t="shared" si="83"/>
        <v>0</v>
      </c>
      <c r="M964" s="902"/>
      <c r="N964" s="902"/>
      <c r="O964" s="902"/>
      <c r="P964" s="902"/>
      <c r="Q964" s="902"/>
      <c r="R964" s="902"/>
      <c r="S964" s="902"/>
      <c r="T964" s="902"/>
      <c r="U964" s="902"/>
      <c r="V964" s="902"/>
      <c r="W964" s="902"/>
      <c r="X964" s="902"/>
      <c r="Y964" s="902"/>
      <c r="Z964" s="902"/>
      <c r="AA964" s="902"/>
      <c r="AB964" s="902"/>
      <c r="AC964" s="902"/>
    </row>
    <row r="965" spans="1:29" hidden="1" outlineLevel="1">
      <c r="A965" s="1199" t="s">
        <v>1498</v>
      </c>
      <c r="B965" s="932" t="s">
        <v>2754</v>
      </c>
      <c r="C965" s="932">
        <v>1725</v>
      </c>
      <c r="D965" s="930">
        <v>3500</v>
      </c>
      <c r="E965" s="1346">
        <v>3500</v>
      </c>
      <c r="F965" s="930">
        <v>2243</v>
      </c>
      <c r="G965" s="897">
        <v>2</v>
      </c>
      <c r="H965" s="936"/>
      <c r="I965" s="933"/>
      <c r="J965" s="897"/>
      <c r="K965" s="930"/>
      <c r="L965" s="899">
        <f t="shared" si="83"/>
        <v>1775</v>
      </c>
      <c r="M965" s="930"/>
      <c r="N965" s="904"/>
      <c r="O965" s="931"/>
      <c r="P965" s="930"/>
      <c r="Q965" s="930"/>
      <c r="R965" s="932"/>
      <c r="S965" s="930"/>
      <c r="T965" s="930"/>
      <c r="U965" s="904"/>
      <c r="V965" s="931"/>
      <c r="W965" s="933"/>
      <c r="X965" s="897"/>
      <c r="Y965" s="932"/>
      <c r="Z965" s="902"/>
      <c r="AA965" s="902"/>
      <c r="AB965" s="902"/>
      <c r="AC965" s="902"/>
    </row>
    <row r="966" spans="1:29" hidden="1" outlineLevel="1">
      <c r="A966" s="1198" t="s">
        <v>35</v>
      </c>
      <c r="B966" s="910"/>
      <c r="C966" s="910"/>
      <c r="D966" s="902"/>
      <c r="E966" s="1363"/>
      <c r="F966" s="980"/>
      <c r="G966" s="910"/>
      <c r="H966" s="979"/>
      <c r="I966" s="902" t="str">
        <f t="shared" ref="I966:I971" si="84">IF(H966="x",CONCATENATE(A966,"; "),"")</f>
        <v/>
      </c>
      <c r="J966" s="902"/>
      <c r="K966" s="903"/>
      <c r="L966" s="899">
        <f t="shared" si="83"/>
        <v>0</v>
      </c>
      <c r="M966" s="902"/>
      <c r="N966" s="902"/>
      <c r="O966" s="902"/>
      <c r="P966" s="902"/>
      <c r="Q966" s="902"/>
      <c r="R966" s="902"/>
      <c r="S966" s="902"/>
      <c r="T966" s="902"/>
      <c r="U966" s="902"/>
      <c r="V966" s="902"/>
      <c r="W966" s="902"/>
      <c r="X966" s="902"/>
      <c r="Y966" s="902"/>
      <c r="Z966" s="902"/>
      <c r="AA966" s="902"/>
      <c r="AB966" s="902"/>
      <c r="AC966" s="902"/>
    </row>
    <row r="967" spans="1:29" hidden="1" outlineLevel="1">
      <c r="A967" s="1198" t="s">
        <v>746</v>
      </c>
      <c r="B967" s="910"/>
      <c r="C967" s="910"/>
      <c r="D967" s="902"/>
      <c r="E967" s="1363"/>
      <c r="F967" s="980"/>
      <c r="G967" s="910"/>
      <c r="H967" s="979"/>
      <c r="I967" s="902" t="str">
        <f t="shared" si="84"/>
        <v/>
      </c>
      <c r="J967" s="902"/>
      <c r="K967" s="903"/>
      <c r="L967" s="899">
        <f t="shared" si="83"/>
        <v>0</v>
      </c>
      <c r="M967" s="902"/>
      <c r="N967" s="902"/>
      <c r="O967" s="902"/>
      <c r="P967" s="902"/>
      <c r="Q967" s="902"/>
      <c r="R967" s="902"/>
      <c r="S967" s="902"/>
      <c r="T967" s="902"/>
      <c r="U967" s="902"/>
      <c r="V967" s="902"/>
      <c r="W967" s="902"/>
      <c r="X967" s="902"/>
      <c r="Y967" s="902"/>
      <c r="Z967" s="902"/>
      <c r="AA967" s="902"/>
      <c r="AB967" s="902"/>
      <c r="AC967" s="902"/>
    </row>
    <row r="968" spans="1:29" hidden="1" outlineLevel="1">
      <c r="A968" s="1198" t="s">
        <v>1341</v>
      </c>
      <c r="B968" s="910"/>
      <c r="C968" s="910"/>
      <c r="D968" s="902"/>
      <c r="E968" s="1363"/>
      <c r="F968" s="980"/>
      <c r="G968" s="910"/>
      <c r="H968" s="979"/>
      <c r="I968" s="902" t="str">
        <f t="shared" si="84"/>
        <v/>
      </c>
      <c r="J968" s="902"/>
      <c r="K968" s="903"/>
      <c r="L968" s="899">
        <f t="shared" si="83"/>
        <v>0</v>
      </c>
      <c r="M968" s="902"/>
      <c r="N968" s="902"/>
      <c r="O968" s="902"/>
      <c r="P968" s="902"/>
      <c r="Q968" s="902"/>
      <c r="R968" s="902"/>
      <c r="S968" s="902"/>
      <c r="T968" s="902"/>
      <c r="U968" s="902"/>
      <c r="V968" s="902"/>
      <c r="W968" s="902"/>
      <c r="X968" s="902"/>
      <c r="Y968" s="902"/>
      <c r="Z968" s="902"/>
      <c r="AA968" s="902"/>
      <c r="AB968" s="902"/>
      <c r="AC968" s="902"/>
    </row>
    <row r="969" spans="1:29" hidden="1" outlineLevel="1">
      <c r="A969" s="1198" t="s">
        <v>506</v>
      </c>
      <c r="B969" s="910"/>
      <c r="C969" s="910"/>
      <c r="D969" s="902"/>
      <c r="E969" s="1363"/>
      <c r="F969" s="980"/>
      <c r="G969" s="910"/>
      <c r="H969" s="979"/>
      <c r="I969" s="902" t="str">
        <f t="shared" si="84"/>
        <v/>
      </c>
      <c r="J969" s="902"/>
      <c r="K969" s="903"/>
      <c r="L969" s="899">
        <f t="shared" si="83"/>
        <v>0</v>
      </c>
      <c r="M969" s="902"/>
      <c r="N969" s="902"/>
      <c r="O969" s="902"/>
      <c r="P969" s="902"/>
      <c r="Q969" s="902"/>
      <c r="R969" s="902"/>
      <c r="S969" s="902"/>
      <c r="T969" s="902"/>
      <c r="U969" s="902"/>
      <c r="V969" s="902"/>
      <c r="W969" s="902"/>
      <c r="X969" s="902"/>
      <c r="Y969" s="902"/>
      <c r="Z969" s="902"/>
      <c r="AA969" s="902"/>
      <c r="AB969" s="902"/>
      <c r="AC969" s="902"/>
    </row>
    <row r="970" spans="1:29" hidden="1" outlineLevel="1">
      <c r="A970" s="1198" t="s">
        <v>65</v>
      </c>
      <c r="B970" s="910"/>
      <c r="C970" s="910"/>
      <c r="D970" s="902"/>
      <c r="E970" s="1363"/>
      <c r="F970" s="980"/>
      <c r="G970" s="910"/>
      <c r="H970" s="979"/>
      <c r="I970" s="902" t="str">
        <f t="shared" si="84"/>
        <v/>
      </c>
      <c r="J970" s="902"/>
      <c r="K970" s="903"/>
      <c r="L970" s="899">
        <f t="shared" si="83"/>
        <v>0</v>
      </c>
      <c r="M970" s="902"/>
      <c r="N970" s="902"/>
      <c r="O970" s="902"/>
      <c r="P970" s="902"/>
      <c r="Q970" s="902"/>
      <c r="R970" s="902"/>
      <c r="S970" s="902"/>
      <c r="T970" s="902"/>
      <c r="U970" s="902"/>
      <c r="V970" s="902"/>
      <c r="W970" s="902"/>
      <c r="X970" s="902"/>
      <c r="Y970" s="902"/>
      <c r="Z970" s="902"/>
      <c r="AA970" s="902"/>
      <c r="AB970" s="902"/>
      <c r="AC970" s="902"/>
    </row>
    <row r="971" spans="1:29" hidden="1" outlineLevel="1">
      <c r="A971" s="1198" t="s">
        <v>1345</v>
      </c>
      <c r="B971" s="910"/>
      <c r="C971" s="910"/>
      <c r="D971" s="902"/>
      <c r="E971" s="1363"/>
      <c r="F971" s="980"/>
      <c r="G971" s="910"/>
      <c r="H971" s="979"/>
      <c r="I971" s="902" t="str">
        <f t="shared" si="84"/>
        <v/>
      </c>
      <c r="J971" s="902"/>
      <c r="K971" s="903"/>
      <c r="L971" s="899">
        <f t="shared" si="83"/>
        <v>0</v>
      </c>
      <c r="M971" s="902"/>
      <c r="N971" s="902"/>
      <c r="O971" s="902"/>
      <c r="P971" s="902"/>
      <c r="Q971" s="902"/>
      <c r="R971" s="902"/>
      <c r="S971" s="902"/>
      <c r="T971" s="902"/>
      <c r="U971" s="902"/>
      <c r="V971" s="902"/>
      <c r="W971" s="902"/>
      <c r="X971" s="902"/>
      <c r="Y971" s="902"/>
      <c r="Z971" s="902"/>
      <c r="AA971" s="902"/>
      <c r="AB971" s="902"/>
      <c r="AC971" s="902"/>
    </row>
    <row r="972" spans="1:29" hidden="1" outlineLevel="1">
      <c r="A972" s="1199" t="s">
        <v>1440</v>
      </c>
      <c r="B972" s="932" t="s">
        <v>2759</v>
      </c>
      <c r="C972" s="932">
        <v>69</v>
      </c>
      <c r="D972" s="930">
        <v>500</v>
      </c>
      <c r="E972" s="1346">
        <v>500</v>
      </c>
      <c r="F972" s="930">
        <v>90</v>
      </c>
      <c r="G972" s="897"/>
      <c r="H972" s="936"/>
      <c r="I972" s="933"/>
      <c r="J972" s="897"/>
      <c r="K972" s="903"/>
      <c r="L972" s="899">
        <f t="shared" si="83"/>
        <v>431</v>
      </c>
      <c r="M972" s="930"/>
      <c r="N972" s="904"/>
      <c r="O972" s="931"/>
      <c r="P972" s="930"/>
      <c r="Q972" s="930"/>
      <c r="R972" s="932"/>
      <c r="S972" s="930"/>
      <c r="T972" s="930"/>
      <c r="U972" s="904"/>
      <c r="V972" s="931"/>
      <c r="W972" s="933"/>
      <c r="X972" s="897"/>
      <c r="Y972" s="932"/>
      <c r="Z972" s="902"/>
      <c r="AA972" s="902"/>
      <c r="AB972" s="902"/>
      <c r="AC972" s="902"/>
    </row>
    <row r="973" spans="1:29" hidden="1" outlineLevel="1">
      <c r="A973" s="1198" t="s">
        <v>69</v>
      </c>
      <c r="B973" s="910"/>
      <c r="C973" s="910"/>
      <c r="D973" s="902"/>
      <c r="E973" s="1363"/>
      <c r="F973" s="980"/>
      <c r="G973" s="910"/>
      <c r="H973" s="979"/>
      <c r="I973" s="902" t="str">
        <f>IF(H973="x",CONCATENATE(A973,"; "),"")</f>
        <v/>
      </c>
      <c r="J973" s="902"/>
      <c r="K973" s="903"/>
      <c r="L973" s="899">
        <f t="shared" si="83"/>
        <v>0</v>
      </c>
      <c r="M973" s="902"/>
      <c r="N973" s="902"/>
      <c r="O973" s="902"/>
      <c r="P973" s="902"/>
      <c r="Q973" s="902"/>
      <c r="R973" s="902"/>
      <c r="S973" s="902"/>
      <c r="T973" s="902"/>
      <c r="U973" s="902"/>
      <c r="V973" s="902"/>
      <c r="W973" s="902"/>
      <c r="X973" s="902"/>
      <c r="Y973" s="902"/>
      <c r="Z973" s="902"/>
      <c r="AA973" s="902"/>
      <c r="AB973" s="902"/>
      <c r="AC973" s="902"/>
    </row>
    <row r="974" spans="1:29" hidden="1" outlineLevel="1">
      <c r="A974" s="1198" t="s">
        <v>505</v>
      </c>
      <c r="B974" s="910"/>
      <c r="C974" s="910"/>
      <c r="D974" s="902"/>
      <c r="E974" s="1363"/>
      <c r="F974" s="980"/>
      <c r="G974" s="910"/>
      <c r="H974" s="979"/>
      <c r="I974" s="902" t="str">
        <f>IF(H974="x",CONCATENATE(A974,"; "),"")</f>
        <v/>
      </c>
      <c r="J974" s="902"/>
      <c r="K974" s="903"/>
      <c r="L974" s="899">
        <f t="shared" si="83"/>
        <v>0</v>
      </c>
      <c r="M974" s="902"/>
      <c r="N974" s="902"/>
      <c r="O974" s="902"/>
      <c r="P974" s="902"/>
      <c r="Q974" s="902"/>
      <c r="R974" s="902"/>
      <c r="S974" s="902"/>
      <c r="T974" s="902"/>
      <c r="U974" s="902"/>
      <c r="V974" s="902"/>
      <c r="W974" s="902"/>
      <c r="X974" s="902"/>
      <c r="Y974" s="902"/>
      <c r="Z974" s="902"/>
      <c r="AA974" s="902"/>
      <c r="AB974" s="902"/>
      <c r="AC974" s="902"/>
    </row>
    <row r="975" spans="1:29" hidden="1" outlineLevel="1">
      <c r="A975" s="1198" t="s">
        <v>54</v>
      </c>
      <c r="B975" s="910"/>
      <c r="C975" s="910"/>
      <c r="D975" s="902"/>
      <c r="E975" s="1363"/>
      <c r="F975" s="980"/>
      <c r="G975" s="910"/>
      <c r="H975" s="979"/>
      <c r="I975" s="902" t="str">
        <f>IF(H975="x",CONCATENATE(A975,"; "),"")</f>
        <v/>
      </c>
      <c r="J975" s="902"/>
      <c r="K975" s="903"/>
      <c r="L975" s="899">
        <f t="shared" si="83"/>
        <v>0</v>
      </c>
      <c r="M975" s="902"/>
      <c r="N975" s="902"/>
      <c r="O975" s="902"/>
      <c r="P975" s="902"/>
      <c r="Q975" s="902"/>
      <c r="R975" s="902"/>
      <c r="S975" s="902"/>
      <c r="T975" s="902"/>
      <c r="U975" s="902"/>
      <c r="V975" s="902"/>
      <c r="W975" s="902"/>
      <c r="X975" s="902"/>
      <c r="Y975" s="902"/>
      <c r="Z975" s="902"/>
      <c r="AA975" s="902"/>
      <c r="AB975" s="902"/>
      <c r="AC975" s="902"/>
    </row>
    <row r="976" spans="1:29" hidden="1" outlineLevel="1">
      <c r="A976" s="1198" t="s">
        <v>1</v>
      </c>
      <c r="B976" s="910"/>
      <c r="C976" s="910"/>
      <c r="D976" s="902"/>
      <c r="E976" s="1363"/>
      <c r="F976" s="980"/>
      <c r="G976" s="910"/>
      <c r="H976" s="979"/>
      <c r="I976" s="902" t="str">
        <f>IF(H976="x",CONCATENATE(A976,"; "),"")</f>
        <v/>
      </c>
      <c r="J976" s="902"/>
      <c r="K976" s="903"/>
      <c r="L976" s="899">
        <f t="shared" si="83"/>
        <v>0</v>
      </c>
      <c r="M976" s="902"/>
      <c r="N976" s="902"/>
      <c r="O976" s="902"/>
      <c r="P976" s="902"/>
      <c r="Q976" s="902"/>
      <c r="R976" s="902"/>
      <c r="S976" s="902"/>
      <c r="T976" s="902"/>
      <c r="U976" s="902"/>
      <c r="V976" s="902"/>
      <c r="W976" s="902"/>
      <c r="X976" s="902"/>
      <c r="Y976" s="902"/>
      <c r="Z976" s="902"/>
      <c r="AA976" s="902"/>
      <c r="AB976" s="902"/>
      <c r="AC976" s="902"/>
    </row>
    <row r="977" spans="1:29" collapsed="1">
      <c r="A977" s="1197" t="s">
        <v>1349</v>
      </c>
      <c r="B977" s="910" t="s">
        <v>490</v>
      </c>
      <c r="C977" s="910"/>
      <c r="D977" s="902"/>
      <c r="E977" s="1363">
        <v>34100</v>
      </c>
      <c r="F977" s="980"/>
      <c r="G977" s="910" t="s">
        <v>1343</v>
      </c>
      <c r="H977" s="979"/>
      <c r="I977" s="902" t="str">
        <f>IF(H977="x",CONCATENATE(A977,"; "),"")</f>
        <v/>
      </c>
      <c r="J977" s="902"/>
      <c r="K977" s="903"/>
      <c r="L977" s="899">
        <f t="shared" si="83"/>
        <v>34100</v>
      </c>
      <c r="M977" s="902"/>
      <c r="N977" s="902"/>
      <c r="O977" s="902"/>
      <c r="P977" s="902"/>
      <c r="Q977" s="902"/>
      <c r="R977" s="902"/>
      <c r="S977" s="902"/>
      <c r="T977" s="902"/>
      <c r="U977" s="902"/>
      <c r="V977" s="902"/>
      <c r="W977" s="902"/>
      <c r="X977" s="902"/>
      <c r="Y977" s="902"/>
      <c r="Z977" s="902"/>
      <c r="AA977" s="902"/>
      <c r="AB977" s="902"/>
      <c r="AC977" s="902"/>
    </row>
    <row r="978" spans="1:29" hidden="1" outlineLevel="1">
      <c r="A978" s="902" t="s">
        <v>1350</v>
      </c>
      <c r="B978" s="910"/>
      <c r="C978" s="910"/>
      <c r="D978" s="902"/>
      <c r="E978" s="1363"/>
      <c r="F978" s="980"/>
      <c r="G978" s="910"/>
      <c r="H978" s="979"/>
      <c r="I978" s="902"/>
      <c r="J978" s="902"/>
      <c r="K978" s="902"/>
      <c r="L978" s="899">
        <f t="shared" si="83"/>
        <v>0</v>
      </c>
      <c r="M978" s="902"/>
      <c r="N978" s="902"/>
      <c r="O978" s="902"/>
      <c r="P978" s="902"/>
      <c r="Q978" s="902"/>
      <c r="R978" s="902"/>
      <c r="S978" s="902"/>
      <c r="T978" s="902"/>
      <c r="U978" s="902"/>
      <c r="V978" s="902"/>
      <c r="W978" s="902"/>
      <c r="X978" s="902"/>
      <c r="Y978" s="902"/>
      <c r="Z978" s="902"/>
      <c r="AA978" s="902"/>
      <c r="AB978" s="902"/>
      <c r="AC978" s="902"/>
    </row>
    <row r="979" spans="1:29" hidden="1" outlineLevel="1">
      <c r="A979" s="902" t="s">
        <v>18</v>
      </c>
      <c r="B979" s="910"/>
      <c r="C979" s="910"/>
      <c r="D979" s="902"/>
      <c r="E979" s="1363"/>
      <c r="F979" s="980"/>
      <c r="G979" s="910"/>
      <c r="H979" s="979"/>
      <c r="I979" s="902"/>
      <c r="J979" s="902"/>
      <c r="K979" s="902"/>
      <c r="L979" s="899">
        <f t="shared" si="83"/>
        <v>0</v>
      </c>
      <c r="M979" s="902"/>
      <c r="N979" s="902"/>
      <c r="O979" s="902"/>
      <c r="P979" s="902"/>
      <c r="Q979" s="902"/>
      <c r="R979" s="902"/>
      <c r="S979" s="902"/>
      <c r="T979" s="902"/>
      <c r="U979" s="902"/>
      <c r="V979" s="902"/>
      <c r="W979" s="902"/>
      <c r="X979" s="902"/>
      <c r="Y979" s="902"/>
      <c r="Z979" s="902"/>
      <c r="AA979" s="902"/>
      <c r="AB979" s="902"/>
      <c r="AC979" s="902"/>
    </row>
    <row r="980" spans="1:29" hidden="1" outlineLevel="1">
      <c r="A980" s="902" t="s">
        <v>1351</v>
      </c>
      <c r="B980" s="910"/>
      <c r="C980" s="910"/>
      <c r="D980" s="902"/>
      <c r="E980" s="1363"/>
      <c r="F980" s="980"/>
      <c r="G980" s="910"/>
      <c r="H980" s="979"/>
      <c r="I980" s="902"/>
      <c r="J980" s="902"/>
      <c r="K980" s="902"/>
      <c r="L980" s="899">
        <f t="shared" si="83"/>
        <v>0</v>
      </c>
      <c r="M980" s="902"/>
      <c r="N980" s="902"/>
      <c r="O980" s="902"/>
      <c r="P980" s="902"/>
      <c r="Q980" s="902"/>
      <c r="R980" s="902"/>
      <c r="S980" s="902"/>
      <c r="T980" s="902"/>
      <c r="U980" s="902"/>
      <c r="V980" s="902"/>
      <c r="W980" s="902"/>
      <c r="X980" s="902"/>
      <c r="Y980" s="902"/>
      <c r="Z980" s="902"/>
      <c r="AA980" s="902"/>
      <c r="AB980" s="902"/>
      <c r="AC980" s="902"/>
    </row>
    <row r="981" spans="1:29" hidden="1" outlineLevel="1">
      <c r="A981" s="902" t="s">
        <v>648</v>
      </c>
      <c r="B981" s="910"/>
      <c r="C981" s="910"/>
      <c r="D981" s="902"/>
      <c r="E981" s="1363"/>
      <c r="F981" s="980"/>
      <c r="G981" s="910"/>
      <c r="H981" s="979"/>
      <c r="I981" s="902"/>
      <c r="J981" s="902"/>
      <c r="K981" s="902"/>
      <c r="L981" s="899">
        <f t="shared" si="83"/>
        <v>0</v>
      </c>
      <c r="M981" s="902"/>
      <c r="N981" s="902"/>
      <c r="O981" s="902"/>
      <c r="P981" s="902"/>
      <c r="Q981" s="902"/>
      <c r="R981" s="902"/>
      <c r="S981" s="902"/>
      <c r="T981" s="902"/>
      <c r="U981" s="902"/>
      <c r="V981" s="902"/>
      <c r="W981" s="902"/>
      <c r="X981" s="902"/>
      <c r="Y981" s="902"/>
      <c r="Z981" s="902"/>
      <c r="AA981" s="902"/>
      <c r="AB981" s="902"/>
      <c r="AC981" s="902"/>
    </row>
    <row r="982" spans="1:29" hidden="1" outlineLevel="1">
      <c r="A982" s="902" t="s">
        <v>649</v>
      </c>
      <c r="B982" s="910"/>
      <c r="C982" s="910"/>
      <c r="D982" s="902"/>
      <c r="E982" s="1363"/>
      <c r="F982" s="980"/>
      <c r="G982" s="910"/>
      <c r="H982" s="979"/>
      <c r="I982" s="902"/>
      <c r="J982" s="902"/>
      <c r="K982" s="902"/>
      <c r="L982" s="899">
        <f t="shared" si="83"/>
        <v>0</v>
      </c>
      <c r="M982" s="902"/>
      <c r="N982" s="902"/>
      <c r="O982" s="902"/>
      <c r="P982" s="902"/>
      <c r="Q982" s="902"/>
      <c r="R982" s="902"/>
      <c r="S982" s="902"/>
      <c r="T982" s="902"/>
      <c r="U982" s="902"/>
      <c r="V982" s="902"/>
      <c r="W982" s="902"/>
      <c r="X982" s="902"/>
      <c r="Y982" s="902"/>
      <c r="Z982" s="902"/>
      <c r="AA982" s="902"/>
      <c r="AB982" s="902"/>
      <c r="AC982" s="902"/>
    </row>
    <row r="983" spans="1:29" hidden="1" outlineLevel="1">
      <c r="A983" s="902" t="s">
        <v>662</v>
      </c>
      <c r="B983" s="910"/>
      <c r="C983" s="910"/>
      <c r="D983" s="902"/>
      <c r="E983" s="1363"/>
      <c r="F983" s="980"/>
      <c r="G983" s="910"/>
      <c r="H983" s="979"/>
      <c r="I983" s="902"/>
      <c r="J983" s="902"/>
      <c r="K983" s="902"/>
      <c r="L983" s="899">
        <f t="shared" si="83"/>
        <v>0</v>
      </c>
      <c r="M983" s="902"/>
      <c r="N983" s="902"/>
      <c r="O983" s="902"/>
      <c r="P983" s="902"/>
      <c r="Q983" s="902"/>
      <c r="R983" s="902"/>
      <c r="S983" s="902"/>
      <c r="T983" s="902"/>
      <c r="U983" s="902"/>
      <c r="V983" s="902"/>
      <c r="W983" s="902"/>
      <c r="X983" s="902"/>
      <c r="Y983" s="902"/>
      <c r="Z983" s="902"/>
      <c r="AA983" s="902"/>
      <c r="AB983" s="902"/>
      <c r="AC983" s="902"/>
    </row>
    <row r="984" spans="1:29" hidden="1" outlineLevel="1">
      <c r="A984" s="902" t="s">
        <v>681</v>
      </c>
      <c r="B984" s="910"/>
      <c r="C984" s="910"/>
      <c r="D984" s="902"/>
      <c r="E984" s="1363"/>
      <c r="F984" s="980"/>
      <c r="G984" s="910"/>
      <c r="H984" s="979"/>
      <c r="I984" s="902"/>
      <c r="J984" s="902"/>
      <c r="K984" s="902"/>
      <c r="L984" s="899">
        <f t="shared" si="83"/>
        <v>0</v>
      </c>
      <c r="M984" s="902"/>
      <c r="N984" s="902"/>
      <c r="O984" s="902"/>
      <c r="P984" s="902"/>
      <c r="Q984" s="902"/>
      <c r="R984" s="902"/>
      <c r="S984" s="902"/>
      <c r="T984" s="902"/>
      <c r="U984" s="902"/>
      <c r="V984" s="902"/>
      <c r="W984" s="902"/>
      <c r="X984" s="902"/>
      <c r="Y984" s="902"/>
      <c r="Z984" s="902"/>
      <c r="AA984" s="902"/>
      <c r="AB984" s="902"/>
      <c r="AC984" s="902"/>
    </row>
    <row r="985" spans="1:29" hidden="1" outlineLevel="1">
      <c r="A985" s="902" t="s">
        <v>682</v>
      </c>
      <c r="B985" s="910"/>
      <c r="C985" s="910"/>
      <c r="D985" s="902"/>
      <c r="E985" s="1363"/>
      <c r="F985" s="980"/>
      <c r="G985" s="910"/>
      <c r="H985" s="979"/>
      <c r="I985" s="902"/>
      <c r="J985" s="902"/>
      <c r="K985" s="902"/>
      <c r="L985" s="899">
        <f t="shared" si="83"/>
        <v>0</v>
      </c>
      <c r="M985" s="902"/>
      <c r="N985" s="902"/>
      <c r="O985" s="902"/>
      <c r="P985" s="902"/>
      <c r="Q985" s="902"/>
      <c r="R985" s="902"/>
      <c r="S985" s="902"/>
      <c r="T985" s="902"/>
      <c r="U985" s="902"/>
      <c r="V985" s="902"/>
      <c r="W985" s="902"/>
      <c r="X985" s="902"/>
      <c r="Y985" s="902"/>
      <c r="Z985" s="902"/>
      <c r="AA985" s="902"/>
      <c r="AB985" s="902"/>
      <c r="AC985" s="902"/>
    </row>
    <row r="986" spans="1:29" hidden="1" outlineLevel="1">
      <c r="A986" s="902" t="s">
        <v>684</v>
      </c>
      <c r="B986" s="910"/>
      <c r="C986" s="910"/>
      <c r="D986" s="902"/>
      <c r="E986" s="1363"/>
      <c r="F986" s="980"/>
      <c r="G986" s="910"/>
      <c r="H986" s="979"/>
      <c r="I986" s="902"/>
      <c r="J986" s="902"/>
      <c r="K986" s="902"/>
      <c r="L986" s="899">
        <f t="shared" si="83"/>
        <v>0</v>
      </c>
      <c r="M986" s="902"/>
      <c r="N986" s="902"/>
      <c r="O986" s="902"/>
      <c r="P986" s="902"/>
      <c r="Q986" s="902"/>
      <c r="R986" s="902"/>
      <c r="S986" s="902"/>
      <c r="T986" s="902"/>
      <c r="U986" s="902"/>
      <c r="V986" s="902"/>
      <c r="W986" s="902"/>
      <c r="X986" s="902"/>
      <c r="Y986" s="902"/>
      <c r="Z986" s="902"/>
      <c r="AA986" s="902"/>
      <c r="AB986" s="902"/>
      <c r="AC986" s="902"/>
    </row>
    <row r="987" spans="1:29" hidden="1" outlineLevel="1">
      <c r="A987" s="980" t="s">
        <v>685</v>
      </c>
      <c r="B987" s="910"/>
      <c r="C987" s="910"/>
      <c r="D987" s="902"/>
      <c r="E987" s="1363"/>
      <c r="F987" s="980"/>
      <c r="G987" s="910"/>
      <c r="H987" s="979"/>
      <c r="I987" s="902"/>
      <c r="J987" s="902"/>
      <c r="K987" s="902"/>
      <c r="L987" s="899">
        <f t="shared" si="83"/>
        <v>0</v>
      </c>
      <c r="M987" s="902"/>
      <c r="N987" s="902"/>
      <c r="O987" s="902"/>
      <c r="P987" s="902"/>
      <c r="Q987" s="902"/>
      <c r="R987" s="902"/>
      <c r="S987" s="902"/>
      <c r="T987" s="902"/>
      <c r="U987" s="902"/>
      <c r="V987" s="902"/>
      <c r="W987" s="902"/>
      <c r="X987" s="902"/>
      <c r="Y987" s="902"/>
      <c r="Z987" s="902"/>
      <c r="AA987" s="902"/>
      <c r="AB987" s="902"/>
      <c r="AC987" s="902"/>
    </row>
    <row r="988" spans="1:29" hidden="1" outlineLevel="1">
      <c r="A988" s="980" t="s">
        <v>1352</v>
      </c>
      <c r="B988" s="910"/>
      <c r="C988" s="910"/>
      <c r="D988" s="902"/>
      <c r="E988" s="1363"/>
      <c r="F988" s="980"/>
      <c r="G988" s="910"/>
      <c r="H988" s="979"/>
      <c r="I988" s="902"/>
      <c r="J988" s="902"/>
      <c r="K988" s="902"/>
      <c r="L988" s="899">
        <f t="shared" si="83"/>
        <v>0</v>
      </c>
      <c r="M988" s="902"/>
      <c r="N988" s="902"/>
      <c r="O988" s="902"/>
      <c r="P988" s="902"/>
      <c r="Q988" s="902"/>
      <c r="R988" s="902"/>
      <c r="S988" s="902"/>
      <c r="T988" s="902"/>
      <c r="U988" s="902"/>
      <c r="V988" s="902"/>
      <c r="W988" s="902"/>
      <c r="X988" s="902"/>
      <c r="Y988" s="902"/>
      <c r="Z988" s="902"/>
      <c r="AA988" s="902"/>
      <c r="AB988" s="902"/>
      <c r="AC988" s="902"/>
    </row>
    <row r="989" spans="1:29" hidden="1" outlineLevel="1">
      <c r="A989" s="980" t="s">
        <v>1353</v>
      </c>
      <c r="B989" s="910"/>
      <c r="C989" s="910"/>
      <c r="D989" s="902"/>
      <c r="E989" s="1363"/>
      <c r="F989" s="980"/>
      <c r="G989" s="910"/>
      <c r="H989" s="979"/>
      <c r="I989" s="902"/>
      <c r="J989" s="902"/>
      <c r="K989" s="902"/>
      <c r="L989" s="899">
        <f t="shared" si="83"/>
        <v>0</v>
      </c>
      <c r="M989" s="902"/>
      <c r="N989" s="902"/>
      <c r="O989" s="902"/>
      <c r="P989" s="902"/>
      <c r="Q989" s="902"/>
      <c r="R989" s="902"/>
      <c r="S989" s="902"/>
      <c r="T989" s="902"/>
      <c r="U989" s="902"/>
      <c r="V989" s="902"/>
      <c r="W989" s="902"/>
      <c r="X989" s="902"/>
      <c r="Y989" s="902"/>
      <c r="Z989" s="902"/>
      <c r="AA989" s="902"/>
      <c r="AB989" s="902"/>
      <c r="AC989" s="902"/>
    </row>
    <row r="990" spans="1:29" ht="14.95" customHeight="1" collapsed="1">
      <c r="A990" s="975"/>
      <c r="B990" s="910"/>
      <c r="C990" s="910"/>
      <c r="D990" s="902"/>
      <c r="E990" s="1363"/>
      <c r="F990" s="980"/>
      <c r="G990" s="910"/>
      <c r="H990" s="979"/>
      <c r="I990" s="902"/>
      <c r="J990" s="902"/>
      <c r="K990" s="902"/>
      <c r="L990" s="899">
        <f t="shared" si="83"/>
        <v>0</v>
      </c>
      <c r="M990" s="902"/>
      <c r="N990" s="902"/>
      <c r="O990" s="902"/>
      <c r="P990" s="902"/>
      <c r="Q990" s="902"/>
      <c r="R990" s="902"/>
      <c r="S990" s="902"/>
      <c r="T990" s="902"/>
      <c r="U990" s="902"/>
      <c r="V990" s="902"/>
      <c r="W990" s="902"/>
      <c r="X990" s="902"/>
      <c r="Y990" s="902"/>
      <c r="Z990" s="902"/>
      <c r="AA990" s="902"/>
      <c r="AB990" s="902"/>
      <c r="AC990" s="902"/>
    </row>
    <row r="991" spans="1:29" ht="14.95" customHeight="1" thickBot="1">
      <c r="A991" s="981" t="s">
        <v>5974</v>
      </c>
      <c r="B991" s="910"/>
      <c r="C991" s="910"/>
      <c r="D991" s="902"/>
      <c r="E991" s="1383"/>
      <c r="F991" s="980"/>
      <c r="G991" s="910"/>
      <c r="H991" s="979"/>
      <c r="I991" s="902"/>
      <c r="J991" s="902"/>
      <c r="K991" s="902"/>
      <c r="L991" s="902"/>
      <c r="M991" s="902"/>
      <c r="N991" s="902"/>
      <c r="O991" s="902"/>
      <c r="P991" s="902"/>
      <c r="Q991" s="902"/>
      <c r="R991" s="902"/>
      <c r="S991" s="902"/>
      <c r="T991" s="902"/>
      <c r="U991" s="902"/>
      <c r="V991" s="902"/>
      <c r="W991" s="902"/>
      <c r="X991" s="902"/>
      <c r="Y991" s="902"/>
      <c r="Z991" s="902"/>
      <c r="AA991" s="902"/>
      <c r="AB991" s="902"/>
      <c r="AC991" s="902"/>
    </row>
    <row r="992" spans="1:29" ht="14.95" customHeight="1">
      <c r="A992" s="981"/>
      <c r="B992" s="910"/>
      <c r="C992" s="910"/>
      <c r="D992" s="902"/>
      <c r="E992" s="980"/>
      <c r="F992" s="980"/>
      <c r="G992" s="910"/>
      <c r="H992" s="979"/>
      <c r="I992" s="902"/>
      <c r="J992" s="902"/>
      <c r="K992" s="902"/>
      <c r="L992" s="902"/>
      <c r="M992" s="902"/>
      <c r="N992" s="902"/>
      <c r="O992" s="902"/>
      <c r="P992" s="902"/>
      <c r="Q992" s="902"/>
      <c r="R992" s="902"/>
      <c r="S992" s="902"/>
      <c r="T992" s="902"/>
      <c r="U992" s="902"/>
      <c r="V992" s="902"/>
      <c r="W992" s="902"/>
      <c r="X992" s="902"/>
      <c r="Y992" s="902"/>
      <c r="Z992" s="902"/>
      <c r="AA992" s="902"/>
      <c r="AB992" s="902"/>
      <c r="AC992" s="902"/>
    </row>
    <row r="993" spans="1:29" ht="14.95" customHeight="1">
      <c r="A993" s="981"/>
      <c r="B993" s="910"/>
      <c r="C993" s="910"/>
      <c r="D993" s="902"/>
      <c r="E993" s="980"/>
      <c r="F993" s="980"/>
      <c r="G993" s="910"/>
      <c r="H993" s="979"/>
      <c r="I993" s="902"/>
      <c r="J993" s="902"/>
      <c r="K993" s="902"/>
      <c r="L993" s="902"/>
      <c r="M993" s="902"/>
      <c r="N993" s="902"/>
      <c r="O993" s="902"/>
      <c r="P993" s="902"/>
      <c r="Q993" s="902"/>
      <c r="R993" s="902"/>
      <c r="S993" s="902"/>
      <c r="T993" s="902"/>
      <c r="U993" s="902"/>
      <c r="V993" s="902"/>
      <c r="W993" s="902"/>
      <c r="X993" s="902"/>
      <c r="Y993" s="902"/>
      <c r="Z993" s="902"/>
      <c r="AA993" s="902"/>
      <c r="AB993" s="902"/>
      <c r="AC993" s="902"/>
    </row>
    <row r="994" spans="1:29" ht="14.95" customHeight="1">
      <c r="A994" s="981"/>
      <c r="B994" s="910"/>
      <c r="C994" s="910"/>
      <c r="D994" s="902"/>
      <c r="E994" s="980"/>
      <c r="F994" s="980"/>
      <c r="G994" s="910"/>
      <c r="H994" s="979"/>
      <c r="I994" s="902"/>
      <c r="J994" s="902"/>
      <c r="K994" s="902"/>
      <c r="L994" s="902"/>
      <c r="M994" s="902"/>
      <c r="N994" s="902"/>
      <c r="O994" s="902"/>
      <c r="P994" s="902"/>
      <c r="Q994" s="902"/>
      <c r="R994" s="902"/>
      <c r="S994" s="902"/>
      <c r="T994" s="902"/>
      <c r="U994" s="902"/>
      <c r="V994" s="902"/>
      <c r="W994" s="902"/>
      <c r="X994" s="902"/>
      <c r="Y994" s="902"/>
      <c r="Z994" s="902"/>
      <c r="AA994" s="902"/>
      <c r="AB994" s="902"/>
      <c r="AC994" s="902"/>
    </row>
    <row r="995" spans="1:29" ht="14.95" customHeight="1">
      <c r="A995" s="981"/>
      <c r="B995" s="910"/>
      <c r="C995" s="910"/>
      <c r="D995" s="902"/>
      <c r="E995" s="980"/>
      <c r="F995" s="980"/>
      <c r="G995" s="910"/>
      <c r="H995" s="979"/>
      <c r="I995" s="902"/>
      <c r="J995" s="902"/>
      <c r="K995" s="902"/>
      <c r="L995" s="902"/>
      <c r="M995" s="902"/>
      <c r="N995" s="902"/>
      <c r="O995" s="902"/>
      <c r="P995" s="902"/>
      <c r="Q995" s="902"/>
      <c r="R995" s="902"/>
      <c r="S995" s="902"/>
      <c r="T995" s="902"/>
      <c r="U995" s="902"/>
      <c r="V995" s="902"/>
      <c r="W995" s="902"/>
      <c r="X995" s="902"/>
      <c r="Y995" s="902"/>
      <c r="Z995" s="902"/>
      <c r="AA995" s="902"/>
      <c r="AB995" s="902"/>
      <c r="AC995" s="902"/>
    </row>
    <row r="996" spans="1:29" ht="14.95" customHeight="1">
      <c r="A996" s="981"/>
      <c r="B996" s="910"/>
      <c r="C996" s="910"/>
      <c r="D996" s="902"/>
      <c r="E996" s="980"/>
      <c r="F996" s="980"/>
      <c r="G996" s="910"/>
      <c r="H996" s="979"/>
      <c r="I996" s="902"/>
      <c r="J996" s="902"/>
      <c r="K996" s="902"/>
      <c r="L996" s="902"/>
      <c r="M996" s="902"/>
      <c r="N996" s="902"/>
      <c r="O996" s="902"/>
      <c r="P996" s="902"/>
      <c r="Q996" s="902"/>
      <c r="R996" s="902"/>
      <c r="S996" s="902"/>
      <c r="T996" s="902"/>
      <c r="U996" s="902"/>
      <c r="V996" s="902"/>
      <c r="W996" s="902"/>
      <c r="X996" s="902"/>
      <c r="Y996" s="902"/>
      <c r="Z996" s="902"/>
      <c r="AA996" s="902"/>
      <c r="AB996" s="902"/>
      <c r="AC996" s="902"/>
    </row>
    <row r="997" spans="1:29" ht="14.95" customHeight="1">
      <c r="A997" s="981"/>
      <c r="B997" s="910"/>
      <c r="C997" s="910"/>
      <c r="D997" s="902"/>
      <c r="E997" s="980"/>
      <c r="F997" s="980"/>
      <c r="G997" s="910"/>
      <c r="H997" s="979"/>
      <c r="I997" s="902"/>
      <c r="J997" s="902"/>
      <c r="K997" s="902"/>
      <c r="L997" s="902"/>
      <c r="M997" s="902"/>
      <c r="N997" s="902"/>
      <c r="O997" s="902"/>
      <c r="P997" s="902"/>
      <c r="Q997" s="902"/>
      <c r="R997" s="902"/>
      <c r="S997" s="902"/>
      <c r="T997" s="902"/>
      <c r="U997" s="902"/>
      <c r="V997" s="902"/>
      <c r="W997" s="902"/>
      <c r="X997" s="902"/>
      <c r="Y997" s="902"/>
      <c r="Z997" s="902"/>
      <c r="AA997" s="902"/>
      <c r="AB997" s="902"/>
      <c r="AC997" s="902"/>
    </row>
    <row r="998" spans="1:29" ht="14.95" customHeight="1">
      <c r="A998" s="981"/>
      <c r="B998" s="910"/>
      <c r="C998" s="910"/>
      <c r="D998" s="902"/>
      <c r="E998" s="980"/>
      <c r="F998" s="980"/>
      <c r="G998" s="910"/>
      <c r="H998" s="979"/>
      <c r="I998" s="902"/>
      <c r="J998" s="902"/>
      <c r="K998" s="902"/>
      <c r="L998" s="902"/>
      <c r="M998" s="902"/>
      <c r="N998" s="902"/>
      <c r="O998" s="902"/>
      <c r="P998" s="902"/>
      <c r="Q998" s="902"/>
      <c r="R998" s="902"/>
      <c r="S998" s="902"/>
      <c r="T998" s="902"/>
      <c r="U998" s="902"/>
      <c r="V998" s="902"/>
      <c r="W998" s="902"/>
      <c r="X998" s="902"/>
      <c r="Y998" s="902"/>
      <c r="Z998" s="902"/>
      <c r="AA998" s="902"/>
      <c r="AB998" s="902"/>
      <c r="AC998" s="902"/>
    </row>
    <row r="999" spans="1:29" ht="14.95" customHeight="1">
      <c r="A999" s="981"/>
      <c r="B999" s="910"/>
      <c r="C999" s="910"/>
      <c r="D999" s="902"/>
      <c r="E999" s="980"/>
      <c r="F999" s="980"/>
      <c r="G999" s="910"/>
      <c r="H999" s="979"/>
      <c r="I999" s="902"/>
      <c r="J999" s="902"/>
      <c r="K999" s="902"/>
      <c r="L999" s="902"/>
      <c r="M999" s="902"/>
      <c r="N999" s="902"/>
      <c r="O999" s="902"/>
      <c r="P999" s="902"/>
      <c r="Q999" s="902"/>
      <c r="R999" s="902"/>
      <c r="S999" s="902"/>
      <c r="T999" s="902"/>
      <c r="U999" s="902"/>
      <c r="V999" s="902"/>
      <c r="W999" s="902"/>
      <c r="X999" s="902"/>
      <c r="Y999" s="902"/>
      <c r="Z999" s="902"/>
      <c r="AA999" s="902"/>
      <c r="AB999" s="902"/>
      <c r="AC999" s="902"/>
    </row>
    <row r="1000" spans="1:29" ht="14.95" customHeight="1">
      <c r="A1000" s="981"/>
      <c r="B1000" s="910"/>
      <c r="C1000" s="910"/>
      <c r="D1000" s="902"/>
      <c r="E1000" s="980"/>
      <c r="F1000" s="980"/>
      <c r="G1000" s="910"/>
      <c r="H1000" s="979"/>
      <c r="I1000" s="902"/>
      <c r="J1000" s="902"/>
      <c r="K1000" s="902"/>
      <c r="L1000" s="902"/>
      <c r="M1000" s="902"/>
      <c r="N1000" s="902"/>
      <c r="O1000" s="902"/>
      <c r="P1000" s="902"/>
      <c r="Q1000" s="902"/>
      <c r="R1000" s="902"/>
      <c r="S1000" s="902"/>
      <c r="T1000" s="902"/>
      <c r="U1000" s="902"/>
      <c r="V1000" s="902"/>
      <c r="W1000" s="902"/>
      <c r="X1000" s="902"/>
      <c r="Y1000" s="902"/>
      <c r="Z1000" s="902"/>
      <c r="AA1000" s="902"/>
      <c r="AB1000" s="902"/>
      <c r="AC1000" s="902"/>
    </row>
    <row r="1001" spans="1:29" ht="14.95" customHeight="1">
      <c r="A1001" s="981"/>
      <c r="B1001" s="910"/>
      <c r="C1001" s="910"/>
      <c r="D1001" s="902"/>
      <c r="E1001" s="980"/>
      <c r="F1001" s="980"/>
      <c r="G1001" s="910"/>
      <c r="H1001" s="979"/>
      <c r="I1001" s="902"/>
      <c r="J1001" s="902"/>
      <c r="K1001" s="902"/>
      <c r="L1001" s="902"/>
      <c r="M1001" s="902"/>
      <c r="N1001" s="902"/>
      <c r="O1001" s="902"/>
      <c r="P1001" s="902"/>
      <c r="Q1001" s="902"/>
      <c r="R1001" s="902"/>
      <c r="S1001" s="902"/>
      <c r="T1001" s="902"/>
      <c r="U1001" s="902"/>
      <c r="V1001" s="902"/>
      <c r="W1001" s="902"/>
      <c r="X1001" s="902"/>
      <c r="Y1001" s="902"/>
      <c r="Z1001" s="902"/>
      <c r="AA1001" s="902"/>
      <c r="AB1001" s="902"/>
      <c r="AC1001" s="902"/>
    </row>
    <row r="1002" spans="1:29" ht="14.95" customHeight="1">
      <c r="A1002" s="981"/>
      <c r="B1002" s="910"/>
      <c r="C1002" s="910"/>
      <c r="D1002" s="902"/>
      <c r="E1002" s="980"/>
      <c r="F1002" s="980"/>
      <c r="G1002" s="910"/>
      <c r="H1002" s="979"/>
      <c r="I1002" s="902"/>
      <c r="J1002" s="902"/>
      <c r="K1002" s="902"/>
      <c r="L1002" s="902"/>
      <c r="M1002" s="902"/>
      <c r="N1002" s="902"/>
      <c r="O1002" s="902"/>
      <c r="P1002" s="902"/>
      <c r="Q1002" s="902"/>
      <c r="R1002" s="902"/>
      <c r="S1002" s="902"/>
      <c r="T1002" s="902"/>
      <c r="U1002" s="902"/>
      <c r="V1002" s="902"/>
      <c r="W1002" s="902"/>
      <c r="X1002" s="902"/>
      <c r="Y1002" s="902"/>
      <c r="Z1002" s="902"/>
      <c r="AA1002" s="902"/>
      <c r="AB1002" s="902"/>
      <c r="AC1002" s="902"/>
    </row>
    <row r="1003" spans="1:29" ht="14.95" customHeight="1">
      <c r="A1003" s="981"/>
      <c r="B1003" s="910"/>
      <c r="C1003" s="910"/>
      <c r="D1003" s="902"/>
      <c r="E1003" s="980"/>
      <c r="F1003" s="980"/>
      <c r="G1003" s="910"/>
      <c r="H1003" s="979"/>
      <c r="I1003" s="902"/>
      <c r="J1003" s="902"/>
      <c r="K1003" s="902"/>
      <c r="L1003" s="902"/>
      <c r="M1003" s="902"/>
      <c r="N1003" s="902"/>
      <c r="O1003" s="902"/>
      <c r="P1003" s="902"/>
      <c r="Q1003" s="902"/>
      <c r="R1003" s="902"/>
      <c r="S1003" s="902"/>
      <c r="T1003" s="902"/>
      <c r="U1003" s="902"/>
      <c r="V1003" s="902"/>
      <c r="W1003" s="902"/>
      <c r="X1003" s="902"/>
      <c r="Y1003" s="902"/>
      <c r="Z1003" s="902"/>
      <c r="AA1003" s="902"/>
      <c r="AB1003" s="902"/>
      <c r="AC1003" s="902"/>
    </row>
    <row r="1004" spans="1:29" ht="14.95" customHeight="1">
      <c r="A1004" s="981"/>
      <c r="B1004" s="910"/>
      <c r="C1004" s="910"/>
      <c r="D1004" s="902"/>
      <c r="E1004" s="980"/>
      <c r="F1004" s="980"/>
      <c r="G1004" s="910"/>
      <c r="H1004" s="979"/>
      <c r="I1004" s="902"/>
      <c r="J1004" s="902"/>
      <c r="K1004" s="902"/>
      <c r="L1004" s="902"/>
      <c r="M1004" s="902"/>
      <c r="N1004" s="902"/>
      <c r="O1004" s="902"/>
      <c r="P1004" s="902"/>
      <c r="Q1004" s="902"/>
      <c r="R1004" s="902"/>
      <c r="S1004" s="902"/>
      <c r="T1004" s="902"/>
      <c r="U1004" s="902"/>
      <c r="V1004" s="902"/>
      <c r="W1004" s="902"/>
      <c r="X1004" s="902"/>
      <c r="Y1004" s="902"/>
      <c r="Z1004" s="902"/>
      <c r="AA1004" s="902"/>
      <c r="AB1004" s="902"/>
      <c r="AC1004" s="902"/>
    </row>
    <row r="1005" spans="1:29" ht="14.95" customHeight="1">
      <c r="A1005" s="981"/>
      <c r="B1005" s="910"/>
      <c r="C1005" s="910"/>
      <c r="D1005" s="902"/>
      <c r="E1005" s="980"/>
      <c r="F1005" s="980"/>
      <c r="G1005" s="910"/>
      <c r="H1005" s="979"/>
      <c r="I1005" s="902"/>
      <c r="J1005" s="902"/>
      <c r="K1005" s="902"/>
      <c r="L1005" s="902"/>
      <c r="M1005" s="902"/>
      <c r="N1005" s="902"/>
      <c r="O1005" s="902"/>
      <c r="P1005" s="902"/>
      <c r="Q1005" s="902"/>
      <c r="R1005" s="902"/>
      <c r="S1005" s="902"/>
      <c r="T1005" s="902"/>
      <c r="U1005" s="902"/>
      <c r="V1005" s="902"/>
      <c r="W1005" s="902"/>
      <c r="X1005" s="902"/>
      <c r="Y1005" s="902"/>
      <c r="Z1005" s="902"/>
      <c r="AA1005" s="902"/>
      <c r="AB1005" s="902"/>
      <c r="AC1005" s="902"/>
    </row>
    <row r="1006" spans="1:29" ht="14.95" customHeight="1">
      <c r="A1006" s="981"/>
      <c r="B1006" s="910"/>
      <c r="C1006" s="910"/>
      <c r="D1006" s="902"/>
      <c r="E1006" s="980"/>
      <c r="F1006" s="980"/>
      <c r="G1006" s="910"/>
      <c r="H1006" s="979"/>
      <c r="I1006" s="902"/>
      <c r="J1006" s="902"/>
      <c r="K1006" s="902"/>
      <c r="L1006" s="902"/>
      <c r="M1006" s="902"/>
      <c r="N1006" s="902"/>
      <c r="O1006" s="902"/>
      <c r="P1006" s="902"/>
      <c r="Q1006" s="902"/>
      <c r="R1006" s="902"/>
      <c r="S1006" s="902"/>
      <c r="T1006" s="902"/>
      <c r="U1006" s="902"/>
      <c r="V1006" s="902"/>
      <c r="W1006" s="902"/>
      <c r="X1006" s="902"/>
      <c r="Y1006" s="902"/>
      <c r="Z1006" s="902"/>
      <c r="AA1006" s="902"/>
      <c r="AB1006" s="902"/>
      <c r="AC1006" s="902"/>
    </row>
    <row r="1007" spans="1:29" ht="14.95" customHeight="1">
      <c r="A1007" s="981"/>
      <c r="B1007" s="910"/>
      <c r="C1007" s="910"/>
      <c r="D1007" s="902"/>
      <c r="E1007" s="980"/>
      <c r="F1007" s="980"/>
      <c r="G1007" s="910"/>
      <c r="H1007" s="979"/>
      <c r="I1007" s="902"/>
      <c r="J1007" s="902"/>
      <c r="K1007" s="902"/>
      <c r="L1007" s="902"/>
      <c r="M1007" s="902"/>
      <c r="N1007" s="902"/>
      <c r="O1007" s="902"/>
      <c r="P1007" s="902"/>
      <c r="Q1007" s="902"/>
      <c r="R1007" s="902"/>
      <c r="S1007" s="902"/>
      <c r="T1007" s="902"/>
      <c r="U1007" s="902"/>
      <c r="V1007" s="902"/>
      <c r="W1007" s="902"/>
      <c r="X1007" s="902"/>
      <c r="Y1007" s="902"/>
      <c r="Z1007" s="902"/>
      <c r="AA1007" s="902"/>
      <c r="AB1007" s="902"/>
      <c r="AC1007" s="902"/>
    </row>
    <row r="1008" spans="1:29" ht="14.95" customHeight="1">
      <c r="A1008" s="981"/>
      <c r="B1008" s="910"/>
      <c r="C1008" s="910"/>
      <c r="D1008" s="902"/>
      <c r="E1008" s="980"/>
      <c r="F1008" s="980"/>
      <c r="G1008" s="910"/>
      <c r="H1008" s="979"/>
      <c r="I1008" s="902"/>
      <c r="J1008" s="902"/>
      <c r="K1008" s="902"/>
      <c r="L1008" s="902"/>
      <c r="M1008" s="902"/>
      <c r="N1008" s="902"/>
      <c r="O1008" s="902"/>
      <c r="P1008" s="902"/>
      <c r="Q1008" s="902"/>
      <c r="R1008" s="902"/>
      <c r="S1008" s="902"/>
      <c r="T1008" s="902"/>
      <c r="U1008" s="902"/>
      <c r="V1008" s="902"/>
      <c r="W1008" s="902"/>
      <c r="X1008" s="902"/>
      <c r="Y1008" s="902"/>
      <c r="Z1008" s="902"/>
      <c r="AA1008" s="902"/>
      <c r="AB1008" s="902"/>
      <c r="AC1008" s="902"/>
    </row>
    <row r="1009" spans="1:29" ht="14.95" customHeight="1">
      <c r="A1009" s="981"/>
      <c r="B1009" s="910"/>
      <c r="C1009" s="910"/>
      <c r="D1009" s="902"/>
      <c r="E1009" s="980"/>
      <c r="F1009" s="980"/>
      <c r="G1009" s="910"/>
      <c r="H1009" s="979"/>
      <c r="I1009" s="902"/>
      <c r="J1009" s="902"/>
      <c r="K1009" s="902"/>
      <c r="L1009" s="902"/>
      <c r="M1009" s="902"/>
      <c r="N1009" s="902"/>
      <c r="O1009" s="902"/>
      <c r="P1009" s="902"/>
      <c r="Q1009" s="902"/>
      <c r="R1009" s="902"/>
      <c r="S1009" s="902"/>
      <c r="T1009" s="902"/>
      <c r="U1009" s="902"/>
      <c r="V1009" s="902"/>
      <c r="W1009" s="902"/>
      <c r="X1009" s="902"/>
      <c r="Y1009" s="902"/>
      <c r="Z1009" s="902"/>
      <c r="AA1009" s="902"/>
      <c r="AB1009" s="902"/>
      <c r="AC1009" s="902"/>
    </row>
    <row r="1010" spans="1:29" ht="14.95" customHeight="1">
      <c r="A1010" s="981"/>
      <c r="B1010" s="910"/>
      <c r="C1010" s="910"/>
      <c r="D1010" s="902"/>
      <c r="E1010" s="980"/>
      <c r="F1010" s="980"/>
      <c r="G1010" s="910"/>
      <c r="H1010" s="979"/>
      <c r="I1010" s="902"/>
      <c r="J1010" s="902"/>
      <c r="K1010" s="902"/>
      <c r="L1010" s="902"/>
      <c r="M1010" s="902"/>
      <c r="N1010" s="902"/>
      <c r="O1010" s="902"/>
      <c r="P1010" s="902"/>
      <c r="Q1010" s="902"/>
      <c r="R1010" s="902"/>
      <c r="S1010" s="902"/>
      <c r="T1010" s="902"/>
      <c r="U1010" s="902"/>
      <c r="V1010" s="902"/>
      <c r="W1010" s="902"/>
      <c r="X1010" s="902"/>
      <c r="Y1010" s="902"/>
      <c r="Z1010" s="902"/>
      <c r="AA1010" s="902"/>
      <c r="AB1010" s="902"/>
      <c r="AC1010" s="902"/>
    </row>
    <row r="1011" spans="1:29" ht="14.95" customHeight="1">
      <c r="A1011" s="981"/>
      <c r="B1011" s="910"/>
      <c r="C1011" s="910"/>
      <c r="D1011" s="902"/>
      <c r="E1011" s="980"/>
      <c r="F1011" s="980"/>
      <c r="G1011" s="910"/>
      <c r="H1011" s="979"/>
      <c r="I1011" s="902"/>
      <c r="J1011" s="902"/>
      <c r="K1011" s="902"/>
      <c r="L1011" s="902"/>
      <c r="M1011" s="902"/>
      <c r="N1011" s="902"/>
      <c r="O1011" s="902"/>
      <c r="P1011" s="902"/>
      <c r="Q1011" s="902"/>
      <c r="R1011" s="902"/>
      <c r="S1011" s="902"/>
      <c r="T1011" s="902"/>
      <c r="U1011" s="902"/>
      <c r="V1011" s="902"/>
      <c r="W1011" s="902"/>
      <c r="X1011" s="902"/>
      <c r="Y1011" s="902"/>
      <c r="Z1011" s="902"/>
      <c r="AA1011" s="902"/>
      <c r="AB1011" s="902"/>
      <c r="AC1011" s="902"/>
    </row>
    <row r="1012" spans="1:29" ht="14.95" customHeight="1">
      <c r="A1012" s="981"/>
      <c r="B1012" s="910"/>
      <c r="C1012" s="910"/>
      <c r="D1012" s="902"/>
      <c r="E1012" s="980"/>
      <c r="F1012" s="980"/>
      <c r="G1012" s="910"/>
      <c r="H1012" s="979"/>
      <c r="I1012" s="902"/>
      <c r="J1012" s="902"/>
      <c r="K1012" s="902"/>
      <c r="L1012" s="902"/>
      <c r="M1012" s="902"/>
      <c r="N1012" s="902"/>
      <c r="O1012" s="902"/>
      <c r="P1012" s="902"/>
      <c r="Q1012" s="902"/>
      <c r="R1012" s="902"/>
      <c r="S1012" s="902"/>
      <c r="T1012" s="902"/>
      <c r="U1012" s="902"/>
      <c r="V1012" s="902"/>
      <c r="W1012" s="902"/>
      <c r="X1012" s="902"/>
      <c r="Y1012" s="902"/>
      <c r="Z1012" s="902"/>
      <c r="AA1012" s="902"/>
      <c r="AB1012" s="902"/>
      <c r="AC1012" s="902"/>
    </row>
    <row r="1013" spans="1:29" ht="14.95" customHeight="1">
      <c r="A1013" s="981"/>
      <c r="B1013" s="910"/>
      <c r="C1013" s="910"/>
      <c r="D1013" s="902"/>
      <c r="E1013" s="980"/>
      <c r="F1013" s="980"/>
      <c r="G1013" s="910"/>
      <c r="H1013" s="979"/>
      <c r="I1013" s="902"/>
      <c r="J1013" s="902"/>
      <c r="K1013" s="902"/>
      <c r="L1013" s="902"/>
      <c r="M1013" s="902"/>
      <c r="N1013" s="902"/>
      <c r="O1013" s="902"/>
      <c r="P1013" s="902"/>
      <c r="Q1013" s="902"/>
      <c r="R1013" s="902"/>
      <c r="S1013" s="902"/>
      <c r="T1013" s="902"/>
      <c r="U1013" s="902"/>
      <c r="V1013" s="902"/>
      <c r="W1013" s="902"/>
      <c r="X1013" s="902"/>
      <c r="Y1013" s="902"/>
      <c r="Z1013" s="902"/>
      <c r="AA1013" s="902"/>
      <c r="AB1013" s="902"/>
      <c r="AC1013" s="902"/>
    </row>
    <row r="1014" spans="1:29" ht="14.95" customHeight="1">
      <c r="A1014" s="981"/>
      <c r="B1014" s="910"/>
      <c r="C1014" s="910"/>
      <c r="D1014" s="902"/>
      <c r="E1014" s="980"/>
      <c r="F1014" s="980"/>
      <c r="G1014" s="910"/>
      <c r="H1014" s="979"/>
      <c r="I1014" s="902"/>
      <c r="J1014" s="902"/>
      <c r="K1014" s="902"/>
      <c r="L1014" s="902"/>
      <c r="M1014" s="902"/>
      <c r="N1014" s="902"/>
      <c r="O1014" s="902"/>
      <c r="P1014" s="902"/>
      <c r="Q1014" s="902"/>
      <c r="R1014" s="902"/>
      <c r="S1014" s="902"/>
      <c r="T1014" s="902"/>
      <c r="U1014" s="902"/>
      <c r="V1014" s="902"/>
      <c r="W1014" s="902"/>
      <c r="X1014" s="902"/>
      <c r="Y1014" s="902"/>
      <c r="Z1014" s="902"/>
      <c r="AA1014" s="902"/>
      <c r="AB1014" s="902"/>
      <c r="AC1014" s="902"/>
    </row>
    <row r="1015" spans="1:29" ht="14.95" customHeight="1">
      <c r="A1015" s="981"/>
      <c r="B1015" s="910"/>
      <c r="C1015" s="910"/>
      <c r="D1015" s="902"/>
      <c r="E1015" s="980"/>
      <c r="F1015" s="980"/>
      <c r="G1015" s="910"/>
      <c r="H1015" s="979"/>
      <c r="I1015" s="902"/>
      <c r="J1015" s="902"/>
      <c r="K1015" s="902"/>
      <c r="L1015" s="902"/>
      <c r="M1015" s="902"/>
      <c r="N1015" s="902"/>
      <c r="O1015" s="902"/>
      <c r="P1015" s="902"/>
      <c r="Q1015" s="902"/>
      <c r="R1015" s="902"/>
      <c r="S1015" s="902"/>
      <c r="T1015" s="902"/>
      <c r="U1015" s="902"/>
      <c r="V1015" s="902"/>
      <c r="W1015" s="902"/>
      <c r="X1015" s="902"/>
      <c r="Y1015" s="902"/>
      <c r="Z1015" s="902"/>
      <c r="AA1015" s="902"/>
      <c r="AB1015" s="902"/>
      <c r="AC1015" s="902"/>
    </row>
    <row r="1016" spans="1:29" ht="14.95" customHeight="1">
      <c r="A1016" s="981"/>
      <c r="B1016" s="910"/>
      <c r="C1016" s="910"/>
      <c r="D1016" s="902"/>
      <c r="E1016" s="980"/>
      <c r="F1016" s="980"/>
      <c r="G1016" s="910"/>
      <c r="H1016" s="979"/>
      <c r="I1016" s="902"/>
      <c r="J1016" s="902"/>
      <c r="K1016" s="902"/>
      <c r="L1016" s="902"/>
      <c r="M1016" s="902"/>
      <c r="N1016" s="902"/>
      <c r="O1016" s="902"/>
      <c r="P1016" s="902"/>
      <c r="Q1016" s="902"/>
      <c r="R1016" s="902"/>
      <c r="S1016" s="902"/>
      <c r="T1016" s="902"/>
      <c r="U1016" s="902"/>
      <c r="V1016" s="902"/>
      <c r="W1016" s="902"/>
      <c r="X1016" s="902"/>
      <c r="Y1016" s="902"/>
      <c r="Z1016" s="902"/>
      <c r="AA1016" s="902"/>
      <c r="AB1016" s="902"/>
      <c r="AC1016" s="902"/>
    </row>
    <row r="1017" spans="1:29" ht="14.95" customHeight="1">
      <c r="A1017" s="981"/>
      <c r="B1017" s="910"/>
      <c r="C1017" s="910"/>
      <c r="D1017" s="902"/>
      <c r="E1017" s="980"/>
      <c r="F1017" s="980"/>
      <c r="G1017" s="910"/>
      <c r="H1017" s="979"/>
      <c r="I1017" s="902"/>
      <c r="J1017" s="902"/>
      <c r="K1017" s="902"/>
      <c r="L1017" s="902"/>
      <c r="M1017" s="902"/>
      <c r="N1017" s="902"/>
      <c r="O1017" s="902"/>
      <c r="P1017" s="902"/>
      <c r="Q1017" s="902"/>
      <c r="R1017" s="902"/>
      <c r="S1017" s="902"/>
      <c r="T1017" s="902"/>
      <c r="U1017" s="902"/>
      <c r="V1017" s="902"/>
      <c r="W1017" s="902"/>
      <c r="X1017" s="902"/>
      <c r="Y1017" s="902"/>
      <c r="Z1017" s="902"/>
      <c r="AA1017" s="902"/>
      <c r="AB1017" s="902"/>
      <c r="AC1017" s="902"/>
    </row>
    <row r="1018" spans="1:29" ht="14.95" customHeight="1">
      <c r="A1018" s="981"/>
      <c r="B1018" s="910"/>
      <c r="C1018" s="910"/>
      <c r="D1018" s="902"/>
      <c r="E1018" s="980"/>
      <c r="F1018" s="980"/>
      <c r="G1018" s="910"/>
      <c r="H1018" s="979"/>
      <c r="I1018" s="902"/>
      <c r="J1018" s="902"/>
      <c r="K1018" s="902"/>
      <c r="L1018" s="902"/>
      <c r="M1018" s="902"/>
      <c r="N1018" s="902"/>
      <c r="O1018" s="902"/>
      <c r="P1018" s="902"/>
      <c r="Q1018" s="902"/>
      <c r="R1018" s="902"/>
      <c r="S1018" s="902"/>
      <c r="T1018" s="902"/>
      <c r="U1018" s="902"/>
      <c r="V1018" s="902"/>
      <c r="W1018" s="902"/>
      <c r="X1018" s="902"/>
      <c r="Y1018" s="902"/>
      <c r="Z1018" s="902"/>
      <c r="AA1018" s="902"/>
      <c r="AB1018" s="902"/>
      <c r="AC1018" s="902"/>
    </row>
    <row r="1019" spans="1:29" ht="14.95" customHeight="1">
      <c r="A1019" s="981"/>
      <c r="B1019" s="910"/>
      <c r="C1019" s="910"/>
      <c r="D1019" s="902"/>
      <c r="E1019" s="980"/>
      <c r="F1019" s="980"/>
      <c r="G1019" s="910"/>
      <c r="H1019" s="979"/>
      <c r="I1019" s="902"/>
      <c r="J1019" s="902"/>
      <c r="K1019" s="902"/>
      <c r="L1019" s="902"/>
      <c r="M1019" s="902"/>
      <c r="N1019" s="902"/>
      <c r="O1019" s="902"/>
      <c r="P1019" s="902"/>
      <c r="Q1019" s="902"/>
      <c r="R1019" s="902"/>
      <c r="S1019" s="902"/>
      <c r="T1019" s="902"/>
      <c r="U1019" s="902"/>
      <c r="V1019" s="902"/>
      <c r="W1019" s="902"/>
      <c r="X1019" s="902"/>
      <c r="Y1019" s="902"/>
      <c r="Z1019" s="902"/>
      <c r="AA1019" s="902"/>
      <c r="AB1019" s="902"/>
      <c r="AC1019" s="902"/>
    </row>
    <row r="1020" spans="1:29" ht="14.95" customHeight="1">
      <c r="A1020" s="981"/>
      <c r="B1020" s="910"/>
      <c r="C1020" s="910"/>
      <c r="D1020" s="902"/>
      <c r="E1020" s="980"/>
      <c r="F1020" s="980"/>
      <c r="G1020" s="910"/>
      <c r="H1020" s="979"/>
      <c r="I1020" s="902"/>
      <c r="J1020" s="902"/>
      <c r="K1020" s="902"/>
      <c r="L1020" s="902"/>
      <c r="M1020" s="902"/>
      <c r="N1020" s="902"/>
      <c r="O1020" s="902"/>
      <c r="P1020" s="902"/>
      <c r="Q1020" s="902"/>
      <c r="R1020" s="902"/>
      <c r="S1020" s="902"/>
      <c r="T1020" s="902"/>
      <c r="U1020" s="902"/>
      <c r="V1020" s="902"/>
      <c r="W1020" s="902"/>
      <c r="X1020" s="902"/>
      <c r="Y1020" s="902"/>
      <c r="Z1020" s="902"/>
      <c r="AA1020" s="902"/>
      <c r="AB1020" s="902"/>
      <c r="AC1020" s="902"/>
    </row>
    <row r="1021" spans="1:29" ht="14.95" customHeight="1">
      <c r="A1021" s="981"/>
      <c r="B1021" s="910"/>
      <c r="C1021" s="910"/>
      <c r="D1021" s="902"/>
      <c r="E1021" s="980"/>
      <c r="F1021" s="980"/>
      <c r="G1021" s="910"/>
      <c r="H1021" s="979"/>
      <c r="I1021" s="902"/>
      <c r="J1021" s="902"/>
      <c r="K1021" s="902"/>
      <c r="L1021" s="902"/>
      <c r="M1021" s="902"/>
      <c r="N1021" s="902"/>
      <c r="O1021" s="902"/>
      <c r="P1021" s="902"/>
      <c r="Q1021" s="902"/>
      <c r="R1021" s="902"/>
      <c r="S1021" s="902"/>
      <c r="T1021" s="902"/>
      <c r="U1021" s="902"/>
      <c r="V1021" s="902"/>
      <c r="W1021" s="902"/>
      <c r="X1021" s="902"/>
      <c r="Y1021" s="902"/>
      <c r="Z1021" s="902"/>
      <c r="AA1021" s="902"/>
      <c r="AB1021" s="902"/>
      <c r="AC1021" s="902"/>
    </row>
    <row r="1022" spans="1:29" ht="14.95" customHeight="1">
      <c r="A1022" s="981"/>
      <c r="B1022" s="910"/>
      <c r="C1022" s="910"/>
      <c r="D1022" s="902"/>
      <c r="E1022" s="980"/>
      <c r="F1022" s="980"/>
      <c r="G1022" s="910"/>
      <c r="H1022" s="979"/>
      <c r="I1022" s="902"/>
      <c r="J1022" s="902"/>
      <c r="K1022" s="902"/>
      <c r="L1022" s="902"/>
      <c r="M1022" s="902"/>
      <c r="N1022" s="902"/>
      <c r="O1022" s="902"/>
      <c r="P1022" s="902"/>
      <c r="Q1022" s="902"/>
      <c r="R1022" s="902"/>
      <c r="S1022" s="902"/>
      <c r="T1022" s="902"/>
      <c r="U1022" s="902"/>
      <c r="V1022" s="902"/>
      <c r="W1022" s="902"/>
      <c r="X1022" s="902"/>
      <c r="Y1022" s="902"/>
      <c r="Z1022" s="902"/>
      <c r="AA1022" s="902"/>
      <c r="AB1022" s="902"/>
      <c r="AC1022" s="902"/>
    </row>
    <row r="1023" spans="1:29" ht="14.95" customHeight="1">
      <c r="A1023" s="981"/>
      <c r="B1023" s="910"/>
      <c r="C1023" s="910"/>
      <c r="D1023" s="902"/>
      <c r="E1023" s="980"/>
      <c r="F1023" s="980"/>
      <c r="G1023" s="910"/>
      <c r="H1023" s="979"/>
      <c r="I1023" s="902"/>
      <c r="J1023" s="902"/>
      <c r="K1023" s="902"/>
      <c r="L1023" s="902"/>
      <c r="M1023" s="902"/>
      <c r="N1023" s="902"/>
      <c r="O1023" s="902"/>
      <c r="P1023" s="902"/>
      <c r="Q1023" s="902"/>
      <c r="R1023" s="902"/>
      <c r="S1023" s="902"/>
      <c r="T1023" s="902"/>
      <c r="U1023" s="902"/>
      <c r="V1023" s="902"/>
      <c r="W1023" s="902"/>
      <c r="X1023" s="902"/>
      <c r="Y1023" s="902"/>
      <c r="Z1023" s="902"/>
      <c r="AA1023" s="902"/>
      <c r="AB1023" s="902"/>
      <c r="AC1023" s="902"/>
    </row>
    <row r="1024" spans="1:29" ht="14.95" customHeight="1">
      <c r="A1024" s="981"/>
      <c r="B1024" s="910"/>
      <c r="C1024" s="910"/>
      <c r="D1024" s="902"/>
      <c r="E1024" s="980"/>
      <c r="F1024" s="980"/>
      <c r="G1024" s="910"/>
      <c r="H1024" s="979"/>
      <c r="I1024" s="902"/>
      <c r="J1024" s="902"/>
      <c r="K1024" s="902"/>
      <c r="L1024" s="902"/>
      <c r="M1024" s="902"/>
      <c r="N1024" s="902"/>
      <c r="O1024" s="902"/>
      <c r="P1024" s="902"/>
      <c r="Q1024" s="902"/>
      <c r="R1024" s="902"/>
      <c r="S1024" s="902"/>
      <c r="T1024" s="902"/>
      <c r="U1024" s="902"/>
      <c r="V1024" s="902"/>
      <c r="W1024" s="902"/>
      <c r="X1024" s="902"/>
      <c r="Y1024" s="902"/>
      <c r="Z1024" s="902"/>
      <c r="AA1024" s="902"/>
      <c r="AB1024" s="902"/>
      <c r="AC1024" s="902"/>
    </row>
    <row r="1025" spans="1:29" ht="14.95" customHeight="1">
      <c r="A1025" s="981"/>
      <c r="B1025" s="910"/>
      <c r="C1025" s="910"/>
      <c r="D1025" s="902"/>
      <c r="E1025" s="980"/>
      <c r="F1025" s="980"/>
      <c r="G1025" s="910"/>
      <c r="H1025" s="979"/>
      <c r="I1025" s="902"/>
      <c r="J1025" s="902"/>
      <c r="K1025" s="902"/>
      <c r="L1025" s="902"/>
      <c r="M1025" s="902"/>
      <c r="N1025" s="902"/>
      <c r="O1025" s="902"/>
      <c r="P1025" s="902"/>
      <c r="Q1025" s="902"/>
      <c r="R1025" s="902"/>
      <c r="S1025" s="902"/>
      <c r="T1025" s="902"/>
      <c r="U1025" s="902"/>
      <c r="V1025" s="902"/>
      <c r="W1025" s="902"/>
      <c r="X1025" s="902"/>
      <c r="Y1025" s="902"/>
      <c r="Z1025" s="902"/>
      <c r="AA1025" s="902"/>
      <c r="AB1025" s="902"/>
      <c r="AC1025" s="902"/>
    </row>
    <row r="1026" spans="1:29" ht="14.95" customHeight="1">
      <c r="A1026" s="981"/>
      <c r="B1026" s="910"/>
      <c r="C1026" s="910"/>
      <c r="D1026" s="902"/>
      <c r="E1026" s="980"/>
      <c r="F1026" s="980"/>
      <c r="G1026" s="910"/>
      <c r="H1026" s="979"/>
      <c r="I1026" s="902"/>
      <c r="J1026" s="902"/>
      <c r="K1026" s="902"/>
      <c r="L1026" s="902"/>
      <c r="M1026" s="902"/>
      <c r="N1026" s="902"/>
      <c r="O1026" s="902"/>
      <c r="P1026" s="902"/>
      <c r="Q1026" s="902"/>
      <c r="R1026" s="902"/>
      <c r="S1026" s="902"/>
      <c r="T1026" s="902"/>
      <c r="U1026" s="902"/>
      <c r="V1026" s="902"/>
      <c r="W1026" s="902"/>
      <c r="X1026" s="902"/>
      <c r="Y1026" s="902"/>
      <c r="Z1026" s="902"/>
      <c r="AA1026" s="902"/>
      <c r="AB1026" s="902"/>
      <c r="AC1026" s="902"/>
    </row>
    <row r="1027" spans="1:29" ht="14.95" customHeight="1">
      <c r="A1027" s="981"/>
      <c r="B1027" s="910"/>
      <c r="C1027" s="910"/>
      <c r="D1027" s="902"/>
      <c r="E1027" s="980"/>
      <c r="F1027" s="980"/>
      <c r="G1027" s="910"/>
      <c r="H1027" s="979"/>
      <c r="I1027" s="902"/>
      <c r="J1027" s="902"/>
      <c r="K1027" s="902"/>
      <c r="L1027" s="902"/>
      <c r="M1027" s="902"/>
      <c r="N1027" s="902"/>
      <c r="O1027" s="902"/>
      <c r="P1027" s="902"/>
      <c r="Q1027" s="902"/>
      <c r="R1027" s="902"/>
      <c r="S1027" s="902"/>
      <c r="T1027" s="902"/>
      <c r="U1027" s="902"/>
      <c r="V1027" s="902"/>
      <c r="W1027" s="902"/>
      <c r="X1027" s="902"/>
      <c r="Y1027" s="902"/>
      <c r="Z1027" s="902"/>
      <c r="AA1027" s="902"/>
      <c r="AB1027" s="902"/>
      <c r="AC1027" s="902"/>
    </row>
    <row r="1028" spans="1:29" ht="14.95" customHeight="1">
      <c r="A1028" s="981"/>
      <c r="B1028" s="910"/>
      <c r="C1028" s="910"/>
      <c r="D1028" s="902"/>
      <c r="E1028" s="980"/>
      <c r="F1028" s="980"/>
      <c r="G1028" s="910"/>
      <c r="H1028" s="979"/>
      <c r="I1028" s="902"/>
      <c r="J1028" s="902"/>
      <c r="K1028" s="902"/>
      <c r="L1028" s="902"/>
      <c r="M1028" s="902"/>
      <c r="N1028" s="902"/>
      <c r="O1028" s="902"/>
      <c r="P1028" s="902"/>
      <c r="Q1028" s="902"/>
      <c r="R1028" s="902"/>
      <c r="S1028" s="902"/>
      <c r="T1028" s="902"/>
      <c r="U1028" s="902"/>
      <c r="V1028" s="902"/>
      <c r="W1028" s="902"/>
      <c r="X1028" s="902"/>
      <c r="Y1028" s="902"/>
      <c r="Z1028" s="902"/>
      <c r="AA1028" s="902"/>
      <c r="AB1028" s="902"/>
      <c r="AC1028" s="902"/>
    </row>
    <row r="1029" spans="1:29" ht="14.95" customHeight="1">
      <c r="A1029" s="981"/>
      <c r="B1029" s="910"/>
      <c r="C1029" s="910"/>
      <c r="D1029" s="902"/>
      <c r="E1029" s="980"/>
      <c r="F1029" s="980"/>
      <c r="G1029" s="910"/>
      <c r="H1029" s="979"/>
      <c r="I1029" s="902"/>
      <c r="J1029" s="902"/>
      <c r="K1029" s="902"/>
      <c r="L1029" s="902"/>
      <c r="M1029" s="902"/>
      <c r="N1029" s="902"/>
      <c r="O1029" s="902"/>
      <c r="P1029" s="902"/>
      <c r="Q1029" s="902"/>
      <c r="R1029" s="902"/>
      <c r="S1029" s="902"/>
      <c r="T1029" s="902"/>
      <c r="U1029" s="902"/>
      <c r="V1029" s="902"/>
      <c r="W1029" s="902"/>
      <c r="X1029" s="902"/>
      <c r="Y1029" s="902"/>
      <c r="Z1029" s="902"/>
      <c r="AA1029" s="902"/>
      <c r="AB1029" s="902"/>
      <c r="AC1029" s="902"/>
    </row>
    <row r="1030" spans="1:29" ht="14.95" customHeight="1">
      <c r="A1030" s="981"/>
      <c r="B1030" s="910"/>
      <c r="C1030" s="910"/>
      <c r="D1030" s="902"/>
      <c r="E1030" s="980"/>
      <c r="F1030" s="980"/>
      <c r="G1030" s="910"/>
      <c r="H1030" s="979"/>
      <c r="I1030" s="902"/>
      <c r="J1030" s="902"/>
      <c r="K1030" s="902"/>
      <c r="L1030" s="902"/>
      <c r="M1030" s="902"/>
      <c r="N1030" s="902"/>
      <c r="O1030" s="902"/>
      <c r="P1030" s="902"/>
      <c r="Q1030" s="902"/>
      <c r="R1030" s="902"/>
      <c r="S1030" s="902"/>
      <c r="T1030" s="902"/>
      <c r="U1030" s="902"/>
      <c r="V1030" s="902"/>
      <c r="W1030" s="902"/>
      <c r="X1030" s="902"/>
      <c r="Y1030" s="902"/>
      <c r="Z1030" s="902"/>
      <c r="AA1030" s="902"/>
      <c r="AB1030" s="902"/>
      <c r="AC1030" s="902"/>
    </row>
    <row r="1031" spans="1:29" ht="14.95" customHeight="1">
      <c r="A1031" s="981"/>
      <c r="B1031" s="910"/>
      <c r="C1031" s="910"/>
      <c r="D1031" s="902"/>
      <c r="E1031" s="980"/>
      <c r="F1031" s="980"/>
      <c r="G1031" s="910"/>
      <c r="H1031" s="979"/>
      <c r="I1031" s="902"/>
      <c r="J1031" s="902"/>
      <c r="K1031" s="902"/>
      <c r="L1031" s="902"/>
      <c r="M1031" s="902"/>
      <c r="N1031" s="902"/>
      <c r="O1031" s="902"/>
      <c r="P1031" s="902"/>
      <c r="Q1031" s="902"/>
      <c r="R1031" s="902"/>
      <c r="S1031" s="902"/>
      <c r="T1031" s="902"/>
      <c r="U1031" s="902"/>
      <c r="V1031" s="902"/>
      <c r="W1031" s="902"/>
      <c r="X1031" s="902"/>
      <c r="Y1031" s="902"/>
      <c r="Z1031" s="902"/>
      <c r="AA1031" s="902"/>
      <c r="AB1031" s="902"/>
      <c r="AC1031" s="902"/>
    </row>
    <row r="1032" spans="1:29" ht="14.95" customHeight="1">
      <c r="A1032" s="981"/>
      <c r="B1032" s="910"/>
      <c r="C1032" s="910"/>
      <c r="D1032" s="902"/>
      <c r="E1032" s="980"/>
      <c r="F1032" s="980"/>
      <c r="G1032" s="910"/>
      <c r="H1032" s="979"/>
      <c r="I1032" s="902"/>
      <c r="J1032" s="902"/>
      <c r="K1032" s="902"/>
      <c r="L1032" s="902"/>
      <c r="M1032" s="902"/>
      <c r="N1032" s="902"/>
      <c r="O1032" s="902"/>
      <c r="P1032" s="902"/>
      <c r="Q1032" s="902"/>
      <c r="R1032" s="902"/>
      <c r="S1032" s="902"/>
      <c r="T1032" s="902"/>
      <c r="U1032" s="902"/>
      <c r="V1032" s="902"/>
      <c r="W1032" s="902"/>
      <c r="X1032" s="902"/>
      <c r="Y1032" s="902"/>
      <c r="Z1032" s="902"/>
      <c r="AA1032" s="902"/>
      <c r="AB1032" s="902"/>
      <c r="AC1032" s="902"/>
    </row>
    <row r="1033" spans="1:29" ht="14.95" customHeight="1">
      <c r="A1033" s="981"/>
      <c r="B1033" s="910"/>
      <c r="C1033" s="910"/>
      <c r="D1033" s="902"/>
      <c r="E1033" s="980"/>
      <c r="F1033" s="980"/>
      <c r="G1033" s="910"/>
      <c r="H1033" s="979"/>
      <c r="I1033" s="902"/>
      <c r="J1033" s="902"/>
      <c r="K1033" s="902"/>
      <c r="L1033" s="902"/>
      <c r="M1033" s="902"/>
      <c r="N1033" s="902"/>
      <c r="O1033" s="902"/>
      <c r="P1033" s="902"/>
      <c r="Q1033" s="902"/>
      <c r="R1033" s="902"/>
      <c r="S1033" s="902"/>
      <c r="T1033" s="902"/>
      <c r="U1033" s="902"/>
      <c r="V1033" s="902"/>
      <c r="W1033" s="902"/>
      <c r="X1033" s="902"/>
      <c r="Y1033" s="902"/>
      <c r="Z1033" s="902"/>
      <c r="AA1033" s="902"/>
      <c r="AB1033" s="902"/>
      <c r="AC1033" s="902"/>
    </row>
    <row r="1034" spans="1:29" ht="14.95" customHeight="1">
      <c r="A1034" s="981"/>
      <c r="B1034" s="910"/>
      <c r="C1034" s="910"/>
      <c r="D1034" s="902"/>
      <c r="E1034" s="980"/>
      <c r="F1034" s="980"/>
      <c r="G1034" s="910"/>
      <c r="H1034" s="979"/>
      <c r="I1034" s="902"/>
      <c r="J1034" s="902"/>
      <c r="K1034" s="902"/>
      <c r="L1034" s="902"/>
      <c r="M1034" s="902"/>
      <c r="N1034" s="902"/>
      <c r="O1034" s="902"/>
      <c r="P1034" s="902"/>
      <c r="Q1034" s="902"/>
      <c r="R1034" s="902"/>
      <c r="S1034" s="902"/>
      <c r="T1034" s="902"/>
      <c r="U1034" s="902"/>
      <c r="V1034" s="902"/>
      <c r="W1034" s="902"/>
      <c r="X1034" s="902"/>
      <c r="Y1034" s="902"/>
      <c r="Z1034" s="902"/>
      <c r="AA1034" s="902"/>
      <c r="AB1034" s="902"/>
      <c r="AC1034" s="902"/>
    </row>
    <row r="1035" spans="1:29" ht="14.95" customHeight="1">
      <c r="A1035" s="981"/>
      <c r="B1035" s="910"/>
      <c r="C1035" s="910"/>
      <c r="D1035" s="902"/>
      <c r="E1035" s="980"/>
      <c r="F1035" s="980"/>
      <c r="G1035" s="910"/>
      <c r="H1035" s="979"/>
      <c r="I1035" s="902"/>
      <c r="J1035" s="902"/>
      <c r="K1035" s="902"/>
      <c r="L1035" s="902"/>
      <c r="M1035" s="902"/>
      <c r="N1035" s="902"/>
      <c r="O1035" s="902"/>
      <c r="P1035" s="902"/>
      <c r="Q1035" s="902"/>
      <c r="R1035" s="902"/>
      <c r="S1035" s="902"/>
      <c r="T1035" s="902"/>
      <c r="U1035" s="902"/>
      <c r="V1035" s="902"/>
      <c r="W1035" s="902"/>
      <c r="X1035" s="902"/>
      <c r="Y1035" s="902"/>
      <c r="Z1035" s="902"/>
      <c r="AA1035" s="902"/>
      <c r="AB1035" s="902"/>
      <c r="AC1035" s="902"/>
    </row>
    <row r="1036" spans="1:29" ht="14.95" customHeight="1">
      <c r="A1036" s="981"/>
      <c r="B1036" s="910"/>
      <c r="C1036" s="910"/>
      <c r="D1036" s="902"/>
      <c r="E1036" s="980"/>
      <c r="F1036" s="980"/>
      <c r="G1036" s="910"/>
      <c r="H1036" s="979"/>
      <c r="I1036" s="902"/>
      <c r="J1036" s="902"/>
      <c r="K1036" s="902"/>
      <c r="L1036" s="902"/>
      <c r="M1036" s="902"/>
      <c r="N1036" s="902"/>
      <c r="O1036" s="902"/>
      <c r="P1036" s="902"/>
      <c r="Q1036" s="902"/>
      <c r="R1036" s="902"/>
      <c r="S1036" s="902"/>
      <c r="T1036" s="902"/>
      <c r="U1036" s="902"/>
      <c r="V1036" s="902"/>
      <c r="W1036" s="902"/>
      <c r="X1036" s="902"/>
      <c r="Y1036" s="902"/>
      <c r="Z1036" s="902"/>
      <c r="AA1036" s="902"/>
      <c r="AB1036" s="902"/>
      <c r="AC1036" s="902"/>
    </row>
    <row r="1037" spans="1:29" ht="14.95" customHeight="1">
      <c r="A1037" s="981"/>
      <c r="B1037" s="910"/>
      <c r="C1037" s="910"/>
      <c r="D1037" s="902"/>
      <c r="E1037" s="980"/>
      <c r="F1037" s="980"/>
      <c r="G1037" s="910"/>
      <c r="H1037" s="979"/>
      <c r="I1037" s="902"/>
      <c r="J1037" s="902"/>
      <c r="K1037" s="902"/>
      <c r="L1037" s="902"/>
      <c r="M1037" s="902"/>
      <c r="N1037" s="902"/>
      <c r="O1037" s="902"/>
      <c r="P1037" s="902"/>
      <c r="Q1037" s="902"/>
      <c r="R1037" s="902"/>
      <c r="S1037" s="902"/>
      <c r="T1037" s="902"/>
      <c r="U1037" s="902"/>
      <c r="V1037" s="902"/>
      <c r="W1037" s="902"/>
      <c r="X1037" s="902"/>
      <c r="Y1037" s="902"/>
      <c r="Z1037" s="902"/>
      <c r="AA1037" s="902"/>
      <c r="AB1037" s="902"/>
      <c r="AC1037" s="902"/>
    </row>
    <row r="1038" spans="1:29" ht="14.95" customHeight="1">
      <c r="A1038" s="981"/>
      <c r="B1038" s="910"/>
      <c r="C1038" s="910"/>
      <c r="D1038" s="902"/>
      <c r="E1038" s="980"/>
      <c r="F1038" s="980"/>
      <c r="G1038" s="910"/>
      <c r="H1038" s="979"/>
      <c r="I1038" s="902"/>
      <c r="J1038" s="902"/>
      <c r="K1038" s="902"/>
      <c r="L1038" s="902"/>
      <c r="M1038" s="902"/>
      <c r="N1038" s="902"/>
      <c r="O1038" s="902"/>
      <c r="P1038" s="902"/>
      <c r="Q1038" s="902"/>
      <c r="R1038" s="902"/>
      <c r="S1038" s="902"/>
      <c r="T1038" s="902"/>
      <c r="U1038" s="902"/>
      <c r="V1038" s="902"/>
      <c r="W1038" s="902"/>
      <c r="X1038" s="902"/>
      <c r="Y1038" s="902"/>
      <c r="Z1038" s="902"/>
      <c r="AA1038" s="902"/>
      <c r="AB1038" s="902"/>
      <c r="AC1038" s="902"/>
    </row>
    <row r="1039" spans="1:29" ht="14.95" customHeight="1">
      <c r="A1039" s="981"/>
      <c r="B1039" s="910"/>
      <c r="C1039" s="910"/>
      <c r="D1039" s="902"/>
      <c r="E1039" s="980"/>
      <c r="F1039" s="980"/>
      <c r="G1039" s="910"/>
      <c r="H1039" s="979"/>
      <c r="I1039" s="902"/>
      <c r="J1039" s="902"/>
      <c r="K1039" s="902"/>
      <c r="L1039" s="902"/>
      <c r="M1039" s="902"/>
      <c r="N1039" s="902"/>
      <c r="O1039" s="902"/>
      <c r="P1039" s="902"/>
      <c r="Q1039" s="902"/>
      <c r="R1039" s="902"/>
      <c r="S1039" s="902"/>
      <c r="T1039" s="902"/>
      <c r="U1039" s="902"/>
      <c r="V1039" s="902"/>
      <c r="W1039" s="902"/>
      <c r="X1039" s="902"/>
      <c r="Y1039" s="902"/>
      <c r="Z1039" s="902"/>
      <c r="AA1039" s="902"/>
      <c r="AB1039" s="902"/>
      <c r="AC1039" s="902"/>
    </row>
    <row r="1040" spans="1:29" ht="14.95" customHeight="1">
      <c r="A1040" s="981"/>
      <c r="B1040" s="910"/>
      <c r="C1040" s="910"/>
      <c r="D1040" s="902"/>
      <c r="E1040" s="980"/>
      <c r="F1040" s="980"/>
      <c r="G1040" s="910"/>
      <c r="H1040" s="979"/>
      <c r="I1040" s="902"/>
      <c r="J1040" s="902"/>
      <c r="K1040" s="902"/>
      <c r="L1040" s="902"/>
      <c r="M1040" s="902"/>
      <c r="N1040" s="902"/>
      <c r="O1040" s="902"/>
      <c r="P1040" s="902"/>
      <c r="Q1040" s="902"/>
      <c r="R1040" s="902"/>
      <c r="S1040" s="902"/>
      <c r="T1040" s="902"/>
      <c r="U1040" s="902"/>
      <c r="V1040" s="902"/>
      <c r="W1040" s="902"/>
      <c r="X1040" s="902"/>
      <c r="Y1040" s="902"/>
      <c r="Z1040" s="902"/>
      <c r="AA1040" s="902"/>
      <c r="AB1040" s="902"/>
      <c r="AC1040" s="902"/>
    </row>
    <row r="1041" spans="1:29" ht="14.95" customHeight="1">
      <c r="A1041" s="981"/>
      <c r="B1041" s="910"/>
      <c r="C1041" s="910"/>
      <c r="D1041" s="902"/>
      <c r="E1041" s="980"/>
      <c r="F1041" s="980"/>
      <c r="G1041" s="910"/>
      <c r="H1041" s="979"/>
      <c r="I1041" s="902"/>
      <c r="J1041" s="902"/>
      <c r="K1041" s="902"/>
      <c r="L1041" s="902"/>
      <c r="M1041" s="902"/>
      <c r="N1041" s="902"/>
      <c r="O1041" s="902"/>
      <c r="P1041" s="902"/>
      <c r="Q1041" s="902"/>
      <c r="R1041" s="902"/>
      <c r="S1041" s="902"/>
      <c r="T1041" s="902"/>
      <c r="U1041" s="902"/>
      <c r="V1041" s="902"/>
      <c r="W1041" s="902"/>
      <c r="X1041" s="902"/>
      <c r="Y1041" s="902"/>
      <c r="Z1041" s="902"/>
      <c r="AA1041" s="902"/>
      <c r="AB1041" s="902"/>
      <c r="AC1041" s="902"/>
    </row>
    <row r="1042" spans="1:29" ht="14.95" customHeight="1">
      <c r="A1042" s="981"/>
      <c r="B1042" s="910"/>
      <c r="C1042" s="910"/>
      <c r="D1042" s="902"/>
      <c r="E1042" s="980"/>
      <c r="F1042" s="980"/>
      <c r="G1042" s="910"/>
      <c r="H1042" s="979"/>
      <c r="I1042" s="902"/>
      <c r="J1042" s="902"/>
      <c r="K1042" s="902"/>
      <c r="L1042" s="902"/>
      <c r="M1042" s="902"/>
      <c r="N1042" s="902"/>
      <c r="O1042" s="902"/>
      <c r="P1042" s="902"/>
      <c r="Q1042" s="902"/>
      <c r="R1042" s="902"/>
      <c r="S1042" s="902"/>
      <c r="T1042" s="902"/>
      <c r="U1042" s="902"/>
      <c r="V1042" s="902"/>
      <c r="W1042" s="902"/>
      <c r="X1042" s="902"/>
      <c r="Y1042" s="902"/>
      <c r="Z1042" s="902"/>
      <c r="AA1042" s="902"/>
      <c r="AB1042" s="902"/>
      <c r="AC1042" s="902"/>
    </row>
    <row r="1043" spans="1:29" ht="14.95" customHeight="1">
      <c r="A1043" s="981"/>
      <c r="B1043" s="910"/>
      <c r="C1043" s="910"/>
      <c r="D1043" s="902"/>
      <c r="E1043" s="980"/>
      <c r="F1043" s="980"/>
      <c r="G1043" s="910"/>
      <c r="H1043" s="979"/>
      <c r="I1043" s="902"/>
      <c r="J1043" s="902"/>
      <c r="K1043" s="902"/>
      <c r="L1043" s="902"/>
      <c r="M1043" s="902"/>
      <c r="N1043" s="902"/>
      <c r="O1043" s="902"/>
      <c r="P1043" s="902"/>
      <c r="Q1043" s="902"/>
      <c r="R1043" s="902"/>
      <c r="S1043" s="902"/>
      <c r="T1043" s="902"/>
      <c r="U1043" s="902"/>
      <c r="V1043" s="902"/>
      <c r="W1043" s="902"/>
      <c r="X1043" s="902"/>
      <c r="Y1043" s="902"/>
      <c r="Z1043" s="902"/>
      <c r="AA1043" s="902"/>
      <c r="AB1043" s="902"/>
      <c r="AC1043" s="902"/>
    </row>
    <row r="1044" spans="1:29" ht="14.95" customHeight="1">
      <c r="A1044" s="981"/>
      <c r="B1044" s="910"/>
      <c r="C1044" s="910"/>
      <c r="D1044" s="902"/>
      <c r="E1044" s="980"/>
      <c r="F1044" s="980"/>
      <c r="G1044" s="910"/>
      <c r="H1044" s="979"/>
      <c r="I1044" s="902"/>
      <c r="J1044" s="902"/>
      <c r="K1044" s="902"/>
      <c r="L1044" s="902"/>
      <c r="M1044" s="902"/>
      <c r="N1044" s="902"/>
      <c r="O1044" s="902"/>
      <c r="P1044" s="902"/>
      <c r="Q1044" s="902"/>
      <c r="R1044" s="902"/>
      <c r="S1044" s="902"/>
      <c r="T1044" s="902"/>
      <c r="U1044" s="902"/>
      <c r="V1044" s="902"/>
      <c r="W1044" s="902"/>
      <c r="X1044" s="902"/>
      <c r="Y1044" s="902"/>
      <c r="Z1044" s="902"/>
      <c r="AA1044" s="902"/>
      <c r="AB1044" s="902"/>
      <c r="AC1044" s="902"/>
    </row>
    <row r="1045" spans="1:29" ht="14.95" customHeight="1">
      <c r="A1045" s="981"/>
      <c r="B1045" s="910"/>
      <c r="C1045" s="910"/>
      <c r="D1045" s="902"/>
      <c r="E1045" s="980"/>
      <c r="F1045" s="980"/>
      <c r="G1045" s="910"/>
      <c r="H1045" s="979"/>
      <c r="I1045" s="902"/>
      <c r="J1045" s="902"/>
      <c r="K1045" s="902"/>
      <c r="L1045" s="902"/>
      <c r="M1045" s="902"/>
      <c r="N1045" s="902"/>
      <c r="O1045" s="902"/>
      <c r="P1045" s="902"/>
      <c r="Q1045" s="902"/>
      <c r="R1045" s="902"/>
      <c r="S1045" s="902"/>
      <c r="T1045" s="902"/>
      <c r="U1045" s="902"/>
      <c r="V1045" s="902"/>
      <c r="W1045" s="902"/>
      <c r="X1045" s="902"/>
      <c r="Y1045" s="902"/>
      <c r="Z1045" s="902"/>
      <c r="AA1045" s="902"/>
      <c r="AB1045" s="902"/>
      <c r="AC1045" s="902"/>
    </row>
    <row r="1046" spans="1:29" ht="14.95" customHeight="1">
      <c r="A1046" s="981"/>
      <c r="B1046" s="910"/>
      <c r="C1046" s="910"/>
      <c r="D1046" s="902"/>
      <c r="E1046" s="980"/>
      <c r="F1046" s="980"/>
      <c r="G1046" s="910"/>
      <c r="H1046" s="979"/>
      <c r="I1046" s="902"/>
      <c r="J1046" s="902"/>
      <c r="K1046" s="902"/>
      <c r="L1046" s="902"/>
      <c r="M1046" s="902"/>
      <c r="N1046" s="902"/>
      <c r="O1046" s="902"/>
      <c r="P1046" s="902"/>
      <c r="Q1046" s="902"/>
      <c r="R1046" s="902"/>
      <c r="S1046" s="902"/>
      <c r="T1046" s="902"/>
      <c r="U1046" s="902"/>
      <c r="V1046" s="902"/>
      <c r="W1046" s="902"/>
      <c r="X1046" s="902"/>
      <c r="Y1046" s="902"/>
      <c r="Z1046" s="902"/>
      <c r="AA1046" s="902"/>
      <c r="AB1046" s="902"/>
      <c r="AC1046" s="902"/>
    </row>
    <row r="1047" spans="1:29" ht="14.95" customHeight="1">
      <c r="A1047" s="981"/>
      <c r="B1047" s="910"/>
      <c r="C1047" s="910"/>
      <c r="D1047" s="902"/>
      <c r="E1047" s="980"/>
      <c r="F1047" s="980"/>
      <c r="G1047" s="910"/>
      <c r="H1047" s="979"/>
      <c r="I1047" s="902"/>
      <c r="J1047" s="902"/>
      <c r="K1047" s="902"/>
      <c r="L1047" s="902"/>
      <c r="M1047" s="902"/>
      <c r="N1047" s="902"/>
      <c r="O1047" s="902"/>
      <c r="P1047" s="902"/>
      <c r="Q1047" s="902"/>
      <c r="R1047" s="902"/>
      <c r="S1047" s="902"/>
      <c r="T1047" s="902"/>
      <c r="U1047" s="902"/>
      <c r="V1047" s="902"/>
      <c r="W1047" s="902"/>
      <c r="X1047" s="902"/>
      <c r="Y1047" s="902"/>
      <c r="Z1047" s="902"/>
      <c r="AA1047" s="902"/>
      <c r="AB1047" s="902"/>
      <c r="AC1047" s="902"/>
    </row>
    <row r="1048" spans="1:29" ht="14.95" customHeight="1">
      <c r="A1048" s="981"/>
      <c r="B1048" s="910"/>
      <c r="C1048" s="910"/>
      <c r="D1048" s="902"/>
      <c r="E1048" s="980"/>
      <c r="F1048" s="980"/>
      <c r="G1048" s="910"/>
      <c r="H1048" s="979"/>
      <c r="I1048" s="902"/>
      <c r="J1048" s="902"/>
      <c r="K1048" s="902"/>
      <c r="L1048" s="902"/>
      <c r="M1048" s="902"/>
      <c r="N1048" s="902"/>
      <c r="O1048" s="902"/>
      <c r="P1048" s="902"/>
      <c r="Q1048" s="902"/>
      <c r="R1048" s="902"/>
      <c r="S1048" s="902"/>
      <c r="T1048" s="902"/>
      <c r="U1048" s="902"/>
      <c r="V1048" s="902"/>
      <c r="W1048" s="902"/>
      <c r="X1048" s="902"/>
      <c r="Y1048" s="902"/>
      <c r="Z1048" s="902"/>
      <c r="AA1048" s="902"/>
      <c r="AB1048" s="902"/>
      <c r="AC1048" s="902"/>
    </row>
    <row r="1049" spans="1:29" ht="14.95" customHeight="1">
      <c r="A1049" s="981"/>
      <c r="B1049" s="910"/>
      <c r="C1049" s="910"/>
      <c r="D1049" s="902"/>
      <c r="E1049" s="980"/>
      <c r="F1049" s="980"/>
      <c r="G1049" s="910"/>
      <c r="H1049" s="979"/>
      <c r="I1049" s="902"/>
      <c r="J1049" s="902"/>
      <c r="K1049" s="902"/>
      <c r="L1049" s="902"/>
      <c r="M1049" s="902"/>
      <c r="N1049" s="902"/>
      <c r="O1049" s="902"/>
      <c r="P1049" s="902"/>
      <c r="Q1049" s="902"/>
      <c r="R1049" s="902"/>
      <c r="S1049" s="902"/>
      <c r="T1049" s="902"/>
      <c r="U1049" s="902"/>
      <c r="V1049" s="902"/>
      <c r="W1049" s="902"/>
      <c r="X1049" s="902"/>
      <c r="Y1049" s="902"/>
      <c r="Z1049" s="902"/>
      <c r="AA1049" s="902"/>
      <c r="AB1049" s="902"/>
      <c r="AC1049" s="902"/>
    </row>
    <row r="1050" spans="1:29" ht="14.95" customHeight="1">
      <c r="A1050" s="981"/>
      <c r="B1050" s="910"/>
      <c r="C1050" s="910"/>
      <c r="D1050" s="902"/>
      <c r="E1050" s="980"/>
      <c r="F1050" s="980"/>
      <c r="G1050" s="910"/>
      <c r="H1050" s="979"/>
      <c r="I1050" s="902"/>
      <c r="J1050" s="902"/>
      <c r="K1050" s="902"/>
      <c r="L1050" s="902"/>
      <c r="M1050" s="902"/>
      <c r="N1050" s="902"/>
      <c r="O1050" s="902"/>
      <c r="P1050" s="902"/>
      <c r="Q1050" s="902"/>
      <c r="R1050" s="902"/>
      <c r="S1050" s="902"/>
      <c r="T1050" s="902"/>
      <c r="U1050" s="902"/>
      <c r="V1050" s="902"/>
      <c r="W1050" s="902"/>
      <c r="X1050" s="902"/>
      <c r="Y1050" s="902"/>
      <c r="Z1050" s="902"/>
      <c r="AA1050" s="902"/>
      <c r="AB1050" s="902"/>
      <c r="AC1050" s="902"/>
    </row>
    <row r="1051" spans="1:29" ht="14.95" customHeight="1">
      <c r="A1051" s="981"/>
      <c r="B1051" s="910"/>
      <c r="C1051" s="910"/>
      <c r="D1051" s="902"/>
      <c r="E1051" s="980"/>
      <c r="F1051" s="980"/>
      <c r="G1051" s="910"/>
      <c r="H1051" s="979"/>
      <c r="I1051" s="902"/>
      <c r="J1051" s="902"/>
      <c r="K1051" s="902"/>
      <c r="L1051" s="902"/>
      <c r="M1051" s="902"/>
      <c r="N1051" s="902"/>
      <c r="O1051" s="902"/>
      <c r="P1051" s="902"/>
      <c r="Q1051" s="902"/>
      <c r="R1051" s="902"/>
      <c r="S1051" s="902"/>
      <c r="T1051" s="902"/>
      <c r="U1051" s="902"/>
      <c r="V1051" s="902"/>
      <c r="W1051" s="902"/>
      <c r="X1051" s="902"/>
      <c r="Y1051" s="902"/>
      <c r="Z1051" s="902"/>
      <c r="AA1051" s="902"/>
      <c r="AB1051" s="902"/>
      <c r="AC1051" s="902"/>
    </row>
    <row r="1052" spans="1:29" ht="16.149999999999999" customHeight="1">
      <c r="A1052" s="975"/>
      <c r="B1052" s="910"/>
      <c r="C1052" s="910"/>
      <c r="D1052" s="902"/>
      <c r="E1052" s="980"/>
      <c r="F1052" s="980"/>
      <c r="G1052" s="910"/>
      <c r="H1052" s="979"/>
      <c r="I1052" s="902"/>
      <c r="J1052" s="902"/>
      <c r="K1052" s="902"/>
      <c r="L1052" s="902"/>
      <c r="M1052" s="902"/>
      <c r="N1052" s="902"/>
      <c r="O1052" s="902"/>
      <c r="P1052" s="902"/>
      <c r="Q1052" s="902"/>
      <c r="R1052" s="902"/>
      <c r="S1052" s="902"/>
      <c r="T1052" s="902"/>
      <c r="U1052" s="902"/>
      <c r="V1052" s="902"/>
      <c r="W1052" s="902"/>
      <c r="X1052" s="902"/>
      <c r="Y1052" s="902"/>
      <c r="Z1052" s="902"/>
      <c r="AA1052" s="902"/>
      <c r="AB1052" s="902"/>
      <c r="AC1052" s="902"/>
    </row>
    <row r="1053" spans="1:29" ht="16.149999999999999" customHeight="1">
      <c r="A1053" s="975"/>
      <c r="B1053" s="910"/>
      <c r="C1053" s="910"/>
      <c r="D1053" s="902"/>
      <c r="E1053" s="980"/>
      <c r="F1053" s="980"/>
      <c r="G1053" s="910"/>
      <c r="H1053" s="979"/>
      <c r="I1053" s="902"/>
      <c r="J1053" s="902"/>
      <c r="K1053" s="902"/>
      <c r="L1053" s="902"/>
      <c r="M1053" s="902"/>
      <c r="N1053" s="902"/>
      <c r="O1053" s="902"/>
      <c r="P1053" s="902"/>
      <c r="Q1053" s="902"/>
      <c r="R1053" s="902"/>
      <c r="S1053" s="902"/>
      <c r="T1053" s="902"/>
      <c r="U1053" s="902"/>
      <c r="V1053" s="902"/>
      <c r="W1053" s="902"/>
      <c r="X1053" s="902"/>
      <c r="Y1053" s="902"/>
      <c r="Z1053" s="902"/>
      <c r="AA1053" s="902"/>
      <c r="AB1053" s="902"/>
      <c r="AC1053" s="902"/>
    </row>
    <row r="1054" spans="1:29" ht="16.149999999999999" customHeight="1">
      <c r="A1054" s="975"/>
      <c r="B1054" s="910"/>
      <c r="C1054" s="910"/>
      <c r="D1054" s="902"/>
      <c r="E1054" s="980"/>
      <c r="F1054" s="980"/>
      <c r="G1054" s="910"/>
      <c r="H1054" s="979"/>
      <c r="I1054" s="902"/>
      <c r="J1054" s="902"/>
      <c r="K1054" s="902"/>
      <c r="L1054" s="902"/>
      <c r="M1054" s="902"/>
      <c r="N1054" s="902"/>
      <c r="O1054" s="902"/>
      <c r="P1054" s="902"/>
      <c r="Q1054" s="902"/>
      <c r="R1054" s="902"/>
      <c r="S1054" s="902"/>
      <c r="T1054" s="902"/>
      <c r="U1054" s="902"/>
      <c r="V1054" s="902"/>
      <c r="W1054" s="902"/>
      <c r="X1054" s="902"/>
      <c r="Y1054" s="902"/>
      <c r="Z1054" s="902"/>
      <c r="AA1054" s="902"/>
      <c r="AB1054" s="902"/>
      <c r="AC1054" s="902"/>
    </row>
    <row r="1055" spans="1:29" ht="16.149999999999999" customHeight="1">
      <c r="A1055" s="982" t="s">
        <v>1294</v>
      </c>
      <c r="B1055" s="983" t="s">
        <v>490</v>
      </c>
      <c r="C1055" s="983"/>
      <c r="D1055" s="984"/>
      <c r="E1055" s="985">
        <v>99000</v>
      </c>
      <c r="F1055" s="985"/>
      <c r="G1055" s="910"/>
      <c r="H1055" s="979"/>
      <c r="I1055" s="902" t="str">
        <f>IF(H1055="x",CONCATENATE(A1055,"; "),"")</f>
        <v/>
      </c>
      <c r="J1055" s="902"/>
      <c r="K1055" s="902"/>
      <c r="L1055" s="902"/>
      <c r="M1055" s="902"/>
      <c r="N1055" s="902"/>
      <c r="O1055" s="902"/>
      <c r="P1055" s="902"/>
      <c r="Q1055" s="902"/>
      <c r="R1055" s="902"/>
      <c r="S1055" s="902"/>
      <c r="T1055" s="902"/>
      <c r="U1055" s="902"/>
      <c r="V1055" s="902"/>
      <c r="W1055" s="902"/>
      <c r="X1055" s="902"/>
      <c r="Y1055" s="902"/>
      <c r="Z1055" s="902"/>
      <c r="AA1055" s="902"/>
      <c r="AB1055" s="902"/>
      <c r="AC1055" s="902"/>
    </row>
    <row r="1056" spans="1:29">
      <c r="A1056" s="986"/>
      <c r="B1056" s="983"/>
      <c r="C1056" s="983"/>
      <c r="D1056" s="984"/>
      <c r="E1056" s="985"/>
      <c r="F1056" s="985"/>
      <c r="G1056" s="910"/>
      <c r="H1056" s="979"/>
      <c r="I1056" s="902" t="str">
        <f>IF(H1056="x",CONCATENATE(A1056,"; "),"")</f>
        <v/>
      </c>
      <c r="J1056" s="902"/>
      <c r="K1056" s="902"/>
      <c r="L1056" s="902"/>
      <c r="M1056" s="902"/>
      <c r="N1056" s="902"/>
      <c r="O1056" s="902"/>
      <c r="P1056" s="902"/>
      <c r="Q1056" s="902"/>
      <c r="R1056" s="902"/>
      <c r="S1056" s="902"/>
      <c r="T1056" s="902"/>
      <c r="U1056" s="902"/>
      <c r="V1056" s="902"/>
      <c r="W1056" s="902"/>
      <c r="X1056" s="902"/>
      <c r="Y1056" s="902"/>
      <c r="Z1056" s="902"/>
      <c r="AA1056" s="902"/>
      <c r="AB1056" s="902"/>
      <c r="AC1056" s="902"/>
    </row>
    <row r="1057" spans="1:29">
      <c r="A1057" s="982" t="s">
        <v>1295</v>
      </c>
      <c r="B1057" s="983" t="s">
        <v>490</v>
      </c>
      <c r="C1057" s="983"/>
      <c r="D1057" s="984"/>
      <c r="E1057" s="985">
        <v>119000</v>
      </c>
      <c r="F1057" s="985"/>
      <c r="G1057" s="910"/>
      <c r="H1057" s="979"/>
      <c r="I1057" s="902" t="str">
        <f>IF(H1057="x",CONCATENATE(A1057,"; "),"")</f>
        <v/>
      </c>
      <c r="J1057" s="902"/>
      <c r="K1057" s="902"/>
      <c r="L1057" s="902"/>
      <c r="M1057" s="902"/>
      <c r="N1057" s="902"/>
      <c r="O1057" s="902"/>
      <c r="P1057" s="902"/>
      <c r="Q1057" s="902"/>
      <c r="R1057" s="902"/>
      <c r="S1057" s="902"/>
      <c r="T1057" s="902"/>
      <c r="U1057" s="902"/>
      <c r="V1057" s="902"/>
      <c r="W1057" s="902"/>
      <c r="X1057" s="902"/>
      <c r="Y1057" s="902"/>
      <c r="Z1057" s="902"/>
      <c r="AA1057" s="902"/>
      <c r="AB1057" s="902"/>
      <c r="AC1057" s="902"/>
    </row>
    <row r="1058" spans="1:29">
      <c r="A1058" s="987"/>
      <c r="B1058" s="898"/>
      <c r="C1058" s="898"/>
      <c r="D1058" s="899"/>
      <c r="E1058" s="899"/>
      <c r="F1058" s="899"/>
      <c r="G1058" s="900"/>
      <c r="H1058" s="901"/>
      <c r="I1058" s="902"/>
      <c r="J1058" s="902"/>
      <c r="K1058" s="903"/>
      <c r="L1058" s="903"/>
      <c r="M1058" s="927"/>
      <c r="N1058" s="927"/>
      <c r="O1058" s="902"/>
      <c r="P1058" s="902"/>
      <c r="Q1058" s="902"/>
      <c r="R1058" s="902"/>
      <c r="S1058" s="902"/>
      <c r="T1058" s="902"/>
      <c r="U1058" s="902"/>
      <c r="V1058" s="902"/>
      <c r="W1058" s="902"/>
      <c r="X1058" s="902"/>
      <c r="Y1058" s="902"/>
      <c r="Z1058" s="902"/>
      <c r="AA1058" s="902"/>
      <c r="AB1058" s="902"/>
      <c r="AC1058" s="902"/>
    </row>
    <row r="1059" spans="1:29">
      <c r="A1059" s="987"/>
      <c r="B1059" s="898"/>
      <c r="C1059" s="898"/>
      <c r="D1059" s="899"/>
      <c r="E1059" s="899"/>
      <c r="F1059" s="899"/>
      <c r="G1059" s="900"/>
      <c r="H1059" s="901"/>
      <c r="I1059" s="902"/>
      <c r="J1059" s="902"/>
      <c r="K1059" s="903"/>
      <c r="L1059" s="903"/>
      <c r="M1059" s="927"/>
      <c r="N1059" s="927"/>
      <c r="O1059" s="902"/>
      <c r="P1059" s="902"/>
      <c r="Q1059" s="902"/>
      <c r="R1059" s="902"/>
      <c r="S1059" s="902"/>
      <c r="T1059" s="902"/>
      <c r="U1059" s="902"/>
      <c r="V1059" s="902"/>
      <c r="W1059" s="902"/>
      <c r="X1059" s="902"/>
      <c r="Y1059" s="902"/>
      <c r="Z1059" s="902"/>
      <c r="AA1059" s="902"/>
      <c r="AB1059" s="902"/>
      <c r="AC1059" s="902"/>
    </row>
    <row r="1060" spans="1:29">
      <c r="A1060" s="987"/>
      <c r="B1060" s="898"/>
      <c r="C1060" s="898"/>
      <c r="D1060" s="899"/>
      <c r="E1060" s="899"/>
      <c r="F1060" s="899"/>
      <c r="G1060" s="900"/>
      <c r="H1060" s="901"/>
      <c r="I1060" s="902"/>
      <c r="J1060" s="902"/>
      <c r="K1060" s="903"/>
      <c r="L1060" s="903"/>
      <c r="M1060" s="927"/>
      <c r="N1060" s="927"/>
      <c r="O1060" s="902"/>
      <c r="P1060" s="902"/>
      <c r="Q1060" s="902"/>
      <c r="R1060" s="902"/>
      <c r="S1060" s="902"/>
      <c r="T1060" s="902"/>
      <c r="U1060" s="902"/>
      <c r="V1060" s="902"/>
      <c r="W1060" s="902"/>
      <c r="X1060" s="902"/>
      <c r="Y1060" s="902"/>
      <c r="Z1060" s="902"/>
      <c r="AA1060" s="902"/>
      <c r="AB1060" s="902"/>
      <c r="AC1060" s="902"/>
    </row>
    <row r="1061" spans="1:29">
      <c r="A1061" s="987"/>
      <c r="B1061" s="898"/>
      <c r="C1061" s="898"/>
      <c r="D1061" s="899"/>
      <c r="E1061" s="899"/>
      <c r="F1061" s="899"/>
      <c r="G1061" s="900"/>
      <c r="H1061" s="901"/>
      <c r="I1061" s="902"/>
      <c r="J1061" s="902"/>
      <c r="K1061" s="903"/>
      <c r="L1061" s="903"/>
      <c r="M1061" s="927"/>
      <c r="N1061" s="927"/>
      <c r="O1061" s="902"/>
      <c r="P1061" s="902"/>
      <c r="Q1061" s="902"/>
      <c r="R1061" s="902"/>
      <c r="S1061" s="902"/>
      <c r="T1061" s="902"/>
      <c r="U1061" s="902"/>
      <c r="V1061" s="902"/>
      <c r="W1061" s="902"/>
      <c r="X1061" s="902"/>
      <c r="Y1061" s="902"/>
      <c r="Z1061" s="902"/>
      <c r="AA1061" s="902"/>
      <c r="AB1061" s="902"/>
      <c r="AC1061" s="902"/>
    </row>
    <row r="1062" spans="1:29">
      <c r="A1062" s="987"/>
      <c r="B1062" s="898"/>
      <c r="C1062" s="898"/>
      <c r="D1062" s="899"/>
      <c r="E1062" s="899"/>
      <c r="F1062" s="899"/>
      <c r="G1062" s="900"/>
      <c r="H1062" s="901"/>
      <c r="I1062" s="902"/>
      <c r="J1062" s="902"/>
      <c r="K1062" s="903"/>
      <c r="L1062" s="903"/>
      <c r="M1062" s="927"/>
      <c r="N1062" s="927"/>
      <c r="O1062" s="902"/>
      <c r="P1062" s="902"/>
      <c r="Q1062" s="902"/>
      <c r="R1062" s="902"/>
      <c r="S1062" s="902"/>
      <c r="T1062" s="902"/>
      <c r="U1062" s="902"/>
      <c r="V1062" s="902"/>
      <c r="W1062" s="902"/>
      <c r="X1062" s="902"/>
      <c r="Y1062" s="902"/>
      <c r="Z1062" s="902"/>
      <c r="AA1062" s="902"/>
      <c r="AB1062" s="902"/>
      <c r="AC1062" s="902"/>
    </row>
    <row r="1063" spans="1:29">
      <c r="A1063" s="987"/>
      <c r="B1063" s="898"/>
      <c r="C1063" s="898"/>
      <c r="D1063" s="899"/>
      <c r="E1063" s="899"/>
      <c r="F1063" s="899"/>
      <c r="G1063" s="900"/>
      <c r="H1063" s="901"/>
      <c r="I1063" s="902"/>
      <c r="J1063" s="902"/>
      <c r="K1063" s="903"/>
      <c r="L1063" s="903"/>
      <c r="M1063" s="927"/>
      <c r="N1063" s="927"/>
      <c r="O1063" s="902"/>
      <c r="P1063" s="902"/>
      <c r="Q1063" s="902"/>
      <c r="R1063" s="902"/>
      <c r="S1063" s="902"/>
      <c r="T1063" s="902"/>
      <c r="U1063" s="902"/>
      <c r="V1063" s="902"/>
      <c r="W1063" s="902"/>
      <c r="X1063" s="902"/>
      <c r="Y1063" s="902"/>
      <c r="Z1063" s="902"/>
      <c r="AA1063" s="902"/>
      <c r="AB1063" s="902"/>
      <c r="AC1063" s="902"/>
    </row>
    <row r="1064" spans="1:29">
      <c r="A1064" s="987"/>
      <c r="B1064" s="898"/>
      <c r="C1064" s="898"/>
      <c r="D1064" s="899"/>
      <c r="E1064" s="899"/>
      <c r="F1064" s="899"/>
      <c r="G1064" s="900"/>
      <c r="H1064" s="901"/>
      <c r="I1064" s="902"/>
      <c r="J1064" s="902"/>
      <c r="K1064" s="903"/>
      <c r="L1064" s="903"/>
      <c r="M1064" s="927"/>
      <c r="N1064" s="927"/>
      <c r="O1064" s="902"/>
      <c r="P1064" s="902"/>
      <c r="Q1064" s="902"/>
      <c r="R1064" s="902"/>
      <c r="S1064" s="902"/>
      <c r="T1064" s="902"/>
      <c r="U1064" s="902"/>
      <c r="V1064" s="902"/>
      <c r="W1064" s="902"/>
      <c r="X1064" s="902"/>
      <c r="Y1064" s="902"/>
      <c r="Z1064" s="902"/>
      <c r="AA1064" s="902"/>
      <c r="AB1064" s="902"/>
      <c r="AC1064" s="902"/>
    </row>
    <row r="1065" spans="1:29">
      <c r="A1065" s="987"/>
      <c r="B1065" s="898"/>
      <c r="C1065" s="898"/>
      <c r="D1065" s="899"/>
      <c r="E1065" s="899"/>
      <c r="F1065" s="899"/>
      <c r="G1065" s="900"/>
      <c r="H1065" s="901"/>
      <c r="I1065" s="902"/>
      <c r="J1065" s="902"/>
      <c r="K1065" s="903"/>
      <c r="L1065" s="903"/>
      <c r="M1065" s="927"/>
      <c r="N1065" s="927"/>
      <c r="O1065" s="902"/>
      <c r="P1065" s="902"/>
      <c r="Q1065" s="902"/>
      <c r="R1065" s="902"/>
      <c r="S1065" s="902"/>
      <c r="T1065" s="902"/>
      <c r="U1065" s="902"/>
      <c r="V1065" s="902"/>
      <c r="W1065" s="902"/>
      <c r="X1065" s="902"/>
      <c r="Y1065" s="902"/>
      <c r="Z1065" s="902"/>
      <c r="AA1065" s="902"/>
      <c r="AB1065" s="902"/>
      <c r="AC1065" s="902"/>
    </row>
    <row r="1066" spans="1:29">
      <c r="A1066" s="987"/>
      <c r="B1066" s="898"/>
      <c r="C1066" s="898"/>
      <c r="D1066" s="899"/>
      <c r="E1066" s="899"/>
      <c r="F1066" s="899"/>
      <c r="G1066" s="900"/>
      <c r="H1066" s="901"/>
      <c r="I1066" s="902"/>
      <c r="J1066" s="902"/>
      <c r="K1066" s="903"/>
      <c r="L1066" s="903"/>
      <c r="M1066" s="927"/>
      <c r="N1066" s="927"/>
      <c r="O1066" s="902"/>
      <c r="P1066" s="902"/>
      <c r="Q1066" s="902"/>
      <c r="R1066" s="902"/>
      <c r="S1066" s="902"/>
      <c r="T1066" s="902"/>
      <c r="U1066" s="902"/>
      <c r="V1066" s="902"/>
      <c r="W1066" s="902"/>
      <c r="X1066" s="902"/>
      <c r="Y1066" s="902"/>
      <c r="Z1066" s="902"/>
      <c r="AA1066" s="902"/>
      <c r="AB1066" s="902"/>
      <c r="AC1066" s="902"/>
    </row>
    <row r="1067" spans="1:29">
      <c r="A1067" s="987"/>
      <c r="B1067" s="898"/>
      <c r="C1067" s="898"/>
      <c r="D1067" s="899"/>
      <c r="E1067" s="899"/>
      <c r="F1067" s="899"/>
      <c r="G1067" s="900"/>
      <c r="H1067" s="901"/>
      <c r="I1067" s="902"/>
      <c r="J1067" s="902"/>
      <c r="K1067" s="903"/>
      <c r="L1067" s="902"/>
      <c r="M1067" s="902"/>
      <c r="N1067" s="902"/>
      <c r="O1067" s="902"/>
      <c r="P1067" s="902"/>
      <c r="Q1067" s="902"/>
      <c r="R1067" s="902"/>
      <c r="S1067" s="902"/>
      <c r="T1067" s="902"/>
      <c r="U1067" s="902"/>
      <c r="V1067" s="902"/>
      <c r="W1067" s="902"/>
      <c r="X1067" s="902"/>
      <c r="Y1067" s="902"/>
      <c r="Z1067" s="902"/>
      <c r="AA1067" s="902"/>
      <c r="AB1067" s="902"/>
      <c r="AC1067" s="902"/>
    </row>
    <row r="1068" spans="1:29">
      <c r="A1068" s="987"/>
      <c r="B1068" s="898"/>
      <c r="C1068" s="898"/>
      <c r="D1068" s="899"/>
      <c r="E1068" s="899"/>
      <c r="F1068" s="899"/>
      <c r="G1068" s="900"/>
      <c r="H1068" s="901"/>
      <c r="I1068" s="902"/>
      <c r="J1068" s="902"/>
      <c r="K1068" s="903"/>
      <c r="L1068" s="902"/>
      <c r="M1068" s="902"/>
      <c r="N1068" s="902"/>
      <c r="O1068" s="902"/>
      <c r="P1068" s="902"/>
      <c r="Q1068" s="902"/>
      <c r="R1068" s="902"/>
      <c r="S1068" s="902"/>
      <c r="T1068" s="902"/>
      <c r="U1068" s="902"/>
      <c r="V1068" s="902"/>
      <c r="W1068" s="902"/>
      <c r="X1068" s="902"/>
      <c r="Y1068" s="902"/>
      <c r="Z1068" s="902"/>
      <c r="AA1068" s="902"/>
      <c r="AB1068" s="902"/>
      <c r="AC1068" s="902"/>
    </row>
    <row r="1069" spans="1:29">
      <c r="A1069" s="902"/>
      <c r="B1069" s="898"/>
      <c r="C1069" s="898"/>
      <c r="D1069" s="899"/>
      <c r="E1069" s="899"/>
      <c r="F1069" s="899"/>
      <c r="G1069" s="900"/>
      <c r="H1069" s="895"/>
      <c r="I1069" s="902"/>
      <c r="J1069" s="902"/>
      <c r="K1069" s="988"/>
      <c r="L1069" s="902"/>
      <c r="M1069" s="902"/>
      <c r="N1069" s="902"/>
      <c r="O1069" s="902"/>
      <c r="P1069" s="902"/>
      <c r="Q1069" s="902"/>
      <c r="R1069" s="902"/>
      <c r="S1069" s="902"/>
      <c r="T1069" s="902"/>
      <c r="U1069" s="902"/>
      <c r="V1069" s="902"/>
      <c r="W1069" s="902"/>
      <c r="X1069" s="902"/>
      <c r="Y1069" s="902"/>
      <c r="Z1069" s="902"/>
      <c r="AA1069" s="902"/>
      <c r="AB1069" s="902"/>
      <c r="AC1069" s="902"/>
    </row>
    <row r="1070" spans="1:29">
      <c r="A1070" s="989" t="s">
        <v>444</v>
      </c>
      <c r="B1070" s="990" t="s">
        <v>445</v>
      </c>
      <c r="C1070" s="990"/>
      <c r="D1070" s="991"/>
      <c r="E1070" s="992">
        <v>4000</v>
      </c>
      <c r="F1070" s="992"/>
      <c r="G1070" s="993"/>
      <c r="H1070" s="994"/>
      <c r="I1070" s="902" t="str">
        <f>IF(H1070="x",CONCATENATE(A1070," ;"),"")</f>
        <v/>
      </c>
      <c r="J1070" s="902"/>
      <c r="K1070" s="903"/>
      <c r="L1070" s="903"/>
      <c r="M1070" s="903"/>
      <c r="N1070" s="903"/>
      <c r="O1070" s="903"/>
      <c r="P1070" s="902"/>
      <c r="Q1070" s="902"/>
      <c r="R1070" s="902"/>
      <c r="S1070" s="903"/>
      <c r="T1070" s="902"/>
      <c r="U1070" s="902"/>
      <c r="V1070" s="902"/>
      <c r="W1070" s="902"/>
      <c r="X1070" s="902"/>
      <c r="Y1070" s="902"/>
      <c r="Z1070" s="902"/>
      <c r="AA1070" s="902"/>
      <c r="AB1070" s="902"/>
      <c r="AC1070" s="902"/>
    </row>
    <row r="1071" spans="1:29">
      <c r="A1071" s="989" t="s">
        <v>444</v>
      </c>
      <c r="B1071" s="990" t="s">
        <v>502</v>
      </c>
      <c r="C1071" s="990"/>
      <c r="D1071" s="991"/>
      <c r="E1071" s="992">
        <v>6000</v>
      </c>
      <c r="F1071" s="992"/>
      <c r="G1071" s="993"/>
      <c r="H1071" s="994"/>
      <c r="I1071" s="902" t="str">
        <f>IF(H1071="x",CONCATENATE(A1071," ;"),"")</f>
        <v/>
      </c>
      <c r="J1071" s="902"/>
      <c r="K1071" s="903"/>
      <c r="L1071" s="903"/>
      <c r="M1071" s="903"/>
      <c r="N1071" s="903"/>
      <c r="O1071" s="903"/>
      <c r="P1071" s="902"/>
      <c r="Q1071" s="902"/>
      <c r="R1071" s="902"/>
      <c r="S1071" s="903"/>
      <c r="T1071" s="902"/>
      <c r="U1071" s="902"/>
      <c r="V1071" s="902"/>
      <c r="W1071" s="902"/>
      <c r="X1071" s="902"/>
      <c r="Y1071" s="902"/>
      <c r="Z1071" s="902"/>
      <c r="AA1071" s="902"/>
      <c r="AB1071" s="902"/>
      <c r="AC1071" s="902"/>
    </row>
    <row r="1072" spans="1:29">
      <c r="A1072" s="989" t="s">
        <v>444</v>
      </c>
      <c r="B1072" s="990" t="s">
        <v>447</v>
      </c>
      <c r="C1072" s="990"/>
      <c r="D1072" s="991"/>
      <c r="E1072" s="992">
        <v>7000</v>
      </c>
      <c r="F1072" s="992"/>
      <c r="G1072" s="993"/>
      <c r="H1072" s="994"/>
      <c r="I1072" s="902" t="str">
        <f>IF(H1072="x",CONCATENATE(A1072," ;"),"")</f>
        <v/>
      </c>
      <c r="J1072" s="902"/>
      <c r="K1072" s="903"/>
      <c r="L1072" s="903"/>
      <c r="M1072" s="903"/>
      <c r="N1072" s="903"/>
      <c r="O1072" s="903"/>
      <c r="P1072" s="902"/>
      <c r="Q1072" s="902"/>
      <c r="R1072" s="902"/>
      <c r="S1072" s="903"/>
      <c r="T1072" s="902"/>
      <c r="U1072" s="902"/>
      <c r="V1072" s="902"/>
      <c r="W1072" s="902"/>
      <c r="X1072" s="902"/>
      <c r="Y1072" s="902"/>
      <c r="Z1072" s="902"/>
      <c r="AA1072" s="902"/>
      <c r="AB1072" s="902"/>
      <c r="AC1072" s="902"/>
    </row>
    <row r="1073" spans="1:29">
      <c r="A1073" s="902"/>
      <c r="B1073" s="910"/>
      <c r="C1073" s="910"/>
      <c r="D1073" s="902"/>
      <c r="E1073" s="899"/>
      <c r="F1073" s="899"/>
      <c r="G1073" s="910"/>
      <c r="H1073" s="895"/>
      <c r="I1073" s="902"/>
      <c r="J1073" s="902"/>
      <c r="K1073" s="903"/>
      <c r="L1073" s="903"/>
      <c r="M1073" s="903"/>
      <c r="N1073" s="903"/>
      <c r="O1073" s="903"/>
      <c r="P1073" s="902"/>
      <c r="Q1073" s="902"/>
      <c r="R1073" s="902"/>
      <c r="S1073" s="903"/>
      <c r="T1073" s="902"/>
      <c r="U1073" s="902"/>
      <c r="V1073" s="902"/>
      <c r="W1073" s="902"/>
      <c r="X1073" s="902"/>
      <c r="Y1073" s="902"/>
      <c r="Z1073" s="902"/>
      <c r="AA1073" s="902"/>
      <c r="AB1073" s="902"/>
      <c r="AC1073" s="902"/>
    </row>
    <row r="1074" spans="1:29">
      <c r="A1074" s="989" t="s">
        <v>500</v>
      </c>
      <c r="B1074" s="990" t="s">
        <v>445</v>
      </c>
      <c r="C1074" s="990"/>
      <c r="D1074" s="991"/>
      <c r="E1074" s="992">
        <v>3000</v>
      </c>
      <c r="F1074" s="992"/>
      <c r="G1074" s="993"/>
      <c r="H1074" s="994"/>
      <c r="I1074" s="902" t="str">
        <f>IF(H1074="x",CONCATENATE(A1074," ;"),"")</f>
        <v/>
      </c>
      <c r="J1074" s="902"/>
      <c r="K1074" s="903"/>
      <c r="L1074" s="903"/>
      <c r="M1074" s="903"/>
      <c r="N1074" s="903"/>
      <c r="O1074" s="903"/>
      <c r="P1074" s="902"/>
      <c r="Q1074" s="902"/>
      <c r="R1074" s="902"/>
      <c r="S1074" s="903"/>
      <c r="T1074" s="902"/>
      <c r="U1074" s="902"/>
      <c r="V1074" s="902"/>
      <c r="W1074" s="902"/>
      <c r="X1074" s="902"/>
      <c r="Y1074" s="902"/>
      <c r="Z1074" s="902"/>
      <c r="AA1074" s="902"/>
      <c r="AB1074" s="902"/>
      <c r="AC1074" s="902"/>
    </row>
    <row r="1075" spans="1:29">
      <c r="A1075" s="903"/>
      <c r="B1075" s="903"/>
      <c r="C1075" s="903"/>
      <c r="D1075" s="995"/>
      <c r="E1075" s="900" t="s">
        <v>1269</v>
      </c>
      <c r="F1075" s="900"/>
      <c r="G1075" s="1028"/>
      <c r="H1075" s="996"/>
      <c r="I1075" s="902"/>
      <c r="J1075" s="902"/>
      <c r="K1075" s="903"/>
      <c r="L1075" s="903"/>
      <c r="M1075" s="903"/>
      <c r="N1075" s="903"/>
      <c r="O1075" s="903"/>
      <c r="P1075" s="902"/>
      <c r="Q1075" s="902"/>
      <c r="R1075" s="902"/>
      <c r="S1075" s="903"/>
      <c r="T1075" s="902"/>
      <c r="U1075" s="902"/>
      <c r="V1075" s="902"/>
      <c r="W1075" s="902"/>
      <c r="X1075" s="902"/>
      <c r="Y1075" s="902"/>
      <c r="Z1075" s="902"/>
      <c r="AA1075" s="902"/>
      <c r="AB1075" s="902"/>
      <c r="AC1075" s="902"/>
    </row>
    <row r="1076" spans="1:29">
      <c r="A1076" s="997" t="s">
        <v>450</v>
      </c>
      <c r="B1076" s="903"/>
      <c r="C1076" s="903"/>
      <c r="D1076" s="995"/>
      <c r="E1076" s="900"/>
      <c r="F1076" s="900"/>
      <c r="G1076" s="1028"/>
      <c r="H1076" s="996"/>
      <c r="I1076" s="902"/>
      <c r="J1076" s="902"/>
      <c r="K1076" s="903"/>
      <c r="L1076" s="903"/>
      <c r="M1076" s="903"/>
      <c r="N1076" s="903"/>
      <c r="O1076" s="903"/>
      <c r="P1076" s="902"/>
      <c r="Q1076" s="902"/>
      <c r="R1076" s="902"/>
      <c r="S1076" s="903"/>
      <c r="T1076" s="902"/>
      <c r="U1076" s="902"/>
      <c r="V1076" s="902"/>
      <c r="W1076" s="902"/>
      <c r="X1076" s="902"/>
      <c r="Y1076" s="902"/>
      <c r="Z1076" s="902"/>
      <c r="AA1076" s="902"/>
      <c r="AB1076" s="902"/>
      <c r="AC1076" s="902"/>
    </row>
    <row r="1077" spans="1:29">
      <c r="A1077" s="1566" t="str">
        <f>IF(I3&amp;I26&amp;I56&amp;I94&amp;I114&amp;I118&amp;I144&amp;I195&amp;I206&amp;I211&amp;I221&amp;I263&amp;I272&amp;I284&amp;I290&amp;I297&amp;I306&amp;I316&amp;I371&amp;I462&amp;I501&amp;I543&amp;I588&amp;I588&amp;I631&amp;I675&amp;I719&amp;I722&amp;I744&amp;I768&amp;I775&amp;I784&amp;I796&amp;812&amp;I831&amp;I839&amp;I854="","-", I3&amp;I26&amp;I56&amp;I94&amp;I114&amp;I118&amp;I144&amp;I195&amp;I206&amp;I211&amp;I221&amp;I263&amp;I272&amp;I284&amp;I290&amp;I297&amp;I306&amp;I316&amp;I371&amp;I423&amp;I462&amp;I501&amp;I543&amp;I588&amp;I631&amp;I675&amp;I719&amp;I722&amp;I744&amp;I768&amp;I775&amp;I784&amp;I796&amp;I812&amp;I831&amp;I839&amp;I854)</f>
        <v/>
      </c>
      <c r="B1077" s="1566"/>
      <c r="C1077" s="1566"/>
      <c r="D1077" s="1566"/>
      <c r="E1077" s="1566"/>
      <c r="F1077" s="1566"/>
      <c r="G1077" s="1566"/>
      <c r="H1077" s="1566"/>
      <c r="I1077" s="902"/>
      <c r="J1077" s="902"/>
      <c r="K1077" s="903"/>
      <c r="L1077" s="903"/>
      <c r="M1077" s="903"/>
      <c r="N1077" s="903"/>
      <c r="O1077" s="903"/>
      <c r="P1077" s="902"/>
      <c r="Q1077" s="902"/>
      <c r="R1077" s="902"/>
      <c r="S1077" s="903"/>
      <c r="T1077" s="902"/>
      <c r="U1077" s="902"/>
      <c r="V1077" s="902"/>
      <c r="W1077" s="902"/>
      <c r="X1077" s="902"/>
      <c r="Y1077" s="902"/>
      <c r="Z1077" s="902"/>
      <c r="AA1077" s="902"/>
      <c r="AB1077" s="902"/>
      <c r="AC1077" s="902"/>
    </row>
    <row r="1078" spans="1:29">
      <c r="A1078" s="1567"/>
      <c r="B1078" s="1567"/>
      <c r="C1078" s="1567"/>
      <c r="D1078" s="1567"/>
      <c r="E1078" s="1567"/>
      <c r="F1078" s="1567"/>
      <c r="G1078" s="1567"/>
      <c r="H1078" s="1567"/>
      <c r="K1078" s="935"/>
      <c r="L1078" s="935"/>
      <c r="M1078" s="935"/>
      <c r="N1078" s="935"/>
      <c r="O1078" s="935"/>
      <c r="S1078" s="942"/>
    </row>
    <row r="1079" spans="1:29">
      <c r="A1079" s="1567"/>
      <c r="B1079" s="1567"/>
      <c r="C1079" s="1567"/>
      <c r="D1079" s="1567"/>
      <c r="E1079" s="1567"/>
      <c r="F1079" s="1567"/>
      <c r="G1079" s="1567"/>
      <c r="H1079" s="1567"/>
      <c r="K1079" s="935"/>
      <c r="L1079" s="935"/>
      <c r="M1079" s="935"/>
      <c r="N1079" s="935"/>
      <c r="O1079" s="935"/>
    </row>
    <row r="1080" spans="1:29">
      <c r="A1080" s="1567"/>
      <c r="B1080" s="1567"/>
      <c r="C1080" s="1567"/>
      <c r="D1080" s="1567"/>
      <c r="E1080" s="1567"/>
      <c r="F1080" s="1567"/>
      <c r="G1080" s="1567"/>
      <c r="H1080" s="1567"/>
      <c r="K1080" s="935"/>
      <c r="L1080" s="935"/>
      <c r="M1080" s="935"/>
      <c r="N1080" s="935"/>
      <c r="O1080" s="935"/>
    </row>
    <row r="1081" spans="1:29">
      <c r="A1081" s="1567"/>
      <c r="B1081" s="1567"/>
      <c r="C1081" s="1567"/>
      <c r="D1081" s="1567"/>
      <c r="E1081" s="1567"/>
      <c r="F1081" s="1567"/>
      <c r="G1081" s="1567"/>
      <c r="H1081" s="1567"/>
      <c r="K1081" s="935"/>
      <c r="L1081" s="935"/>
      <c r="M1081" s="935"/>
      <c r="N1081" s="935"/>
      <c r="O1081" s="935"/>
    </row>
    <row r="1082" spans="1:29">
      <c r="A1082" s="1567"/>
      <c r="B1082" s="1567"/>
      <c r="C1082" s="1567"/>
      <c r="D1082" s="1567"/>
      <c r="E1082" s="1567"/>
      <c r="F1082" s="1567"/>
      <c r="G1082" s="1567"/>
      <c r="H1082" s="1567"/>
      <c r="K1082" s="935"/>
      <c r="L1082" s="935"/>
      <c r="M1082" s="935"/>
      <c r="N1082" s="935"/>
      <c r="O1082" s="935"/>
    </row>
    <row r="1083" spans="1:29">
      <c r="A1083" s="1567"/>
      <c r="B1083" s="1567"/>
      <c r="C1083" s="1567"/>
      <c r="D1083" s="1567"/>
      <c r="E1083" s="1567"/>
      <c r="F1083" s="1567"/>
      <c r="G1083" s="1567"/>
      <c r="H1083" s="1567"/>
      <c r="K1083" s="935"/>
      <c r="L1083" s="935"/>
      <c r="M1083" s="935"/>
      <c r="N1083" s="935"/>
      <c r="O1083" s="942"/>
    </row>
    <row r="1084" spans="1:29">
      <c r="A1084" s="1567"/>
      <c r="B1084" s="1567"/>
      <c r="C1084" s="1567"/>
      <c r="D1084" s="1567"/>
      <c r="E1084" s="1567"/>
      <c r="F1084" s="1567"/>
      <c r="G1084" s="1567"/>
      <c r="H1084" s="1567"/>
      <c r="K1084" s="935"/>
      <c r="L1084" s="935"/>
      <c r="M1084" s="935"/>
      <c r="N1084" s="935"/>
      <c r="O1084" s="942"/>
    </row>
    <row r="1085" spans="1:29">
      <c r="A1085" s="1567"/>
      <c r="B1085" s="1567"/>
      <c r="C1085" s="1567"/>
      <c r="D1085" s="1567"/>
      <c r="E1085" s="1567"/>
      <c r="F1085" s="1567"/>
      <c r="G1085" s="1567"/>
      <c r="H1085" s="1567"/>
      <c r="K1085" s="935"/>
      <c r="L1085" s="935"/>
      <c r="M1085" s="935"/>
      <c r="N1085" s="935"/>
      <c r="O1085" s="942"/>
    </row>
    <row r="1086" spans="1:29">
      <c r="A1086" s="935"/>
      <c r="B1086" s="935"/>
      <c r="C1086" s="935"/>
      <c r="D1086" s="995"/>
      <c r="E1086" s="900"/>
      <c r="F1086" s="900"/>
      <c r="G1086" s="1196"/>
      <c r="H1086" s="998"/>
      <c r="K1086" s="935"/>
      <c r="L1086" s="935"/>
      <c r="N1086" s="942"/>
      <c r="O1086" s="942"/>
    </row>
    <row r="1087" spans="1:29">
      <c r="A1087" s="935"/>
      <c r="B1087" s="935"/>
      <c r="C1087" s="935"/>
      <c r="D1087" s="995"/>
      <c r="E1087" s="900"/>
      <c r="F1087" s="900"/>
      <c r="G1087" s="1196"/>
      <c r="H1087" s="998"/>
      <c r="K1087" s="935"/>
      <c r="L1087" s="935"/>
      <c r="M1087" s="942"/>
      <c r="N1087" s="1563"/>
      <c r="O1087" s="1563"/>
    </row>
    <row r="1088" spans="1:29" ht="16.3">
      <c r="A1088" s="935"/>
      <c r="B1088" s="1000" t="s">
        <v>451</v>
      </c>
      <c r="C1088" s="1000"/>
      <c r="D1088" s="1001">
        <f ca="1">SUMIF(H3:H1072,"x",E3)</f>
        <v>0</v>
      </c>
      <c r="E1088" s="900"/>
      <c r="F1088" s="900"/>
      <c r="G1088" s="1196"/>
      <c r="H1088" s="998"/>
      <c r="K1088" s="935"/>
      <c r="L1088" s="935"/>
      <c r="M1088" s="942"/>
      <c r="N1088" s="942"/>
      <c r="O1088" s="942"/>
    </row>
    <row r="1089" spans="1:25">
      <c r="K1089" s="935"/>
      <c r="L1089" s="935"/>
      <c r="M1089" s="942"/>
      <c r="N1089" s="942"/>
      <c r="O1089" s="942"/>
    </row>
    <row r="1090" spans="1:25">
      <c r="K1090" s="935"/>
      <c r="L1090" s="935"/>
      <c r="N1090" s="942"/>
    </row>
    <row r="1091" spans="1:25">
      <c r="A1091" s="1004" t="s">
        <v>492</v>
      </c>
      <c r="B1091" s="935"/>
      <c r="C1091" s="935"/>
      <c r="D1091" s="934"/>
      <c r="E1091" s="900"/>
      <c r="F1091" s="900"/>
      <c r="K1091" s="935"/>
      <c r="L1091" s="935"/>
      <c r="N1091" s="942"/>
    </row>
    <row r="1092" spans="1:25">
      <c r="A1092" s="935"/>
      <c r="B1092" s="935"/>
      <c r="C1092" s="935"/>
      <c r="D1092" s="1005"/>
      <c r="E1092" s="935"/>
      <c r="F1092" s="935"/>
      <c r="K1092" s="935"/>
      <c r="L1092" s="935"/>
      <c r="N1092" s="942"/>
    </row>
    <row r="1093" spans="1:25">
      <c r="A1093" s="935"/>
      <c r="B1093" s="935"/>
      <c r="C1093" s="935"/>
      <c r="D1093" s="1005"/>
      <c r="E1093" s="935"/>
      <c r="F1093" s="935"/>
      <c r="L1093" s="935"/>
      <c r="M1093" s="942"/>
      <c r="N1093" s="942"/>
      <c r="O1093" s="942"/>
    </row>
    <row r="1094" spans="1:25">
      <c r="L1094" s="935"/>
      <c r="M1094" s="935"/>
      <c r="N1094" s="935"/>
      <c r="O1094" s="935"/>
      <c r="W1094" s="935"/>
      <c r="Y1094" s="942"/>
    </row>
    <row r="1095" spans="1:25">
      <c r="L1095" s="935"/>
      <c r="M1095" s="935"/>
      <c r="N1095" s="935"/>
      <c r="O1095" s="935"/>
      <c r="W1095" s="935"/>
      <c r="Y1095" s="942"/>
    </row>
    <row r="1096" spans="1:25">
      <c r="L1096" s="935"/>
      <c r="M1096" s="935"/>
      <c r="N1096" s="935"/>
      <c r="O1096" s="935"/>
      <c r="W1096" s="935"/>
      <c r="Y1096" s="942"/>
    </row>
    <row r="1097" spans="1:25" ht="31.25">
      <c r="A1097" s="935">
        <f>COUNTIF(I1097,"&lt;&gt;0")</f>
        <v>0</v>
      </c>
      <c r="B1097" s="1561" t="s">
        <v>917</v>
      </c>
      <c r="C1097" s="1561"/>
      <c r="D1097" s="1561"/>
      <c r="E1097" s="1561"/>
      <c r="F1097" s="1006"/>
      <c r="I1097" s="1007">
        <f>COUNTIF(K3:K828,"BST")</f>
        <v>0</v>
      </c>
      <c r="J1097" s="1008" t="s">
        <v>880</v>
      </c>
      <c r="K1097" s="1008" t="s">
        <v>884</v>
      </c>
      <c r="L1097" s="935"/>
      <c r="M1097" s="935"/>
      <c r="N1097" s="935"/>
      <c r="O1097" s="935"/>
    </row>
    <row r="1098" spans="1:25">
      <c r="A1098" s="935">
        <f t="shared" ref="A1098:A1134" si="85">COUNTIF(I1098,"&lt;&gt;0")</f>
        <v>0</v>
      </c>
      <c r="B1098" s="1561" t="s">
        <v>915</v>
      </c>
      <c r="C1098" s="1561"/>
      <c r="D1098" s="1561"/>
      <c r="E1098" s="1561"/>
      <c r="F1098" s="1006"/>
      <c r="I1098" s="1007">
        <f>COUNTIF(K3:K828,"C")</f>
        <v>0</v>
      </c>
      <c r="J1098" s="1007" t="s">
        <v>599</v>
      </c>
      <c r="K1098" s="1007" t="s">
        <v>886</v>
      </c>
      <c r="L1098" s="935"/>
      <c r="M1098" s="935"/>
      <c r="N1098" s="935"/>
      <c r="O1098" s="935"/>
    </row>
    <row r="1099" spans="1:25">
      <c r="A1099" s="935">
        <f t="shared" si="85"/>
        <v>0</v>
      </c>
      <c r="B1099" s="1561" t="s">
        <v>918</v>
      </c>
      <c r="C1099" s="1561"/>
      <c r="D1099" s="1561"/>
      <c r="E1099" s="1561"/>
      <c r="F1099" s="1006"/>
      <c r="I1099" s="1007">
        <f>COUNTIF(K3:K828,"CP")</f>
        <v>0</v>
      </c>
      <c r="J1099" s="1009" t="s">
        <v>595</v>
      </c>
      <c r="K1099" s="1009" t="s">
        <v>922</v>
      </c>
      <c r="L1099" s="935"/>
      <c r="M1099" s="935"/>
      <c r="N1099" s="935"/>
      <c r="O1099" s="935"/>
    </row>
    <row r="1100" spans="1:25">
      <c r="A1100" s="935">
        <f t="shared" si="85"/>
        <v>0</v>
      </c>
      <c r="B1100" s="1561" t="s">
        <v>1253</v>
      </c>
      <c r="C1100" s="1561"/>
      <c r="D1100" s="1561"/>
      <c r="E1100" s="1561"/>
      <c r="F1100" s="1006"/>
      <c r="I1100" s="1007">
        <f>COUNTIF(K3:K828,"E")</f>
        <v>0</v>
      </c>
      <c r="J1100" s="1007" t="s">
        <v>604</v>
      </c>
      <c r="K1100" s="1007" t="s">
        <v>890</v>
      </c>
      <c r="L1100" s="935"/>
      <c r="M1100" s="935"/>
      <c r="N1100" s="935"/>
      <c r="O1100" s="935"/>
    </row>
    <row r="1101" spans="1:25" ht="31.25">
      <c r="A1101" s="935">
        <f t="shared" si="85"/>
        <v>0</v>
      </c>
      <c r="B1101" s="1561" t="s">
        <v>916</v>
      </c>
      <c r="C1101" s="1561"/>
      <c r="D1101" s="1561"/>
      <c r="E1101" s="1561"/>
      <c r="F1101" s="1006"/>
      <c r="I1101" s="1007">
        <f>COUNTIF(K3:K828,"E6")</f>
        <v>0</v>
      </c>
      <c r="J1101" s="1008" t="s">
        <v>856</v>
      </c>
      <c r="K1101" s="1008" t="s">
        <v>892</v>
      </c>
      <c r="L1101" s="935"/>
      <c r="M1101" s="935"/>
      <c r="N1101" s="935"/>
      <c r="O1101" s="935"/>
    </row>
    <row r="1102" spans="1:25" ht="31.25">
      <c r="A1102" s="935">
        <f t="shared" si="85"/>
        <v>0</v>
      </c>
      <c r="B1102" s="1561" t="s">
        <v>919</v>
      </c>
      <c r="C1102" s="1561"/>
      <c r="D1102" s="1561"/>
      <c r="E1102" s="1561"/>
      <c r="F1102" s="1006"/>
      <c r="I1102" s="1007">
        <f>COUNTIF(K3:K828,"E9")</f>
        <v>0</v>
      </c>
      <c r="J1102" s="1008" t="s">
        <v>894</v>
      </c>
      <c r="K1102" s="1008" t="s">
        <v>895</v>
      </c>
      <c r="L1102" s="935"/>
      <c r="M1102" s="935"/>
      <c r="N1102" s="935"/>
      <c r="O1102" s="935"/>
    </row>
    <row r="1103" spans="1:25">
      <c r="A1103" s="935">
        <f t="shared" si="85"/>
        <v>0</v>
      </c>
      <c r="B1103" s="1561" t="s">
        <v>920</v>
      </c>
      <c r="C1103" s="1561"/>
      <c r="D1103" s="1561"/>
      <c r="E1103" s="1561"/>
      <c r="F1103" s="1006"/>
      <c r="I1103" s="1007">
        <f>COUNTIF(K3:K828,"EP")</f>
        <v>0</v>
      </c>
      <c r="J1103" s="1008" t="s">
        <v>575</v>
      </c>
      <c r="K1103" s="1008" t="s">
        <v>897</v>
      </c>
      <c r="L1103" s="935"/>
      <c r="M1103" s="935"/>
      <c r="N1103" s="935"/>
      <c r="O1103" s="935"/>
    </row>
    <row r="1104" spans="1:25">
      <c r="A1104" s="935">
        <f t="shared" si="85"/>
        <v>0</v>
      </c>
      <c r="B1104" s="1561" t="s">
        <v>921</v>
      </c>
      <c r="C1104" s="1561"/>
      <c r="D1104" s="1561"/>
      <c r="E1104" s="1561"/>
      <c r="F1104" s="1006"/>
      <c r="I1104" s="1007">
        <f>COUNTIF(K3:K828,"G")</f>
        <v>0</v>
      </c>
      <c r="J1104" s="1008" t="s">
        <v>551</v>
      </c>
      <c r="K1104" s="1008" t="s">
        <v>899</v>
      </c>
      <c r="L1104" s="935"/>
      <c r="M1104" s="935"/>
      <c r="N1104" s="935"/>
      <c r="O1104" s="942"/>
    </row>
    <row r="1105" spans="1:15">
      <c r="A1105" s="935">
        <f t="shared" si="85"/>
        <v>0</v>
      </c>
      <c r="B1105" s="1561" t="s">
        <v>923</v>
      </c>
      <c r="C1105" s="1561"/>
      <c r="D1105" s="1561"/>
      <c r="E1105" s="1561"/>
      <c r="F1105" s="1006"/>
      <c r="I1105" s="1007">
        <f>COUNTIF(K3:K828,"G+E")</f>
        <v>0</v>
      </c>
      <c r="J1105" s="1008" t="s">
        <v>901</v>
      </c>
      <c r="K1105" s="1008" t="s">
        <v>902</v>
      </c>
      <c r="L1105" s="935"/>
      <c r="M1105" s="935"/>
      <c r="N1105" s="935"/>
      <c r="O1105" s="942"/>
    </row>
    <row r="1106" spans="1:15" ht="31.25">
      <c r="A1106" s="935">
        <f t="shared" si="85"/>
        <v>0</v>
      </c>
      <c r="B1106" s="1561" t="s">
        <v>924</v>
      </c>
      <c r="C1106" s="1561"/>
      <c r="D1106" s="1561"/>
      <c r="E1106" s="1561"/>
      <c r="F1106" s="1006"/>
      <c r="I1106" s="1007">
        <f>COUNTIF(K3:K828,"NaE")</f>
        <v>0</v>
      </c>
      <c r="J1106" s="1008" t="s">
        <v>683</v>
      </c>
      <c r="K1106" s="1008" t="s">
        <v>904</v>
      </c>
      <c r="L1106" s="935"/>
      <c r="M1106" s="935"/>
      <c r="N1106" s="935"/>
      <c r="O1106" s="942"/>
    </row>
    <row r="1107" spans="1:15">
      <c r="A1107" s="935">
        <f t="shared" si="85"/>
        <v>0</v>
      </c>
      <c r="B1107" s="1561" t="s">
        <v>925</v>
      </c>
      <c r="C1107" s="1561"/>
      <c r="D1107" s="1561"/>
      <c r="E1107" s="1561"/>
      <c r="F1107" s="1006"/>
      <c r="I1107" s="1007">
        <f>COUNTIF(K3:K828,"GM")</f>
        <v>0</v>
      </c>
      <c r="J1107" s="1008" t="s">
        <v>554</v>
      </c>
      <c r="K1107" s="1008" t="s">
        <v>906</v>
      </c>
      <c r="L1107" s="935"/>
      <c r="N1107" s="942"/>
      <c r="O1107" s="942"/>
    </row>
    <row r="1108" spans="1:15" ht="31.25">
      <c r="A1108" s="935">
        <f t="shared" si="85"/>
        <v>0</v>
      </c>
      <c r="B1108" s="1561" t="s">
        <v>926</v>
      </c>
      <c r="C1108" s="1561"/>
      <c r="D1108" s="1561"/>
      <c r="E1108" s="1561"/>
      <c r="F1108" s="1006"/>
      <c r="I1108" s="1007">
        <f>COUNTIF(K3:K828,"H")</f>
        <v>0</v>
      </c>
      <c r="J1108" s="1008" t="s">
        <v>627</v>
      </c>
      <c r="K1108" s="1008" t="s">
        <v>908</v>
      </c>
      <c r="L1108" s="935"/>
      <c r="M1108" s="942"/>
      <c r="N1108" s="1563"/>
      <c r="O1108" s="1563"/>
    </row>
    <row r="1109" spans="1:15" ht="109.4">
      <c r="A1109" s="935">
        <f t="shared" si="85"/>
        <v>0</v>
      </c>
      <c r="B1109" s="1561" t="s">
        <v>927</v>
      </c>
      <c r="C1109" s="1561"/>
      <c r="D1109" s="1561"/>
      <c r="E1109" s="1561"/>
      <c r="F1109" s="1006"/>
      <c r="I1109" s="1007">
        <f>COUNTIF(K3:K828,"KK")</f>
        <v>0</v>
      </c>
      <c r="J1109" s="1008" t="s">
        <v>738</v>
      </c>
      <c r="K1109" s="1008" t="s">
        <v>911</v>
      </c>
      <c r="L1109" s="935"/>
      <c r="M1109" s="942"/>
      <c r="N1109" s="942"/>
      <c r="O1109" s="942"/>
    </row>
    <row r="1110" spans="1:15" ht="31.25">
      <c r="A1110" s="935">
        <f t="shared" si="85"/>
        <v>0</v>
      </c>
      <c r="B1110" s="1561" t="s">
        <v>928</v>
      </c>
      <c r="C1110" s="1561"/>
      <c r="D1110" s="1561"/>
      <c r="E1110" s="1561"/>
      <c r="F1110" s="1006"/>
      <c r="I1110" s="1007">
        <f>COUNTIF(K3:K828,"SGY")</f>
        <v>0</v>
      </c>
      <c r="J1110" s="1008" t="s">
        <v>731</v>
      </c>
      <c r="K1110" s="1008" t="s">
        <v>914</v>
      </c>
      <c r="L1110" s="935"/>
      <c r="M1110" s="942"/>
      <c r="N1110" s="942"/>
      <c r="O1110" s="942"/>
    </row>
    <row r="1111" spans="1:15" ht="31.25">
      <c r="A1111" s="935">
        <f t="shared" si="85"/>
        <v>0</v>
      </c>
      <c r="B1111" s="1563" t="s">
        <v>929</v>
      </c>
      <c r="C1111" s="1563"/>
      <c r="D1111" s="1563"/>
      <c r="E1111" s="1563"/>
      <c r="F1111" s="999"/>
      <c r="I1111" s="1007">
        <f>COUNTIF(K3:K828,"SP1")</f>
        <v>0</v>
      </c>
      <c r="J1111" s="1008" t="s">
        <v>788</v>
      </c>
      <c r="K1111" s="1008" t="s">
        <v>885</v>
      </c>
      <c r="L1111" s="935"/>
      <c r="M1111" s="942"/>
      <c r="N1111" s="942"/>
      <c r="O1111" s="942"/>
    </row>
    <row r="1112" spans="1:15" ht="46.9">
      <c r="A1112" s="935">
        <f t="shared" si="85"/>
        <v>0</v>
      </c>
      <c r="B1112" s="935" t="s">
        <v>930</v>
      </c>
      <c r="C1112" s="935"/>
      <c r="D1112" s="934"/>
      <c r="E1112" s="900"/>
      <c r="F1112" s="900"/>
      <c r="I1112" s="1007">
        <f>COUNTIF(K3:K828,"SP2")</f>
        <v>0</v>
      </c>
      <c r="J1112" s="1008" t="s">
        <v>722</v>
      </c>
      <c r="K1112" s="1008" t="s">
        <v>887</v>
      </c>
      <c r="L1112" s="935"/>
      <c r="M1112" s="942"/>
      <c r="N1112" s="942"/>
      <c r="O1112" s="942"/>
    </row>
    <row r="1113" spans="1:15" ht="46.9">
      <c r="A1113" s="935">
        <f t="shared" si="85"/>
        <v>0</v>
      </c>
      <c r="B1113" s="935" t="s">
        <v>931</v>
      </c>
      <c r="C1113" s="935"/>
      <c r="D1113" s="934"/>
      <c r="E1113" s="900"/>
      <c r="F1113" s="900"/>
      <c r="I1113" s="1007">
        <f>COUNTIF(K3:K828,"SP4")</f>
        <v>0</v>
      </c>
      <c r="J1113" s="1008" t="s">
        <v>608</v>
      </c>
      <c r="K1113" s="1008" t="s">
        <v>889</v>
      </c>
      <c r="L1113" s="935"/>
      <c r="M1113" s="942"/>
      <c r="N1113" s="942"/>
    </row>
    <row r="1114" spans="1:15">
      <c r="A1114" s="935">
        <f t="shared" si="85"/>
        <v>0</v>
      </c>
      <c r="B1114" s="935" t="s">
        <v>932</v>
      </c>
      <c r="C1114" s="935"/>
      <c r="I1114" s="1007">
        <f>COUNTIF(K3:K828,"ST")</f>
        <v>0</v>
      </c>
      <c r="J1114" s="1008" t="s">
        <v>736</v>
      </c>
      <c r="K1114" s="1008" t="s">
        <v>891</v>
      </c>
    </row>
    <row r="1115" spans="1:15">
      <c r="A1115" s="935">
        <f t="shared" si="85"/>
        <v>0</v>
      </c>
      <c r="B1115" s="935" t="s">
        <v>933</v>
      </c>
      <c r="C1115" s="935"/>
      <c r="I1115" s="1007">
        <f>COUNTIF(K3:K828,"SZM")</f>
        <v>0</v>
      </c>
      <c r="J1115" s="1008" t="s">
        <v>642</v>
      </c>
      <c r="K1115" s="1008" t="s">
        <v>893</v>
      </c>
    </row>
    <row r="1116" spans="1:15" ht="46.9">
      <c r="A1116" s="935">
        <f t="shared" si="85"/>
        <v>0</v>
      </c>
      <c r="B1116" s="935" t="s">
        <v>934</v>
      </c>
      <c r="C1116" s="935"/>
      <c r="I1116" s="1007">
        <f>COUNTIF(K3:K828,"SZS")</f>
        <v>0</v>
      </c>
      <c r="J1116" s="1008" t="s">
        <v>690</v>
      </c>
      <c r="K1116" s="1008" t="s">
        <v>896</v>
      </c>
    </row>
    <row r="1117" spans="1:15" ht="31.25">
      <c r="A1117" s="935">
        <f t="shared" si="85"/>
        <v>0</v>
      </c>
      <c r="B1117" s="935" t="s">
        <v>935</v>
      </c>
      <c r="C1117" s="935"/>
      <c r="I1117" s="1007">
        <f>COUNTIF(K3:K828,"SZT")</f>
        <v>0</v>
      </c>
      <c r="J1117" s="1008" t="s">
        <v>528</v>
      </c>
      <c r="K1117" s="1008" t="s">
        <v>898</v>
      </c>
    </row>
    <row r="1118" spans="1:15">
      <c r="A1118" s="935">
        <f t="shared" si="85"/>
        <v>0</v>
      </c>
      <c r="B1118" s="935" t="s">
        <v>1254</v>
      </c>
      <c r="C1118" s="935"/>
      <c r="I1118" s="1007">
        <f>COUNTIF(K3:K828,"V")</f>
        <v>0</v>
      </c>
      <c r="J1118" s="1008" t="s">
        <v>476</v>
      </c>
      <c r="K1118" s="1008" t="s">
        <v>900</v>
      </c>
    </row>
    <row r="1119" spans="1:15" ht="46.9">
      <c r="A1119" s="935">
        <f t="shared" si="85"/>
        <v>0</v>
      </c>
      <c r="B1119" s="935" t="s">
        <v>936</v>
      </c>
      <c r="C1119" s="935"/>
      <c r="I1119" s="1007">
        <f>COUNTIF(K3:K828,"VK")</f>
        <v>0</v>
      </c>
      <c r="J1119" s="1008" t="s">
        <v>527</v>
      </c>
      <c r="K1119" s="1008" t="s">
        <v>903</v>
      </c>
    </row>
    <row r="1120" spans="1:15" ht="31.25">
      <c r="A1120" s="935">
        <f t="shared" si="85"/>
        <v>0</v>
      </c>
      <c r="B1120" s="935" t="s">
        <v>937</v>
      </c>
      <c r="C1120" s="935"/>
      <c r="I1120" s="1007">
        <f>COUNTIF(K3:K828,"PS")</f>
        <v>0</v>
      </c>
      <c r="J1120" s="1008" t="s">
        <v>778</v>
      </c>
      <c r="K1120" s="1008" t="s">
        <v>905</v>
      </c>
    </row>
    <row r="1121" spans="1:11" ht="46.9">
      <c r="A1121" s="935">
        <f t="shared" si="85"/>
        <v>0</v>
      </c>
      <c r="B1121" s="935" t="s">
        <v>938</v>
      </c>
      <c r="C1121" s="935"/>
      <c r="I1121" s="1007">
        <f>COUNTIF(K3:K828,"VR")</f>
        <v>0</v>
      </c>
      <c r="J1121" s="1008" t="s">
        <v>1306</v>
      </c>
      <c r="K1121" s="1008" t="s">
        <v>907</v>
      </c>
    </row>
    <row r="1122" spans="1:11" ht="31.25">
      <c r="A1122" s="935">
        <f t="shared" si="85"/>
        <v>0</v>
      </c>
      <c r="B1122" s="935" t="s">
        <v>939</v>
      </c>
      <c r="C1122" s="935"/>
      <c r="I1122" s="1007">
        <f>COUNTIF(K3:K828,"V24")</f>
        <v>0</v>
      </c>
      <c r="J1122" s="1008" t="s">
        <v>1307</v>
      </c>
      <c r="K1122" s="1008" t="s">
        <v>910</v>
      </c>
    </row>
    <row r="1123" spans="1:11" ht="46.9">
      <c r="A1123" s="935">
        <f t="shared" si="85"/>
        <v>0</v>
      </c>
      <c r="B1123" s="935" t="s">
        <v>940</v>
      </c>
      <c r="C1123" s="935"/>
      <c r="I1123" s="1007">
        <f>COUNTIF(K3:K828,"2LH+G")</f>
        <v>0</v>
      </c>
      <c r="J1123" s="1008" t="s">
        <v>912</v>
      </c>
      <c r="K1123" s="1008" t="s">
        <v>913</v>
      </c>
    </row>
    <row r="1124" spans="1:11" ht="16.3">
      <c r="A1124" s="935">
        <f t="shared" si="85"/>
        <v>0</v>
      </c>
      <c r="B1124" s="1565" t="s">
        <v>1151</v>
      </c>
      <c r="C1124" s="1565"/>
      <c r="D1124" s="1565"/>
      <c r="E1124" s="1565"/>
      <c r="F1124" s="1010"/>
      <c r="I1124" s="935">
        <f>COUNTIF(K3:K828,"ZöldSz")</f>
        <v>0</v>
      </c>
      <c r="J1124" s="890" t="s">
        <v>1145</v>
      </c>
      <c r="K1124" s="1011" t="s">
        <v>1150</v>
      </c>
    </row>
    <row r="1125" spans="1:11" ht="16.3">
      <c r="A1125" s="935">
        <f t="shared" si="85"/>
        <v>0</v>
      </c>
      <c r="B1125" s="1010" t="s">
        <v>1252</v>
      </c>
      <c r="C1125" s="1010"/>
      <c r="D1125" s="1010"/>
      <c r="E1125" s="1010"/>
      <c r="F1125" s="1010"/>
      <c r="I1125" s="935">
        <f>COUNTIF(K3:K828,"Külsős G")</f>
        <v>0</v>
      </c>
      <c r="J1125" s="1012" t="s">
        <v>1140</v>
      </c>
      <c r="K1125" s="1011" t="s">
        <v>1161</v>
      </c>
    </row>
    <row r="1126" spans="1:11" ht="31.25">
      <c r="A1126" s="935">
        <f t="shared" si="85"/>
        <v>0</v>
      </c>
      <c r="B1126" s="1010" t="s">
        <v>1162</v>
      </c>
      <c r="C1126" s="1010"/>
      <c r="D1126" s="1010"/>
      <c r="E1126" s="1010"/>
      <c r="F1126" s="1010"/>
      <c r="I1126" s="935">
        <f>COUNTIF(K3:K828,"Külsős E8")</f>
        <v>0</v>
      </c>
      <c r="J1126" s="1012" t="s">
        <v>1144</v>
      </c>
      <c r="K1126" s="1011" t="s">
        <v>1144</v>
      </c>
    </row>
    <row r="1127" spans="1:11" ht="31.25">
      <c r="A1127" s="935">
        <f t="shared" si="85"/>
        <v>0</v>
      </c>
      <c r="B1127" s="1010" t="s">
        <v>1201</v>
      </c>
      <c r="C1127" s="1010"/>
      <c r="D1127" s="1010"/>
      <c r="E1127" s="1010"/>
      <c r="F1127" s="1010"/>
      <c r="I1127" s="1007">
        <f>COUNTIF(K3:K828,"NaE30")</f>
        <v>0</v>
      </c>
      <c r="J1127" s="1008" t="s">
        <v>1146</v>
      </c>
      <c r="K1127" s="1008" t="s">
        <v>904</v>
      </c>
    </row>
    <row r="1128" spans="1:11" ht="31.25">
      <c r="A1128" s="935">
        <f t="shared" si="85"/>
        <v>0</v>
      </c>
      <c r="B1128" s="1010" t="s">
        <v>1202</v>
      </c>
      <c r="C1128" s="1010"/>
      <c r="D1128" s="1010"/>
      <c r="E1128" s="1010"/>
      <c r="F1128" s="1010"/>
      <c r="I1128" s="1007">
        <f>COUNTIF(K3:K828,"NaE60")</f>
        <v>0</v>
      </c>
      <c r="J1128" s="1008" t="s">
        <v>1146</v>
      </c>
      <c r="K1128" s="1008" t="s">
        <v>904</v>
      </c>
    </row>
    <row r="1129" spans="1:11" ht="31.25">
      <c r="A1129" s="935">
        <f t="shared" si="85"/>
        <v>0</v>
      </c>
      <c r="B1129" s="1010" t="s">
        <v>1203</v>
      </c>
      <c r="C1129" s="1010"/>
      <c r="D1129" s="1010"/>
      <c r="E1129" s="1010"/>
      <c r="F1129" s="1010"/>
      <c r="I1129" s="1007">
        <f>COUNTIF(K3:K828,"NaE90")</f>
        <v>0</v>
      </c>
      <c r="J1129" s="1013" t="s">
        <v>1147</v>
      </c>
      <c r="K1129" s="1013" t="s">
        <v>904</v>
      </c>
    </row>
    <row r="1130" spans="1:11" ht="31.25">
      <c r="A1130" s="935">
        <f t="shared" si="85"/>
        <v>0</v>
      </c>
      <c r="B1130" s="1010" t="s">
        <v>1204</v>
      </c>
      <c r="C1130" s="1010"/>
      <c r="D1130" s="1010"/>
      <c r="E1130" s="1010"/>
      <c r="F1130" s="1010"/>
      <c r="I1130" s="1007">
        <f>COUNTIF(K3:K828,"NaE120")</f>
        <v>0</v>
      </c>
      <c r="J1130" s="1013" t="s">
        <v>1141</v>
      </c>
      <c r="K1130" s="1013" t="s">
        <v>904</v>
      </c>
    </row>
    <row r="1131" spans="1:11">
      <c r="A1131" s="935">
        <f t="shared" si="85"/>
        <v>0</v>
      </c>
      <c r="B1131" s="1010" t="s">
        <v>1205</v>
      </c>
      <c r="C1131" s="1010"/>
      <c r="D1131" s="1010"/>
      <c r="E1131" s="1010"/>
      <c r="F1131" s="1010"/>
      <c r="I1131" s="1007">
        <f>COUNTIF(K3:K828,"G30")</f>
        <v>0</v>
      </c>
      <c r="J1131" s="1008" t="s">
        <v>1148</v>
      </c>
      <c r="K1131" s="1008" t="s">
        <v>899</v>
      </c>
    </row>
    <row r="1132" spans="1:11">
      <c r="A1132" s="935">
        <f t="shared" si="85"/>
        <v>0</v>
      </c>
      <c r="B1132" s="1010" t="s">
        <v>1206</v>
      </c>
      <c r="C1132" s="1010"/>
      <c r="D1132" s="1010"/>
      <c r="E1132" s="1010"/>
      <c r="F1132" s="1010"/>
      <c r="I1132" s="1007">
        <f>COUNTIF(K3:K828,"G60")</f>
        <v>0</v>
      </c>
      <c r="J1132" s="1008" t="s">
        <v>1143</v>
      </c>
      <c r="K1132" s="1008" t="s">
        <v>899</v>
      </c>
    </row>
    <row r="1133" spans="1:11">
      <c r="A1133" s="935">
        <f t="shared" si="85"/>
        <v>0</v>
      </c>
      <c r="B1133" s="1010" t="s">
        <v>1207</v>
      </c>
      <c r="C1133" s="1010"/>
      <c r="D1133" s="1010"/>
      <c r="E1133" s="1010"/>
      <c r="F1133" s="1010"/>
      <c r="I1133" s="1007">
        <f>COUNTIF(K3:K828,"G90")</f>
        <v>0</v>
      </c>
      <c r="J1133" s="1008" t="s">
        <v>1149</v>
      </c>
      <c r="K1133" s="1008" t="s">
        <v>899</v>
      </c>
    </row>
    <row r="1134" spans="1:11">
      <c r="A1134" s="935">
        <f t="shared" si="85"/>
        <v>0</v>
      </c>
      <c r="B1134" s="1010" t="s">
        <v>1208</v>
      </c>
      <c r="C1134" s="1010"/>
      <c r="D1134" s="1010"/>
      <c r="E1134" s="1010"/>
      <c r="F1134" s="1010"/>
      <c r="I1134" s="1007">
        <f>COUNTIF(K3:K828,"G120")</f>
        <v>0</v>
      </c>
      <c r="J1134" s="1008" t="s">
        <v>1142</v>
      </c>
      <c r="K1134" s="1008" t="s">
        <v>899</v>
      </c>
    </row>
    <row r="1135" spans="1:11">
      <c r="A1135" s="935"/>
      <c r="B1135" s="1010"/>
      <c r="C1135" s="1010"/>
      <c r="D1135" s="1010"/>
      <c r="E1135" s="1010"/>
      <c r="F1135" s="1010"/>
      <c r="I1135" s="935"/>
      <c r="J1135" s="1012"/>
      <c r="K1135" s="1012"/>
    </row>
    <row r="1136" spans="1:11">
      <c r="J1136" s="1004" t="s">
        <v>1209</v>
      </c>
    </row>
    <row r="1137" spans="10:23" ht="16.149999999999999" customHeight="1">
      <c r="J1137" s="1562" t="str">
        <f>IF(A1097&lt;&gt;0,CONCATENATE(A1097," ",CONCATENATE(B1097,""),CONCATENATE("; ")),"")&amp;IF(A1098&lt;&gt;0,CONCATENATE(A1098," ",CONCATENATE(B1098,""),CONCATENATE("; ")),"")&amp;IF(A1099&lt;&gt;0,CONCATENATE(A1099," ",CONCATENATE(B1099,""),CONCATENATE("; ")),"")&amp;IF(A1100&lt;&gt;0,CONCATENATE(A1100," ",CONCATENATE(B1100,""),CONCATENATE("; ")),"")&amp;IF(A1101&lt;&gt;0,CONCATENATE(A1101," ",CONCATENATE(B1101,""),CONCATENATE("; ")),"")&amp;IF(A1102&lt;&gt;0,CONCATENATE(A1102," ",CONCATENATE(B1102,""),CONCATENATE("; ")),"")&amp;IF(A1103&lt;&gt;0,CONCATENATE(A1103," ",CONCATENATE(B1103,""),CONCATENATE("; ")),"")&amp;IF(A1104&lt;&gt;0,CONCATENATE(A1104," ",CONCATENATE(B1104,""),CONCATENATE("; ")),"")&amp;IF(A1105&lt;&gt;0,CONCATENATE(A1105," ",CONCATENATE(B1105,""),CONCATENATE("; ")),"")&amp;IF(A1106&lt;&gt;0,CONCATENATE(A1106," ",CONCATENATE(B1106,""),CONCATENATE("; ")),"")&amp;IF(A1107&lt;&gt;0,CONCATENATE(A1107," ",CONCATENATE(B1107,""),CONCATENATE("; ")),"")&amp;IF(A1108&lt;&gt;0,CONCATENATE(A1108," ",CONCATENATE(B1108,""),CONCATENATE("; ")),"")&amp;IF(A1109&lt;&gt;0,CONCATENATE(A1109," ",CONCATENATE(B1109,""),CONCATENATE("; ")),"")&amp;IF(A1110&lt;&gt;0,CONCATENATE(A1110," ",CONCATENATE(B1110,""),CONCATENATE("; ")),"")&amp;IF(A1111&lt;&gt;0,CONCATENATE(A1111," ",CONCATENATE(B1111,""),CONCATENATE("; ")),"")&amp;IF(A1112&lt;&gt;0,CONCATENATE(A1112," ",CONCATENATE(B1112,""),CONCATENATE("; ")),"")&amp;IF(A1113&lt;&gt;0,CONCATENATE(A1113," ",CONCATENATE(B1113,""),CONCATENATE("; ")),"")&amp;IF(A1114&lt;&gt;0,CONCATENATE(A1114," ",CONCATENATE(B1114,""),CONCATENATE("; ")),"")&amp;IF(A1115&lt;&gt;0,CONCATENATE(A1115," ",CONCATENATE(B1115,""),CONCATENATE("; ")),"")&amp;IF(A1116&lt;&gt;0,CONCATENATE(A1116," ",CONCATENATE(B1116,""),CONCATENATE("; ")),"")&amp;IF(A1117&lt;&gt;0,CONCATENATE(A1117," ",CONCATENATE(B1117,""),CONCATENATE("; ")),"")&amp;IF(A1118&lt;&gt;0,CONCATENATE(A1118," ",CONCATENATE(B1118,""),CONCATENATE("; ")),"")&amp;IF(A1119&lt;&gt;0,CONCATENATE(A1119," ",CONCATENATE(B1119,""),CONCATENATE("; ")),"")&amp;IF(A1120&lt;&gt;0,CONCATENATE(A1120," ",CONCATENATE(B1120,""),CONCATENATE("; ")),"")&amp;IF(A1121&lt;&gt;0,CONCATENATE(A1121," ",CONCATENATE(B1121,""),CONCATENATE("; ")),"")&amp;IF(A1122&lt;&gt;0,CONCATENATE(A1122," ",CONCATENATE(B1122,""),CONCATENATE("; ")),"")&amp;IF(A1123&lt;&gt;0,CONCATENATE(A1123," ",CONCATENATE(B1123,""),CONCATENATE("; ")),"")&amp;IF(A1124&lt;&gt;0,CONCATENATE(A1124," ",CONCATENATE(B1124,""),CONCATENATE("; ")),"")&amp;IF(A1125&lt;&gt;0,CONCATENATE(A1125," ",CONCATENATE(B1125,""),CONCATENATE("; ")),"")&amp;IF(A1126&lt;&gt;0,CONCATENATE(A1126," ",CONCATENATE(B1126,""),CONCATENATE("; ")),"")&amp;IF(A1127&lt;&gt;0,CONCATENATE(A1127," ",CONCATENATE(B1127,""),CONCATENATE("; ")),"")&amp;IF(A1128&lt;&gt;0,CONCATENATE(A1128," ",CONCATENATE(B1128,""),CONCATENATE("; ")),"")&amp;IF(A1129&lt;&gt;0,CONCATENATE(A1129," ",CONCATENATE(B1129,""),CONCATENATE("; ")),"")&amp;IF(A1130&lt;&gt;0,CONCATENATE(A1130," ",CONCATENATE(B1130,""),CONCATENATE("; ")),"")&amp;IF(A1131&lt;&gt;0,CONCATENATE(A1131," ",CONCATENATE(B1131,""),CONCATENATE("; ")),"")&amp;IF(A1132&lt;&gt;0,CONCATENATE(A1132," ",CONCATENATE(B1132,""),CONCATENATE("; ")),"")&amp;IF(A1133&lt;&gt;0,CONCATENATE(A1133," ",CONCATENATE(B1133,""),CONCATENATE("; ")),"")&amp;IF(A1134&lt;&gt;0,CONCATENATE(A1134," ",CONCATENATE(B1134,""),CONCATENATE("; ")),"")</f>
        <v/>
      </c>
      <c r="K1137" s="1562"/>
      <c r="L1137" s="1562"/>
      <c r="M1137" s="1562"/>
      <c r="N1137" s="1562"/>
      <c r="O1137" s="1562"/>
      <c r="P1137" s="1562"/>
      <c r="Q1137" s="1562"/>
      <c r="R1137" s="1562"/>
      <c r="U1137" s="935"/>
    </row>
    <row r="1138" spans="10:23" ht="13.95" customHeight="1">
      <c r="J1138" s="1562"/>
      <c r="K1138" s="1562"/>
      <c r="L1138" s="1562"/>
      <c r="M1138" s="1562"/>
      <c r="N1138" s="1562"/>
      <c r="O1138" s="1562"/>
      <c r="P1138" s="1562"/>
      <c r="Q1138" s="1562"/>
      <c r="R1138" s="1562"/>
      <c r="U1138" s="935"/>
    </row>
    <row r="1139" spans="10:23" ht="13.95" customHeight="1">
      <c r="J1139" s="1562"/>
      <c r="K1139" s="1562"/>
      <c r="L1139" s="1562"/>
      <c r="M1139" s="1562"/>
      <c r="N1139" s="1562"/>
      <c r="O1139" s="1562"/>
      <c r="P1139" s="1562"/>
      <c r="Q1139" s="1562"/>
      <c r="R1139" s="1562"/>
      <c r="U1139" s="935"/>
    </row>
    <row r="1140" spans="10:23" ht="13.95" customHeight="1">
      <c r="J1140" s="1562"/>
      <c r="K1140" s="1562"/>
      <c r="L1140" s="1562"/>
      <c r="M1140" s="1562"/>
      <c r="N1140" s="1562"/>
      <c r="O1140" s="1562"/>
      <c r="P1140" s="1562"/>
      <c r="Q1140" s="1562"/>
      <c r="R1140" s="1562"/>
      <c r="U1140" s="935"/>
    </row>
    <row r="1141" spans="10:23" ht="13.95" customHeight="1">
      <c r="J1141" s="1562"/>
      <c r="K1141" s="1562"/>
      <c r="L1141" s="1562"/>
      <c r="M1141" s="1562"/>
      <c r="N1141" s="1562"/>
      <c r="O1141" s="1562"/>
      <c r="P1141" s="1562"/>
      <c r="Q1141" s="1562"/>
      <c r="R1141" s="1562"/>
      <c r="U1141" s="935"/>
    </row>
    <row r="1142" spans="10:23" ht="13.95" customHeight="1">
      <c r="J1142" s="1562"/>
      <c r="K1142" s="1562"/>
      <c r="L1142" s="1562"/>
      <c r="M1142" s="1562"/>
      <c r="N1142" s="1562"/>
      <c r="O1142" s="1562"/>
      <c r="P1142" s="1562"/>
      <c r="Q1142" s="1562"/>
      <c r="R1142" s="1562"/>
      <c r="U1142" s="935"/>
    </row>
    <row r="1143" spans="10:23" ht="13.95" customHeight="1">
      <c r="J1143" s="1562"/>
      <c r="K1143" s="1562"/>
      <c r="L1143" s="1562"/>
      <c r="M1143" s="1562"/>
      <c r="N1143" s="1562"/>
      <c r="O1143" s="1562"/>
      <c r="P1143" s="1562"/>
      <c r="Q1143" s="1562"/>
      <c r="R1143" s="1562"/>
      <c r="U1143" s="935"/>
    </row>
    <row r="1144" spans="10:23" ht="13.95" customHeight="1">
      <c r="J1144" s="1562"/>
      <c r="K1144" s="1562"/>
      <c r="L1144" s="1562"/>
      <c r="M1144" s="1562"/>
      <c r="N1144" s="1562"/>
      <c r="O1144" s="1562"/>
      <c r="P1144" s="1562"/>
      <c r="Q1144" s="1562"/>
      <c r="R1144" s="1562"/>
      <c r="U1144" s="935"/>
    </row>
    <row r="1145" spans="10:23">
      <c r="J1145" s="1562"/>
      <c r="K1145" s="1562"/>
      <c r="L1145" s="1562"/>
      <c r="M1145" s="1562"/>
      <c r="N1145" s="1562"/>
      <c r="O1145" s="1562"/>
      <c r="P1145" s="1562"/>
      <c r="Q1145" s="1562"/>
      <c r="R1145" s="1562"/>
      <c r="U1145" s="942"/>
    </row>
    <row r="1146" spans="10:23">
      <c r="J1146" s="1562"/>
      <c r="K1146" s="1562"/>
      <c r="L1146" s="1562"/>
      <c r="M1146" s="1562"/>
      <c r="N1146" s="1562"/>
      <c r="O1146" s="1562"/>
      <c r="P1146" s="1562"/>
      <c r="Q1146" s="1562"/>
      <c r="R1146" s="1562"/>
      <c r="T1146" s="935"/>
      <c r="W1146" s="935"/>
    </row>
    <row r="1147" spans="10:23">
      <c r="J1147" s="1562"/>
      <c r="K1147" s="1562"/>
      <c r="L1147" s="1562"/>
      <c r="M1147" s="1562"/>
      <c r="N1147" s="1562"/>
      <c r="O1147" s="1562"/>
      <c r="P1147" s="1562"/>
      <c r="Q1147" s="1562"/>
      <c r="R1147" s="1562"/>
      <c r="U1147" s="942"/>
    </row>
    <row r="1148" spans="10:23">
      <c r="J1148" s="1562"/>
      <c r="K1148" s="1562"/>
      <c r="L1148" s="1562"/>
      <c r="M1148" s="1562"/>
      <c r="N1148" s="1562"/>
      <c r="O1148" s="1562"/>
      <c r="P1148" s="1562"/>
      <c r="Q1148" s="1562"/>
      <c r="R1148" s="1562"/>
    </row>
    <row r="1149" spans="10:23">
      <c r="J1149" s="1562"/>
      <c r="K1149" s="1562"/>
      <c r="L1149" s="1562"/>
      <c r="M1149" s="1562"/>
      <c r="N1149" s="1562"/>
      <c r="O1149" s="1562"/>
      <c r="P1149" s="1562"/>
      <c r="Q1149" s="1562"/>
      <c r="R1149" s="1562"/>
    </row>
    <row r="1150" spans="10:23">
      <c r="J1150" s="1562"/>
      <c r="K1150" s="1562"/>
      <c r="L1150" s="1562"/>
      <c r="M1150" s="1562"/>
      <c r="N1150" s="1562"/>
      <c r="O1150" s="1562"/>
      <c r="P1150" s="1562"/>
      <c r="Q1150" s="1562"/>
      <c r="R1150" s="1562"/>
    </row>
    <row r="1151" spans="10:23">
      <c r="J1151" s="1562"/>
      <c r="K1151" s="1562"/>
      <c r="L1151" s="1562"/>
      <c r="M1151" s="1562"/>
      <c r="N1151" s="1562"/>
      <c r="O1151" s="1562"/>
      <c r="P1151" s="1562"/>
      <c r="Q1151" s="1562"/>
      <c r="R1151" s="1562"/>
    </row>
    <row r="1152" spans="10:23">
      <c r="J1152" s="1562"/>
      <c r="K1152" s="1562"/>
      <c r="L1152" s="1562"/>
      <c r="M1152" s="1562"/>
      <c r="N1152" s="1562"/>
      <c r="O1152" s="1562"/>
      <c r="P1152" s="1562"/>
      <c r="Q1152" s="1562"/>
      <c r="R1152" s="1562"/>
    </row>
  </sheetData>
  <sheetProtection pivotTables="0"/>
  <sortState xmlns:xlrd2="http://schemas.microsoft.com/office/spreadsheetml/2017/richdata2" ref="A137:G143">
    <sortCondition ref="A137:A143"/>
  </sortState>
  <mergeCells count="21">
    <mergeCell ref="S499:T499"/>
    <mergeCell ref="B1124:E1124"/>
    <mergeCell ref="B1110:E1110"/>
    <mergeCell ref="B1111:E1111"/>
    <mergeCell ref="B1102:E1102"/>
    <mergeCell ref="A1077:H1085"/>
    <mergeCell ref="B1107:E1107"/>
    <mergeCell ref="B1108:E1108"/>
    <mergeCell ref="B1109:E1109"/>
    <mergeCell ref="B1097:E1097"/>
    <mergeCell ref="B1098:E1098"/>
    <mergeCell ref="B1105:E1105"/>
    <mergeCell ref="B1106:E1106"/>
    <mergeCell ref="B1099:E1099"/>
    <mergeCell ref="B1100:E1100"/>
    <mergeCell ref="B1101:E1101"/>
    <mergeCell ref="B1103:E1103"/>
    <mergeCell ref="B1104:E1104"/>
    <mergeCell ref="J1137:R1152"/>
    <mergeCell ref="N1087:O1087"/>
    <mergeCell ref="N1108:O1108"/>
  </mergeCells>
  <conditionalFormatting sqref="K122">
    <cfRule type="duplicateValues" dxfId="318" priority="40"/>
  </conditionalFormatting>
  <conditionalFormatting sqref="K122">
    <cfRule type="duplicateValues" dxfId="317" priority="38"/>
  </conditionalFormatting>
  <conditionalFormatting sqref="K123">
    <cfRule type="duplicateValues" dxfId="316" priority="34"/>
  </conditionalFormatting>
  <conditionalFormatting sqref="K123">
    <cfRule type="duplicateValues" dxfId="315" priority="32"/>
  </conditionalFormatting>
  <conditionalFormatting sqref="B793">
    <cfRule type="duplicateValues" dxfId="314" priority="13"/>
  </conditionalFormatting>
  <conditionalFormatting sqref="B793">
    <cfRule type="duplicateValues" dxfId="313" priority="12"/>
  </conditionalFormatting>
  <conditionalFormatting sqref="B793">
    <cfRule type="duplicateValues" dxfId="312" priority="11"/>
  </conditionalFormatting>
  <conditionalFormatting sqref="B810">
    <cfRule type="duplicateValues" dxfId="311" priority="10"/>
  </conditionalFormatting>
  <conditionalFormatting sqref="B827">
    <cfRule type="duplicateValues" dxfId="310" priority="9"/>
  </conditionalFormatting>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6148" r:id="rId4" name="Button 4">
              <controlPr defaultSize="0" print="0" autoFill="0" autoPict="0" macro="[0]!Csomagok_kivalasztasa_es_atvitele_x_es_space" altText="Csomagok kiválasztása /törlése">
                <anchor moveWithCells="1" sizeWithCells="1">
                  <from>
                    <xdr:col>0</xdr:col>
                    <xdr:colOff>362309</xdr:colOff>
                    <xdr:row>0</xdr:row>
                    <xdr:rowOff>155275</xdr:rowOff>
                  </from>
                  <to>
                    <xdr:col>0</xdr:col>
                    <xdr:colOff>2665562</xdr:colOff>
                    <xdr:row>0</xdr:row>
                    <xdr:rowOff>560717</xdr:rowOff>
                  </to>
                </anchor>
              </controlPr>
            </control>
          </mc:Choice>
        </mc:AlternateContent>
        <mc:AlternateContent xmlns:mc="http://schemas.openxmlformats.org/markup-compatibility/2006">
          <mc:Choice Requires="x14">
            <control shapeId="13825" r:id="rId5" name="Button 1537">
              <controlPr defaultSize="0" print="0" autoFill="0" autoPict="0" macro="[0]!Torold_a_kijeloleseket_a_csomagban">
                <anchor moveWithCells="1" sizeWithCells="1">
                  <from>
                    <xdr:col>1</xdr:col>
                    <xdr:colOff>310551</xdr:colOff>
                    <xdr:row>0</xdr:row>
                    <xdr:rowOff>163902</xdr:rowOff>
                  </from>
                  <to>
                    <xdr:col>1</xdr:col>
                    <xdr:colOff>2976113</xdr:colOff>
                    <xdr:row>0</xdr:row>
                    <xdr:rowOff>577970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B7640E-7485-473E-AE66-AA2066ADCDA0}">
  <sheetPr codeName="Munka8"/>
  <dimension ref="A1:AL54"/>
  <sheetViews>
    <sheetView workbookViewId="0"/>
  </sheetViews>
  <sheetFormatPr defaultRowHeight="13.6"/>
  <cols>
    <col min="1" max="1" width="26.33203125" customWidth="1"/>
    <col min="2" max="2" width="21.6640625" customWidth="1"/>
    <col min="3" max="3" width="14.6640625" customWidth="1"/>
    <col min="4" max="4" width="13.33203125" customWidth="1"/>
    <col min="5" max="5" width="75.33203125" bestFit="1" customWidth="1"/>
    <col min="6" max="6" width="12" customWidth="1"/>
    <col min="7" max="7" width="13.6640625" customWidth="1"/>
    <col min="8" max="8" width="11.6640625" customWidth="1"/>
    <col min="9" max="9" width="15" bestFit="1" customWidth="1"/>
    <col min="10" max="12" width="12" customWidth="1"/>
    <col min="13" max="13" width="12.77734375" customWidth="1"/>
    <col min="14" max="14" width="8.77734375" customWidth="1"/>
    <col min="15" max="15" width="13.6640625" customWidth="1"/>
    <col min="16" max="17" width="12" customWidth="1"/>
    <col min="18" max="22" width="9" customWidth="1"/>
    <col min="23" max="23" width="9" style="1384" hidden="1" customWidth="1"/>
    <col min="24" max="25" width="13.6640625" hidden="1" customWidth="1"/>
    <col min="26" max="26" width="9" hidden="1" customWidth="1"/>
    <col min="27" max="27" width="12" hidden="1" customWidth="1"/>
    <col min="28" max="31" width="13.6640625" hidden="1" customWidth="1"/>
    <col min="32" max="32" width="9" hidden="1" customWidth="1"/>
    <col min="33" max="33" width="12" hidden="1" customWidth="1"/>
    <col min="34" max="35" width="9" hidden="1" customWidth="1"/>
    <col min="36" max="36" width="19.21875" hidden="1" customWidth="1"/>
    <col min="37" max="37" width="0" hidden="1" customWidth="1"/>
    <col min="38" max="38" width="14.77734375" hidden="1" customWidth="1"/>
    <col min="39" max="40" width="0" hidden="1" customWidth="1"/>
  </cols>
  <sheetData>
    <row r="1" spans="1:15">
      <c r="A1" s="70" t="s">
        <v>6162</v>
      </c>
      <c r="B1" t="s">
        <v>6147</v>
      </c>
      <c r="C1">
        <v>115721131</v>
      </c>
      <c r="D1" t="s">
        <v>1857</v>
      </c>
      <c r="E1" t="s">
        <v>879</v>
      </c>
      <c r="F1" s="1147">
        <v>4500</v>
      </c>
      <c r="G1" s="1147">
        <v>5850</v>
      </c>
      <c r="H1" t="s">
        <v>880</v>
      </c>
      <c r="I1" s="1148">
        <v>45930.320474537039</v>
      </c>
      <c r="J1" s="1147">
        <v>0</v>
      </c>
      <c r="O1">
        <v>5850</v>
      </c>
    </row>
    <row r="2" spans="1:15">
      <c r="A2" s="70" t="s">
        <v>6161</v>
      </c>
      <c r="B2" t="s">
        <v>6149</v>
      </c>
      <c r="C2">
        <v>124889291</v>
      </c>
      <c r="D2" t="s">
        <v>649</v>
      </c>
      <c r="E2" t="s">
        <v>649</v>
      </c>
      <c r="F2" s="1147">
        <v>460</v>
      </c>
      <c r="G2" s="1147">
        <v>1400</v>
      </c>
      <c r="H2" t="s">
        <v>551</v>
      </c>
      <c r="I2" s="1148">
        <v>45930.328831018516</v>
      </c>
      <c r="J2" s="1147">
        <v>3500</v>
      </c>
      <c r="O2">
        <v>18890</v>
      </c>
    </row>
    <row r="3" spans="1:15">
      <c r="A3" s="70" t="s">
        <v>6160</v>
      </c>
      <c r="B3" t="s">
        <v>6149</v>
      </c>
      <c r="C3">
        <v>124889291</v>
      </c>
      <c r="D3" t="s">
        <v>1613</v>
      </c>
      <c r="E3" t="s">
        <v>32</v>
      </c>
      <c r="F3" s="1147">
        <v>69</v>
      </c>
      <c r="G3" s="1147">
        <v>200</v>
      </c>
      <c r="H3" t="s">
        <v>551</v>
      </c>
      <c r="I3" s="1148">
        <v>45930.328831018516</v>
      </c>
    </row>
    <row r="4" spans="1:15">
      <c r="A4" s="70" t="s">
        <v>6160</v>
      </c>
      <c r="B4" t="s">
        <v>6149</v>
      </c>
      <c r="C4">
        <v>124889291</v>
      </c>
      <c r="D4" t="s">
        <v>945</v>
      </c>
      <c r="E4" t="s">
        <v>1542</v>
      </c>
      <c r="F4" s="1147">
        <v>230</v>
      </c>
      <c r="G4" s="1147">
        <v>600</v>
      </c>
      <c r="H4" t="s">
        <v>551</v>
      </c>
      <c r="I4" s="1148">
        <v>45930.328831018516</v>
      </c>
    </row>
    <row r="5" spans="1:15">
      <c r="A5" s="70" t="s">
        <v>6160</v>
      </c>
      <c r="B5" t="s">
        <v>6149</v>
      </c>
      <c r="C5">
        <v>124889291</v>
      </c>
      <c r="D5" t="s">
        <v>948</v>
      </c>
      <c r="E5" t="s">
        <v>1628</v>
      </c>
      <c r="F5" s="1147">
        <v>175</v>
      </c>
      <c r="G5" s="1147">
        <v>700</v>
      </c>
      <c r="H5" t="s">
        <v>551</v>
      </c>
      <c r="I5" s="1148">
        <v>45930.328831018516</v>
      </c>
    </row>
    <row r="6" spans="1:15">
      <c r="A6" s="70" t="s">
        <v>6160</v>
      </c>
      <c r="B6" t="s">
        <v>6149</v>
      </c>
      <c r="C6">
        <v>124889291</v>
      </c>
      <c r="D6" t="s">
        <v>1701</v>
      </c>
      <c r="E6" t="s">
        <v>790</v>
      </c>
      <c r="F6" s="1147">
        <v>0</v>
      </c>
      <c r="G6" s="1147">
        <v>0</v>
      </c>
      <c r="H6" t="s">
        <v>551</v>
      </c>
      <c r="I6" s="1148">
        <v>45930.328831018516</v>
      </c>
    </row>
    <row r="7" spans="1:15">
      <c r="A7" s="70" t="s">
        <v>6160</v>
      </c>
      <c r="B7" t="s">
        <v>6149</v>
      </c>
      <c r="C7">
        <v>124889291</v>
      </c>
      <c r="D7" t="s">
        <v>1813</v>
      </c>
      <c r="E7" t="s">
        <v>505</v>
      </c>
      <c r="F7" s="1147">
        <v>69</v>
      </c>
      <c r="G7" s="1147">
        <v>600</v>
      </c>
      <c r="H7" t="s">
        <v>551</v>
      </c>
      <c r="I7" s="1148">
        <v>45930.328831018516</v>
      </c>
    </row>
    <row r="8" spans="1:15">
      <c r="A8" s="70" t="s">
        <v>6160</v>
      </c>
      <c r="B8" t="s">
        <v>6149</v>
      </c>
      <c r="C8">
        <v>124889291</v>
      </c>
      <c r="D8" t="s">
        <v>527</v>
      </c>
      <c r="E8" t="s">
        <v>1831</v>
      </c>
      <c r="F8" s="1147">
        <v>340</v>
      </c>
      <c r="G8" s="1147">
        <v>1200</v>
      </c>
      <c r="H8" t="s">
        <v>604</v>
      </c>
      <c r="I8" s="1148">
        <v>45930.328831018516</v>
      </c>
    </row>
    <row r="9" spans="1:15">
      <c r="A9" s="70" t="s">
        <v>6160</v>
      </c>
      <c r="B9" t="s">
        <v>6149</v>
      </c>
      <c r="C9">
        <v>124889291</v>
      </c>
      <c r="D9" t="s">
        <v>1782</v>
      </c>
      <c r="E9" t="s">
        <v>2355</v>
      </c>
      <c r="F9" s="1147">
        <v>600</v>
      </c>
      <c r="G9" s="1147">
        <v>1300</v>
      </c>
      <c r="H9" t="s">
        <v>476</v>
      </c>
      <c r="I9" s="1148">
        <v>45930.328831018516</v>
      </c>
    </row>
    <row r="10" spans="1:15">
      <c r="A10" s="70" t="s">
        <v>6160</v>
      </c>
      <c r="B10" t="s">
        <v>6149</v>
      </c>
      <c r="C10">
        <v>124889291</v>
      </c>
      <c r="D10" t="s">
        <v>1807</v>
      </c>
      <c r="E10" t="s">
        <v>30</v>
      </c>
      <c r="F10" s="1147">
        <v>460</v>
      </c>
      <c r="G10" s="1147">
        <v>850</v>
      </c>
      <c r="H10" t="s">
        <v>551</v>
      </c>
      <c r="I10" s="1148">
        <v>45930.328831018516</v>
      </c>
    </row>
    <row r="11" spans="1:15">
      <c r="A11" s="70" t="s">
        <v>6160</v>
      </c>
      <c r="B11" t="s">
        <v>6149</v>
      </c>
      <c r="C11">
        <v>124889291</v>
      </c>
      <c r="D11" t="s">
        <v>1522</v>
      </c>
      <c r="E11" t="s">
        <v>31</v>
      </c>
      <c r="F11" s="1147">
        <v>1150</v>
      </c>
      <c r="G11" s="1147">
        <v>2800</v>
      </c>
      <c r="H11" t="s">
        <v>551</v>
      </c>
      <c r="I11" s="1148">
        <v>45930.328831018516</v>
      </c>
    </row>
    <row r="12" spans="1:15">
      <c r="A12" s="70" t="s">
        <v>6160</v>
      </c>
      <c r="B12" t="s">
        <v>6149</v>
      </c>
      <c r="C12">
        <v>124889291</v>
      </c>
      <c r="D12" t="s">
        <v>1608</v>
      </c>
      <c r="E12" t="s">
        <v>19</v>
      </c>
      <c r="F12" s="1147">
        <v>69</v>
      </c>
      <c r="G12" s="1147">
        <v>600</v>
      </c>
      <c r="H12" t="s">
        <v>551</v>
      </c>
      <c r="I12" s="1148">
        <v>45930.328831018516</v>
      </c>
    </row>
    <row r="13" spans="1:15">
      <c r="A13" s="70" t="s">
        <v>6160</v>
      </c>
      <c r="B13" t="s">
        <v>6149</v>
      </c>
      <c r="C13">
        <v>124889291</v>
      </c>
      <c r="D13" t="s">
        <v>1621</v>
      </c>
      <c r="E13" t="s">
        <v>2346</v>
      </c>
      <c r="F13" s="1147">
        <v>175</v>
      </c>
      <c r="G13" s="1147">
        <v>400</v>
      </c>
      <c r="H13" t="s">
        <v>551</v>
      </c>
      <c r="I13" s="1148">
        <v>45930.328831018516</v>
      </c>
    </row>
    <row r="14" spans="1:15">
      <c r="A14" s="70" t="s">
        <v>6160</v>
      </c>
      <c r="B14" t="s">
        <v>6149</v>
      </c>
      <c r="C14">
        <v>124889291</v>
      </c>
      <c r="D14" t="s">
        <v>1569</v>
      </c>
      <c r="E14" t="s">
        <v>27</v>
      </c>
      <c r="F14" s="1147">
        <v>69</v>
      </c>
      <c r="G14" s="1147">
        <v>600</v>
      </c>
      <c r="H14" t="s">
        <v>551</v>
      </c>
      <c r="I14" s="1148">
        <v>45930.328831018516</v>
      </c>
    </row>
    <row r="15" spans="1:15">
      <c r="A15" s="70" t="s">
        <v>6160</v>
      </c>
      <c r="B15" t="s">
        <v>6149</v>
      </c>
      <c r="C15">
        <v>124889291</v>
      </c>
      <c r="D15" t="s">
        <v>1693</v>
      </c>
      <c r="E15" t="s">
        <v>21</v>
      </c>
      <c r="F15" s="1147">
        <v>135</v>
      </c>
      <c r="G15" s="1147">
        <v>200</v>
      </c>
      <c r="H15" t="s">
        <v>551</v>
      </c>
      <c r="I15" s="1148">
        <v>45930.328831018516</v>
      </c>
    </row>
    <row r="16" spans="1:15">
      <c r="A16" s="70" t="s">
        <v>6160</v>
      </c>
      <c r="B16" t="s">
        <v>6149</v>
      </c>
      <c r="C16">
        <v>124889291</v>
      </c>
      <c r="D16" t="s">
        <v>1607</v>
      </c>
      <c r="E16" t="s">
        <v>22</v>
      </c>
      <c r="F16" s="1147">
        <v>135</v>
      </c>
      <c r="G16" s="1147">
        <v>200</v>
      </c>
      <c r="H16" t="s">
        <v>551</v>
      </c>
      <c r="I16" s="1148">
        <v>45930.328831018516</v>
      </c>
    </row>
    <row r="17" spans="1:15">
      <c r="A17" s="70" t="s">
        <v>6160</v>
      </c>
      <c r="B17" t="s">
        <v>6149</v>
      </c>
      <c r="C17">
        <v>124889291</v>
      </c>
      <c r="D17" t="s">
        <v>1440</v>
      </c>
      <c r="E17" t="s">
        <v>1441</v>
      </c>
      <c r="F17" s="1147">
        <v>69</v>
      </c>
      <c r="G17" s="1147">
        <v>500</v>
      </c>
      <c r="H17" t="s">
        <v>551</v>
      </c>
      <c r="I17" s="1148">
        <v>45930.328831018516</v>
      </c>
    </row>
    <row r="18" spans="1:15">
      <c r="A18" s="70" t="s">
        <v>6160</v>
      </c>
      <c r="B18" t="s">
        <v>6149</v>
      </c>
      <c r="C18">
        <v>124889291</v>
      </c>
      <c r="D18" t="s">
        <v>1438</v>
      </c>
      <c r="E18" t="s">
        <v>1439</v>
      </c>
      <c r="F18" s="1147">
        <v>69</v>
      </c>
      <c r="G18" s="1147">
        <v>650</v>
      </c>
      <c r="H18" t="s">
        <v>551</v>
      </c>
      <c r="I18" s="1148">
        <v>45930.328831018516</v>
      </c>
    </row>
    <row r="19" spans="1:15">
      <c r="A19" s="70" t="s">
        <v>6160</v>
      </c>
      <c r="B19" t="s">
        <v>6149</v>
      </c>
      <c r="C19">
        <v>124889291</v>
      </c>
      <c r="D19" t="s">
        <v>684</v>
      </c>
      <c r="E19" t="s">
        <v>1538</v>
      </c>
      <c r="F19" s="1147">
        <v>69</v>
      </c>
      <c r="G19" s="1147">
        <v>200</v>
      </c>
      <c r="H19" t="s">
        <v>551</v>
      </c>
      <c r="I19" s="1148">
        <v>45930.328831018516</v>
      </c>
    </row>
    <row r="20" spans="1:15">
      <c r="A20" s="70" t="s">
        <v>6160</v>
      </c>
      <c r="B20" t="s">
        <v>6149</v>
      </c>
      <c r="C20">
        <v>124889291</v>
      </c>
      <c r="D20" t="s">
        <v>685</v>
      </c>
      <c r="E20" t="s">
        <v>1539</v>
      </c>
      <c r="F20" s="1147">
        <v>69</v>
      </c>
      <c r="G20" s="1147">
        <v>200</v>
      </c>
      <c r="H20" t="s">
        <v>551</v>
      </c>
      <c r="I20" s="1148">
        <v>45930.328831018516</v>
      </c>
    </row>
    <row r="21" spans="1:15">
      <c r="A21" s="70" t="s">
        <v>6160</v>
      </c>
      <c r="B21" t="s">
        <v>6149</v>
      </c>
      <c r="C21">
        <v>124889291</v>
      </c>
      <c r="D21" t="s">
        <v>681</v>
      </c>
      <c r="E21" t="s">
        <v>15</v>
      </c>
      <c r="F21" s="1147">
        <v>69</v>
      </c>
      <c r="G21" s="1147">
        <v>250</v>
      </c>
      <c r="H21" t="s">
        <v>551</v>
      </c>
      <c r="I21" s="1148">
        <v>45930.328831018516</v>
      </c>
    </row>
    <row r="22" spans="1:15">
      <c r="A22" s="70" t="s">
        <v>6160</v>
      </c>
      <c r="B22" t="s">
        <v>6149</v>
      </c>
      <c r="C22">
        <v>124889291</v>
      </c>
      <c r="D22" t="s">
        <v>1395</v>
      </c>
      <c r="E22" t="s">
        <v>1396</v>
      </c>
      <c r="F22" s="1147">
        <v>69</v>
      </c>
      <c r="G22" s="1147">
        <v>400</v>
      </c>
      <c r="H22" t="s">
        <v>551</v>
      </c>
      <c r="I22" s="1148">
        <v>45930.328831018516</v>
      </c>
    </row>
    <row r="23" spans="1:15">
      <c r="A23" s="70" t="s">
        <v>6160</v>
      </c>
      <c r="B23" t="s">
        <v>6149</v>
      </c>
      <c r="C23">
        <v>124889291</v>
      </c>
      <c r="D23" t="s">
        <v>508</v>
      </c>
      <c r="E23" t="s">
        <v>508</v>
      </c>
      <c r="F23" s="1147">
        <v>69</v>
      </c>
      <c r="G23" s="1147">
        <v>300</v>
      </c>
      <c r="H23" t="s">
        <v>551</v>
      </c>
      <c r="I23" s="1148">
        <v>45930.328831018516</v>
      </c>
    </row>
    <row r="24" spans="1:15">
      <c r="A24" s="70" t="s">
        <v>6160</v>
      </c>
      <c r="B24" t="s">
        <v>6149</v>
      </c>
      <c r="C24">
        <v>124889291</v>
      </c>
      <c r="D24" t="s">
        <v>1824</v>
      </c>
      <c r="E24" t="s">
        <v>2830</v>
      </c>
      <c r="F24" s="1147">
        <v>135</v>
      </c>
      <c r="G24" s="1147">
        <v>600</v>
      </c>
      <c r="H24" t="s">
        <v>551</v>
      </c>
      <c r="I24" s="1148">
        <v>45930.328831018516</v>
      </c>
    </row>
    <row r="25" spans="1:15">
      <c r="A25" s="70" t="s">
        <v>6160</v>
      </c>
      <c r="B25" t="s">
        <v>6149</v>
      </c>
      <c r="C25">
        <v>124889291</v>
      </c>
      <c r="D25" t="s">
        <v>1826</v>
      </c>
      <c r="E25" t="s">
        <v>1827</v>
      </c>
      <c r="F25" s="1147">
        <v>69</v>
      </c>
      <c r="G25" s="1147">
        <v>640</v>
      </c>
      <c r="H25" t="s">
        <v>551</v>
      </c>
      <c r="I25" s="1148">
        <v>45930.328831018516</v>
      </c>
    </row>
    <row r="26" spans="1:15">
      <c r="A26" t="s">
        <v>6150</v>
      </c>
      <c r="B26" t="s">
        <v>6151</v>
      </c>
      <c r="C26">
        <v>75206189</v>
      </c>
      <c r="D26" t="s">
        <v>1553</v>
      </c>
      <c r="E26" t="s">
        <v>697</v>
      </c>
      <c r="F26" s="1147">
        <v>2875</v>
      </c>
      <c r="G26" s="1147">
        <v>5000</v>
      </c>
      <c r="H26" t="s">
        <v>551</v>
      </c>
      <c r="I26" s="1148">
        <v>45930.346412037034</v>
      </c>
      <c r="J26" s="1147">
        <v>3500</v>
      </c>
      <c r="O26">
        <v>8500</v>
      </c>
    </row>
    <row r="27" spans="1:15">
      <c r="A27" t="s">
        <v>6029</v>
      </c>
      <c r="B27" t="s">
        <v>6030</v>
      </c>
      <c r="C27">
        <v>41445855</v>
      </c>
      <c r="D27" t="s">
        <v>1500</v>
      </c>
      <c r="E27" t="s">
        <v>647</v>
      </c>
      <c r="F27" s="1147">
        <v>27600</v>
      </c>
      <c r="G27" s="1147">
        <v>35880</v>
      </c>
      <c r="H27" t="s">
        <v>604</v>
      </c>
      <c r="I27" s="1148">
        <v>45930.400937500002</v>
      </c>
      <c r="J27" s="1147">
        <v>3500</v>
      </c>
      <c r="O27">
        <v>54680</v>
      </c>
    </row>
    <row r="28" spans="1:15">
      <c r="A28" t="s">
        <v>6029</v>
      </c>
      <c r="B28" t="s">
        <v>6030</v>
      </c>
      <c r="C28">
        <v>41445855</v>
      </c>
      <c r="D28" t="s">
        <v>649</v>
      </c>
      <c r="E28" t="s">
        <v>649</v>
      </c>
      <c r="F28" s="1147">
        <v>460</v>
      </c>
      <c r="G28" s="1147">
        <v>1400</v>
      </c>
      <c r="H28" t="s">
        <v>551</v>
      </c>
      <c r="I28" s="1148">
        <v>45930.400937500002</v>
      </c>
    </row>
    <row r="29" spans="1:15">
      <c r="A29" t="s">
        <v>6029</v>
      </c>
      <c r="B29" t="s">
        <v>6030</v>
      </c>
      <c r="C29">
        <v>41445855</v>
      </c>
      <c r="D29" t="s">
        <v>1613</v>
      </c>
      <c r="E29" t="s">
        <v>32</v>
      </c>
      <c r="F29" s="1147">
        <v>69</v>
      </c>
      <c r="G29" s="1147">
        <v>200</v>
      </c>
      <c r="H29" t="s">
        <v>551</v>
      </c>
      <c r="I29" s="1148">
        <v>45930.400937500002</v>
      </c>
    </row>
    <row r="30" spans="1:15">
      <c r="A30" t="s">
        <v>6029</v>
      </c>
      <c r="B30" t="s">
        <v>6030</v>
      </c>
      <c r="C30">
        <v>41445855</v>
      </c>
      <c r="D30" t="s">
        <v>945</v>
      </c>
      <c r="E30" t="s">
        <v>1542</v>
      </c>
      <c r="F30" s="1147">
        <v>230</v>
      </c>
      <c r="G30" s="1147">
        <v>600</v>
      </c>
      <c r="H30" t="s">
        <v>551</v>
      </c>
      <c r="I30" s="1148">
        <v>45930.400937500002</v>
      </c>
    </row>
    <row r="31" spans="1:15">
      <c r="A31" t="s">
        <v>6029</v>
      </c>
      <c r="B31" t="s">
        <v>6030</v>
      </c>
      <c r="C31">
        <v>41445855</v>
      </c>
      <c r="D31" t="s">
        <v>948</v>
      </c>
      <c r="E31" t="s">
        <v>1628</v>
      </c>
      <c r="F31" s="1147">
        <v>175</v>
      </c>
      <c r="G31" s="1147">
        <v>700</v>
      </c>
      <c r="H31" t="s">
        <v>551</v>
      </c>
      <c r="I31" s="1148">
        <v>45930.400937500002</v>
      </c>
    </row>
    <row r="32" spans="1:15">
      <c r="A32" t="s">
        <v>6029</v>
      </c>
      <c r="B32" t="s">
        <v>6030</v>
      </c>
      <c r="C32">
        <v>41445855</v>
      </c>
      <c r="D32" t="s">
        <v>1813</v>
      </c>
      <c r="E32" t="s">
        <v>505</v>
      </c>
      <c r="F32" s="1147">
        <v>69</v>
      </c>
      <c r="G32" s="1147">
        <v>600</v>
      </c>
      <c r="H32" t="s">
        <v>551</v>
      </c>
      <c r="I32" s="1148">
        <v>45930.400937500002</v>
      </c>
    </row>
    <row r="33" spans="1:9">
      <c r="A33" t="s">
        <v>6029</v>
      </c>
      <c r="B33" t="s">
        <v>6030</v>
      </c>
      <c r="C33">
        <v>41445855</v>
      </c>
      <c r="D33" t="s">
        <v>527</v>
      </c>
      <c r="E33" t="s">
        <v>1831</v>
      </c>
      <c r="F33" s="1147">
        <v>340</v>
      </c>
      <c r="G33" s="1147">
        <v>1200</v>
      </c>
      <c r="H33" t="s">
        <v>604</v>
      </c>
      <c r="I33" s="1148">
        <v>45930.400937500002</v>
      </c>
    </row>
    <row r="34" spans="1:9">
      <c r="A34" t="s">
        <v>6029</v>
      </c>
      <c r="B34" t="s">
        <v>6030</v>
      </c>
      <c r="C34">
        <v>41445855</v>
      </c>
      <c r="D34" t="s">
        <v>1782</v>
      </c>
      <c r="E34" t="s">
        <v>2355</v>
      </c>
      <c r="F34" s="1147">
        <v>600</v>
      </c>
      <c r="G34" s="1147">
        <v>1300</v>
      </c>
      <c r="H34" t="s">
        <v>476</v>
      </c>
      <c r="I34" s="1148">
        <v>45930.400937500002</v>
      </c>
    </row>
    <row r="35" spans="1:9">
      <c r="A35" t="s">
        <v>6029</v>
      </c>
      <c r="B35" t="s">
        <v>6030</v>
      </c>
      <c r="C35">
        <v>41445855</v>
      </c>
      <c r="D35" t="s">
        <v>1807</v>
      </c>
      <c r="E35" t="s">
        <v>30</v>
      </c>
      <c r="F35" s="1147">
        <v>460</v>
      </c>
      <c r="G35" s="1147">
        <v>850</v>
      </c>
      <c r="H35" t="s">
        <v>551</v>
      </c>
      <c r="I35" s="1148">
        <v>45930.400937500002</v>
      </c>
    </row>
    <row r="36" spans="1:9">
      <c r="A36" t="s">
        <v>6029</v>
      </c>
      <c r="B36" t="s">
        <v>6030</v>
      </c>
      <c r="C36">
        <v>41445855</v>
      </c>
      <c r="D36" t="s">
        <v>1522</v>
      </c>
      <c r="E36" t="s">
        <v>31</v>
      </c>
      <c r="F36" s="1147">
        <v>1150</v>
      </c>
      <c r="G36" s="1147">
        <v>2800</v>
      </c>
      <c r="H36" t="s">
        <v>551</v>
      </c>
      <c r="I36" s="1148">
        <v>45930.400937500002</v>
      </c>
    </row>
    <row r="37" spans="1:9">
      <c r="A37" t="s">
        <v>6029</v>
      </c>
      <c r="B37" t="s">
        <v>6030</v>
      </c>
      <c r="C37">
        <v>41445855</v>
      </c>
      <c r="D37" t="s">
        <v>1608</v>
      </c>
      <c r="E37" t="s">
        <v>19</v>
      </c>
      <c r="F37" s="1147">
        <v>69</v>
      </c>
      <c r="G37" s="1147">
        <v>600</v>
      </c>
      <c r="H37" t="s">
        <v>551</v>
      </c>
      <c r="I37" s="1148">
        <v>45930.400937500002</v>
      </c>
    </row>
    <row r="38" spans="1:9">
      <c r="A38" t="s">
        <v>6029</v>
      </c>
      <c r="B38" t="s">
        <v>6030</v>
      </c>
      <c r="C38">
        <v>41445855</v>
      </c>
      <c r="D38" t="s">
        <v>1621</v>
      </c>
      <c r="E38" t="s">
        <v>2346</v>
      </c>
      <c r="F38" s="1147">
        <v>175</v>
      </c>
      <c r="G38" s="1147">
        <v>400</v>
      </c>
      <c r="H38" t="s">
        <v>551</v>
      </c>
      <c r="I38" s="1148">
        <v>45930.400937500002</v>
      </c>
    </row>
    <row r="39" spans="1:9">
      <c r="A39" t="s">
        <v>6029</v>
      </c>
      <c r="B39" t="s">
        <v>6030</v>
      </c>
      <c r="C39">
        <v>41445855</v>
      </c>
      <c r="D39" t="s">
        <v>1569</v>
      </c>
      <c r="E39" t="s">
        <v>27</v>
      </c>
      <c r="F39" s="1147">
        <v>69</v>
      </c>
      <c r="G39" s="1147">
        <v>600</v>
      </c>
      <c r="H39" t="s">
        <v>551</v>
      </c>
      <c r="I39" s="1148">
        <v>45930.400937500002</v>
      </c>
    </row>
    <row r="40" spans="1:9">
      <c r="A40" t="s">
        <v>6029</v>
      </c>
      <c r="B40" t="s">
        <v>6030</v>
      </c>
      <c r="C40">
        <v>41445855</v>
      </c>
      <c r="D40" t="s">
        <v>1693</v>
      </c>
      <c r="E40" t="s">
        <v>21</v>
      </c>
      <c r="F40" s="1147">
        <v>135</v>
      </c>
      <c r="G40" s="1147">
        <v>200</v>
      </c>
      <c r="H40" t="s">
        <v>551</v>
      </c>
      <c r="I40" s="1148">
        <v>45930.400937500002</v>
      </c>
    </row>
    <row r="41" spans="1:9">
      <c r="A41" t="s">
        <v>6029</v>
      </c>
      <c r="B41" t="s">
        <v>6030</v>
      </c>
      <c r="C41">
        <v>41445855</v>
      </c>
      <c r="D41" t="s">
        <v>1607</v>
      </c>
      <c r="E41" t="s">
        <v>22</v>
      </c>
      <c r="F41" s="1147">
        <v>135</v>
      </c>
      <c r="G41" s="1147">
        <v>200</v>
      </c>
      <c r="H41" t="s">
        <v>551</v>
      </c>
      <c r="I41" s="1148">
        <v>45930.400937500002</v>
      </c>
    </row>
    <row r="42" spans="1:9">
      <c r="A42" t="s">
        <v>6029</v>
      </c>
      <c r="B42" t="s">
        <v>6030</v>
      </c>
      <c r="C42">
        <v>41445855</v>
      </c>
      <c r="D42" t="s">
        <v>1440</v>
      </c>
      <c r="E42" t="s">
        <v>1441</v>
      </c>
      <c r="F42" s="1147">
        <v>69</v>
      </c>
      <c r="G42" s="1147">
        <v>500</v>
      </c>
      <c r="H42" t="s">
        <v>551</v>
      </c>
      <c r="I42" s="1148">
        <v>45930.400937500002</v>
      </c>
    </row>
    <row r="43" spans="1:9">
      <c r="A43" t="s">
        <v>6029</v>
      </c>
      <c r="B43" t="s">
        <v>6030</v>
      </c>
      <c r="C43">
        <v>41445855</v>
      </c>
      <c r="D43" t="s">
        <v>684</v>
      </c>
      <c r="E43" t="s">
        <v>1538</v>
      </c>
      <c r="F43" s="1147">
        <v>69</v>
      </c>
      <c r="G43" s="1147">
        <v>200</v>
      </c>
      <c r="H43" t="s">
        <v>551</v>
      </c>
      <c r="I43" s="1148">
        <v>45930.400937500002</v>
      </c>
    </row>
    <row r="44" spans="1:9">
      <c r="A44" t="s">
        <v>6029</v>
      </c>
      <c r="B44" t="s">
        <v>6030</v>
      </c>
      <c r="C44">
        <v>41445855</v>
      </c>
      <c r="D44" t="s">
        <v>685</v>
      </c>
      <c r="E44" t="s">
        <v>1539</v>
      </c>
      <c r="F44" s="1147">
        <v>69</v>
      </c>
      <c r="G44" s="1147">
        <v>200</v>
      </c>
      <c r="H44" t="s">
        <v>551</v>
      </c>
      <c r="I44" s="1148">
        <v>45930.400937500002</v>
      </c>
    </row>
    <row r="45" spans="1:9">
      <c r="A45" t="s">
        <v>6029</v>
      </c>
      <c r="B45" t="s">
        <v>6030</v>
      </c>
      <c r="C45">
        <v>41445855</v>
      </c>
      <c r="D45" t="s">
        <v>681</v>
      </c>
      <c r="E45" t="s">
        <v>15</v>
      </c>
      <c r="F45" s="1147">
        <v>69</v>
      </c>
      <c r="G45" s="1147">
        <v>250</v>
      </c>
      <c r="H45" t="s">
        <v>551</v>
      </c>
      <c r="I45" s="1148">
        <v>45930.400937500002</v>
      </c>
    </row>
    <row r="46" spans="1:9">
      <c r="A46" t="s">
        <v>6029</v>
      </c>
      <c r="B46" t="s">
        <v>6030</v>
      </c>
      <c r="C46">
        <v>41445855</v>
      </c>
      <c r="D46" t="s">
        <v>1395</v>
      </c>
      <c r="E46" t="s">
        <v>1396</v>
      </c>
      <c r="F46" s="1147">
        <v>69</v>
      </c>
      <c r="G46" s="1147">
        <v>400</v>
      </c>
      <c r="H46" t="s">
        <v>551</v>
      </c>
      <c r="I46" s="1148">
        <v>45930.400937500002</v>
      </c>
    </row>
    <row r="47" spans="1:9">
      <c r="A47" t="s">
        <v>6029</v>
      </c>
      <c r="B47" t="s">
        <v>6030</v>
      </c>
      <c r="C47">
        <v>41445855</v>
      </c>
      <c r="D47" t="s">
        <v>508</v>
      </c>
      <c r="E47" t="s">
        <v>508</v>
      </c>
      <c r="F47" s="1147">
        <v>69</v>
      </c>
      <c r="G47" s="1147">
        <v>300</v>
      </c>
      <c r="H47" t="s">
        <v>551</v>
      </c>
      <c r="I47" s="1148">
        <v>45930.400937500002</v>
      </c>
    </row>
    <row r="48" spans="1:9">
      <c r="A48" t="s">
        <v>6029</v>
      </c>
      <c r="B48" t="s">
        <v>6030</v>
      </c>
      <c r="C48">
        <v>41445855</v>
      </c>
      <c r="D48" t="s">
        <v>1824</v>
      </c>
      <c r="E48" t="s">
        <v>2830</v>
      </c>
      <c r="F48" s="1147">
        <v>135</v>
      </c>
      <c r="G48" s="1147">
        <v>600</v>
      </c>
      <c r="H48" t="s">
        <v>551</v>
      </c>
      <c r="I48" s="1148">
        <v>45930.400937500002</v>
      </c>
    </row>
    <row r="49" spans="1:9">
      <c r="A49" t="s">
        <v>6029</v>
      </c>
      <c r="B49" t="s">
        <v>6030</v>
      </c>
      <c r="C49">
        <v>41445855</v>
      </c>
      <c r="D49" t="s">
        <v>1826</v>
      </c>
      <c r="E49" t="s">
        <v>1827</v>
      </c>
      <c r="F49" s="1147">
        <v>69</v>
      </c>
      <c r="G49" s="1147">
        <v>640</v>
      </c>
      <c r="H49" t="s">
        <v>551</v>
      </c>
      <c r="I49" s="1148">
        <v>45930.400937500002</v>
      </c>
    </row>
    <row r="50" spans="1:9">
      <c r="A50" t="s">
        <v>6029</v>
      </c>
      <c r="B50" t="s">
        <v>6030</v>
      </c>
      <c r="C50">
        <v>41445855</v>
      </c>
      <c r="D50" t="s">
        <v>1545</v>
      </c>
      <c r="E50" t="s">
        <v>1546</v>
      </c>
      <c r="F50" s="1147">
        <v>1380</v>
      </c>
      <c r="G50" s="1147">
        <v>4000</v>
      </c>
      <c r="H50" t="s">
        <v>604</v>
      </c>
      <c r="I50" s="1148">
        <v>45930.400937500002</v>
      </c>
    </row>
    <row r="51" spans="1:9">
      <c r="A51" t="s">
        <v>6029</v>
      </c>
      <c r="B51" t="s">
        <v>6030</v>
      </c>
      <c r="C51">
        <v>41445855</v>
      </c>
      <c r="D51" t="s">
        <v>1716</v>
      </c>
      <c r="E51" t="s">
        <v>25</v>
      </c>
      <c r="F51" s="1147">
        <v>69</v>
      </c>
      <c r="G51" s="1147">
        <v>600</v>
      </c>
      <c r="H51" t="s">
        <v>551</v>
      </c>
      <c r="I51" s="1148">
        <v>45930.400937500002</v>
      </c>
    </row>
    <row r="52" spans="1:9">
      <c r="A52" t="s">
        <v>6029</v>
      </c>
      <c r="B52" t="s">
        <v>6030</v>
      </c>
      <c r="C52">
        <v>41445855</v>
      </c>
      <c r="D52" t="s">
        <v>1391</v>
      </c>
      <c r="E52" t="s">
        <v>1392</v>
      </c>
      <c r="F52" s="1147">
        <v>69</v>
      </c>
      <c r="G52" s="1147">
        <v>400</v>
      </c>
      <c r="H52" t="s">
        <v>551</v>
      </c>
      <c r="I52" s="1148">
        <v>45930.400937500002</v>
      </c>
    </row>
    <row r="53" spans="1:9">
      <c r="A53" t="s">
        <v>6029</v>
      </c>
      <c r="B53" t="s">
        <v>6030</v>
      </c>
      <c r="C53">
        <v>41445855</v>
      </c>
      <c r="D53" t="s">
        <v>1861</v>
      </c>
      <c r="E53" t="s">
        <v>1862</v>
      </c>
      <c r="F53" s="1147">
        <v>175</v>
      </c>
      <c r="G53" s="1147">
        <v>1200</v>
      </c>
      <c r="H53" t="s">
        <v>604</v>
      </c>
      <c r="I53" s="1148">
        <v>45930.400937500002</v>
      </c>
    </row>
    <row r="54" spans="1:9">
      <c r="A54" t="s">
        <v>6029</v>
      </c>
      <c r="B54" t="s">
        <v>6030</v>
      </c>
      <c r="C54">
        <v>41445855</v>
      </c>
      <c r="D54" t="s">
        <v>1611</v>
      </c>
      <c r="E54" t="s">
        <v>1612</v>
      </c>
      <c r="F54" s="1147">
        <v>125</v>
      </c>
      <c r="G54" s="1147">
        <v>200</v>
      </c>
      <c r="H54" t="s">
        <v>551</v>
      </c>
      <c r="I54" s="1148">
        <v>45930.400937500002</v>
      </c>
    </row>
  </sheetData>
  <phoneticPr fontId="6"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AFCE9-B897-45C7-81B2-F1C05FE0474E}">
  <sheetPr codeName="Munka11"/>
  <dimension ref="A1:S6"/>
  <sheetViews>
    <sheetView tabSelected="1" zoomScale="90" zoomScaleNormal="90" workbookViewId="0">
      <pane ySplit="1" topLeftCell="A2" activePane="bottomLeft" state="frozen"/>
      <selection pane="bottomLeft" activeCell="B17" sqref="B17"/>
    </sheetView>
  </sheetViews>
  <sheetFormatPr defaultRowHeight="13.6"/>
  <cols>
    <col min="1" max="1" width="35.109375" customWidth="1"/>
    <col min="2" max="2" width="18.88671875" customWidth="1"/>
    <col min="3" max="3" width="20.77734375" customWidth="1"/>
    <col min="4" max="4" width="26.109375" customWidth="1"/>
    <col min="5" max="5" width="27.88671875" customWidth="1"/>
    <col min="6" max="6" width="22.44140625" customWidth="1"/>
    <col min="7" max="9" width="18.88671875" customWidth="1"/>
    <col min="10" max="10" width="27.88671875" customWidth="1"/>
    <col min="11" max="11" width="38.77734375" customWidth="1"/>
    <col min="12" max="12" width="34.21875" customWidth="1"/>
    <col min="13" max="13" width="15.21875" customWidth="1"/>
    <col min="14" max="15" width="18" customWidth="1"/>
    <col min="16" max="16" width="18.88671875" customWidth="1"/>
    <col min="17" max="17" width="20.77734375" customWidth="1"/>
    <col min="18" max="18" width="27" customWidth="1"/>
    <col min="19" max="19" width="10.77734375" customWidth="1"/>
  </cols>
  <sheetData>
    <row r="1" spans="1:19">
      <c r="A1" s="70" t="s">
        <v>6159</v>
      </c>
      <c r="B1" t="s">
        <v>1896</v>
      </c>
      <c r="C1" t="s">
        <v>1897</v>
      </c>
      <c r="D1" t="s">
        <v>1898</v>
      </c>
      <c r="E1" t="s">
        <v>1899</v>
      </c>
      <c r="F1" t="s">
        <v>1900</v>
      </c>
      <c r="G1" t="s">
        <v>1901</v>
      </c>
      <c r="H1" t="s">
        <v>1902</v>
      </c>
      <c r="I1" t="s">
        <v>1903</v>
      </c>
      <c r="J1" t="s">
        <v>1904</v>
      </c>
      <c r="K1" t="s">
        <v>1905</v>
      </c>
      <c r="L1" t="s">
        <v>1906</v>
      </c>
      <c r="M1" t="s">
        <v>1907</v>
      </c>
      <c r="N1" t="s">
        <v>1908</v>
      </c>
      <c r="O1" t="s">
        <v>1909</v>
      </c>
      <c r="P1" t="s">
        <v>1910</v>
      </c>
      <c r="Q1" t="s">
        <v>1911</v>
      </c>
      <c r="R1" t="s">
        <v>1912</v>
      </c>
      <c r="S1" t="s">
        <v>1913</v>
      </c>
    </row>
    <row r="2" spans="1:19">
      <c r="A2" s="70" t="s">
        <v>6162</v>
      </c>
      <c r="B2" s="1428">
        <v>959795237</v>
      </c>
      <c r="C2" s="859" t="s">
        <v>5934</v>
      </c>
      <c r="D2" t="s">
        <v>1914</v>
      </c>
      <c r="E2" t="s">
        <v>5935</v>
      </c>
      <c r="G2" s="1149"/>
      <c r="H2" s="70" t="s">
        <v>5936</v>
      </c>
      <c r="I2">
        <v>1116</v>
      </c>
      <c r="J2" t="s">
        <v>1914</v>
      </c>
      <c r="K2" s="70" t="s">
        <v>6152</v>
      </c>
      <c r="L2" s="471" t="s">
        <v>6154</v>
      </c>
      <c r="N2" t="s">
        <v>5911</v>
      </c>
      <c r="O2" t="s">
        <v>5911</v>
      </c>
      <c r="Q2" t="s">
        <v>5937</v>
      </c>
      <c r="R2" t="s">
        <v>5938</v>
      </c>
      <c r="S2" t="s">
        <v>1915</v>
      </c>
    </row>
    <row r="3" spans="1:19">
      <c r="A3" s="70" t="s">
        <v>6163</v>
      </c>
      <c r="B3" s="1428">
        <v>149096203</v>
      </c>
      <c r="C3" s="859" t="s">
        <v>5939</v>
      </c>
      <c r="E3" t="s">
        <v>5940</v>
      </c>
      <c r="H3" t="s">
        <v>5941</v>
      </c>
      <c r="I3">
        <v>1224</v>
      </c>
      <c r="J3" t="s">
        <v>1914</v>
      </c>
      <c r="K3" t="s">
        <v>5942</v>
      </c>
      <c r="L3" s="471" t="s">
        <v>6155</v>
      </c>
      <c r="N3" t="s">
        <v>5911</v>
      </c>
      <c r="O3" t="s">
        <v>5911</v>
      </c>
      <c r="Q3" t="s">
        <v>5943</v>
      </c>
      <c r="R3" t="s">
        <v>5944</v>
      </c>
      <c r="S3" t="s">
        <v>1915</v>
      </c>
    </row>
    <row r="4" spans="1:19">
      <c r="A4" s="70" t="s">
        <v>6164</v>
      </c>
      <c r="B4" s="1428">
        <v>684915698</v>
      </c>
      <c r="C4" s="859" t="s">
        <v>5945</v>
      </c>
      <c r="D4" t="s">
        <v>1916</v>
      </c>
      <c r="E4" t="s">
        <v>5946</v>
      </c>
      <c r="H4" t="s">
        <v>5947</v>
      </c>
      <c r="I4">
        <v>1116</v>
      </c>
      <c r="J4" t="s">
        <v>1914</v>
      </c>
      <c r="K4" s="70" t="s">
        <v>6153</v>
      </c>
      <c r="L4" s="471" t="s">
        <v>6156</v>
      </c>
      <c r="N4" t="s">
        <v>5911</v>
      </c>
      <c r="O4" t="s">
        <v>5911</v>
      </c>
      <c r="Q4" t="s">
        <v>5948</v>
      </c>
      <c r="R4" t="s">
        <v>5949</v>
      </c>
      <c r="S4" t="s">
        <v>1917</v>
      </c>
    </row>
    <row r="5" spans="1:19">
      <c r="A5" s="70" t="s">
        <v>6165</v>
      </c>
      <c r="B5" s="1428">
        <v>509563329</v>
      </c>
      <c r="C5" s="859" t="s">
        <v>5950</v>
      </c>
      <c r="E5" t="s">
        <v>5951</v>
      </c>
      <c r="H5" t="s">
        <v>5952</v>
      </c>
      <c r="I5">
        <v>1132</v>
      </c>
      <c r="J5" t="s">
        <v>1914</v>
      </c>
      <c r="K5" t="s">
        <v>5953</v>
      </c>
      <c r="L5" s="471" t="s">
        <v>6157</v>
      </c>
      <c r="N5" t="s">
        <v>5911</v>
      </c>
      <c r="O5" t="s">
        <v>5911</v>
      </c>
      <c r="Q5" t="s">
        <v>5954</v>
      </c>
      <c r="R5" t="s">
        <v>5955</v>
      </c>
      <c r="S5" t="s">
        <v>1917</v>
      </c>
    </row>
    <row r="6" spans="1:19">
      <c r="A6" s="70" t="s">
        <v>6166</v>
      </c>
      <c r="B6" s="1428">
        <v>834307612</v>
      </c>
      <c r="C6" s="859" t="s">
        <v>5956</v>
      </c>
      <c r="E6" t="s">
        <v>5957</v>
      </c>
      <c r="I6">
        <v>1137</v>
      </c>
      <c r="J6" t="s">
        <v>1914</v>
      </c>
      <c r="K6" t="s">
        <v>5958</v>
      </c>
      <c r="L6" s="471" t="s">
        <v>6158</v>
      </c>
      <c r="N6" t="s">
        <v>5911</v>
      </c>
      <c r="O6" t="s">
        <v>5911</v>
      </c>
      <c r="Q6" t="s">
        <v>5959</v>
      </c>
      <c r="R6" t="s">
        <v>5960</v>
      </c>
      <c r="S6" t="s">
        <v>1915</v>
      </c>
    </row>
  </sheetData>
  <autoFilter ref="A1:S6" xr:uid="{C7CAFCE9-B897-45C7-81B2-F1C05FE0474E}"/>
  <hyperlinks>
    <hyperlink ref="L2" r:id="rId1" xr:uid="{02DD97C1-A592-4C7E-9CAA-C0534BC519CF}"/>
    <hyperlink ref="L3" r:id="rId2" xr:uid="{F3BAC43E-7C73-44AE-8F4E-08BE4CC5F108}"/>
    <hyperlink ref="L4" r:id="rId3" xr:uid="{9FFE2211-8568-4942-9EC8-8C91A38F84BE}"/>
    <hyperlink ref="L5" r:id="rId4" xr:uid="{98A794F7-8E7E-447B-9EB4-F45431FCCF97}"/>
    <hyperlink ref="L6" r:id="rId5" xr:uid="{32EAD5C7-986F-4CBF-847B-4DB3745F379E}"/>
  </hyperlinks>
  <pageMargins left="0.7" right="0.7" top="0.75" bottom="0.75" header="0.3" footer="0.3"/>
  <pageSetup paperSize="9" orientation="portrait" verticalDpi="0" r:id="rId6"/>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8156D-BA08-48D1-AA61-16D36C05E7C9}">
  <sheetPr codeName="Munka17"/>
  <dimension ref="A3:AC344"/>
  <sheetViews>
    <sheetView topLeftCell="A328" workbookViewId="0">
      <selection activeCell="H24" sqref="H24"/>
    </sheetView>
  </sheetViews>
  <sheetFormatPr defaultRowHeight="13.6" outlineLevelRow="1"/>
  <cols>
    <col min="1" max="1" width="39.6640625" bestFit="1" customWidth="1"/>
    <col min="4" max="5" width="9.77734375" bestFit="1" customWidth="1"/>
    <col min="12" max="12" width="9.77734375" bestFit="1" customWidth="1"/>
  </cols>
  <sheetData>
    <row r="3" spans="1:12">
      <c r="A3" t="s">
        <v>958</v>
      </c>
      <c r="B3" t="s">
        <v>490</v>
      </c>
      <c r="D3">
        <v>15900</v>
      </c>
      <c r="E3">
        <v>15900</v>
      </c>
      <c r="G3">
        <v>6</v>
      </c>
      <c r="I3" t="s">
        <v>5966</v>
      </c>
      <c r="L3">
        <v>15900</v>
      </c>
    </row>
    <row r="4" spans="1:12">
      <c r="A4" t="s">
        <v>959</v>
      </c>
      <c r="L4">
        <v>0</v>
      </c>
    </row>
    <row r="5" spans="1:12">
      <c r="A5" t="s">
        <v>960</v>
      </c>
      <c r="L5">
        <v>0</v>
      </c>
    </row>
    <row r="6" spans="1:12">
      <c r="A6" t="s">
        <v>961</v>
      </c>
      <c r="L6">
        <v>0</v>
      </c>
    </row>
    <row r="7" spans="1:12">
      <c r="A7" t="s">
        <v>962</v>
      </c>
      <c r="L7">
        <v>0</v>
      </c>
    </row>
    <row r="8" spans="1:12">
      <c r="A8" t="s">
        <v>963</v>
      </c>
      <c r="L8">
        <v>0</v>
      </c>
    </row>
    <row r="9" spans="1:12">
      <c r="A9" t="s">
        <v>964</v>
      </c>
      <c r="L9">
        <v>0</v>
      </c>
    </row>
    <row r="10" spans="1:12">
      <c r="A10" t="s">
        <v>965</v>
      </c>
      <c r="L10">
        <v>0</v>
      </c>
    </row>
    <row r="11" spans="1:12">
      <c r="A11" t="s">
        <v>966</v>
      </c>
      <c r="L11">
        <v>0</v>
      </c>
    </row>
    <row r="12" spans="1:12">
      <c r="A12" t="s">
        <v>967</v>
      </c>
      <c r="L12">
        <v>0</v>
      </c>
    </row>
    <row r="13" spans="1:12">
      <c r="A13" t="s">
        <v>968</v>
      </c>
      <c r="L13">
        <v>0</v>
      </c>
    </row>
    <row r="14" spans="1:12">
      <c r="A14" t="s">
        <v>969</v>
      </c>
      <c r="L14">
        <v>0</v>
      </c>
    </row>
    <row r="15" spans="1:12">
      <c r="A15" t="s">
        <v>970</v>
      </c>
      <c r="L15">
        <v>0</v>
      </c>
    </row>
    <row r="16" spans="1:12">
      <c r="A16" t="s">
        <v>971</v>
      </c>
      <c r="L16">
        <v>0</v>
      </c>
    </row>
    <row r="17" spans="1:29">
      <c r="A17" t="s">
        <v>972</v>
      </c>
      <c r="L17">
        <v>0</v>
      </c>
    </row>
    <row r="18" spans="1:29">
      <c r="A18" t="s">
        <v>973</v>
      </c>
      <c r="L18">
        <v>0</v>
      </c>
    </row>
    <row r="19" spans="1:29">
      <c r="A19" t="s">
        <v>974</v>
      </c>
      <c r="L19">
        <v>0</v>
      </c>
    </row>
    <row r="20" spans="1:29">
      <c r="A20" t="s">
        <v>975</v>
      </c>
      <c r="L20">
        <v>0</v>
      </c>
    </row>
    <row r="21" spans="1:29">
      <c r="A21" t="s">
        <v>976</v>
      </c>
      <c r="L21">
        <v>0</v>
      </c>
    </row>
    <row r="22" spans="1:29">
      <c r="A22" t="s">
        <v>977</v>
      </c>
      <c r="L22">
        <v>0</v>
      </c>
    </row>
    <row r="24" spans="1:29" s="890" customFormat="1" ht="15.65">
      <c r="A24" s="973" t="s">
        <v>1354</v>
      </c>
      <c r="B24" s="898" t="s">
        <v>490</v>
      </c>
      <c r="C24" s="898"/>
      <c r="D24" s="899">
        <v>19500</v>
      </c>
      <c r="E24" s="899">
        <v>19500</v>
      </c>
      <c r="F24" s="899"/>
      <c r="G24" s="900">
        <v>5</v>
      </c>
      <c r="H24" s="895"/>
      <c r="I24" s="902" t="str">
        <f>IF(H24="x",CONCATENATE(A24,"; "),"")</f>
        <v/>
      </c>
      <c r="J24" s="897"/>
      <c r="K24" s="903"/>
      <c r="L24" s="899">
        <f t="shared" ref="L24:L48" si="0">E24-C24</f>
        <v>19500</v>
      </c>
      <c r="M24" s="933"/>
      <c r="N24" s="933"/>
      <c r="O24" s="933"/>
      <c r="P24" s="933"/>
      <c r="Q24" s="933"/>
      <c r="R24" s="933"/>
      <c r="S24" s="933"/>
      <c r="T24" s="933"/>
      <c r="U24" s="933"/>
      <c r="V24" s="933"/>
      <c r="W24" s="902"/>
      <c r="X24" s="902"/>
      <c r="Y24" s="902"/>
      <c r="Z24" s="902"/>
      <c r="AA24" s="902"/>
      <c r="AB24" s="902"/>
      <c r="AC24" s="902"/>
    </row>
    <row r="25" spans="1:29" s="890" customFormat="1" ht="15.65" outlineLevel="1">
      <c r="A25" s="902" t="s">
        <v>962</v>
      </c>
      <c r="B25" s="898"/>
      <c r="C25" s="898"/>
      <c r="D25" s="899"/>
      <c r="E25" s="899"/>
      <c r="F25" s="899"/>
      <c r="G25" s="900"/>
      <c r="H25" s="895"/>
      <c r="I25" s="902"/>
      <c r="J25" s="897"/>
      <c r="K25" s="903"/>
      <c r="L25" s="899">
        <f t="shared" si="0"/>
        <v>0</v>
      </c>
      <c r="M25" s="933"/>
      <c r="N25" s="933"/>
      <c r="O25" s="933"/>
      <c r="P25" s="933"/>
      <c r="Q25" s="933"/>
      <c r="R25" s="933"/>
      <c r="S25" s="933"/>
      <c r="T25" s="933"/>
      <c r="U25" s="933"/>
      <c r="V25" s="933"/>
      <c r="W25" s="902"/>
      <c r="X25" s="902"/>
      <c r="Y25" s="902"/>
      <c r="Z25" s="902"/>
      <c r="AA25" s="902"/>
      <c r="AB25" s="902"/>
      <c r="AC25" s="902"/>
    </row>
    <row r="26" spans="1:29" s="890" customFormat="1" ht="15.65" outlineLevel="1">
      <c r="A26" s="902" t="s">
        <v>1007</v>
      </c>
      <c r="B26" s="898"/>
      <c r="C26" s="898"/>
      <c r="D26" s="899"/>
      <c r="E26" s="899"/>
      <c r="F26" s="899"/>
      <c r="G26" s="900"/>
      <c r="H26" s="895"/>
      <c r="I26" s="902"/>
      <c r="J26" s="897"/>
      <c r="K26" s="903"/>
      <c r="L26" s="899">
        <f t="shared" si="0"/>
        <v>0</v>
      </c>
      <c r="M26" s="933"/>
      <c r="N26" s="933"/>
      <c r="O26" s="933"/>
      <c r="P26" s="933"/>
      <c r="Q26" s="933"/>
      <c r="R26" s="933"/>
      <c r="S26" s="933"/>
      <c r="T26" s="933"/>
      <c r="U26" s="933"/>
      <c r="V26" s="933"/>
      <c r="W26" s="902"/>
      <c r="X26" s="902"/>
      <c r="Y26" s="902"/>
      <c r="Z26" s="902"/>
      <c r="AA26" s="902"/>
      <c r="AB26" s="902"/>
      <c r="AC26" s="902"/>
    </row>
    <row r="27" spans="1:29" s="890" customFormat="1" ht="15.65" outlineLevel="1">
      <c r="A27" s="902" t="s">
        <v>1095</v>
      </c>
      <c r="B27" s="898"/>
      <c r="C27" s="898"/>
      <c r="D27" s="899"/>
      <c r="E27" s="899"/>
      <c r="F27" s="899"/>
      <c r="G27" s="900"/>
      <c r="H27" s="895"/>
      <c r="I27" s="902"/>
      <c r="J27" s="897"/>
      <c r="K27" s="903"/>
      <c r="L27" s="899">
        <f t="shared" si="0"/>
        <v>0</v>
      </c>
      <c r="M27" s="933"/>
      <c r="N27" s="933"/>
      <c r="O27" s="933"/>
      <c r="P27" s="933"/>
      <c r="Q27" s="933"/>
      <c r="R27" s="933"/>
      <c r="S27" s="933"/>
      <c r="T27" s="933"/>
      <c r="U27" s="933"/>
      <c r="V27" s="933"/>
      <c r="W27" s="902"/>
      <c r="X27" s="902"/>
      <c r="Y27" s="902"/>
      <c r="Z27" s="902"/>
      <c r="AA27" s="902"/>
      <c r="AB27" s="902"/>
      <c r="AC27" s="902"/>
    </row>
    <row r="28" spans="1:29" s="890" customFormat="1" ht="15.65" outlineLevel="1">
      <c r="A28" s="902" t="s">
        <v>1029</v>
      </c>
      <c r="B28" s="898"/>
      <c r="C28" s="898"/>
      <c r="D28" s="899"/>
      <c r="E28" s="899"/>
      <c r="F28" s="899"/>
      <c r="G28" s="900"/>
      <c r="H28" s="895"/>
      <c r="I28" s="902"/>
      <c r="J28" s="897"/>
      <c r="K28" s="903"/>
      <c r="L28" s="899">
        <f t="shared" si="0"/>
        <v>0</v>
      </c>
      <c r="M28" s="902"/>
      <c r="N28" s="902"/>
      <c r="O28" s="902"/>
      <c r="P28" s="902"/>
      <c r="Q28" s="902"/>
      <c r="R28" s="902"/>
      <c r="S28" s="902"/>
      <c r="T28" s="902"/>
      <c r="U28" s="902"/>
      <c r="V28" s="902"/>
      <c r="W28" s="902"/>
      <c r="X28" s="902"/>
      <c r="Y28" s="902"/>
      <c r="Z28" s="902"/>
      <c r="AA28" s="902"/>
      <c r="AB28" s="902"/>
      <c r="AC28" s="902"/>
    </row>
    <row r="29" spans="1:29" s="890" customFormat="1" ht="15.65" outlineLevel="1">
      <c r="A29" s="902" t="s">
        <v>973</v>
      </c>
      <c r="B29" s="898"/>
      <c r="C29" s="898"/>
      <c r="D29" s="899"/>
      <c r="E29" s="899"/>
      <c r="F29" s="899"/>
      <c r="G29" s="900"/>
      <c r="H29" s="895"/>
      <c r="I29" s="902"/>
      <c r="J29" s="897"/>
      <c r="K29" s="903"/>
      <c r="L29" s="899">
        <f t="shared" si="0"/>
        <v>0</v>
      </c>
      <c r="M29" s="902"/>
      <c r="N29" s="902"/>
      <c r="O29" s="902"/>
      <c r="P29" s="902"/>
      <c r="Q29" s="902"/>
      <c r="R29" s="902"/>
      <c r="S29" s="902"/>
      <c r="T29" s="902"/>
      <c r="U29" s="902"/>
      <c r="V29" s="902"/>
      <c r="W29" s="902"/>
      <c r="X29" s="902"/>
      <c r="Y29" s="902"/>
      <c r="Z29" s="902"/>
      <c r="AA29" s="902"/>
      <c r="AB29" s="902"/>
      <c r="AC29" s="902"/>
    </row>
    <row r="30" spans="1:29" s="890" customFormat="1" ht="15.65" outlineLevel="1">
      <c r="A30" s="902" t="s">
        <v>1052</v>
      </c>
      <c r="B30" s="898"/>
      <c r="C30" s="898"/>
      <c r="D30" s="899"/>
      <c r="E30" s="899"/>
      <c r="F30" s="899"/>
      <c r="G30" s="900"/>
      <c r="H30" s="895"/>
      <c r="I30" s="902"/>
      <c r="J30" s="897"/>
      <c r="K30" s="903"/>
      <c r="L30" s="899">
        <f t="shared" si="0"/>
        <v>0</v>
      </c>
      <c r="M30" s="902"/>
      <c r="N30" s="902"/>
      <c r="O30" s="902"/>
      <c r="P30" s="902"/>
      <c r="Q30" s="902"/>
      <c r="R30" s="902"/>
      <c r="S30" s="902"/>
      <c r="T30" s="902"/>
      <c r="U30" s="902"/>
      <c r="V30" s="902"/>
      <c r="W30" s="902"/>
      <c r="X30" s="902"/>
      <c r="Y30" s="902"/>
      <c r="Z30" s="902"/>
      <c r="AA30" s="902"/>
      <c r="AB30" s="902"/>
      <c r="AC30" s="902"/>
    </row>
    <row r="31" spans="1:29" s="890" customFormat="1" ht="15.65" outlineLevel="1">
      <c r="A31" s="902" t="s">
        <v>967</v>
      </c>
      <c r="B31" s="898"/>
      <c r="C31" s="898"/>
      <c r="D31" s="899"/>
      <c r="E31" s="899"/>
      <c r="F31" s="899"/>
      <c r="G31" s="900"/>
      <c r="H31" s="895"/>
      <c r="I31" s="902"/>
      <c r="J31" s="897"/>
      <c r="K31" s="903"/>
      <c r="L31" s="899">
        <f t="shared" si="0"/>
        <v>0</v>
      </c>
      <c r="M31" s="902"/>
      <c r="N31" s="902"/>
      <c r="O31" s="902"/>
      <c r="P31" s="902"/>
      <c r="Q31" s="902"/>
      <c r="R31" s="902"/>
      <c r="S31" s="902"/>
      <c r="T31" s="902"/>
      <c r="U31" s="902"/>
      <c r="V31" s="902"/>
      <c r="W31" s="902"/>
      <c r="X31" s="902"/>
      <c r="Y31" s="902"/>
      <c r="Z31" s="902"/>
      <c r="AA31" s="902"/>
      <c r="AB31" s="902"/>
      <c r="AC31" s="902"/>
    </row>
    <row r="32" spans="1:29" s="890" customFormat="1" ht="15.65" outlineLevel="1">
      <c r="A32" s="902" t="s">
        <v>969</v>
      </c>
      <c r="B32" s="898"/>
      <c r="C32" s="898"/>
      <c r="D32" s="899"/>
      <c r="E32" s="899"/>
      <c r="F32" s="899"/>
      <c r="G32" s="900"/>
      <c r="H32" s="895"/>
      <c r="I32" s="902"/>
      <c r="J32" s="897"/>
      <c r="K32" s="903"/>
      <c r="L32" s="899">
        <f t="shared" si="0"/>
        <v>0</v>
      </c>
      <c r="M32" s="902"/>
      <c r="N32" s="902"/>
      <c r="O32" s="902"/>
      <c r="P32" s="902"/>
      <c r="Q32" s="902"/>
      <c r="R32" s="902"/>
      <c r="S32" s="902"/>
      <c r="T32" s="902"/>
      <c r="U32" s="902"/>
      <c r="V32" s="902"/>
      <c r="W32" s="902"/>
      <c r="X32" s="902"/>
      <c r="Y32" s="902"/>
      <c r="Z32" s="902"/>
      <c r="AA32" s="902"/>
      <c r="AB32" s="902"/>
      <c r="AC32" s="902"/>
    </row>
    <row r="33" spans="1:29" s="890" customFormat="1" ht="15.65" outlineLevel="1">
      <c r="A33" s="902" t="s">
        <v>970</v>
      </c>
      <c r="B33" s="898"/>
      <c r="C33" s="898"/>
      <c r="D33" s="899"/>
      <c r="E33" s="899"/>
      <c r="F33" s="899"/>
      <c r="G33" s="900"/>
      <c r="H33" s="895"/>
      <c r="I33" s="902"/>
      <c r="J33" s="897"/>
      <c r="K33" s="903"/>
      <c r="L33" s="899">
        <f t="shared" si="0"/>
        <v>0</v>
      </c>
      <c r="M33" s="902"/>
      <c r="N33" s="902"/>
      <c r="O33" s="902"/>
      <c r="P33" s="902"/>
      <c r="Q33" s="902"/>
      <c r="R33" s="902"/>
      <c r="S33" s="902"/>
      <c r="T33" s="902"/>
      <c r="U33" s="902"/>
      <c r="V33" s="902"/>
      <c r="W33" s="902"/>
      <c r="X33" s="902"/>
      <c r="Y33" s="902"/>
      <c r="Z33" s="902"/>
      <c r="AA33" s="902"/>
      <c r="AB33" s="902"/>
      <c r="AC33" s="902"/>
    </row>
    <row r="34" spans="1:29" s="890" customFormat="1" ht="15.65" outlineLevel="1">
      <c r="A34" s="902" t="s">
        <v>453</v>
      </c>
      <c r="B34" s="898"/>
      <c r="C34" s="898"/>
      <c r="D34" s="899"/>
      <c r="E34" s="899"/>
      <c r="F34" s="899"/>
      <c r="G34" s="900"/>
      <c r="H34" s="895"/>
      <c r="I34" s="902"/>
      <c r="J34" s="897"/>
      <c r="K34" s="903"/>
      <c r="L34" s="899">
        <f t="shared" si="0"/>
        <v>0</v>
      </c>
      <c r="M34" s="902"/>
      <c r="N34" s="902"/>
      <c r="O34" s="902"/>
      <c r="P34" s="902"/>
      <c r="Q34" s="902"/>
      <c r="R34" s="902"/>
      <c r="S34" s="902"/>
      <c r="T34" s="902"/>
      <c r="U34" s="902"/>
      <c r="V34" s="902"/>
      <c r="W34" s="902"/>
      <c r="X34" s="902"/>
      <c r="Y34" s="902"/>
      <c r="Z34" s="902"/>
      <c r="AA34" s="902"/>
      <c r="AB34" s="902"/>
      <c r="AC34" s="902"/>
    </row>
    <row r="35" spans="1:29" s="890" customFormat="1" ht="15.65" outlineLevel="1">
      <c r="A35" s="902" t="s">
        <v>1356</v>
      </c>
      <c r="B35" s="898"/>
      <c r="C35" s="898"/>
      <c r="D35" s="899"/>
      <c r="E35" s="899"/>
      <c r="F35" s="899"/>
      <c r="G35" s="900"/>
      <c r="H35" s="895"/>
      <c r="I35" s="902"/>
      <c r="J35" s="897"/>
      <c r="K35" s="903"/>
      <c r="L35" s="899">
        <f t="shared" si="0"/>
        <v>0</v>
      </c>
      <c r="M35" s="902"/>
      <c r="N35" s="902"/>
      <c r="O35" s="902"/>
      <c r="P35" s="902"/>
      <c r="Q35" s="902"/>
      <c r="R35" s="902"/>
      <c r="S35" s="902"/>
      <c r="T35" s="902"/>
      <c r="U35" s="902"/>
      <c r="V35" s="902"/>
      <c r="W35" s="902"/>
      <c r="X35" s="902"/>
      <c r="Y35" s="902"/>
      <c r="Z35" s="902"/>
      <c r="AA35" s="902"/>
      <c r="AB35" s="902"/>
      <c r="AC35" s="902"/>
    </row>
    <row r="36" spans="1:29" s="890" customFormat="1" ht="15.65" outlineLevel="1">
      <c r="A36" s="902" t="s">
        <v>1067</v>
      </c>
      <c r="B36" s="898"/>
      <c r="C36" s="898"/>
      <c r="D36" s="899"/>
      <c r="E36" s="899"/>
      <c r="F36" s="899"/>
      <c r="G36" s="900"/>
      <c r="H36" s="895"/>
      <c r="I36" s="902"/>
      <c r="J36" s="897"/>
      <c r="K36" s="903"/>
      <c r="L36" s="899">
        <f t="shared" si="0"/>
        <v>0</v>
      </c>
      <c r="M36" s="902"/>
      <c r="N36" s="902"/>
      <c r="O36" s="902"/>
      <c r="P36" s="902"/>
      <c r="Q36" s="902"/>
      <c r="R36" s="902"/>
      <c r="S36" s="902"/>
      <c r="T36" s="902"/>
      <c r="U36" s="902"/>
      <c r="V36" s="902"/>
      <c r="W36" s="902"/>
      <c r="X36" s="902"/>
      <c r="Y36" s="902"/>
      <c r="Z36" s="902"/>
      <c r="AA36" s="902"/>
      <c r="AB36" s="902"/>
      <c r="AC36" s="902"/>
    </row>
    <row r="37" spans="1:29" s="890" customFormat="1" ht="15.65" outlineLevel="1">
      <c r="A37" s="902" t="s">
        <v>977</v>
      </c>
      <c r="B37" s="898"/>
      <c r="C37" s="898"/>
      <c r="D37" s="899"/>
      <c r="E37" s="899"/>
      <c r="F37" s="899"/>
      <c r="G37" s="900"/>
      <c r="H37" s="895"/>
      <c r="I37" s="902"/>
      <c r="J37" s="897"/>
      <c r="K37" s="903"/>
      <c r="L37" s="899">
        <f t="shared" si="0"/>
        <v>0</v>
      </c>
      <c r="M37" s="902"/>
      <c r="N37" s="902"/>
      <c r="O37" s="902"/>
      <c r="P37" s="902"/>
      <c r="Q37" s="902"/>
      <c r="R37" s="902"/>
      <c r="S37" s="902"/>
      <c r="T37" s="902"/>
      <c r="U37" s="902"/>
      <c r="V37" s="902"/>
      <c r="W37" s="902"/>
      <c r="X37" s="902"/>
      <c r="Y37" s="902"/>
      <c r="Z37" s="902"/>
      <c r="AA37" s="902"/>
      <c r="AB37" s="902"/>
      <c r="AC37" s="902"/>
    </row>
    <row r="38" spans="1:29" s="890" customFormat="1" ht="15.65" outlineLevel="1">
      <c r="A38" s="902" t="s">
        <v>959</v>
      </c>
      <c r="B38" s="898"/>
      <c r="C38" s="898"/>
      <c r="D38" s="899"/>
      <c r="E38" s="899"/>
      <c r="F38" s="899"/>
      <c r="G38" s="900"/>
      <c r="H38" s="895"/>
      <c r="I38" s="902"/>
      <c r="J38" s="897"/>
      <c r="K38" s="903"/>
      <c r="L38" s="899">
        <f t="shared" si="0"/>
        <v>0</v>
      </c>
      <c r="M38" s="902"/>
      <c r="N38" s="902"/>
      <c r="O38" s="902"/>
      <c r="P38" s="902"/>
      <c r="Q38" s="902"/>
      <c r="R38" s="902"/>
      <c r="S38" s="902"/>
      <c r="T38" s="902"/>
      <c r="U38" s="902"/>
      <c r="V38" s="902"/>
      <c r="W38" s="902"/>
      <c r="X38" s="902"/>
      <c r="Y38" s="902"/>
      <c r="Z38" s="902"/>
      <c r="AA38" s="902"/>
      <c r="AB38" s="902"/>
      <c r="AC38" s="902"/>
    </row>
    <row r="39" spans="1:29" s="890" customFormat="1" ht="15.65" outlineLevel="1">
      <c r="A39" s="902" t="s">
        <v>975</v>
      </c>
      <c r="B39" s="898"/>
      <c r="C39" s="898"/>
      <c r="D39" s="899"/>
      <c r="E39" s="899"/>
      <c r="F39" s="899"/>
      <c r="G39" s="900"/>
      <c r="H39" s="895"/>
      <c r="I39" s="902"/>
      <c r="J39" s="897"/>
      <c r="K39" s="903"/>
      <c r="L39" s="899">
        <f t="shared" si="0"/>
        <v>0</v>
      </c>
      <c r="M39" s="902"/>
      <c r="N39" s="902"/>
      <c r="O39" s="902"/>
      <c r="P39" s="902"/>
      <c r="Q39" s="902"/>
      <c r="R39" s="902"/>
      <c r="S39" s="902"/>
      <c r="T39" s="902"/>
      <c r="U39" s="902"/>
      <c r="V39" s="902"/>
      <c r="W39" s="902"/>
      <c r="X39" s="902"/>
      <c r="Y39" s="902"/>
      <c r="Z39" s="902"/>
      <c r="AA39" s="902"/>
      <c r="AB39" s="902"/>
      <c r="AC39" s="902"/>
    </row>
    <row r="40" spans="1:29" s="890" customFormat="1" ht="15.65" outlineLevel="1">
      <c r="A40" s="902" t="s">
        <v>963</v>
      </c>
      <c r="B40" s="898"/>
      <c r="C40" s="898"/>
      <c r="D40" s="899"/>
      <c r="E40" s="899"/>
      <c r="F40" s="899"/>
      <c r="G40" s="900"/>
      <c r="H40" s="895"/>
      <c r="I40" s="902"/>
      <c r="J40" s="897"/>
      <c r="K40" s="903"/>
      <c r="L40" s="899">
        <f t="shared" si="0"/>
        <v>0</v>
      </c>
      <c r="M40" s="902"/>
      <c r="N40" s="902"/>
      <c r="O40" s="902"/>
      <c r="P40" s="902"/>
      <c r="Q40" s="902"/>
      <c r="R40" s="902"/>
      <c r="S40" s="902"/>
      <c r="T40" s="902"/>
      <c r="U40" s="902"/>
      <c r="V40" s="902"/>
      <c r="W40" s="902"/>
      <c r="X40" s="902"/>
      <c r="Y40" s="902"/>
      <c r="Z40" s="902"/>
      <c r="AA40" s="902"/>
      <c r="AB40" s="902"/>
      <c r="AC40" s="902"/>
    </row>
    <row r="41" spans="1:29" s="890" customFormat="1" ht="15.65" outlineLevel="1">
      <c r="A41" s="902" t="s">
        <v>971</v>
      </c>
      <c r="B41" s="898"/>
      <c r="C41" s="898"/>
      <c r="D41" s="899"/>
      <c r="E41" s="899"/>
      <c r="F41" s="899"/>
      <c r="G41" s="900"/>
      <c r="H41" s="895"/>
      <c r="I41" s="902"/>
      <c r="J41" s="897"/>
      <c r="K41" s="903"/>
      <c r="L41" s="899">
        <f t="shared" si="0"/>
        <v>0</v>
      </c>
      <c r="M41" s="902"/>
      <c r="N41" s="902"/>
      <c r="O41" s="902"/>
      <c r="P41" s="902"/>
      <c r="Q41" s="902"/>
      <c r="R41" s="902"/>
      <c r="S41" s="902"/>
      <c r="T41" s="902"/>
      <c r="U41" s="902"/>
      <c r="V41" s="902"/>
      <c r="W41" s="902"/>
      <c r="X41" s="902"/>
      <c r="Y41" s="902"/>
      <c r="Z41" s="902"/>
      <c r="AA41" s="902"/>
      <c r="AB41" s="902"/>
      <c r="AC41" s="902"/>
    </row>
    <row r="42" spans="1:29" s="890" customFormat="1" ht="15.65" outlineLevel="1">
      <c r="A42" s="902" t="s">
        <v>978</v>
      </c>
      <c r="B42" s="898"/>
      <c r="C42" s="898"/>
      <c r="D42" s="899"/>
      <c r="E42" s="899"/>
      <c r="F42" s="899"/>
      <c r="G42" s="900"/>
      <c r="H42" s="895"/>
      <c r="I42" s="902"/>
      <c r="J42" s="897"/>
      <c r="K42" s="903"/>
      <c r="L42" s="899">
        <f t="shared" si="0"/>
        <v>0</v>
      </c>
      <c r="M42" s="902"/>
      <c r="N42" s="902"/>
      <c r="O42" s="902"/>
      <c r="P42" s="902"/>
      <c r="Q42" s="902"/>
      <c r="R42" s="902"/>
      <c r="S42" s="902"/>
      <c r="T42" s="902"/>
      <c r="U42" s="902"/>
      <c r="V42" s="902"/>
      <c r="W42" s="902"/>
      <c r="X42" s="902"/>
      <c r="Y42" s="902"/>
      <c r="Z42" s="902"/>
      <c r="AA42" s="902"/>
      <c r="AB42" s="902"/>
      <c r="AC42" s="902"/>
    </row>
    <row r="43" spans="1:29" s="890" customFormat="1" ht="15.65" outlineLevel="1">
      <c r="A43" s="902" t="s">
        <v>960</v>
      </c>
      <c r="B43" s="898"/>
      <c r="C43" s="898"/>
      <c r="D43" s="899"/>
      <c r="E43" s="899"/>
      <c r="F43" s="899"/>
      <c r="G43" s="900"/>
      <c r="H43" s="895"/>
      <c r="I43" s="902"/>
      <c r="J43" s="897"/>
      <c r="K43" s="903"/>
      <c r="L43" s="899">
        <f t="shared" si="0"/>
        <v>0</v>
      </c>
      <c r="M43" s="902"/>
      <c r="N43" s="902"/>
      <c r="O43" s="902"/>
      <c r="P43" s="902"/>
      <c r="Q43" s="902"/>
      <c r="R43" s="902"/>
      <c r="S43" s="902"/>
      <c r="T43" s="902"/>
      <c r="U43" s="902"/>
      <c r="V43" s="902"/>
      <c r="W43" s="902"/>
      <c r="X43" s="902"/>
      <c r="Y43" s="902"/>
      <c r="Z43" s="902"/>
      <c r="AA43" s="902"/>
      <c r="AB43" s="902"/>
      <c r="AC43" s="902"/>
    </row>
    <row r="44" spans="1:29" s="890" customFormat="1" ht="15.65" outlineLevel="1">
      <c r="A44" s="902" t="s">
        <v>1357</v>
      </c>
      <c r="B44" s="898"/>
      <c r="C44" s="898"/>
      <c r="D44" s="899"/>
      <c r="E44" s="899"/>
      <c r="F44" s="899"/>
      <c r="G44" s="900"/>
      <c r="H44" s="895"/>
      <c r="I44" s="902"/>
      <c r="J44" s="897"/>
      <c r="K44" s="903"/>
      <c r="L44" s="899">
        <f t="shared" si="0"/>
        <v>0</v>
      </c>
      <c r="M44" s="902"/>
      <c r="N44" s="902"/>
      <c r="O44" s="902"/>
      <c r="P44" s="902"/>
      <c r="Q44" s="902"/>
      <c r="R44" s="902"/>
      <c r="S44" s="902"/>
      <c r="T44" s="902"/>
      <c r="U44" s="902"/>
      <c r="V44" s="902"/>
      <c r="W44" s="902"/>
      <c r="X44" s="902"/>
      <c r="Y44" s="902"/>
      <c r="Z44" s="902"/>
      <c r="AA44" s="902"/>
      <c r="AB44" s="902"/>
      <c r="AC44" s="902"/>
    </row>
    <row r="45" spans="1:29" s="890" customFormat="1" ht="15.65" outlineLevel="1">
      <c r="A45" s="902" t="s">
        <v>968</v>
      </c>
      <c r="B45" s="898"/>
      <c r="C45" s="898"/>
      <c r="D45" s="899"/>
      <c r="E45" s="899"/>
      <c r="F45" s="899"/>
      <c r="G45" s="900"/>
      <c r="H45" s="895"/>
      <c r="I45" s="902"/>
      <c r="J45" s="897"/>
      <c r="K45" s="903"/>
      <c r="L45" s="899">
        <f t="shared" si="0"/>
        <v>0</v>
      </c>
      <c r="M45" s="902"/>
      <c r="N45" s="902"/>
      <c r="O45" s="902"/>
      <c r="P45" s="902"/>
      <c r="Q45" s="902"/>
      <c r="R45" s="902"/>
      <c r="S45" s="902"/>
      <c r="T45" s="902"/>
      <c r="U45" s="902"/>
      <c r="V45" s="902"/>
      <c r="W45" s="902"/>
      <c r="X45" s="902"/>
      <c r="Y45" s="902"/>
      <c r="Z45" s="902"/>
      <c r="AA45" s="902"/>
      <c r="AB45" s="902"/>
      <c r="AC45" s="902"/>
    </row>
    <row r="46" spans="1:29" s="890" customFormat="1" ht="15.65" outlineLevel="1">
      <c r="A46" s="902" t="s">
        <v>1011</v>
      </c>
      <c r="B46" s="898"/>
      <c r="C46" s="898"/>
      <c r="D46" s="899"/>
      <c r="E46" s="899"/>
      <c r="F46" s="899"/>
      <c r="G46" s="900"/>
      <c r="H46" s="895"/>
      <c r="I46" s="902"/>
      <c r="J46" s="897"/>
      <c r="K46" s="903"/>
      <c r="L46" s="899">
        <f t="shared" si="0"/>
        <v>0</v>
      </c>
      <c r="M46" s="902"/>
      <c r="N46" s="902"/>
      <c r="O46" s="902"/>
      <c r="P46" s="902"/>
      <c r="Q46" s="902"/>
      <c r="R46" s="902"/>
      <c r="S46" s="902"/>
      <c r="T46" s="902"/>
      <c r="U46" s="902"/>
      <c r="V46" s="902"/>
      <c r="W46" s="902"/>
      <c r="X46" s="902"/>
      <c r="Y46" s="902"/>
      <c r="Z46" s="902"/>
      <c r="AA46" s="902"/>
      <c r="AB46" s="902"/>
      <c r="AC46" s="902"/>
    </row>
    <row r="47" spans="1:29" s="890" customFormat="1" ht="15.65" outlineLevel="1">
      <c r="A47" s="902" t="s">
        <v>1009</v>
      </c>
      <c r="B47" s="898"/>
      <c r="C47" s="898"/>
      <c r="D47" s="899"/>
      <c r="E47" s="899"/>
      <c r="F47" s="899"/>
      <c r="G47" s="900"/>
      <c r="H47" s="895"/>
      <c r="I47" s="902"/>
      <c r="J47" s="897"/>
      <c r="K47" s="903"/>
      <c r="L47" s="899">
        <f t="shared" si="0"/>
        <v>0</v>
      </c>
      <c r="M47" s="902"/>
      <c r="N47" s="902"/>
      <c r="O47" s="902"/>
      <c r="P47" s="902"/>
      <c r="Q47" s="902"/>
      <c r="R47" s="902"/>
      <c r="S47" s="902"/>
      <c r="T47" s="902"/>
      <c r="U47" s="902"/>
      <c r="V47" s="902"/>
      <c r="W47" s="902"/>
      <c r="X47" s="902"/>
      <c r="Y47" s="902"/>
      <c r="Z47" s="902"/>
      <c r="AA47" s="902"/>
      <c r="AB47" s="902"/>
      <c r="AC47" s="902"/>
    </row>
    <row r="48" spans="1:29" s="890" customFormat="1" ht="15.65" outlineLevel="1">
      <c r="A48" s="902" t="s">
        <v>1010</v>
      </c>
      <c r="B48" s="898"/>
      <c r="C48" s="898"/>
      <c r="D48" s="899"/>
      <c r="E48" s="899"/>
      <c r="F48" s="899"/>
      <c r="G48" s="900"/>
      <c r="H48" s="895"/>
      <c r="I48" s="902"/>
      <c r="J48" s="897"/>
      <c r="K48" s="903"/>
      <c r="L48" s="899">
        <f t="shared" si="0"/>
        <v>0</v>
      </c>
      <c r="M48" s="902"/>
      <c r="N48" s="902"/>
      <c r="O48" s="902"/>
      <c r="P48" s="902"/>
      <c r="Q48" s="902"/>
      <c r="R48" s="902"/>
      <c r="S48" s="902"/>
      <c r="T48" s="902"/>
      <c r="U48" s="902"/>
      <c r="V48" s="902"/>
      <c r="W48" s="902"/>
      <c r="X48" s="902"/>
      <c r="Y48" s="902"/>
      <c r="Z48" s="902"/>
      <c r="AA48" s="902"/>
      <c r="AB48" s="902"/>
      <c r="AC48" s="902"/>
    </row>
    <row r="51" spans="1:29" s="890" customFormat="1" ht="15.65">
      <c r="A51" s="973" t="s">
        <v>979</v>
      </c>
      <c r="B51" s="898" t="s">
        <v>490</v>
      </c>
      <c r="C51" s="898"/>
      <c r="D51" s="899">
        <v>15900</v>
      </c>
      <c r="E51" s="899">
        <v>15900</v>
      </c>
      <c r="F51" s="899"/>
      <c r="G51" s="900">
        <v>6</v>
      </c>
      <c r="H51" s="895"/>
      <c r="I51" s="902" t="str">
        <f>IF(H51="x",CONCATENATE(A51,"; "),"")</f>
        <v/>
      </c>
      <c r="J51" s="897"/>
      <c r="K51" s="903"/>
      <c r="L51" s="899">
        <f t="shared" ref="L51:L72" si="1">E51-C51</f>
        <v>15900</v>
      </c>
      <c r="M51" s="902"/>
      <c r="N51" s="902"/>
      <c r="O51" s="902"/>
      <c r="P51" s="902"/>
      <c r="Q51" s="902"/>
      <c r="R51" s="902"/>
      <c r="S51" s="902"/>
      <c r="T51" s="902"/>
      <c r="U51" s="902"/>
      <c r="V51" s="902"/>
      <c r="W51" s="902"/>
      <c r="X51" s="902"/>
      <c r="Y51" s="902"/>
      <c r="Z51" s="902"/>
      <c r="AA51" s="902"/>
      <c r="AB51" s="902"/>
      <c r="AC51" s="902"/>
    </row>
    <row r="52" spans="1:29" s="890" customFormat="1" ht="15.65" hidden="1" outlineLevel="1">
      <c r="A52" s="961" t="s">
        <v>980</v>
      </c>
      <c r="B52" s="898"/>
      <c r="C52" s="898"/>
      <c r="D52" s="899"/>
      <c r="E52" s="899"/>
      <c r="F52" s="899"/>
      <c r="G52" s="900"/>
      <c r="H52" s="901"/>
      <c r="I52" s="902"/>
      <c r="J52" s="897"/>
      <c r="K52" s="903"/>
      <c r="L52" s="899">
        <f t="shared" si="1"/>
        <v>0</v>
      </c>
      <c r="M52" s="903" t="s">
        <v>463</v>
      </c>
      <c r="N52" s="903" t="s">
        <v>495</v>
      </c>
      <c r="O52" s="903"/>
      <c r="P52" s="902"/>
      <c r="Q52" s="902"/>
      <c r="R52" s="902">
        <f>(COUNTIF(L52:L58,"&lt;&gt;0"))+IF(H51="x",1,0)</f>
        <v>0</v>
      </c>
      <c r="S52" s="903" t="s">
        <v>510</v>
      </c>
      <c r="T52" s="902"/>
      <c r="U52" s="902"/>
      <c r="V52" s="902"/>
      <c r="W52" s="902"/>
      <c r="X52" s="902"/>
      <c r="Y52" s="902"/>
      <c r="Z52" s="902"/>
      <c r="AA52" s="902"/>
      <c r="AB52" s="902"/>
      <c r="AC52" s="902"/>
    </row>
    <row r="53" spans="1:29" s="890" customFormat="1" ht="15.65" hidden="1" outlineLevel="1">
      <c r="A53" s="961" t="s">
        <v>981</v>
      </c>
      <c r="B53" s="898"/>
      <c r="C53" s="898"/>
      <c r="D53" s="899"/>
      <c r="E53" s="899"/>
      <c r="F53" s="899"/>
      <c r="G53" s="900"/>
      <c r="H53" s="901"/>
      <c r="I53" s="902"/>
      <c r="J53" s="897"/>
      <c r="K53" s="903"/>
      <c r="L53" s="899">
        <f t="shared" si="1"/>
        <v>0</v>
      </c>
      <c r="M53" s="903" t="s">
        <v>487</v>
      </c>
      <c r="N53" s="903" t="s">
        <v>523</v>
      </c>
      <c r="O53" s="903"/>
      <c r="P53" s="902"/>
      <c r="Q53" s="902"/>
      <c r="R53" s="902">
        <f>COUNTIF(L59:L60,"&lt;&gt;0")</f>
        <v>0</v>
      </c>
      <c r="S53" s="903" t="s">
        <v>511</v>
      </c>
      <c r="T53" s="902"/>
      <c r="U53" s="902"/>
      <c r="V53" s="902"/>
      <c r="W53" s="902"/>
      <c r="X53" s="902"/>
      <c r="Y53" s="902"/>
      <c r="Z53" s="902"/>
      <c r="AA53" s="902"/>
      <c r="AB53" s="902"/>
      <c r="AC53" s="902"/>
    </row>
    <row r="54" spans="1:29" s="890" customFormat="1" ht="15.65" hidden="1" outlineLevel="1">
      <c r="A54" s="961" t="s">
        <v>1355</v>
      </c>
      <c r="B54" s="898"/>
      <c r="C54" s="898"/>
      <c r="D54" s="899"/>
      <c r="E54" s="899"/>
      <c r="F54" s="899"/>
      <c r="G54" s="900"/>
      <c r="H54" s="901"/>
      <c r="I54" s="902"/>
      <c r="J54" s="897"/>
      <c r="K54" s="903"/>
      <c r="L54" s="899">
        <f t="shared" si="1"/>
        <v>0</v>
      </c>
      <c r="M54" s="903"/>
      <c r="N54" s="903"/>
      <c r="O54" s="903"/>
      <c r="P54" s="902"/>
      <c r="Q54" s="902"/>
      <c r="R54" s="902"/>
      <c r="S54" s="903"/>
      <c r="T54" s="902"/>
      <c r="U54" s="902"/>
      <c r="V54" s="902"/>
      <c r="W54" s="902"/>
      <c r="X54" s="902"/>
      <c r="Y54" s="902"/>
      <c r="Z54" s="902"/>
      <c r="AA54" s="902"/>
      <c r="AB54" s="902"/>
      <c r="AC54" s="902"/>
    </row>
    <row r="55" spans="1:29" s="890" customFormat="1" ht="15.65" hidden="1" outlineLevel="1">
      <c r="A55" s="897" t="s">
        <v>982</v>
      </c>
      <c r="B55" s="898"/>
      <c r="C55" s="898"/>
      <c r="D55" s="899"/>
      <c r="E55" s="899"/>
      <c r="F55" s="899"/>
      <c r="G55" s="900"/>
      <c r="H55" s="901"/>
      <c r="I55" s="902"/>
      <c r="J55" s="897"/>
      <c r="K55" s="903"/>
      <c r="L55" s="899">
        <f t="shared" si="1"/>
        <v>0</v>
      </c>
      <c r="M55" s="903" t="s">
        <v>465</v>
      </c>
      <c r="N55" s="903" t="s">
        <v>523</v>
      </c>
      <c r="O55" s="903"/>
      <c r="P55" s="902"/>
      <c r="Q55" s="902"/>
      <c r="R55" s="902">
        <f>COUNTIF(L61:L63,"&lt;&gt;0")</f>
        <v>0</v>
      </c>
      <c r="S55" s="903" t="s">
        <v>512</v>
      </c>
      <c r="T55" s="902"/>
      <c r="U55" s="902"/>
      <c r="V55" s="902"/>
      <c r="W55" s="902"/>
      <c r="X55" s="902"/>
      <c r="Y55" s="902"/>
      <c r="Z55" s="902"/>
      <c r="AA55" s="902"/>
      <c r="AB55" s="902"/>
      <c r="AC55" s="902"/>
    </row>
    <row r="56" spans="1:29" s="890" customFormat="1" ht="15.65" hidden="1" outlineLevel="1">
      <c r="A56" s="961" t="s">
        <v>983</v>
      </c>
      <c r="B56" s="898"/>
      <c r="C56" s="898"/>
      <c r="D56" s="899"/>
      <c r="E56" s="899"/>
      <c r="F56" s="899"/>
      <c r="G56" s="900"/>
      <c r="H56" s="901"/>
      <c r="I56" s="902"/>
      <c r="J56" s="897"/>
      <c r="K56" s="903"/>
      <c r="L56" s="899">
        <f t="shared" si="1"/>
        <v>0</v>
      </c>
      <c r="M56" s="903" t="s">
        <v>467</v>
      </c>
      <c r="N56" s="903" t="s">
        <v>523</v>
      </c>
      <c r="O56" s="903"/>
      <c r="P56" s="902"/>
      <c r="Q56" s="902"/>
      <c r="R56" s="902">
        <f t="shared" ref="R56:R64" si="2">COUNTIF(L64,"&lt;&gt;0")</f>
        <v>0</v>
      </c>
      <c r="S56" s="903" t="s">
        <v>514</v>
      </c>
      <c r="T56" s="902"/>
      <c r="U56" s="902"/>
      <c r="V56" s="902"/>
      <c r="W56" s="902"/>
      <c r="X56" s="902"/>
      <c r="Y56" s="902"/>
      <c r="Z56" s="902"/>
      <c r="AA56" s="902"/>
      <c r="AB56" s="902"/>
      <c r="AC56" s="902"/>
    </row>
    <row r="57" spans="1:29" s="890" customFormat="1" ht="15.65" hidden="1" outlineLevel="1">
      <c r="A57" s="897" t="s">
        <v>984</v>
      </c>
      <c r="B57" s="898"/>
      <c r="C57" s="898"/>
      <c r="D57" s="899"/>
      <c r="E57" s="899"/>
      <c r="F57" s="899"/>
      <c r="G57" s="900"/>
      <c r="H57" s="901"/>
      <c r="I57" s="902"/>
      <c r="J57" s="897"/>
      <c r="K57" s="903"/>
      <c r="L57" s="899">
        <f t="shared" si="1"/>
        <v>0</v>
      </c>
      <c r="M57" s="903" t="s">
        <v>472</v>
      </c>
      <c r="N57" s="903" t="s">
        <v>523</v>
      </c>
      <c r="O57" s="903"/>
      <c r="P57" s="902"/>
      <c r="Q57" s="902"/>
      <c r="R57" s="902">
        <f t="shared" si="2"/>
        <v>0</v>
      </c>
      <c r="S57" s="903" t="s">
        <v>513</v>
      </c>
      <c r="T57" s="902"/>
      <c r="U57" s="902"/>
      <c r="V57" s="902"/>
      <c r="W57" s="902"/>
      <c r="X57" s="902"/>
      <c r="Y57" s="902"/>
      <c r="Z57" s="902"/>
      <c r="AA57" s="902"/>
      <c r="AB57" s="902"/>
      <c r="AC57" s="902"/>
    </row>
    <row r="58" spans="1:29" s="890" customFormat="1" ht="15.65" hidden="1" outlineLevel="1">
      <c r="A58" s="897" t="s">
        <v>985</v>
      </c>
      <c r="B58" s="898"/>
      <c r="C58" s="898"/>
      <c r="D58" s="899"/>
      <c r="E58" s="899"/>
      <c r="F58" s="899"/>
      <c r="G58" s="900"/>
      <c r="H58" s="901"/>
      <c r="I58" s="902"/>
      <c r="J58" s="897"/>
      <c r="K58" s="903"/>
      <c r="L58" s="899">
        <f t="shared" si="1"/>
        <v>0</v>
      </c>
      <c r="M58" s="903" t="s">
        <v>485</v>
      </c>
      <c r="N58" s="903" t="s">
        <v>523</v>
      </c>
      <c r="O58" s="903"/>
      <c r="P58" s="902"/>
      <c r="Q58" s="902"/>
      <c r="R58" s="902">
        <f t="shared" si="2"/>
        <v>0</v>
      </c>
      <c r="S58" s="903" t="s">
        <v>515</v>
      </c>
      <c r="T58" s="902"/>
      <c r="U58" s="902"/>
      <c r="V58" s="902"/>
      <c r="W58" s="902"/>
      <c r="X58" s="902"/>
      <c r="Y58" s="902"/>
      <c r="Z58" s="902"/>
      <c r="AA58" s="902"/>
      <c r="AB58" s="902"/>
      <c r="AC58" s="902"/>
    </row>
    <row r="59" spans="1:29" s="890" customFormat="1" ht="15.65" hidden="1" outlineLevel="1">
      <c r="A59" s="897" t="s">
        <v>986</v>
      </c>
      <c r="B59" s="898"/>
      <c r="C59" s="898"/>
      <c r="D59" s="899"/>
      <c r="E59" s="899"/>
      <c r="F59" s="899"/>
      <c r="G59" s="900"/>
      <c r="H59" s="901"/>
      <c r="I59" s="902"/>
      <c r="J59" s="897"/>
      <c r="K59" s="903"/>
      <c r="L59" s="899">
        <f t="shared" si="1"/>
        <v>0</v>
      </c>
      <c r="M59" s="903" t="s">
        <v>464</v>
      </c>
      <c r="N59" s="903" t="s">
        <v>497</v>
      </c>
      <c r="O59" s="903"/>
      <c r="P59" s="902"/>
      <c r="Q59" s="902"/>
      <c r="R59" s="902">
        <f t="shared" si="2"/>
        <v>0</v>
      </c>
      <c r="S59" s="903" t="s">
        <v>516</v>
      </c>
      <c r="T59" s="902"/>
      <c r="U59" s="902"/>
      <c r="V59" s="902"/>
      <c r="W59" s="902"/>
      <c r="X59" s="902"/>
      <c r="Y59" s="902"/>
      <c r="Z59" s="902"/>
      <c r="AA59" s="902"/>
      <c r="AB59" s="902"/>
      <c r="AC59" s="902"/>
    </row>
    <row r="60" spans="1:29" s="890" customFormat="1" ht="15.65" hidden="1" outlineLevel="1">
      <c r="A60" s="897" t="s">
        <v>987</v>
      </c>
      <c r="B60" s="898"/>
      <c r="C60" s="898"/>
      <c r="D60" s="899"/>
      <c r="E60" s="899"/>
      <c r="F60" s="899"/>
      <c r="G60" s="900"/>
      <c r="H60" s="901"/>
      <c r="I60" s="902"/>
      <c r="J60" s="897"/>
      <c r="K60" s="903"/>
      <c r="L60" s="899">
        <f t="shared" si="1"/>
        <v>0</v>
      </c>
      <c r="M60" s="903" t="s">
        <v>488</v>
      </c>
      <c r="N60" s="903" t="s">
        <v>524</v>
      </c>
      <c r="O60" s="903"/>
      <c r="P60" s="902"/>
      <c r="Q60" s="902"/>
      <c r="R60" s="902">
        <f t="shared" si="2"/>
        <v>0</v>
      </c>
      <c r="S60" s="903" t="s">
        <v>517</v>
      </c>
      <c r="T60" s="902"/>
      <c r="U60" s="902"/>
      <c r="V60" s="902"/>
      <c r="W60" s="902"/>
      <c r="X60" s="902"/>
      <c r="Y60" s="902"/>
      <c r="Z60" s="902"/>
      <c r="AA60" s="902"/>
      <c r="AB60" s="902"/>
      <c r="AC60" s="902"/>
    </row>
    <row r="61" spans="1:29" s="890" customFormat="1" ht="15.65" hidden="1" outlineLevel="1">
      <c r="A61" s="897" t="s">
        <v>988</v>
      </c>
      <c r="B61" s="898"/>
      <c r="C61" s="898"/>
      <c r="D61" s="899"/>
      <c r="E61" s="899"/>
      <c r="F61" s="899"/>
      <c r="G61" s="900"/>
      <c r="H61" s="901"/>
      <c r="I61" s="902"/>
      <c r="J61" s="897"/>
      <c r="K61" s="903"/>
      <c r="L61" s="899">
        <f t="shared" si="1"/>
        <v>0</v>
      </c>
      <c r="M61" s="903" t="s">
        <v>466</v>
      </c>
      <c r="N61" s="903" t="s">
        <v>496</v>
      </c>
      <c r="O61" s="903"/>
      <c r="P61" s="902"/>
      <c r="Q61" s="902"/>
      <c r="R61" s="902">
        <f t="shared" si="2"/>
        <v>0</v>
      </c>
      <c r="S61" s="927" t="s">
        <v>518</v>
      </c>
      <c r="T61" s="902"/>
      <c r="U61" s="902"/>
      <c r="V61" s="902"/>
      <c r="W61" s="902"/>
      <c r="X61" s="902"/>
      <c r="Y61" s="902"/>
      <c r="Z61" s="902"/>
      <c r="AA61" s="902"/>
      <c r="AB61" s="902"/>
      <c r="AC61" s="902"/>
    </row>
    <row r="62" spans="1:29" s="890" customFormat="1" ht="15.65" hidden="1" outlineLevel="1">
      <c r="A62" s="897" t="s">
        <v>989</v>
      </c>
      <c r="B62" s="898"/>
      <c r="C62" s="898"/>
      <c r="D62" s="899"/>
      <c r="E62" s="899"/>
      <c r="F62" s="899"/>
      <c r="G62" s="900"/>
      <c r="H62" s="901"/>
      <c r="I62" s="902"/>
      <c r="J62" s="897"/>
      <c r="K62" s="903"/>
      <c r="L62" s="899">
        <f t="shared" si="1"/>
        <v>0</v>
      </c>
      <c r="M62" s="903" t="s">
        <v>474</v>
      </c>
      <c r="N62" s="903" t="s">
        <v>525</v>
      </c>
      <c r="O62" s="903"/>
      <c r="P62" s="902"/>
      <c r="Q62" s="902"/>
      <c r="R62" s="902">
        <f t="shared" si="2"/>
        <v>0</v>
      </c>
      <c r="S62" s="1568" t="s">
        <v>529</v>
      </c>
      <c r="T62" s="1568"/>
      <c r="U62" s="902"/>
      <c r="V62" s="902"/>
      <c r="W62" s="902"/>
      <c r="X62" s="902"/>
      <c r="Y62" s="902"/>
      <c r="Z62" s="902"/>
      <c r="AA62" s="902"/>
      <c r="AB62" s="902"/>
      <c r="AC62" s="902"/>
    </row>
    <row r="63" spans="1:29" s="890" customFormat="1" ht="15.65" hidden="1" outlineLevel="1">
      <c r="A63" s="961" t="s">
        <v>990</v>
      </c>
      <c r="B63" s="898"/>
      <c r="C63" s="898"/>
      <c r="D63" s="899"/>
      <c r="E63" s="899"/>
      <c r="F63" s="899"/>
      <c r="G63" s="900"/>
      <c r="H63" s="901"/>
      <c r="I63" s="902"/>
      <c r="J63" s="897"/>
      <c r="K63" s="903"/>
      <c r="L63" s="899">
        <f t="shared" si="1"/>
        <v>0</v>
      </c>
      <c r="M63" s="903" t="s">
        <v>468</v>
      </c>
      <c r="N63" s="903" t="s">
        <v>525</v>
      </c>
      <c r="O63" s="903"/>
      <c r="P63" s="902"/>
      <c r="Q63" s="902"/>
      <c r="R63" s="902">
        <f t="shared" si="2"/>
        <v>0</v>
      </c>
      <c r="S63" s="927" t="s">
        <v>519</v>
      </c>
      <c r="T63" s="902"/>
      <c r="U63" s="902"/>
      <c r="V63" s="902"/>
      <c r="W63" s="902"/>
      <c r="X63" s="902"/>
      <c r="Y63" s="902"/>
      <c r="Z63" s="902"/>
      <c r="AA63" s="902"/>
      <c r="AB63" s="902"/>
      <c r="AC63" s="902"/>
    </row>
    <row r="64" spans="1:29" s="890" customFormat="1" ht="15.65" hidden="1" outlineLevel="1">
      <c r="A64" s="897" t="s">
        <v>991</v>
      </c>
      <c r="B64" s="898"/>
      <c r="C64" s="898"/>
      <c r="D64" s="899"/>
      <c r="E64" s="899"/>
      <c r="F64" s="899"/>
      <c r="G64" s="900"/>
      <c r="H64" s="901"/>
      <c r="I64" s="902"/>
      <c r="J64" s="897"/>
      <c r="K64" s="903"/>
      <c r="L64" s="899">
        <f t="shared" si="1"/>
        <v>0</v>
      </c>
      <c r="M64" s="903" t="s">
        <v>479</v>
      </c>
      <c r="N64" s="903" t="s">
        <v>531</v>
      </c>
      <c r="O64" s="903"/>
      <c r="P64" s="902"/>
      <c r="Q64" s="902"/>
      <c r="R64" s="902">
        <f t="shared" si="2"/>
        <v>0</v>
      </c>
      <c r="S64" s="902" t="s">
        <v>520</v>
      </c>
      <c r="T64" s="902"/>
      <c r="U64" s="902"/>
      <c r="V64" s="902"/>
      <c r="W64" s="902"/>
      <c r="X64" s="902"/>
      <c r="Y64" s="902"/>
      <c r="Z64" s="902"/>
      <c r="AA64" s="902"/>
      <c r="AB64" s="902"/>
      <c r="AC64" s="902"/>
    </row>
    <row r="65" spans="1:29" s="890" customFormat="1" ht="15.65" hidden="1" outlineLevel="1">
      <c r="A65" s="897" t="s">
        <v>992</v>
      </c>
      <c r="B65" s="898"/>
      <c r="C65" s="898"/>
      <c r="D65" s="899"/>
      <c r="E65" s="899"/>
      <c r="F65" s="899"/>
      <c r="G65" s="900"/>
      <c r="H65" s="901"/>
      <c r="I65" s="902"/>
      <c r="J65" s="897"/>
      <c r="K65" s="903"/>
      <c r="L65" s="899">
        <f t="shared" si="1"/>
        <v>0</v>
      </c>
      <c r="M65" s="903" t="s">
        <v>476</v>
      </c>
      <c r="N65" s="903" t="s">
        <v>532</v>
      </c>
      <c r="O65" s="903"/>
      <c r="P65" s="902"/>
      <c r="Q65" s="902"/>
      <c r="R65" s="902" t="e">
        <f>COUNTIF(#REF!,"&lt;&gt;0")</f>
        <v>#REF!</v>
      </c>
      <c r="S65" s="902" t="s">
        <v>516</v>
      </c>
      <c r="T65" s="902"/>
      <c r="U65" s="902"/>
      <c r="V65" s="902"/>
      <c r="W65" s="902"/>
      <c r="X65" s="902"/>
      <c r="Y65" s="902"/>
      <c r="Z65" s="902"/>
      <c r="AA65" s="902"/>
      <c r="AB65" s="902"/>
      <c r="AC65" s="902"/>
    </row>
    <row r="66" spans="1:29" s="890" customFormat="1" ht="15.65" hidden="1" outlineLevel="1">
      <c r="A66" s="961" t="s">
        <v>993</v>
      </c>
      <c r="B66" s="898"/>
      <c r="C66" s="898"/>
      <c r="D66" s="899"/>
      <c r="E66" s="899"/>
      <c r="F66" s="899"/>
      <c r="G66" s="900"/>
      <c r="H66" s="901"/>
      <c r="I66" s="902"/>
      <c r="J66" s="897"/>
      <c r="K66" s="903"/>
      <c r="L66" s="899">
        <f t="shared" si="1"/>
        <v>0</v>
      </c>
      <c r="M66" s="903" t="s">
        <v>470</v>
      </c>
      <c r="N66" s="903" t="s">
        <v>533</v>
      </c>
      <c r="O66" s="927"/>
      <c r="P66" s="902"/>
      <c r="Q66" s="902"/>
      <c r="R66" s="902" t="e">
        <f>COUNTIF(#REF!,"&lt;&gt;0")</f>
        <v>#REF!</v>
      </c>
      <c r="S66" s="902" t="s">
        <v>522</v>
      </c>
      <c r="T66" s="902"/>
      <c r="U66" s="902"/>
      <c r="V66" s="902"/>
      <c r="W66" s="902"/>
      <c r="X66" s="902"/>
      <c r="Y66" s="902"/>
      <c r="Z66" s="902"/>
      <c r="AA66" s="902"/>
      <c r="AB66" s="902"/>
      <c r="AC66" s="902"/>
    </row>
    <row r="67" spans="1:29" s="890" customFormat="1" ht="15.65" hidden="1" outlineLevel="1">
      <c r="A67" s="897" t="s">
        <v>994</v>
      </c>
      <c r="B67" s="898"/>
      <c r="C67" s="898"/>
      <c r="D67" s="899"/>
      <c r="E67" s="899"/>
      <c r="F67" s="899"/>
      <c r="G67" s="900"/>
      <c r="H67" s="901"/>
      <c r="I67" s="902"/>
      <c r="J67" s="897"/>
      <c r="K67" s="903"/>
      <c r="L67" s="899">
        <f t="shared" si="1"/>
        <v>0</v>
      </c>
      <c r="M67" s="903" t="s">
        <v>473</v>
      </c>
      <c r="N67" s="903" t="s">
        <v>498</v>
      </c>
      <c r="O67" s="927"/>
      <c r="P67" s="902"/>
      <c r="Q67" s="902"/>
      <c r="R67" s="902" t="e">
        <f>COUNTIF(#REF!,"&lt;&gt;0")</f>
        <v>#REF!</v>
      </c>
      <c r="S67" s="902" t="s">
        <v>521</v>
      </c>
      <c r="T67" s="902"/>
      <c r="U67" s="902"/>
      <c r="V67" s="902"/>
      <c r="W67" s="902"/>
      <c r="X67" s="902"/>
      <c r="Y67" s="902"/>
      <c r="Z67" s="902"/>
      <c r="AA67" s="902"/>
      <c r="AB67" s="902"/>
      <c r="AC67" s="902"/>
    </row>
    <row r="68" spans="1:29" s="890" customFormat="1" ht="15.65" hidden="1" outlineLevel="1">
      <c r="A68" s="897" t="s">
        <v>995</v>
      </c>
      <c r="B68" s="898"/>
      <c r="C68" s="898"/>
      <c r="D68" s="899"/>
      <c r="E68" s="899"/>
      <c r="F68" s="899"/>
      <c r="G68" s="900"/>
      <c r="H68" s="901"/>
      <c r="I68" s="902"/>
      <c r="J68" s="897"/>
      <c r="K68" s="903"/>
      <c r="L68" s="899">
        <f t="shared" si="1"/>
        <v>0</v>
      </c>
      <c r="M68" s="903" t="s">
        <v>486</v>
      </c>
      <c r="N68" s="903" t="s">
        <v>534</v>
      </c>
      <c r="O68" s="927"/>
      <c r="P68" s="902"/>
      <c r="Q68" s="902"/>
      <c r="R68" s="902"/>
      <c r="S68" s="902"/>
      <c r="T68" s="902"/>
      <c r="U68" s="902"/>
      <c r="V68" s="902"/>
      <c r="W68" s="902"/>
      <c r="X68" s="902"/>
      <c r="Y68" s="902"/>
      <c r="Z68" s="902"/>
      <c r="AA68" s="902"/>
      <c r="AB68" s="902"/>
      <c r="AC68" s="902"/>
    </row>
    <row r="69" spans="1:29" s="890" customFormat="1" ht="15.65" hidden="1" outlineLevel="1">
      <c r="A69" s="897" t="s">
        <v>996</v>
      </c>
      <c r="B69" s="898"/>
      <c r="C69" s="898"/>
      <c r="D69" s="899"/>
      <c r="E69" s="899"/>
      <c r="F69" s="899"/>
      <c r="G69" s="900"/>
      <c r="H69" s="901"/>
      <c r="I69" s="902"/>
      <c r="J69" s="897"/>
      <c r="K69" s="903"/>
      <c r="L69" s="899">
        <f t="shared" si="1"/>
        <v>0</v>
      </c>
      <c r="M69" s="902" t="s">
        <v>478</v>
      </c>
      <c r="N69" s="927" t="s">
        <v>535</v>
      </c>
      <c r="O69" s="927"/>
      <c r="P69" s="902"/>
      <c r="Q69" s="902"/>
      <c r="R69" s="902"/>
      <c r="S69" s="902"/>
      <c r="T69" s="902"/>
      <c r="U69" s="902"/>
      <c r="V69" s="902"/>
      <c r="W69" s="902"/>
      <c r="X69" s="902"/>
      <c r="Y69" s="902"/>
      <c r="Z69" s="902"/>
      <c r="AA69" s="902"/>
      <c r="AB69" s="902"/>
      <c r="AC69" s="902"/>
    </row>
    <row r="70" spans="1:29" s="890" customFormat="1" ht="15.65" hidden="1" outlineLevel="1">
      <c r="A70" s="897" t="s">
        <v>997</v>
      </c>
      <c r="B70" s="898"/>
      <c r="C70" s="898"/>
      <c r="D70" s="899"/>
      <c r="E70" s="899"/>
      <c r="F70" s="899"/>
      <c r="G70" s="900"/>
      <c r="H70" s="901"/>
      <c r="I70" s="902"/>
      <c r="J70" s="897"/>
      <c r="K70" s="903"/>
      <c r="L70" s="899">
        <f t="shared" si="1"/>
        <v>0</v>
      </c>
      <c r="M70" s="974" t="s">
        <v>493</v>
      </c>
      <c r="N70" s="1568" t="s">
        <v>494</v>
      </c>
      <c r="O70" s="1568"/>
      <c r="P70" s="902"/>
      <c r="Q70" s="902"/>
      <c r="R70" s="902"/>
      <c r="S70" s="902"/>
      <c r="T70" s="902"/>
      <c r="U70" s="902"/>
      <c r="V70" s="902"/>
      <c r="W70" s="902"/>
      <c r="X70" s="902"/>
      <c r="Y70" s="902"/>
      <c r="Z70" s="902"/>
      <c r="AA70" s="902"/>
      <c r="AB70" s="902"/>
      <c r="AC70" s="902"/>
    </row>
    <row r="71" spans="1:29" s="890" customFormat="1" ht="15.65" hidden="1" outlineLevel="1">
      <c r="A71" s="897" t="s">
        <v>998</v>
      </c>
      <c r="B71" s="898"/>
      <c r="C71" s="898"/>
      <c r="D71" s="899"/>
      <c r="E71" s="899"/>
      <c r="F71" s="899"/>
      <c r="G71" s="900"/>
      <c r="H71" s="901"/>
      <c r="I71" s="902"/>
      <c r="J71" s="897"/>
      <c r="K71" s="903"/>
      <c r="L71" s="899">
        <f t="shared" si="1"/>
        <v>0</v>
      </c>
      <c r="M71" s="927" t="s">
        <v>471</v>
      </c>
      <c r="N71" s="927" t="s">
        <v>536</v>
      </c>
      <c r="O71" s="927"/>
      <c r="P71" s="902"/>
      <c r="Q71" s="902"/>
      <c r="R71" s="902"/>
      <c r="S71" s="902"/>
      <c r="T71" s="902"/>
      <c r="U71" s="902"/>
      <c r="V71" s="902"/>
      <c r="W71" s="902"/>
      <c r="X71" s="902"/>
      <c r="Y71" s="902"/>
      <c r="Z71" s="902"/>
      <c r="AA71" s="902"/>
      <c r="AB71" s="902"/>
      <c r="AC71" s="902"/>
    </row>
    <row r="72" spans="1:29" s="890" customFormat="1" ht="15.65" hidden="1" outlineLevel="1">
      <c r="A72" s="961" t="s">
        <v>999</v>
      </c>
      <c r="B72" s="898"/>
      <c r="C72" s="898"/>
      <c r="D72" s="899"/>
      <c r="E72" s="899"/>
      <c r="F72" s="899"/>
      <c r="G72" s="900"/>
      <c r="H72" s="901"/>
      <c r="I72" s="902"/>
      <c r="J72" s="897"/>
      <c r="K72" s="903"/>
      <c r="L72" s="899">
        <f t="shared" si="1"/>
        <v>0</v>
      </c>
      <c r="M72" s="927" t="s">
        <v>480</v>
      </c>
      <c r="N72" s="927" t="s">
        <v>537</v>
      </c>
      <c r="O72" s="927"/>
      <c r="P72" s="902"/>
      <c r="Q72" s="902"/>
      <c r="R72" s="902"/>
      <c r="S72" s="902"/>
      <c r="T72" s="902"/>
      <c r="U72" s="902"/>
      <c r="V72" s="902"/>
      <c r="W72" s="902"/>
      <c r="X72" s="902"/>
      <c r="Y72" s="902"/>
      <c r="Z72" s="902"/>
      <c r="AA72" s="902"/>
      <c r="AB72" s="902"/>
      <c r="AC72" s="902"/>
    </row>
    <row r="73" spans="1:29" collapsed="1"/>
    <row r="75" spans="1:29" s="890" customFormat="1" ht="15.65">
      <c r="A75" s="975" t="s">
        <v>1000</v>
      </c>
      <c r="B75" s="898" t="s">
        <v>490</v>
      </c>
      <c r="C75" s="898"/>
      <c r="D75" s="899">
        <v>34900</v>
      </c>
      <c r="E75" s="899">
        <v>34900</v>
      </c>
      <c r="F75" s="899"/>
      <c r="G75" s="900">
        <v>6</v>
      </c>
      <c r="H75" s="895"/>
      <c r="I75" s="902" t="str">
        <f>IF(H75="x",CONCATENATE(A75,"; "),"")</f>
        <v/>
      </c>
      <c r="J75" s="897"/>
      <c r="K75" s="903"/>
      <c r="L75" s="899">
        <f t="shared" ref="L75:L129" si="3">E75-C75</f>
        <v>34900</v>
      </c>
      <c r="M75" s="902"/>
      <c r="N75" s="902"/>
      <c r="O75" s="902"/>
      <c r="P75" s="902"/>
      <c r="Q75" s="902"/>
      <c r="R75" s="902"/>
      <c r="S75" s="902"/>
      <c r="T75" s="902"/>
      <c r="U75" s="902"/>
      <c r="V75" s="902"/>
      <c r="W75" s="902"/>
      <c r="X75" s="902"/>
      <c r="Y75" s="902"/>
      <c r="Z75" s="902"/>
      <c r="AA75" s="902"/>
      <c r="AB75" s="902"/>
      <c r="AC75" s="902"/>
    </row>
    <row r="76" spans="1:29" s="890" customFormat="1" ht="15.65" hidden="1" outlineLevel="1">
      <c r="A76" s="976" t="s">
        <v>988</v>
      </c>
      <c r="B76" s="898"/>
      <c r="C76" s="898"/>
      <c r="D76" s="899"/>
      <c r="E76" s="899"/>
      <c r="F76" s="899"/>
      <c r="G76" s="900"/>
      <c r="H76" s="901"/>
      <c r="I76" s="902"/>
      <c r="J76" s="897"/>
      <c r="K76" s="903"/>
      <c r="L76" s="899">
        <f t="shared" si="3"/>
        <v>0</v>
      </c>
      <c r="M76" s="903" t="s">
        <v>463</v>
      </c>
      <c r="N76" s="903" t="s">
        <v>495</v>
      </c>
      <c r="O76" s="903"/>
      <c r="P76" s="902"/>
      <c r="Q76" s="902"/>
      <c r="R76" s="902">
        <f>(COUNTIF(L76:L81,"&lt;&gt;0"))+IF(H75="x",1,0)</f>
        <v>0</v>
      </c>
      <c r="S76" s="903" t="s">
        <v>510</v>
      </c>
      <c r="T76" s="902"/>
      <c r="U76" s="902"/>
      <c r="V76" s="902"/>
      <c r="W76" s="902"/>
      <c r="X76" s="902"/>
      <c r="Y76" s="902"/>
      <c r="Z76" s="902"/>
      <c r="AA76" s="902"/>
      <c r="AB76" s="902"/>
      <c r="AC76" s="902"/>
    </row>
    <row r="77" spans="1:29" s="890" customFormat="1" ht="15.65" hidden="1" outlineLevel="1">
      <c r="A77" s="976" t="s">
        <v>986</v>
      </c>
      <c r="B77" s="898"/>
      <c r="C77" s="898"/>
      <c r="D77" s="899"/>
      <c r="E77" s="899"/>
      <c r="F77" s="899"/>
      <c r="G77" s="900"/>
      <c r="H77" s="901"/>
      <c r="I77" s="902"/>
      <c r="J77" s="897"/>
      <c r="K77" s="903"/>
      <c r="L77" s="899">
        <f t="shared" si="3"/>
        <v>0</v>
      </c>
      <c r="M77" s="903" t="s">
        <v>487</v>
      </c>
      <c r="N77" s="903" t="s">
        <v>523</v>
      </c>
      <c r="O77" s="903"/>
      <c r="P77" s="902"/>
      <c r="Q77" s="902"/>
      <c r="R77" s="902">
        <f>COUNTIF(L82:L94,"&lt;&gt;0")</f>
        <v>0</v>
      </c>
      <c r="S77" s="903" t="s">
        <v>511</v>
      </c>
      <c r="T77" s="902"/>
      <c r="U77" s="902"/>
      <c r="V77" s="902"/>
      <c r="W77" s="902"/>
      <c r="X77" s="902"/>
      <c r="Y77" s="902"/>
      <c r="Z77" s="902"/>
      <c r="AA77" s="902"/>
      <c r="AB77" s="902"/>
      <c r="AC77" s="902"/>
    </row>
    <row r="78" spans="1:29" s="890" customFormat="1" ht="15.65" hidden="1" outlineLevel="1">
      <c r="A78" s="897" t="s">
        <v>981</v>
      </c>
      <c r="B78" s="898"/>
      <c r="C78" s="898"/>
      <c r="D78" s="899"/>
      <c r="E78" s="899"/>
      <c r="F78" s="899"/>
      <c r="G78" s="900"/>
      <c r="H78" s="901"/>
      <c r="I78" s="902"/>
      <c r="J78" s="897"/>
      <c r="K78" s="903"/>
      <c r="L78" s="899">
        <f t="shared" si="3"/>
        <v>0</v>
      </c>
      <c r="M78" s="903" t="s">
        <v>465</v>
      </c>
      <c r="N78" s="903" t="s">
        <v>523</v>
      </c>
      <c r="O78" s="903"/>
      <c r="P78" s="902"/>
      <c r="Q78" s="902"/>
      <c r="R78" s="902">
        <f>COUNTIF(L95:L119,"&lt;&gt;0")</f>
        <v>0</v>
      </c>
      <c r="S78" s="903" t="s">
        <v>512</v>
      </c>
      <c r="T78" s="902"/>
      <c r="U78" s="902"/>
      <c r="V78" s="902"/>
      <c r="W78" s="902"/>
      <c r="X78" s="902"/>
      <c r="Y78" s="902"/>
      <c r="Z78" s="902"/>
      <c r="AA78" s="902"/>
      <c r="AB78" s="902"/>
      <c r="AC78" s="902"/>
    </row>
    <row r="79" spans="1:29" s="890" customFormat="1" ht="15.65" hidden="1" outlineLevel="1">
      <c r="A79" s="897" t="s">
        <v>1001</v>
      </c>
      <c r="B79" s="898"/>
      <c r="C79" s="898"/>
      <c r="D79" s="899"/>
      <c r="E79" s="899"/>
      <c r="F79" s="899"/>
      <c r="G79" s="900"/>
      <c r="H79" s="901"/>
      <c r="I79" s="902"/>
      <c r="J79" s="897"/>
      <c r="K79" s="903"/>
      <c r="L79" s="899">
        <f t="shared" si="3"/>
        <v>0</v>
      </c>
      <c r="M79" s="903" t="s">
        <v>467</v>
      </c>
      <c r="N79" s="903" t="s">
        <v>523</v>
      </c>
      <c r="O79" s="903"/>
      <c r="P79" s="902"/>
      <c r="Q79" s="902"/>
      <c r="R79" s="902">
        <f>COUNTIF(L120,"&lt;&gt;0")</f>
        <v>0</v>
      </c>
      <c r="S79" s="903" t="s">
        <v>514</v>
      </c>
      <c r="T79" s="902"/>
      <c r="U79" s="902"/>
      <c r="V79" s="902"/>
      <c r="W79" s="902"/>
      <c r="X79" s="902"/>
      <c r="Y79" s="902"/>
      <c r="Z79" s="902"/>
      <c r="AA79" s="902"/>
      <c r="AB79" s="902"/>
      <c r="AC79" s="902"/>
    </row>
    <row r="80" spans="1:29" s="890" customFormat="1" ht="15.65" hidden="1" outlineLevel="1">
      <c r="A80" s="897" t="s">
        <v>983</v>
      </c>
      <c r="B80" s="898"/>
      <c r="C80" s="898"/>
      <c r="D80" s="899"/>
      <c r="E80" s="899"/>
      <c r="F80" s="899"/>
      <c r="G80" s="900"/>
      <c r="H80" s="901"/>
      <c r="I80" s="902"/>
      <c r="J80" s="897"/>
      <c r="K80" s="903"/>
      <c r="L80" s="899">
        <f t="shared" si="3"/>
        <v>0</v>
      </c>
      <c r="M80" s="903" t="s">
        <v>472</v>
      </c>
      <c r="N80" s="903" t="s">
        <v>523</v>
      </c>
      <c r="O80" s="903"/>
      <c r="P80" s="902"/>
      <c r="Q80" s="902"/>
      <c r="R80" s="902">
        <f>COUNTIF(L121,"&lt;&gt;0")</f>
        <v>0</v>
      </c>
      <c r="S80" s="903" t="s">
        <v>513</v>
      </c>
      <c r="T80" s="902"/>
      <c r="U80" s="902"/>
      <c r="V80" s="902"/>
      <c r="W80" s="902"/>
      <c r="X80" s="902"/>
      <c r="Y80" s="902"/>
      <c r="Z80" s="902"/>
      <c r="AA80" s="902"/>
      <c r="AB80" s="902"/>
      <c r="AC80" s="902"/>
    </row>
    <row r="81" spans="1:29" s="890" customFormat="1" ht="15.65" hidden="1" outlineLevel="1">
      <c r="A81" s="897" t="s">
        <v>982</v>
      </c>
      <c r="B81" s="898"/>
      <c r="C81" s="898"/>
      <c r="D81" s="899"/>
      <c r="E81" s="899"/>
      <c r="F81" s="899"/>
      <c r="G81" s="900"/>
      <c r="H81" s="901"/>
      <c r="I81" s="902"/>
      <c r="J81" s="897"/>
      <c r="K81" s="903"/>
      <c r="L81" s="899">
        <f t="shared" si="3"/>
        <v>0</v>
      </c>
      <c r="M81" s="903" t="s">
        <v>485</v>
      </c>
      <c r="N81" s="903" t="s">
        <v>523</v>
      </c>
      <c r="O81" s="903"/>
      <c r="P81" s="902"/>
      <c r="Q81" s="902"/>
      <c r="R81" s="902">
        <f>COUNTIF(L122,"&lt;&gt;0")</f>
        <v>0</v>
      </c>
      <c r="S81" s="903" t="s">
        <v>515</v>
      </c>
      <c r="T81" s="902"/>
      <c r="U81" s="902"/>
      <c r="V81" s="902"/>
      <c r="W81" s="902"/>
      <c r="X81" s="902"/>
      <c r="Y81" s="902"/>
      <c r="Z81" s="902"/>
      <c r="AA81" s="902"/>
      <c r="AB81" s="902"/>
      <c r="AC81" s="902"/>
    </row>
    <row r="82" spans="1:29" s="890" customFormat="1" ht="15.65" hidden="1" outlineLevel="1">
      <c r="A82" s="897" t="s">
        <v>991</v>
      </c>
      <c r="B82" s="898"/>
      <c r="C82" s="898"/>
      <c r="D82" s="899"/>
      <c r="E82" s="899"/>
      <c r="F82" s="899"/>
      <c r="G82" s="900"/>
      <c r="H82" s="901"/>
      <c r="I82" s="902"/>
      <c r="J82" s="897"/>
      <c r="K82" s="903"/>
      <c r="L82" s="899">
        <f t="shared" si="3"/>
        <v>0</v>
      </c>
      <c r="M82" s="903" t="s">
        <v>464</v>
      </c>
      <c r="N82" s="903" t="s">
        <v>497</v>
      </c>
      <c r="O82" s="903"/>
      <c r="P82" s="902"/>
      <c r="Q82" s="902"/>
      <c r="R82" s="902">
        <f>COUNTIF(L123,"&lt;&gt;0")</f>
        <v>0</v>
      </c>
      <c r="S82" s="903" t="s">
        <v>516</v>
      </c>
      <c r="T82" s="902"/>
      <c r="U82" s="902"/>
      <c r="V82" s="902"/>
      <c r="W82" s="902"/>
      <c r="X82" s="902"/>
      <c r="Y82" s="902"/>
      <c r="Z82" s="902"/>
      <c r="AA82" s="902"/>
      <c r="AB82" s="902"/>
      <c r="AC82" s="902"/>
    </row>
    <row r="83" spans="1:29" s="890" customFormat="1" ht="15.65" hidden="1" outlineLevel="1">
      <c r="A83" s="976" t="s">
        <v>959</v>
      </c>
      <c r="B83" s="898"/>
      <c r="C83" s="898"/>
      <c r="D83" s="899"/>
      <c r="E83" s="899"/>
      <c r="F83" s="899"/>
      <c r="G83" s="900"/>
      <c r="H83" s="901"/>
      <c r="I83" s="902"/>
      <c r="J83" s="897"/>
      <c r="K83" s="903"/>
      <c r="L83" s="899">
        <f t="shared" si="3"/>
        <v>0</v>
      </c>
      <c r="M83" s="903"/>
      <c r="N83" s="903"/>
      <c r="O83" s="903"/>
      <c r="P83" s="902"/>
      <c r="Q83" s="902"/>
      <c r="R83" s="902"/>
      <c r="S83" s="903"/>
      <c r="T83" s="902"/>
      <c r="U83" s="902"/>
      <c r="V83" s="902"/>
      <c r="W83" s="902"/>
      <c r="X83" s="902"/>
      <c r="Y83" s="902"/>
      <c r="Z83" s="902"/>
      <c r="AA83" s="902"/>
      <c r="AB83" s="902"/>
      <c r="AC83" s="902"/>
    </row>
    <row r="84" spans="1:29" s="890" customFormat="1" ht="15.65" hidden="1" outlineLevel="1">
      <c r="A84" s="976" t="s">
        <v>975</v>
      </c>
      <c r="B84" s="898"/>
      <c r="C84" s="898"/>
      <c r="D84" s="899"/>
      <c r="E84" s="899"/>
      <c r="F84" s="899"/>
      <c r="G84" s="900"/>
      <c r="H84" s="901"/>
      <c r="I84" s="902"/>
      <c r="J84" s="897"/>
      <c r="K84" s="903"/>
      <c r="L84" s="899">
        <f t="shared" si="3"/>
        <v>0</v>
      </c>
      <c r="M84" s="903"/>
      <c r="N84" s="903"/>
      <c r="O84" s="903"/>
      <c r="P84" s="902"/>
      <c r="Q84" s="902"/>
      <c r="R84" s="902"/>
      <c r="S84" s="903"/>
      <c r="T84" s="902"/>
      <c r="U84" s="902"/>
      <c r="V84" s="902"/>
      <c r="W84" s="902"/>
      <c r="X84" s="902"/>
      <c r="Y84" s="902"/>
      <c r="Z84" s="902"/>
      <c r="AA84" s="902"/>
      <c r="AB84" s="902"/>
      <c r="AC84" s="902"/>
    </row>
    <row r="85" spans="1:29" s="890" customFormat="1" ht="15.65" hidden="1" outlineLevel="1">
      <c r="A85" s="976" t="s">
        <v>963</v>
      </c>
      <c r="B85" s="898"/>
      <c r="C85" s="898"/>
      <c r="D85" s="899"/>
      <c r="E85" s="899"/>
      <c r="F85" s="899"/>
      <c r="G85" s="900"/>
      <c r="H85" s="901"/>
      <c r="I85" s="902"/>
      <c r="J85" s="897"/>
      <c r="K85" s="903"/>
      <c r="L85" s="899">
        <f t="shared" si="3"/>
        <v>0</v>
      </c>
      <c r="M85" s="903"/>
      <c r="N85" s="903"/>
      <c r="O85" s="903"/>
      <c r="P85" s="902"/>
      <c r="Q85" s="902"/>
      <c r="R85" s="902"/>
      <c r="S85" s="903"/>
      <c r="T85" s="902"/>
      <c r="U85" s="902"/>
      <c r="V85" s="902"/>
      <c r="W85" s="902"/>
      <c r="X85" s="902"/>
      <c r="Y85" s="902"/>
      <c r="Z85" s="902"/>
      <c r="AA85" s="902"/>
      <c r="AB85" s="902"/>
      <c r="AC85" s="902"/>
    </row>
    <row r="86" spans="1:29" s="890" customFormat="1" ht="15.65" hidden="1" outlineLevel="1">
      <c r="A86" s="976" t="s">
        <v>971</v>
      </c>
      <c r="B86" s="898"/>
      <c r="C86" s="898"/>
      <c r="D86" s="899"/>
      <c r="E86" s="899"/>
      <c r="F86" s="899"/>
      <c r="G86" s="900"/>
      <c r="H86" s="901"/>
      <c r="I86" s="902"/>
      <c r="J86" s="897"/>
      <c r="K86" s="903"/>
      <c r="L86" s="899">
        <f t="shared" si="3"/>
        <v>0</v>
      </c>
      <c r="M86" s="903"/>
      <c r="N86" s="903"/>
      <c r="O86" s="903"/>
      <c r="P86" s="902"/>
      <c r="Q86" s="902"/>
      <c r="R86" s="902"/>
      <c r="S86" s="903"/>
      <c r="T86" s="902"/>
      <c r="U86" s="902"/>
      <c r="V86" s="902"/>
      <c r="W86" s="902"/>
      <c r="X86" s="902"/>
      <c r="Y86" s="902"/>
      <c r="Z86" s="902"/>
      <c r="AA86" s="902"/>
      <c r="AB86" s="902"/>
      <c r="AC86" s="902"/>
    </row>
    <row r="87" spans="1:29" s="890" customFormat="1" ht="15.65" hidden="1" outlineLevel="1">
      <c r="A87" s="976" t="s">
        <v>974</v>
      </c>
      <c r="B87" s="898"/>
      <c r="C87" s="898"/>
      <c r="D87" s="899"/>
      <c r="E87" s="899"/>
      <c r="F87" s="899"/>
      <c r="G87" s="900"/>
      <c r="H87" s="901"/>
      <c r="I87" s="902"/>
      <c r="J87" s="897"/>
      <c r="K87" s="903"/>
      <c r="L87" s="899">
        <f t="shared" si="3"/>
        <v>0</v>
      </c>
      <c r="M87" s="903"/>
      <c r="N87" s="903"/>
      <c r="O87" s="903"/>
      <c r="P87" s="902"/>
      <c r="Q87" s="902"/>
      <c r="R87" s="902"/>
      <c r="S87" s="903"/>
      <c r="T87" s="902"/>
      <c r="U87" s="902"/>
      <c r="V87" s="902"/>
      <c r="W87" s="902"/>
      <c r="X87" s="902"/>
      <c r="Y87" s="902"/>
      <c r="Z87" s="902"/>
      <c r="AA87" s="902"/>
      <c r="AB87" s="902"/>
      <c r="AC87" s="902"/>
    </row>
    <row r="88" spans="1:29" s="890" customFormat="1" ht="15.65" hidden="1" outlineLevel="1">
      <c r="A88" s="976" t="s">
        <v>961</v>
      </c>
      <c r="B88" s="898"/>
      <c r="C88" s="898"/>
      <c r="D88" s="899"/>
      <c r="E88" s="899"/>
      <c r="F88" s="899"/>
      <c r="G88" s="900"/>
      <c r="H88" s="901"/>
      <c r="I88" s="902"/>
      <c r="J88" s="897"/>
      <c r="K88" s="903"/>
      <c r="L88" s="899">
        <f t="shared" si="3"/>
        <v>0</v>
      </c>
      <c r="M88" s="903"/>
      <c r="N88" s="903"/>
      <c r="O88" s="903"/>
      <c r="P88" s="902"/>
      <c r="Q88" s="902"/>
      <c r="R88" s="902"/>
      <c r="S88" s="903"/>
      <c r="T88" s="902"/>
      <c r="U88" s="902"/>
      <c r="V88" s="902"/>
      <c r="W88" s="902"/>
      <c r="X88" s="902"/>
      <c r="Y88" s="902"/>
      <c r="Z88" s="902"/>
      <c r="AA88" s="902"/>
      <c r="AB88" s="902"/>
      <c r="AC88" s="902"/>
    </row>
    <row r="89" spans="1:29" s="890" customFormat="1" ht="15.65" hidden="1" outlineLevel="1">
      <c r="A89" s="976" t="s">
        <v>960</v>
      </c>
      <c r="B89" s="898"/>
      <c r="C89" s="898"/>
      <c r="D89" s="899"/>
      <c r="E89" s="899"/>
      <c r="F89" s="899"/>
      <c r="G89" s="900"/>
      <c r="H89" s="901"/>
      <c r="I89" s="902"/>
      <c r="J89" s="897"/>
      <c r="K89" s="903"/>
      <c r="L89" s="899">
        <f t="shared" si="3"/>
        <v>0</v>
      </c>
      <c r="M89" s="903"/>
      <c r="N89" s="903"/>
      <c r="O89" s="903"/>
      <c r="P89" s="902"/>
      <c r="Q89" s="902"/>
      <c r="R89" s="902"/>
      <c r="S89" s="903"/>
      <c r="T89" s="902"/>
      <c r="U89" s="902"/>
      <c r="V89" s="902"/>
      <c r="W89" s="902"/>
      <c r="X89" s="902"/>
      <c r="Y89" s="902"/>
      <c r="Z89" s="902"/>
      <c r="AA89" s="902"/>
      <c r="AB89" s="902"/>
      <c r="AC89" s="902"/>
    </row>
    <row r="90" spans="1:29" s="890" customFormat="1" ht="15.65" hidden="1" outlineLevel="1">
      <c r="A90" s="976" t="s">
        <v>962</v>
      </c>
      <c r="B90" s="898"/>
      <c r="C90" s="898"/>
      <c r="D90" s="899"/>
      <c r="E90" s="899"/>
      <c r="F90" s="899"/>
      <c r="G90" s="900"/>
      <c r="H90" s="901"/>
      <c r="I90" s="902"/>
      <c r="J90" s="897"/>
      <c r="K90" s="903"/>
      <c r="L90" s="899">
        <f t="shared" si="3"/>
        <v>0</v>
      </c>
      <c r="M90" s="903"/>
      <c r="N90" s="903"/>
      <c r="O90" s="903"/>
      <c r="P90" s="902"/>
      <c r="Q90" s="902"/>
      <c r="R90" s="902"/>
      <c r="S90" s="903"/>
      <c r="T90" s="902"/>
      <c r="U90" s="902"/>
      <c r="V90" s="902"/>
      <c r="W90" s="902"/>
      <c r="X90" s="902"/>
      <c r="Y90" s="902"/>
      <c r="Z90" s="902"/>
      <c r="AA90" s="902"/>
      <c r="AB90" s="902"/>
      <c r="AC90" s="902"/>
    </row>
    <row r="91" spans="1:29" s="890" customFormat="1" ht="15.65" hidden="1" outlineLevel="1">
      <c r="A91" s="976" t="s">
        <v>964</v>
      </c>
      <c r="B91" s="898"/>
      <c r="C91" s="898"/>
      <c r="D91" s="899"/>
      <c r="E91" s="899"/>
      <c r="F91" s="899"/>
      <c r="G91" s="900"/>
      <c r="H91" s="901"/>
      <c r="I91" s="902"/>
      <c r="J91" s="897"/>
      <c r="K91" s="903"/>
      <c r="L91" s="899">
        <f t="shared" si="3"/>
        <v>0</v>
      </c>
      <c r="M91" s="903"/>
      <c r="N91" s="903"/>
      <c r="O91" s="903"/>
      <c r="P91" s="902"/>
      <c r="Q91" s="902"/>
      <c r="R91" s="902"/>
      <c r="S91" s="903"/>
      <c r="T91" s="902"/>
      <c r="U91" s="902"/>
      <c r="V91" s="902"/>
      <c r="W91" s="902"/>
      <c r="X91" s="902"/>
      <c r="Y91" s="902"/>
      <c r="Z91" s="902"/>
      <c r="AA91" s="902"/>
      <c r="AB91" s="902"/>
      <c r="AC91" s="902"/>
    </row>
    <row r="92" spans="1:29" s="890" customFormat="1" ht="15.65" hidden="1" outlineLevel="1">
      <c r="A92" s="976" t="s">
        <v>973</v>
      </c>
      <c r="B92" s="898"/>
      <c r="C92" s="898"/>
      <c r="D92" s="899"/>
      <c r="E92" s="899"/>
      <c r="F92" s="899"/>
      <c r="G92" s="900"/>
      <c r="H92" s="901"/>
      <c r="I92" s="902"/>
      <c r="J92" s="897"/>
      <c r="K92" s="903"/>
      <c r="L92" s="899">
        <f t="shared" si="3"/>
        <v>0</v>
      </c>
      <c r="M92" s="903"/>
      <c r="N92" s="903"/>
      <c r="O92" s="903"/>
      <c r="P92" s="902"/>
      <c r="Q92" s="902"/>
      <c r="R92" s="902"/>
      <c r="S92" s="903"/>
      <c r="T92" s="902"/>
      <c r="U92" s="902"/>
      <c r="V92" s="902"/>
      <c r="W92" s="902"/>
      <c r="X92" s="902"/>
      <c r="Y92" s="902"/>
      <c r="Z92" s="902"/>
      <c r="AA92" s="902"/>
      <c r="AB92" s="902"/>
      <c r="AC92" s="902"/>
    </row>
    <row r="93" spans="1:29" s="890" customFormat="1" ht="15.65" hidden="1" outlineLevel="1">
      <c r="A93" s="976" t="s">
        <v>976</v>
      </c>
      <c r="B93" s="898"/>
      <c r="C93" s="898"/>
      <c r="D93" s="899"/>
      <c r="E93" s="899"/>
      <c r="F93" s="899"/>
      <c r="G93" s="900"/>
      <c r="H93" s="901"/>
      <c r="I93" s="902"/>
      <c r="J93" s="897"/>
      <c r="K93" s="903"/>
      <c r="L93" s="899">
        <f t="shared" si="3"/>
        <v>0</v>
      </c>
      <c r="M93" s="903"/>
      <c r="N93" s="903"/>
      <c r="O93" s="903"/>
      <c r="P93" s="902"/>
      <c r="Q93" s="902"/>
      <c r="R93" s="902"/>
      <c r="S93" s="903"/>
      <c r="T93" s="902"/>
      <c r="U93" s="902"/>
      <c r="V93" s="902"/>
      <c r="W93" s="902"/>
      <c r="X93" s="902"/>
      <c r="Y93" s="902"/>
      <c r="Z93" s="902"/>
      <c r="AA93" s="902"/>
      <c r="AB93" s="902"/>
      <c r="AC93" s="902"/>
    </row>
    <row r="94" spans="1:29" s="890" customFormat="1" ht="15.65" hidden="1" outlineLevel="1">
      <c r="A94" s="976" t="s">
        <v>967</v>
      </c>
      <c r="B94" s="898"/>
      <c r="C94" s="898"/>
      <c r="D94" s="899"/>
      <c r="E94" s="899"/>
      <c r="F94" s="899"/>
      <c r="G94" s="900"/>
      <c r="H94" s="901"/>
      <c r="I94" s="902"/>
      <c r="J94" s="897"/>
      <c r="K94" s="903"/>
      <c r="L94" s="899">
        <f t="shared" si="3"/>
        <v>0</v>
      </c>
      <c r="M94" s="903" t="s">
        <v>488</v>
      </c>
      <c r="N94" s="903" t="s">
        <v>524</v>
      </c>
      <c r="O94" s="903"/>
      <c r="P94" s="902"/>
      <c r="Q94" s="902"/>
      <c r="R94" s="902">
        <f>COUNTIF(L124,"&lt;&gt;0")</f>
        <v>0</v>
      </c>
      <c r="S94" s="903" t="s">
        <v>517</v>
      </c>
      <c r="T94" s="902"/>
      <c r="U94" s="902"/>
      <c r="V94" s="902"/>
      <c r="W94" s="902"/>
      <c r="X94" s="902"/>
      <c r="Y94" s="902"/>
      <c r="Z94" s="902"/>
      <c r="AA94" s="902"/>
      <c r="AB94" s="902"/>
      <c r="AC94" s="902"/>
    </row>
    <row r="95" spans="1:29" s="890" customFormat="1" ht="15.65" hidden="1" outlineLevel="1">
      <c r="A95" s="976" t="s">
        <v>969</v>
      </c>
      <c r="B95" s="898"/>
      <c r="C95" s="898"/>
      <c r="D95" s="899"/>
      <c r="E95" s="899"/>
      <c r="F95" s="899"/>
      <c r="G95" s="900"/>
      <c r="H95" s="901"/>
      <c r="I95" s="902"/>
      <c r="J95" s="897"/>
      <c r="K95" s="903"/>
      <c r="L95" s="899">
        <f t="shared" si="3"/>
        <v>0</v>
      </c>
      <c r="M95" s="903" t="s">
        <v>466</v>
      </c>
      <c r="N95" s="903" t="s">
        <v>496</v>
      </c>
      <c r="O95" s="903"/>
      <c r="P95" s="902"/>
      <c r="Q95" s="902"/>
      <c r="R95" s="902">
        <f>COUNTIF(L125,"&lt;&gt;0")</f>
        <v>0</v>
      </c>
      <c r="S95" s="927" t="s">
        <v>518</v>
      </c>
      <c r="T95" s="902"/>
      <c r="U95" s="902"/>
      <c r="V95" s="902"/>
      <c r="W95" s="902"/>
      <c r="X95" s="902"/>
      <c r="Y95" s="902"/>
      <c r="Z95" s="902"/>
      <c r="AA95" s="902"/>
      <c r="AB95" s="902"/>
      <c r="AC95" s="902"/>
    </row>
    <row r="96" spans="1:29" s="890" customFormat="1" ht="15.65" hidden="1" outlineLevel="1">
      <c r="A96" s="976" t="s">
        <v>970</v>
      </c>
      <c r="B96" s="898"/>
      <c r="C96" s="898"/>
      <c r="D96" s="899"/>
      <c r="E96" s="899"/>
      <c r="F96" s="899"/>
      <c r="G96" s="900"/>
      <c r="H96" s="901"/>
      <c r="I96" s="902"/>
      <c r="J96" s="897"/>
      <c r="K96" s="903"/>
      <c r="L96" s="899">
        <f t="shared" si="3"/>
        <v>0</v>
      </c>
      <c r="M96" s="903" t="s">
        <v>474</v>
      </c>
      <c r="N96" s="903" t="s">
        <v>525</v>
      </c>
      <c r="O96" s="903"/>
      <c r="P96" s="902"/>
      <c r="Q96" s="902"/>
      <c r="R96" s="902">
        <f>COUNTIF(L126,"&lt;&gt;0")</f>
        <v>0</v>
      </c>
      <c r="S96" s="1568" t="s">
        <v>529</v>
      </c>
      <c r="T96" s="1568"/>
      <c r="U96" s="902"/>
      <c r="V96" s="902"/>
      <c r="W96" s="902"/>
      <c r="X96" s="902"/>
      <c r="Y96" s="902"/>
      <c r="Z96" s="902"/>
      <c r="AA96" s="902"/>
      <c r="AB96" s="902"/>
      <c r="AC96" s="902"/>
    </row>
    <row r="97" spans="1:29" s="890" customFormat="1" ht="15.65" hidden="1" outlineLevel="1">
      <c r="A97" s="976" t="s">
        <v>977</v>
      </c>
      <c r="B97" s="898"/>
      <c r="C97" s="898"/>
      <c r="D97" s="899"/>
      <c r="E97" s="899"/>
      <c r="F97" s="899"/>
      <c r="G97" s="900"/>
      <c r="H97" s="901"/>
      <c r="I97" s="902"/>
      <c r="J97" s="897"/>
      <c r="K97" s="903"/>
      <c r="L97" s="899">
        <f t="shared" si="3"/>
        <v>0</v>
      </c>
      <c r="M97" s="903"/>
      <c r="N97" s="903"/>
      <c r="O97" s="903"/>
      <c r="P97" s="902"/>
      <c r="Q97" s="902"/>
      <c r="R97" s="902"/>
      <c r="S97" s="946"/>
      <c r="T97" s="946"/>
      <c r="U97" s="902"/>
      <c r="V97" s="902"/>
      <c r="W97" s="902"/>
      <c r="X97" s="902"/>
      <c r="Y97" s="902"/>
      <c r="Z97" s="902"/>
      <c r="AA97" s="902"/>
      <c r="AB97" s="902"/>
      <c r="AC97" s="902"/>
    </row>
    <row r="98" spans="1:29" s="890" customFormat="1" ht="15.65" hidden="1" outlineLevel="1">
      <c r="A98" s="976" t="s">
        <v>968</v>
      </c>
      <c r="B98" s="898"/>
      <c r="C98" s="898"/>
      <c r="D98" s="899"/>
      <c r="E98" s="899"/>
      <c r="F98" s="899"/>
      <c r="G98" s="900"/>
      <c r="H98" s="901"/>
      <c r="I98" s="902"/>
      <c r="J98" s="897"/>
      <c r="K98" s="903"/>
      <c r="L98" s="899">
        <f t="shared" si="3"/>
        <v>0</v>
      </c>
      <c r="M98" s="903"/>
      <c r="N98" s="903"/>
      <c r="O98" s="903"/>
      <c r="P98" s="902"/>
      <c r="Q98" s="902"/>
      <c r="R98" s="902"/>
      <c r="S98" s="946"/>
      <c r="T98" s="946"/>
      <c r="U98" s="902"/>
      <c r="V98" s="902"/>
      <c r="W98" s="902"/>
      <c r="X98" s="902"/>
      <c r="Y98" s="902"/>
      <c r="Z98" s="902"/>
      <c r="AA98" s="902"/>
      <c r="AB98" s="902"/>
      <c r="AC98" s="902"/>
    </row>
    <row r="99" spans="1:29" s="890" customFormat="1" ht="15.65" hidden="1" outlineLevel="1">
      <c r="A99" s="976" t="s">
        <v>965</v>
      </c>
      <c r="B99" s="898"/>
      <c r="C99" s="898"/>
      <c r="D99" s="899"/>
      <c r="E99" s="899"/>
      <c r="F99" s="899"/>
      <c r="G99" s="900"/>
      <c r="H99" s="901"/>
      <c r="I99" s="902"/>
      <c r="J99" s="897"/>
      <c r="K99" s="903"/>
      <c r="L99" s="899">
        <f t="shared" si="3"/>
        <v>0</v>
      </c>
      <c r="M99" s="903"/>
      <c r="N99" s="903"/>
      <c r="O99" s="903"/>
      <c r="P99" s="902"/>
      <c r="Q99" s="902"/>
      <c r="R99" s="902"/>
      <c r="S99" s="946"/>
      <c r="T99" s="946"/>
      <c r="U99" s="902"/>
      <c r="V99" s="902"/>
      <c r="W99" s="902"/>
      <c r="X99" s="902"/>
      <c r="Y99" s="902"/>
      <c r="Z99" s="902"/>
      <c r="AA99" s="902"/>
      <c r="AB99" s="902"/>
      <c r="AC99" s="902"/>
    </row>
    <row r="100" spans="1:29" s="890" customFormat="1" ht="15.65" hidden="1" outlineLevel="1">
      <c r="A100" s="976" t="s">
        <v>980</v>
      </c>
      <c r="B100" s="898"/>
      <c r="C100" s="898"/>
      <c r="D100" s="899"/>
      <c r="E100" s="899"/>
      <c r="F100" s="899"/>
      <c r="G100" s="900"/>
      <c r="H100" s="901"/>
      <c r="I100" s="902"/>
      <c r="J100" s="897"/>
      <c r="K100" s="903"/>
      <c r="L100" s="899">
        <f t="shared" si="3"/>
        <v>0</v>
      </c>
      <c r="M100" s="903"/>
      <c r="N100" s="903"/>
      <c r="O100" s="903"/>
      <c r="P100" s="902"/>
      <c r="Q100" s="902"/>
      <c r="R100" s="902"/>
      <c r="S100" s="946"/>
      <c r="T100" s="946"/>
      <c r="U100" s="902"/>
      <c r="V100" s="902"/>
      <c r="W100" s="902"/>
      <c r="X100" s="902"/>
      <c r="Y100" s="902"/>
      <c r="Z100" s="902"/>
      <c r="AA100" s="902"/>
      <c r="AB100" s="902"/>
      <c r="AC100" s="902"/>
    </row>
    <row r="101" spans="1:29" s="890" customFormat="1" ht="15.65" hidden="1" outlineLevel="1">
      <c r="A101" s="976" t="s">
        <v>1002</v>
      </c>
      <c r="B101" s="898"/>
      <c r="C101" s="898"/>
      <c r="D101" s="899"/>
      <c r="E101" s="899"/>
      <c r="F101" s="899"/>
      <c r="G101" s="900"/>
      <c r="H101" s="901"/>
      <c r="I101" s="902"/>
      <c r="J101" s="897"/>
      <c r="K101" s="903"/>
      <c r="L101" s="899">
        <f t="shared" si="3"/>
        <v>0</v>
      </c>
      <c r="M101" s="903"/>
      <c r="N101" s="903"/>
      <c r="O101" s="903"/>
      <c r="P101" s="902"/>
      <c r="Q101" s="902"/>
      <c r="R101" s="902"/>
      <c r="S101" s="946"/>
      <c r="T101" s="946"/>
      <c r="U101" s="902"/>
      <c r="V101" s="902"/>
      <c r="W101" s="902"/>
      <c r="X101" s="902"/>
      <c r="Y101" s="902"/>
      <c r="Z101" s="902"/>
      <c r="AA101" s="902"/>
      <c r="AB101" s="902"/>
      <c r="AC101" s="902"/>
    </row>
    <row r="102" spans="1:29" s="890" customFormat="1" ht="15.65" hidden="1" outlineLevel="1">
      <c r="A102" s="976" t="s">
        <v>1003</v>
      </c>
      <c r="B102" s="898"/>
      <c r="C102" s="898"/>
      <c r="D102" s="899"/>
      <c r="E102" s="899"/>
      <c r="F102" s="899"/>
      <c r="G102" s="900"/>
      <c r="H102" s="901"/>
      <c r="I102" s="902"/>
      <c r="J102" s="897"/>
      <c r="K102" s="903"/>
      <c r="L102" s="899">
        <f t="shared" si="3"/>
        <v>0</v>
      </c>
      <c r="M102" s="903"/>
      <c r="N102" s="903"/>
      <c r="O102" s="903"/>
      <c r="P102" s="902"/>
      <c r="Q102" s="902"/>
      <c r="R102" s="902"/>
      <c r="S102" s="946"/>
      <c r="T102" s="946"/>
      <c r="U102" s="902"/>
      <c r="V102" s="902"/>
      <c r="W102" s="902"/>
      <c r="X102" s="902"/>
      <c r="Y102" s="902"/>
      <c r="Z102" s="902"/>
      <c r="AA102" s="902"/>
      <c r="AB102" s="902"/>
      <c r="AC102" s="902"/>
    </row>
    <row r="103" spans="1:29" s="890" customFormat="1" ht="15.65" hidden="1" outlineLevel="1">
      <c r="A103" s="976" t="s">
        <v>1004</v>
      </c>
      <c r="B103" s="898"/>
      <c r="C103" s="898"/>
      <c r="D103" s="899"/>
      <c r="E103" s="899"/>
      <c r="F103" s="899"/>
      <c r="G103" s="900"/>
      <c r="H103" s="901"/>
      <c r="I103" s="902"/>
      <c r="J103" s="897"/>
      <c r="K103" s="903"/>
      <c r="L103" s="899">
        <f t="shared" si="3"/>
        <v>0</v>
      </c>
      <c r="M103" s="903"/>
      <c r="N103" s="903"/>
      <c r="O103" s="903"/>
      <c r="P103" s="902"/>
      <c r="Q103" s="902"/>
      <c r="R103" s="902"/>
      <c r="S103" s="946"/>
      <c r="T103" s="946"/>
      <c r="U103" s="902"/>
      <c r="V103" s="902"/>
      <c r="W103" s="902"/>
      <c r="X103" s="902"/>
      <c r="Y103" s="902"/>
      <c r="Z103" s="902"/>
      <c r="AA103" s="902"/>
      <c r="AB103" s="902"/>
      <c r="AC103" s="902"/>
    </row>
    <row r="104" spans="1:29" s="890" customFormat="1" ht="15.65" hidden="1" outlineLevel="1">
      <c r="A104" s="976" t="s">
        <v>984</v>
      </c>
      <c r="B104" s="898"/>
      <c r="C104" s="898"/>
      <c r="D104" s="899"/>
      <c r="E104" s="899"/>
      <c r="F104" s="899"/>
      <c r="G104" s="900"/>
      <c r="H104" s="901"/>
      <c r="I104" s="902"/>
      <c r="J104" s="897"/>
      <c r="K104" s="903"/>
      <c r="L104" s="899">
        <f t="shared" si="3"/>
        <v>0</v>
      </c>
      <c r="M104" s="903"/>
      <c r="N104" s="903"/>
      <c r="O104" s="903"/>
      <c r="P104" s="902"/>
      <c r="Q104" s="902"/>
      <c r="R104" s="902"/>
      <c r="S104" s="946"/>
      <c r="T104" s="946"/>
      <c r="U104" s="902"/>
      <c r="V104" s="902"/>
      <c r="W104" s="902"/>
      <c r="X104" s="902"/>
      <c r="Y104" s="902"/>
      <c r="Z104" s="902"/>
      <c r="AA104" s="902"/>
      <c r="AB104" s="902"/>
      <c r="AC104" s="902"/>
    </row>
    <row r="105" spans="1:29" s="890" customFormat="1" ht="15.65" hidden="1" outlineLevel="1">
      <c r="A105" s="897" t="s">
        <v>989</v>
      </c>
      <c r="B105" s="898"/>
      <c r="C105" s="898"/>
      <c r="D105" s="899"/>
      <c r="E105" s="899"/>
      <c r="F105" s="899"/>
      <c r="G105" s="900"/>
      <c r="H105" s="901"/>
      <c r="I105" s="902"/>
      <c r="J105" s="897"/>
      <c r="K105" s="903"/>
      <c r="L105" s="899">
        <f t="shared" si="3"/>
        <v>0</v>
      </c>
      <c r="M105" s="903"/>
      <c r="N105" s="903"/>
      <c r="O105" s="903"/>
      <c r="P105" s="902"/>
      <c r="Q105" s="902"/>
      <c r="R105" s="902"/>
      <c r="S105" s="946"/>
      <c r="T105" s="946"/>
      <c r="U105" s="902"/>
      <c r="V105" s="902"/>
      <c r="W105" s="902"/>
      <c r="X105" s="902"/>
      <c r="Y105" s="902"/>
      <c r="Z105" s="902"/>
      <c r="AA105" s="902"/>
      <c r="AB105" s="902"/>
      <c r="AC105" s="902"/>
    </row>
    <row r="106" spans="1:29" s="890" customFormat="1" ht="15.65" hidden="1" outlineLevel="1">
      <c r="A106" s="897" t="s">
        <v>990</v>
      </c>
      <c r="B106" s="898"/>
      <c r="C106" s="898"/>
      <c r="D106" s="899"/>
      <c r="E106" s="899"/>
      <c r="F106" s="899"/>
      <c r="G106" s="900"/>
      <c r="H106" s="901"/>
      <c r="I106" s="902"/>
      <c r="J106" s="897"/>
      <c r="K106" s="903"/>
      <c r="L106" s="899">
        <f t="shared" si="3"/>
        <v>0</v>
      </c>
      <c r="M106" s="903"/>
      <c r="N106" s="903"/>
      <c r="O106" s="903"/>
      <c r="P106" s="902"/>
      <c r="Q106" s="902"/>
      <c r="R106" s="902"/>
      <c r="S106" s="946"/>
      <c r="T106" s="946"/>
      <c r="U106" s="902"/>
      <c r="V106" s="902"/>
      <c r="W106" s="902"/>
      <c r="X106" s="902"/>
      <c r="Y106" s="902"/>
      <c r="Z106" s="902"/>
      <c r="AA106" s="902"/>
      <c r="AB106" s="902"/>
      <c r="AC106" s="902"/>
    </row>
    <row r="107" spans="1:29" s="890" customFormat="1" ht="15.65" hidden="1" outlineLevel="1">
      <c r="A107" s="976" t="s">
        <v>992</v>
      </c>
      <c r="B107" s="898"/>
      <c r="C107" s="898"/>
      <c r="D107" s="899"/>
      <c r="E107" s="899"/>
      <c r="F107" s="899"/>
      <c r="G107" s="900"/>
      <c r="H107" s="901"/>
      <c r="I107" s="902"/>
      <c r="J107" s="897"/>
      <c r="K107" s="903"/>
      <c r="L107" s="899">
        <f t="shared" si="3"/>
        <v>0</v>
      </c>
      <c r="M107" s="903"/>
      <c r="N107" s="903"/>
      <c r="O107" s="903"/>
      <c r="P107" s="902"/>
      <c r="Q107" s="902"/>
      <c r="R107" s="902"/>
      <c r="S107" s="946"/>
      <c r="T107" s="946"/>
      <c r="U107" s="902"/>
      <c r="V107" s="902"/>
      <c r="W107" s="902"/>
      <c r="X107" s="902"/>
      <c r="Y107" s="902"/>
      <c r="Z107" s="902"/>
      <c r="AA107" s="902"/>
      <c r="AB107" s="902"/>
      <c r="AC107" s="902"/>
    </row>
    <row r="108" spans="1:29" s="890" customFormat="1" ht="15.65" hidden="1" outlineLevel="1">
      <c r="A108" s="976" t="s">
        <v>985</v>
      </c>
      <c r="B108" s="898"/>
      <c r="C108" s="898"/>
      <c r="D108" s="899"/>
      <c r="E108" s="899"/>
      <c r="F108" s="899"/>
      <c r="G108" s="900"/>
      <c r="H108" s="901"/>
      <c r="I108" s="902"/>
      <c r="J108" s="897"/>
      <c r="K108" s="903"/>
      <c r="L108" s="899">
        <f t="shared" si="3"/>
        <v>0</v>
      </c>
      <c r="M108" s="903"/>
      <c r="N108" s="903"/>
      <c r="O108" s="903"/>
      <c r="P108" s="902"/>
      <c r="Q108" s="902"/>
      <c r="R108" s="902"/>
      <c r="S108" s="946"/>
      <c r="T108" s="946"/>
      <c r="U108" s="902"/>
      <c r="V108" s="902"/>
      <c r="W108" s="902"/>
      <c r="X108" s="902"/>
      <c r="Y108" s="902"/>
      <c r="Z108" s="902"/>
      <c r="AA108" s="902"/>
      <c r="AB108" s="902"/>
      <c r="AC108" s="902"/>
    </row>
    <row r="109" spans="1:29" s="890" customFormat="1" ht="15.65" hidden="1" outlineLevel="1">
      <c r="A109" s="976" t="s">
        <v>987</v>
      </c>
      <c r="B109" s="898"/>
      <c r="C109" s="898"/>
      <c r="D109" s="899"/>
      <c r="E109" s="899"/>
      <c r="F109" s="899"/>
      <c r="G109" s="900"/>
      <c r="H109" s="901"/>
      <c r="I109" s="902"/>
      <c r="J109" s="897"/>
      <c r="K109" s="903"/>
      <c r="L109" s="899">
        <f t="shared" si="3"/>
        <v>0</v>
      </c>
      <c r="M109" s="903"/>
      <c r="N109" s="903"/>
      <c r="O109" s="903"/>
      <c r="P109" s="902"/>
      <c r="Q109" s="902"/>
      <c r="R109" s="902"/>
      <c r="S109" s="946"/>
      <c r="T109" s="946"/>
      <c r="U109" s="902"/>
      <c r="V109" s="902"/>
      <c r="W109" s="902"/>
      <c r="X109" s="902"/>
      <c r="Y109" s="902"/>
      <c r="Z109" s="902"/>
      <c r="AA109" s="902"/>
      <c r="AB109" s="902"/>
      <c r="AC109" s="902"/>
    </row>
    <row r="110" spans="1:29" s="890" customFormat="1" ht="15.65" hidden="1" outlineLevel="1">
      <c r="A110" s="976" t="s">
        <v>993</v>
      </c>
      <c r="B110" s="898"/>
      <c r="C110" s="898"/>
      <c r="D110" s="899"/>
      <c r="E110" s="899"/>
      <c r="F110" s="899"/>
      <c r="G110" s="900"/>
      <c r="H110" s="901"/>
      <c r="I110" s="902"/>
      <c r="J110" s="897"/>
      <c r="K110" s="903"/>
      <c r="L110" s="899">
        <f t="shared" si="3"/>
        <v>0</v>
      </c>
      <c r="M110" s="903"/>
      <c r="N110" s="903"/>
      <c r="O110" s="903"/>
      <c r="P110" s="902"/>
      <c r="Q110" s="902"/>
      <c r="R110" s="902"/>
      <c r="S110" s="946"/>
      <c r="T110" s="946"/>
      <c r="U110" s="902"/>
      <c r="V110" s="902"/>
      <c r="W110" s="902"/>
      <c r="X110" s="902"/>
      <c r="Y110" s="902"/>
      <c r="Z110" s="902"/>
      <c r="AA110" s="902"/>
      <c r="AB110" s="902"/>
      <c r="AC110" s="902"/>
    </row>
    <row r="111" spans="1:29" s="890" customFormat="1" ht="15.65" hidden="1" outlineLevel="1">
      <c r="A111" s="976" t="s">
        <v>994</v>
      </c>
      <c r="B111" s="898"/>
      <c r="C111" s="898"/>
      <c r="D111" s="899"/>
      <c r="E111" s="899"/>
      <c r="F111" s="899"/>
      <c r="G111" s="900"/>
      <c r="H111" s="901"/>
      <c r="I111" s="902"/>
      <c r="J111" s="897"/>
      <c r="K111" s="903"/>
      <c r="L111" s="899">
        <f t="shared" si="3"/>
        <v>0</v>
      </c>
      <c r="M111" s="903"/>
      <c r="N111" s="903"/>
      <c r="O111" s="903"/>
      <c r="P111" s="902"/>
      <c r="Q111" s="902"/>
      <c r="R111" s="902"/>
      <c r="S111" s="946"/>
      <c r="T111" s="946"/>
      <c r="U111" s="902"/>
      <c r="V111" s="902"/>
      <c r="W111" s="902"/>
      <c r="X111" s="902"/>
      <c r="Y111" s="902"/>
      <c r="Z111" s="902"/>
      <c r="AA111" s="902"/>
      <c r="AB111" s="902"/>
      <c r="AC111" s="902"/>
    </row>
    <row r="112" spans="1:29" s="890" customFormat="1" ht="15.65" hidden="1" outlineLevel="1">
      <c r="A112" s="897" t="s">
        <v>995</v>
      </c>
      <c r="B112" s="898"/>
      <c r="C112" s="898"/>
      <c r="D112" s="899"/>
      <c r="E112" s="899"/>
      <c r="F112" s="899"/>
      <c r="G112" s="900"/>
      <c r="H112" s="901"/>
      <c r="I112" s="902"/>
      <c r="J112" s="897"/>
      <c r="K112" s="903"/>
      <c r="L112" s="899">
        <f t="shared" si="3"/>
        <v>0</v>
      </c>
      <c r="M112" s="903"/>
      <c r="N112" s="903"/>
      <c r="O112" s="903"/>
      <c r="P112" s="902"/>
      <c r="Q112" s="902"/>
      <c r="R112" s="902"/>
      <c r="S112" s="946"/>
      <c r="T112" s="946"/>
      <c r="U112" s="902"/>
      <c r="V112" s="902"/>
      <c r="W112" s="902"/>
      <c r="X112" s="902"/>
      <c r="Y112" s="902"/>
      <c r="Z112" s="902"/>
      <c r="AA112" s="902"/>
      <c r="AB112" s="902"/>
      <c r="AC112" s="902"/>
    </row>
    <row r="113" spans="1:29" s="890" customFormat="1" ht="15.65" hidden="1" outlineLevel="1">
      <c r="A113" s="897" t="s">
        <v>996</v>
      </c>
      <c r="B113" s="898"/>
      <c r="C113" s="898"/>
      <c r="D113" s="899"/>
      <c r="E113" s="899"/>
      <c r="F113" s="899"/>
      <c r="G113" s="900"/>
      <c r="H113" s="901"/>
      <c r="I113" s="902"/>
      <c r="J113" s="897"/>
      <c r="K113" s="903"/>
      <c r="L113" s="899">
        <f t="shared" si="3"/>
        <v>0</v>
      </c>
      <c r="M113" s="903"/>
      <c r="N113" s="903"/>
      <c r="O113" s="903"/>
      <c r="P113" s="902"/>
      <c r="Q113" s="902"/>
      <c r="R113" s="902"/>
      <c r="S113" s="946"/>
      <c r="T113" s="946"/>
      <c r="U113" s="902"/>
      <c r="V113" s="902"/>
      <c r="W113" s="902"/>
      <c r="X113" s="902"/>
      <c r="Y113" s="902"/>
      <c r="Z113" s="902"/>
      <c r="AA113" s="902"/>
      <c r="AB113" s="902"/>
      <c r="AC113" s="902"/>
    </row>
    <row r="114" spans="1:29" s="890" customFormat="1" ht="15.65" hidden="1" outlineLevel="1">
      <c r="A114" s="910" t="s">
        <v>1005</v>
      </c>
      <c r="B114" s="898"/>
      <c r="C114" s="898"/>
      <c r="D114" s="899"/>
      <c r="E114" s="899"/>
      <c r="F114" s="899"/>
      <c r="G114" s="900"/>
      <c r="H114" s="901"/>
      <c r="I114" s="902"/>
      <c r="J114" s="897"/>
      <c r="K114" s="903"/>
      <c r="L114" s="899">
        <f t="shared" si="3"/>
        <v>0</v>
      </c>
      <c r="M114" s="903"/>
      <c r="N114" s="903"/>
      <c r="O114" s="903"/>
      <c r="P114" s="902"/>
      <c r="Q114" s="902"/>
      <c r="R114" s="902"/>
      <c r="S114" s="946"/>
      <c r="T114" s="946"/>
      <c r="U114" s="902"/>
      <c r="V114" s="902"/>
      <c r="W114" s="902"/>
      <c r="X114" s="902"/>
      <c r="Y114" s="902"/>
      <c r="Z114" s="902"/>
      <c r="AA114" s="902"/>
      <c r="AB114" s="902"/>
      <c r="AC114" s="902"/>
    </row>
    <row r="115" spans="1:29" s="890" customFormat="1" ht="15.65" hidden="1" outlineLevel="1">
      <c r="A115" s="897" t="s">
        <v>997</v>
      </c>
      <c r="B115" s="898"/>
      <c r="C115" s="898"/>
      <c r="D115" s="899"/>
      <c r="E115" s="899"/>
      <c r="F115" s="899"/>
      <c r="G115" s="900"/>
      <c r="H115" s="901"/>
      <c r="I115" s="902"/>
      <c r="J115" s="897"/>
      <c r="K115" s="903"/>
      <c r="L115" s="899">
        <f t="shared" si="3"/>
        <v>0</v>
      </c>
      <c r="M115" s="903"/>
      <c r="N115" s="903"/>
      <c r="O115" s="903"/>
      <c r="P115" s="902"/>
      <c r="Q115" s="902"/>
      <c r="R115" s="902"/>
      <c r="S115" s="946"/>
      <c r="T115" s="946"/>
      <c r="U115" s="902"/>
      <c r="V115" s="902"/>
      <c r="W115" s="902"/>
      <c r="X115" s="902"/>
      <c r="Y115" s="902"/>
      <c r="Z115" s="902"/>
      <c r="AA115" s="902"/>
      <c r="AB115" s="902"/>
      <c r="AC115" s="902"/>
    </row>
    <row r="116" spans="1:29" s="890" customFormat="1" ht="15.65" hidden="1" outlineLevel="1">
      <c r="A116" s="897" t="s">
        <v>998</v>
      </c>
      <c r="B116" s="898"/>
      <c r="C116" s="898"/>
      <c r="D116" s="899"/>
      <c r="E116" s="899"/>
      <c r="F116" s="899"/>
      <c r="G116" s="900"/>
      <c r="H116" s="901"/>
      <c r="I116" s="902"/>
      <c r="J116" s="897"/>
      <c r="K116" s="903"/>
      <c r="L116" s="899">
        <f t="shared" si="3"/>
        <v>0</v>
      </c>
      <c r="M116" s="903"/>
      <c r="N116" s="903"/>
      <c r="O116" s="903"/>
      <c r="P116" s="902"/>
      <c r="Q116" s="902"/>
      <c r="R116" s="902"/>
      <c r="S116" s="946"/>
      <c r="T116" s="946"/>
      <c r="U116" s="902"/>
      <c r="V116" s="902"/>
      <c r="W116" s="902"/>
      <c r="X116" s="902"/>
      <c r="Y116" s="902"/>
      <c r="Z116" s="902"/>
      <c r="AA116" s="902"/>
      <c r="AB116" s="902"/>
      <c r="AC116" s="902"/>
    </row>
    <row r="117" spans="1:29" s="890" customFormat="1" ht="15.65" hidden="1" outlineLevel="1">
      <c r="A117" s="897" t="s">
        <v>999</v>
      </c>
      <c r="B117" s="898"/>
      <c r="C117" s="898"/>
      <c r="D117" s="899"/>
      <c r="E117" s="899"/>
      <c r="F117" s="899"/>
      <c r="G117" s="900"/>
      <c r="H117" s="901"/>
      <c r="I117" s="902"/>
      <c r="J117" s="897"/>
      <c r="K117" s="903"/>
      <c r="L117" s="899">
        <f t="shared" si="3"/>
        <v>0</v>
      </c>
      <c r="M117" s="903"/>
      <c r="N117" s="903"/>
      <c r="O117" s="903"/>
      <c r="P117" s="902"/>
      <c r="Q117" s="902"/>
      <c r="R117" s="902"/>
      <c r="S117" s="946"/>
      <c r="T117" s="946"/>
      <c r="U117" s="902"/>
      <c r="V117" s="902"/>
      <c r="W117" s="902"/>
      <c r="X117" s="902"/>
      <c r="Y117" s="902"/>
      <c r="Z117" s="902"/>
      <c r="AA117" s="902"/>
      <c r="AB117" s="902"/>
      <c r="AC117" s="902"/>
    </row>
    <row r="118" spans="1:29" s="890" customFormat="1" ht="15.65" hidden="1" outlineLevel="1">
      <c r="A118" s="897" t="s">
        <v>1006</v>
      </c>
      <c r="B118" s="898"/>
      <c r="C118" s="898"/>
      <c r="D118" s="899"/>
      <c r="E118" s="899"/>
      <c r="F118" s="899"/>
      <c r="G118" s="900"/>
      <c r="H118" s="901"/>
      <c r="I118" s="902"/>
      <c r="J118" s="897"/>
      <c r="K118" s="903"/>
      <c r="L118" s="899">
        <f t="shared" si="3"/>
        <v>0</v>
      </c>
      <c r="M118" s="903"/>
      <c r="N118" s="903"/>
      <c r="O118" s="903"/>
      <c r="P118" s="902"/>
      <c r="Q118" s="902"/>
      <c r="R118" s="902"/>
      <c r="S118" s="946"/>
      <c r="T118" s="946"/>
      <c r="U118" s="902"/>
      <c r="V118" s="902"/>
      <c r="W118" s="902"/>
      <c r="X118" s="902"/>
      <c r="Y118" s="902"/>
      <c r="Z118" s="902"/>
      <c r="AA118" s="902"/>
      <c r="AB118" s="902"/>
      <c r="AC118" s="902"/>
    </row>
    <row r="119" spans="1:29" s="890" customFormat="1" ht="15.65" hidden="1" outlineLevel="1">
      <c r="A119" s="897" t="s">
        <v>1007</v>
      </c>
      <c r="B119" s="898"/>
      <c r="C119" s="898"/>
      <c r="D119" s="899"/>
      <c r="E119" s="899"/>
      <c r="F119" s="899"/>
      <c r="G119" s="900"/>
      <c r="H119" s="901"/>
      <c r="I119" s="902"/>
      <c r="J119" s="897"/>
      <c r="K119" s="903"/>
      <c r="L119" s="899">
        <f t="shared" si="3"/>
        <v>0</v>
      </c>
      <c r="M119" s="903" t="s">
        <v>468</v>
      </c>
      <c r="N119" s="903" t="s">
        <v>525</v>
      </c>
      <c r="O119" s="903"/>
      <c r="P119" s="902"/>
      <c r="Q119" s="902"/>
      <c r="R119" s="902">
        <f>COUNTIF(L127,"&lt;&gt;0")</f>
        <v>0</v>
      </c>
      <c r="S119" s="927" t="s">
        <v>519</v>
      </c>
      <c r="T119" s="902"/>
      <c r="U119" s="902"/>
      <c r="V119" s="902"/>
      <c r="W119" s="902"/>
      <c r="X119" s="902"/>
      <c r="Y119" s="902"/>
      <c r="Z119" s="902"/>
      <c r="AA119" s="902"/>
      <c r="AB119" s="902"/>
      <c r="AC119" s="902"/>
    </row>
    <row r="120" spans="1:29" s="890" customFormat="1" ht="15.65" hidden="1" outlineLevel="1">
      <c r="A120" s="897" t="s">
        <v>1008</v>
      </c>
      <c r="B120" s="898"/>
      <c r="C120" s="898"/>
      <c r="D120" s="899"/>
      <c r="E120" s="899"/>
      <c r="F120" s="899"/>
      <c r="G120" s="900"/>
      <c r="H120" s="901"/>
      <c r="I120" s="902"/>
      <c r="J120" s="897"/>
      <c r="K120" s="903"/>
      <c r="L120" s="899">
        <f t="shared" si="3"/>
        <v>0</v>
      </c>
      <c r="M120" s="903" t="s">
        <v>479</v>
      </c>
      <c r="N120" s="903" t="s">
        <v>531</v>
      </c>
      <c r="O120" s="903"/>
      <c r="P120" s="902"/>
      <c r="Q120" s="902"/>
      <c r="R120" s="902">
        <f>COUNTIF(L128,"&lt;&gt;0")</f>
        <v>0</v>
      </c>
      <c r="S120" s="902" t="s">
        <v>520</v>
      </c>
      <c r="T120" s="902"/>
      <c r="U120" s="902"/>
      <c r="V120" s="902"/>
      <c r="W120" s="902"/>
      <c r="X120" s="902"/>
      <c r="Y120" s="902"/>
      <c r="Z120" s="902"/>
      <c r="AA120" s="902"/>
      <c r="AB120" s="902"/>
      <c r="AC120" s="902"/>
    </row>
    <row r="121" spans="1:29" s="890" customFormat="1" ht="15.65" hidden="1" outlineLevel="1">
      <c r="A121" s="961" t="s">
        <v>1009</v>
      </c>
      <c r="B121" s="898"/>
      <c r="C121" s="898"/>
      <c r="D121" s="899"/>
      <c r="E121" s="899"/>
      <c r="F121" s="899"/>
      <c r="G121" s="900"/>
      <c r="H121" s="901"/>
      <c r="I121" s="902"/>
      <c r="J121" s="897"/>
      <c r="K121" s="903"/>
      <c r="L121" s="899">
        <f t="shared" si="3"/>
        <v>0</v>
      </c>
      <c r="M121" s="903" t="s">
        <v>476</v>
      </c>
      <c r="N121" s="903" t="s">
        <v>532</v>
      </c>
      <c r="O121" s="903"/>
      <c r="P121" s="902"/>
      <c r="Q121" s="902"/>
      <c r="R121" s="902">
        <f>COUNTIF(L129,"&lt;&gt;0")</f>
        <v>0</v>
      </c>
      <c r="S121" s="902" t="s">
        <v>516</v>
      </c>
      <c r="T121" s="902"/>
      <c r="U121" s="902"/>
      <c r="V121" s="902"/>
      <c r="W121" s="902"/>
      <c r="X121" s="902"/>
      <c r="Y121" s="902"/>
      <c r="Z121" s="902"/>
      <c r="AA121" s="902"/>
      <c r="AB121" s="902"/>
      <c r="AC121" s="902"/>
    </row>
    <row r="122" spans="1:29" s="890" customFormat="1" ht="15.65" hidden="1" outlineLevel="1">
      <c r="A122" s="961" t="s">
        <v>1010</v>
      </c>
      <c r="B122" s="898"/>
      <c r="C122" s="898"/>
      <c r="D122" s="899"/>
      <c r="E122" s="899"/>
      <c r="F122" s="899"/>
      <c r="G122" s="900"/>
      <c r="H122" s="901"/>
      <c r="I122" s="902"/>
      <c r="J122" s="897"/>
      <c r="K122" s="903"/>
      <c r="L122" s="899">
        <f t="shared" si="3"/>
        <v>0</v>
      </c>
      <c r="M122" s="903" t="s">
        <v>470</v>
      </c>
      <c r="N122" s="903" t="s">
        <v>533</v>
      </c>
      <c r="O122" s="927"/>
      <c r="P122" s="902"/>
      <c r="Q122" s="902"/>
      <c r="R122" s="902" t="e">
        <f>COUNTIF(#REF!,"&lt;&gt;0")</f>
        <v>#REF!</v>
      </c>
      <c r="S122" s="902" t="s">
        <v>522</v>
      </c>
      <c r="T122" s="902"/>
      <c r="U122" s="902"/>
      <c r="V122" s="902"/>
      <c r="W122" s="902"/>
      <c r="X122" s="902"/>
      <c r="Y122" s="902"/>
      <c r="Z122" s="902"/>
      <c r="AA122" s="902"/>
      <c r="AB122" s="902"/>
      <c r="AC122" s="902"/>
    </row>
    <row r="123" spans="1:29" s="890" customFormat="1" ht="15.65" hidden="1" outlineLevel="1">
      <c r="A123" s="897" t="s">
        <v>1011</v>
      </c>
      <c r="B123" s="898"/>
      <c r="C123" s="898"/>
      <c r="D123" s="899"/>
      <c r="E123" s="899"/>
      <c r="F123" s="899"/>
      <c r="G123" s="900"/>
      <c r="H123" s="901"/>
      <c r="I123" s="902"/>
      <c r="J123" s="897"/>
      <c r="K123" s="903"/>
      <c r="L123" s="899">
        <f t="shared" si="3"/>
        <v>0</v>
      </c>
      <c r="M123" s="903" t="s">
        <v>473</v>
      </c>
      <c r="N123" s="903" t="s">
        <v>498</v>
      </c>
      <c r="O123" s="927"/>
      <c r="P123" s="902"/>
      <c r="Q123" s="902"/>
      <c r="R123" s="902" t="e">
        <f>COUNTIF(#REF!,"&lt;&gt;0")</f>
        <v>#REF!</v>
      </c>
      <c r="S123" s="902" t="s">
        <v>521</v>
      </c>
      <c r="T123" s="902"/>
      <c r="U123" s="902"/>
      <c r="V123" s="902"/>
      <c r="W123" s="902"/>
      <c r="X123" s="902"/>
      <c r="Y123" s="902"/>
      <c r="Z123" s="902"/>
      <c r="AA123" s="902"/>
      <c r="AB123" s="902"/>
      <c r="AC123" s="902"/>
    </row>
    <row r="124" spans="1:29" s="890" customFormat="1" ht="15.65" hidden="1" outlineLevel="1">
      <c r="A124" s="897" t="s">
        <v>1012</v>
      </c>
      <c r="B124" s="898"/>
      <c r="C124" s="898"/>
      <c r="D124" s="899"/>
      <c r="E124" s="899"/>
      <c r="F124" s="899"/>
      <c r="G124" s="900"/>
      <c r="H124" s="901"/>
      <c r="I124" s="902"/>
      <c r="J124" s="897"/>
      <c r="K124" s="903"/>
      <c r="L124" s="899">
        <f t="shared" si="3"/>
        <v>0</v>
      </c>
      <c r="M124" s="903" t="s">
        <v>486</v>
      </c>
      <c r="N124" s="903" t="s">
        <v>534</v>
      </c>
      <c r="O124" s="927"/>
      <c r="P124" s="902"/>
      <c r="Q124" s="902"/>
      <c r="R124" s="902"/>
      <c r="S124" s="902"/>
      <c r="T124" s="902"/>
      <c r="U124" s="902"/>
      <c r="V124" s="902"/>
      <c r="W124" s="902"/>
      <c r="X124" s="902"/>
      <c r="Y124" s="902"/>
      <c r="Z124" s="902"/>
      <c r="AA124" s="902"/>
      <c r="AB124" s="902"/>
      <c r="AC124" s="902"/>
    </row>
    <row r="125" spans="1:29" s="890" customFormat="1" ht="15.65" hidden="1" outlineLevel="1">
      <c r="A125" s="897" t="s">
        <v>1013</v>
      </c>
      <c r="B125" s="898"/>
      <c r="C125" s="898"/>
      <c r="D125" s="899"/>
      <c r="E125" s="899"/>
      <c r="F125" s="899"/>
      <c r="G125" s="900"/>
      <c r="H125" s="901"/>
      <c r="I125" s="902"/>
      <c r="J125" s="897"/>
      <c r="K125" s="903"/>
      <c r="L125" s="899">
        <f t="shared" si="3"/>
        <v>0</v>
      </c>
      <c r="M125" s="902" t="s">
        <v>478</v>
      </c>
      <c r="N125" s="927" t="s">
        <v>535</v>
      </c>
      <c r="O125" s="927"/>
      <c r="P125" s="902"/>
      <c r="Q125" s="902"/>
      <c r="R125" s="902"/>
      <c r="S125" s="902"/>
      <c r="T125" s="902"/>
      <c r="U125" s="902"/>
      <c r="V125" s="902"/>
      <c r="W125" s="902"/>
      <c r="X125" s="902"/>
      <c r="Y125" s="902"/>
      <c r="Z125" s="902"/>
      <c r="AA125" s="902"/>
      <c r="AB125" s="902"/>
      <c r="AC125" s="902"/>
    </row>
    <row r="126" spans="1:29" s="890" customFormat="1" ht="15.65" hidden="1" outlineLevel="1">
      <c r="A126" s="897" t="s">
        <v>972</v>
      </c>
      <c r="B126" s="898"/>
      <c r="C126" s="898"/>
      <c r="D126" s="899"/>
      <c r="E126" s="899"/>
      <c r="F126" s="899"/>
      <c r="G126" s="900"/>
      <c r="H126" s="901"/>
      <c r="I126" s="902"/>
      <c r="J126" s="897"/>
      <c r="K126" s="903"/>
      <c r="L126" s="899">
        <f t="shared" si="3"/>
        <v>0</v>
      </c>
      <c r="M126" s="974" t="s">
        <v>493</v>
      </c>
      <c r="N126" s="1568" t="s">
        <v>494</v>
      </c>
      <c r="O126" s="1568"/>
      <c r="P126" s="902"/>
      <c r="Q126" s="902"/>
      <c r="R126" s="902"/>
      <c r="S126" s="902"/>
      <c r="T126" s="902"/>
      <c r="U126" s="902"/>
      <c r="V126" s="902"/>
      <c r="W126" s="902"/>
      <c r="X126" s="902"/>
      <c r="Y126" s="902"/>
      <c r="Z126" s="902"/>
      <c r="AA126" s="902"/>
      <c r="AB126" s="902"/>
      <c r="AC126" s="902"/>
    </row>
    <row r="127" spans="1:29" s="890" customFormat="1" ht="15.65" hidden="1" outlineLevel="1">
      <c r="A127" s="897" t="s">
        <v>978</v>
      </c>
      <c r="B127" s="898"/>
      <c r="C127" s="898"/>
      <c r="D127" s="899"/>
      <c r="E127" s="899"/>
      <c r="F127" s="899"/>
      <c r="G127" s="900"/>
      <c r="H127" s="901"/>
      <c r="I127" s="902"/>
      <c r="J127" s="897"/>
      <c r="K127" s="903"/>
      <c r="L127" s="899">
        <f t="shared" si="3"/>
        <v>0</v>
      </c>
      <c r="M127" s="927" t="s">
        <v>471</v>
      </c>
      <c r="N127" s="927" t="s">
        <v>536</v>
      </c>
      <c r="O127" s="927"/>
      <c r="P127" s="902"/>
      <c r="Q127" s="902"/>
      <c r="R127" s="902"/>
      <c r="S127" s="902"/>
      <c r="T127" s="902"/>
      <c r="U127" s="902"/>
      <c r="V127" s="902"/>
      <c r="W127" s="902"/>
      <c r="X127" s="902"/>
      <c r="Y127" s="902"/>
      <c r="Z127" s="902"/>
      <c r="AA127" s="902"/>
      <c r="AB127" s="902"/>
      <c r="AC127" s="902"/>
    </row>
    <row r="128" spans="1:29" s="890" customFormat="1" ht="15.65" hidden="1" outlineLevel="1">
      <c r="A128" s="897" t="s">
        <v>1014</v>
      </c>
      <c r="B128" s="898"/>
      <c r="C128" s="898"/>
      <c r="D128" s="899"/>
      <c r="E128" s="899"/>
      <c r="F128" s="899"/>
      <c r="G128" s="900"/>
      <c r="H128" s="901"/>
      <c r="I128" s="902"/>
      <c r="J128" s="897"/>
      <c r="K128" s="903"/>
      <c r="L128" s="899">
        <f t="shared" si="3"/>
        <v>0</v>
      </c>
      <c r="M128" s="927" t="s">
        <v>480</v>
      </c>
      <c r="N128" s="927" t="s">
        <v>537</v>
      </c>
      <c r="O128" s="927"/>
      <c r="P128" s="902"/>
      <c r="Q128" s="902"/>
      <c r="R128" s="902"/>
      <c r="S128" s="902"/>
      <c r="T128" s="902"/>
      <c r="U128" s="902"/>
      <c r="V128" s="902"/>
      <c r="W128" s="902"/>
      <c r="X128" s="902"/>
      <c r="Y128" s="902"/>
      <c r="Z128" s="902"/>
      <c r="AA128" s="902"/>
      <c r="AB128" s="902"/>
      <c r="AC128" s="902"/>
    </row>
    <row r="129" spans="1:29" s="890" customFormat="1" ht="15.65" hidden="1" outlineLevel="1">
      <c r="A129" s="897" t="s">
        <v>966</v>
      </c>
      <c r="B129" s="898"/>
      <c r="C129" s="898"/>
      <c r="D129" s="899"/>
      <c r="E129" s="899"/>
      <c r="F129" s="899"/>
      <c r="G129" s="900"/>
      <c r="H129" s="901"/>
      <c r="I129" s="902"/>
      <c r="J129" s="897"/>
      <c r="K129" s="903"/>
      <c r="L129" s="899">
        <f t="shared" si="3"/>
        <v>0</v>
      </c>
      <c r="M129" s="927" t="s">
        <v>469</v>
      </c>
      <c r="N129" s="927" t="s">
        <v>499</v>
      </c>
      <c r="O129" s="927"/>
      <c r="P129" s="902"/>
      <c r="Q129" s="902"/>
      <c r="R129" s="902"/>
      <c r="S129" s="902"/>
      <c r="T129" s="902"/>
      <c r="U129" s="902"/>
      <c r="V129" s="902"/>
      <c r="W129" s="902"/>
      <c r="X129" s="902"/>
      <c r="Y129" s="902"/>
      <c r="Z129" s="902"/>
      <c r="AA129" s="902"/>
      <c r="AB129" s="902"/>
      <c r="AC129" s="902"/>
    </row>
    <row r="130" spans="1:29" collapsed="1"/>
    <row r="132" spans="1:29" s="890" customFormat="1" ht="15.65">
      <c r="A132" s="975" t="s">
        <v>1015</v>
      </c>
      <c r="B132" s="898" t="s">
        <v>490</v>
      </c>
      <c r="C132" s="898"/>
      <c r="D132" s="899">
        <v>61600</v>
      </c>
      <c r="E132" s="899">
        <v>61600</v>
      </c>
      <c r="F132" s="899"/>
      <c r="G132" s="900">
        <v>6</v>
      </c>
      <c r="H132" s="895"/>
      <c r="I132" s="902" t="str">
        <f>IF(H132="x",CONCATENATE(A132,"; "),"")</f>
        <v/>
      </c>
      <c r="J132" s="897"/>
      <c r="K132" s="903"/>
      <c r="L132" s="899">
        <f t="shared" ref="L132:L195" si="4">E132-C132</f>
        <v>61600</v>
      </c>
      <c r="M132" s="902"/>
      <c r="N132" s="902"/>
      <c r="O132" s="902"/>
      <c r="P132" s="902"/>
      <c r="Q132" s="902"/>
      <c r="R132" s="902"/>
      <c r="S132" s="902"/>
      <c r="T132" s="902"/>
      <c r="U132" s="902"/>
      <c r="V132" s="902"/>
      <c r="W132" s="902"/>
      <c r="X132" s="902"/>
      <c r="Y132" s="902"/>
      <c r="Z132" s="902"/>
      <c r="AA132" s="902"/>
      <c r="AB132" s="902"/>
      <c r="AC132" s="902"/>
    </row>
    <row r="133" spans="1:29" s="890" customFormat="1" ht="15.65" outlineLevel="1">
      <c r="A133" s="977" t="s">
        <v>965</v>
      </c>
      <c r="B133" s="898"/>
      <c r="C133" s="898"/>
      <c r="D133" s="899"/>
      <c r="E133" s="899"/>
      <c r="F133" s="899"/>
      <c r="G133" s="900"/>
      <c r="H133" s="901"/>
      <c r="I133" s="902"/>
      <c r="J133" s="897"/>
      <c r="K133" s="903"/>
      <c r="L133" s="899">
        <f t="shared" si="4"/>
        <v>0</v>
      </c>
      <c r="M133" s="903" t="s">
        <v>463</v>
      </c>
      <c r="N133" s="903" t="s">
        <v>495</v>
      </c>
      <c r="O133" s="903"/>
      <c r="P133" s="902"/>
      <c r="Q133" s="902"/>
      <c r="R133" s="902">
        <f>(COUNTIF(L133:L223,"&lt;&gt;0"))+IF(H132="x",1,0)</f>
        <v>0</v>
      </c>
      <c r="S133" s="903" t="s">
        <v>510</v>
      </c>
      <c r="T133" s="902"/>
      <c r="U133" s="902"/>
      <c r="V133" s="902"/>
      <c r="W133" s="902"/>
      <c r="X133" s="902"/>
      <c r="Y133" s="902"/>
      <c r="Z133" s="902"/>
      <c r="AA133" s="902"/>
      <c r="AB133" s="902"/>
      <c r="AC133" s="902"/>
    </row>
    <row r="134" spans="1:29" s="890" customFormat="1" ht="15.65" outlineLevel="1">
      <c r="A134" s="977" t="s">
        <v>972</v>
      </c>
      <c r="B134" s="898"/>
      <c r="C134" s="898"/>
      <c r="D134" s="899"/>
      <c r="E134" s="899"/>
      <c r="F134" s="899"/>
      <c r="G134" s="900"/>
      <c r="H134" s="901"/>
      <c r="I134" s="902"/>
      <c r="J134" s="897"/>
      <c r="K134" s="903"/>
      <c r="L134" s="899">
        <f t="shared" si="4"/>
        <v>0</v>
      </c>
      <c r="M134" s="903" t="s">
        <v>487</v>
      </c>
      <c r="N134" s="903" t="s">
        <v>523</v>
      </c>
      <c r="O134" s="903"/>
      <c r="P134" s="902"/>
      <c r="Q134" s="902"/>
      <c r="R134" s="902">
        <f>COUNTIF(L224:L225,"&lt;&gt;0")</f>
        <v>0</v>
      </c>
      <c r="S134" s="903" t="s">
        <v>511</v>
      </c>
      <c r="T134" s="902"/>
      <c r="U134" s="902"/>
      <c r="V134" s="902"/>
      <c r="W134" s="902"/>
      <c r="X134" s="902"/>
      <c r="Y134" s="902"/>
      <c r="Z134" s="902"/>
      <c r="AA134" s="902"/>
      <c r="AB134" s="902"/>
      <c r="AC134" s="902"/>
    </row>
    <row r="135" spans="1:29" s="890" customFormat="1" ht="15.65" outlineLevel="1">
      <c r="A135" s="977" t="s">
        <v>1016</v>
      </c>
      <c r="B135" s="898"/>
      <c r="C135" s="898"/>
      <c r="D135" s="899"/>
      <c r="E135" s="899"/>
      <c r="F135" s="899"/>
      <c r="G135" s="900"/>
      <c r="H135" s="901"/>
      <c r="I135" s="902"/>
      <c r="J135" s="897"/>
      <c r="K135" s="903"/>
      <c r="L135" s="899">
        <f t="shared" si="4"/>
        <v>0</v>
      </c>
      <c r="M135" s="903"/>
      <c r="N135" s="903"/>
      <c r="O135" s="903"/>
      <c r="P135" s="902"/>
      <c r="Q135" s="902"/>
      <c r="R135" s="902"/>
      <c r="S135" s="903"/>
      <c r="T135" s="902"/>
      <c r="U135" s="902"/>
      <c r="V135" s="902"/>
      <c r="W135" s="902"/>
      <c r="X135" s="902"/>
      <c r="Y135" s="902"/>
      <c r="Z135" s="902"/>
      <c r="AA135" s="902"/>
      <c r="AB135" s="902"/>
      <c r="AC135" s="902"/>
    </row>
    <row r="136" spans="1:29" s="890" customFormat="1" ht="15.65" outlineLevel="1">
      <c r="A136" s="977" t="s">
        <v>1017</v>
      </c>
      <c r="B136" s="898"/>
      <c r="C136" s="898"/>
      <c r="D136" s="899"/>
      <c r="E136" s="899"/>
      <c r="F136" s="899"/>
      <c r="G136" s="900"/>
      <c r="H136" s="901"/>
      <c r="I136" s="902"/>
      <c r="J136" s="897"/>
      <c r="K136" s="903"/>
      <c r="L136" s="899">
        <f t="shared" si="4"/>
        <v>0</v>
      </c>
      <c r="M136" s="903"/>
      <c r="N136" s="903"/>
      <c r="O136" s="903"/>
      <c r="P136" s="902"/>
      <c r="Q136" s="902"/>
      <c r="R136" s="902"/>
      <c r="S136" s="903"/>
      <c r="T136" s="902"/>
      <c r="U136" s="902"/>
      <c r="V136" s="902"/>
      <c r="W136" s="902"/>
      <c r="X136" s="902"/>
      <c r="Y136" s="902"/>
      <c r="Z136" s="902"/>
      <c r="AA136" s="902"/>
      <c r="AB136" s="902"/>
      <c r="AC136" s="902"/>
    </row>
    <row r="137" spans="1:29" s="890" customFormat="1" ht="15.65" outlineLevel="1">
      <c r="A137" s="977" t="s">
        <v>1018</v>
      </c>
      <c r="B137" s="898"/>
      <c r="C137" s="898"/>
      <c r="D137" s="899"/>
      <c r="E137" s="899"/>
      <c r="F137" s="899"/>
      <c r="G137" s="900"/>
      <c r="H137" s="901"/>
      <c r="I137" s="902"/>
      <c r="J137" s="897"/>
      <c r="K137" s="903"/>
      <c r="L137" s="899">
        <f t="shared" si="4"/>
        <v>0</v>
      </c>
      <c r="M137" s="903"/>
      <c r="N137" s="903"/>
      <c r="O137" s="903"/>
      <c r="P137" s="902"/>
      <c r="Q137" s="902"/>
      <c r="R137" s="902"/>
      <c r="S137" s="903"/>
      <c r="T137" s="902"/>
      <c r="U137" s="902"/>
      <c r="V137" s="902"/>
      <c r="W137" s="902"/>
      <c r="X137" s="902"/>
      <c r="Y137" s="902"/>
      <c r="Z137" s="902"/>
      <c r="AA137" s="902"/>
      <c r="AB137" s="902"/>
      <c r="AC137" s="902"/>
    </row>
    <row r="138" spans="1:29" s="890" customFormat="1" ht="15.65" outlineLevel="1">
      <c r="A138" s="977" t="s">
        <v>964</v>
      </c>
      <c r="B138" s="898"/>
      <c r="C138" s="898"/>
      <c r="D138" s="899"/>
      <c r="E138" s="899"/>
      <c r="F138" s="899"/>
      <c r="G138" s="900"/>
      <c r="H138" s="901"/>
      <c r="I138" s="902"/>
      <c r="J138" s="897"/>
      <c r="K138" s="903"/>
      <c r="L138" s="899">
        <f t="shared" si="4"/>
        <v>0</v>
      </c>
      <c r="M138" s="903"/>
      <c r="N138" s="903"/>
      <c r="O138" s="903"/>
      <c r="P138" s="902"/>
      <c r="Q138" s="902"/>
      <c r="R138" s="902"/>
      <c r="S138" s="903"/>
      <c r="T138" s="902"/>
      <c r="U138" s="902"/>
      <c r="V138" s="902"/>
      <c r="W138" s="902"/>
      <c r="X138" s="902"/>
      <c r="Y138" s="902"/>
      <c r="Z138" s="902"/>
      <c r="AA138" s="902"/>
      <c r="AB138" s="902"/>
      <c r="AC138" s="902"/>
    </row>
    <row r="139" spans="1:29" s="890" customFormat="1" ht="15.65" outlineLevel="1">
      <c r="A139" s="977" t="s">
        <v>1019</v>
      </c>
      <c r="B139" s="898"/>
      <c r="C139" s="898"/>
      <c r="D139" s="899"/>
      <c r="E139" s="899"/>
      <c r="F139" s="899"/>
      <c r="G139" s="900"/>
      <c r="H139" s="901"/>
      <c r="I139" s="902"/>
      <c r="J139" s="897"/>
      <c r="K139" s="903"/>
      <c r="L139" s="899">
        <f t="shared" si="4"/>
        <v>0</v>
      </c>
      <c r="M139" s="903"/>
      <c r="N139" s="903"/>
      <c r="O139" s="903"/>
      <c r="P139" s="902"/>
      <c r="Q139" s="902"/>
      <c r="R139" s="902"/>
      <c r="S139" s="903"/>
      <c r="T139" s="902"/>
      <c r="U139" s="902"/>
      <c r="V139" s="902"/>
      <c r="W139" s="902"/>
      <c r="X139" s="902"/>
      <c r="Y139" s="902"/>
      <c r="Z139" s="902"/>
      <c r="AA139" s="902"/>
      <c r="AB139" s="902"/>
      <c r="AC139" s="902"/>
    </row>
    <row r="140" spans="1:29" s="890" customFormat="1" ht="15.65" outlineLevel="1">
      <c r="A140" s="977" t="s">
        <v>969</v>
      </c>
      <c r="B140" s="898"/>
      <c r="C140" s="898"/>
      <c r="D140" s="899"/>
      <c r="E140" s="899"/>
      <c r="F140" s="899"/>
      <c r="G140" s="900"/>
      <c r="H140" s="901"/>
      <c r="I140" s="902"/>
      <c r="J140" s="897"/>
      <c r="K140" s="903"/>
      <c r="L140" s="899">
        <f t="shared" si="4"/>
        <v>0</v>
      </c>
      <c r="M140" s="903"/>
      <c r="N140" s="903"/>
      <c r="O140" s="903"/>
      <c r="P140" s="902"/>
      <c r="Q140" s="902"/>
      <c r="R140" s="902"/>
      <c r="S140" s="903"/>
      <c r="T140" s="902"/>
      <c r="U140" s="902"/>
      <c r="V140" s="902"/>
      <c r="W140" s="902"/>
      <c r="X140" s="902"/>
      <c r="Y140" s="902"/>
      <c r="Z140" s="902"/>
      <c r="AA140" s="902"/>
      <c r="AB140" s="902"/>
      <c r="AC140" s="902"/>
    </row>
    <row r="141" spans="1:29" s="890" customFormat="1" ht="15.65" outlineLevel="1">
      <c r="A141" s="977" t="s">
        <v>1020</v>
      </c>
      <c r="B141" s="898"/>
      <c r="C141" s="898"/>
      <c r="D141" s="899"/>
      <c r="E141" s="899"/>
      <c r="F141" s="899"/>
      <c r="G141" s="900"/>
      <c r="H141" s="901"/>
      <c r="I141" s="902"/>
      <c r="J141" s="897"/>
      <c r="K141" s="903"/>
      <c r="L141" s="899">
        <f t="shared" si="4"/>
        <v>0</v>
      </c>
      <c r="M141" s="903"/>
      <c r="N141" s="903"/>
      <c r="O141" s="903"/>
      <c r="P141" s="902"/>
      <c r="Q141" s="902"/>
      <c r="R141" s="902"/>
      <c r="S141" s="903"/>
      <c r="T141" s="902"/>
      <c r="U141" s="902"/>
      <c r="V141" s="902"/>
      <c r="W141" s="902"/>
      <c r="X141" s="902"/>
      <c r="Y141" s="902"/>
      <c r="Z141" s="902"/>
      <c r="AA141" s="902"/>
      <c r="AB141" s="902"/>
      <c r="AC141" s="902"/>
    </row>
    <row r="142" spans="1:29" s="890" customFormat="1" ht="15.65" outlineLevel="1">
      <c r="A142" s="977" t="s">
        <v>1021</v>
      </c>
      <c r="B142" s="898"/>
      <c r="C142" s="898"/>
      <c r="D142" s="899"/>
      <c r="E142" s="899"/>
      <c r="F142" s="899"/>
      <c r="G142" s="900"/>
      <c r="H142" s="901"/>
      <c r="I142" s="902"/>
      <c r="J142" s="897"/>
      <c r="K142" s="903"/>
      <c r="L142" s="899">
        <f t="shared" si="4"/>
        <v>0</v>
      </c>
      <c r="M142" s="903"/>
      <c r="N142" s="903"/>
      <c r="O142" s="903"/>
      <c r="P142" s="902"/>
      <c r="Q142" s="902"/>
      <c r="R142" s="902"/>
      <c r="S142" s="903"/>
      <c r="T142" s="902"/>
      <c r="U142" s="902"/>
      <c r="V142" s="902"/>
      <c r="W142" s="902"/>
      <c r="X142" s="902"/>
      <c r="Y142" s="902"/>
      <c r="Z142" s="902"/>
      <c r="AA142" s="902"/>
      <c r="AB142" s="902"/>
      <c r="AC142" s="902"/>
    </row>
    <row r="143" spans="1:29" s="890" customFormat="1" ht="15.65" outlineLevel="1">
      <c r="A143" s="977" t="s">
        <v>976</v>
      </c>
      <c r="B143" s="898"/>
      <c r="C143" s="898"/>
      <c r="D143" s="899"/>
      <c r="E143" s="899"/>
      <c r="F143" s="899"/>
      <c r="G143" s="900"/>
      <c r="H143" s="901"/>
      <c r="I143" s="902"/>
      <c r="J143" s="897"/>
      <c r="K143" s="903"/>
      <c r="L143" s="899">
        <f t="shared" si="4"/>
        <v>0</v>
      </c>
      <c r="M143" s="903"/>
      <c r="N143" s="903"/>
      <c r="O143" s="903"/>
      <c r="P143" s="902"/>
      <c r="Q143" s="902"/>
      <c r="R143" s="902"/>
      <c r="S143" s="903"/>
      <c r="T143" s="902"/>
      <c r="U143" s="902"/>
      <c r="V143" s="902"/>
      <c r="W143" s="902"/>
      <c r="X143" s="902"/>
      <c r="Y143" s="902"/>
      <c r="Z143" s="902"/>
      <c r="AA143" s="902"/>
      <c r="AB143" s="902"/>
      <c r="AC143" s="902"/>
    </row>
    <row r="144" spans="1:29" s="890" customFormat="1" ht="15.65" outlineLevel="1">
      <c r="A144" s="977" t="s">
        <v>977</v>
      </c>
      <c r="B144" s="898"/>
      <c r="C144" s="898"/>
      <c r="D144" s="899"/>
      <c r="E144" s="899"/>
      <c r="F144" s="899"/>
      <c r="G144" s="900"/>
      <c r="H144" s="901"/>
      <c r="I144" s="902"/>
      <c r="J144" s="897"/>
      <c r="K144" s="903"/>
      <c r="L144" s="899">
        <f t="shared" si="4"/>
        <v>0</v>
      </c>
      <c r="M144" s="903"/>
      <c r="N144" s="903"/>
      <c r="O144" s="903"/>
      <c r="P144" s="902"/>
      <c r="Q144" s="902"/>
      <c r="R144" s="902"/>
      <c r="S144" s="903"/>
      <c r="T144" s="902"/>
      <c r="U144" s="902"/>
      <c r="V144" s="902"/>
      <c r="W144" s="902"/>
      <c r="X144" s="902"/>
      <c r="Y144" s="902"/>
      <c r="Z144" s="902"/>
      <c r="AA144" s="902"/>
      <c r="AB144" s="902"/>
      <c r="AC144" s="902"/>
    </row>
    <row r="145" spans="1:29" s="890" customFormat="1" ht="15.65" outlineLevel="1">
      <c r="A145" s="977" t="s">
        <v>1022</v>
      </c>
      <c r="B145" s="898"/>
      <c r="C145" s="898"/>
      <c r="D145" s="899"/>
      <c r="E145" s="899"/>
      <c r="F145" s="899"/>
      <c r="G145" s="900"/>
      <c r="H145" s="901"/>
      <c r="I145" s="902"/>
      <c r="J145" s="897"/>
      <c r="K145" s="903"/>
      <c r="L145" s="899">
        <f t="shared" si="4"/>
        <v>0</v>
      </c>
      <c r="M145" s="903"/>
      <c r="N145" s="903"/>
      <c r="O145" s="903"/>
      <c r="P145" s="902"/>
      <c r="Q145" s="902"/>
      <c r="R145" s="902"/>
      <c r="S145" s="903"/>
      <c r="T145" s="902"/>
      <c r="U145" s="902"/>
      <c r="V145" s="902"/>
      <c r="W145" s="902"/>
      <c r="X145" s="902"/>
      <c r="Y145" s="902"/>
      <c r="Z145" s="902"/>
      <c r="AA145" s="902"/>
      <c r="AB145" s="902"/>
      <c r="AC145" s="902"/>
    </row>
    <row r="146" spans="1:29" s="890" customFormat="1" ht="15.65" outlineLevel="1">
      <c r="A146" s="977" t="s">
        <v>1023</v>
      </c>
      <c r="B146" s="898"/>
      <c r="C146" s="898"/>
      <c r="D146" s="899"/>
      <c r="E146" s="899"/>
      <c r="F146" s="899"/>
      <c r="G146" s="900"/>
      <c r="H146" s="901"/>
      <c r="I146" s="902"/>
      <c r="J146" s="897"/>
      <c r="K146" s="903"/>
      <c r="L146" s="899">
        <f t="shared" si="4"/>
        <v>0</v>
      </c>
      <c r="M146" s="903"/>
      <c r="N146" s="903"/>
      <c r="O146" s="903"/>
      <c r="P146" s="902"/>
      <c r="Q146" s="902"/>
      <c r="R146" s="902"/>
      <c r="S146" s="903"/>
      <c r="T146" s="902"/>
      <c r="U146" s="902"/>
      <c r="V146" s="902"/>
      <c r="W146" s="902"/>
      <c r="X146" s="902"/>
      <c r="Y146" s="902"/>
      <c r="Z146" s="902"/>
      <c r="AA146" s="902"/>
      <c r="AB146" s="902"/>
      <c r="AC146" s="902"/>
    </row>
    <row r="147" spans="1:29" s="890" customFormat="1" ht="15.65" outlineLevel="1">
      <c r="A147" s="977" t="s">
        <v>1024</v>
      </c>
      <c r="B147" s="898"/>
      <c r="C147" s="898"/>
      <c r="D147" s="899"/>
      <c r="E147" s="899"/>
      <c r="F147" s="899"/>
      <c r="G147" s="900"/>
      <c r="H147" s="901"/>
      <c r="I147" s="902"/>
      <c r="J147" s="897"/>
      <c r="K147" s="903"/>
      <c r="L147" s="899">
        <f t="shared" si="4"/>
        <v>0</v>
      </c>
      <c r="M147" s="903"/>
      <c r="N147" s="903"/>
      <c r="O147" s="903"/>
      <c r="P147" s="902"/>
      <c r="Q147" s="902"/>
      <c r="R147" s="902"/>
      <c r="S147" s="903"/>
      <c r="T147" s="902"/>
      <c r="U147" s="902"/>
      <c r="V147" s="902"/>
      <c r="W147" s="902"/>
      <c r="X147" s="902"/>
      <c r="Y147" s="902"/>
      <c r="Z147" s="902"/>
      <c r="AA147" s="902"/>
      <c r="AB147" s="902"/>
      <c r="AC147" s="902"/>
    </row>
    <row r="148" spans="1:29" s="890" customFormat="1" ht="15.65" outlineLevel="1">
      <c r="A148" s="977" t="s">
        <v>962</v>
      </c>
      <c r="B148" s="898"/>
      <c r="C148" s="898"/>
      <c r="D148" s="899"/>
      <c r="E148" s="899"/>
      <c r="F148" s="899"/>
      <c r="G148" s="900"/>
      <c r="H148" s="901"/>
      <c r="I148" s="902"/>
      <c r="J148" s="897"/>
      <c r="K148" s="903"/>
      <c r="L148" s="899">
        <f t="shared" si="4"/>
        <v>0</v>
      </c>
      <c r="M148" s="903"/>
      <c r="N148" s="903"/>
      <c r="O148" s="903"/>
      <c r="P148" s="902"/>
      <c r="Q148" s="902"/>
      <c r="R148" s="902"/>
      <c r="S148" s="903"/>
      <c r="T148" s="902"/>
      <c r="U148" s="902"/>
      <c r="V148" s="902"/>
      <c r="W148" s="902"/>
      <c r="X148" s="902"/>
      <c r="Y148" s="902"/>
      <c r="Z148" s="902"/>
      <c r="AA148" s="902"/>
      <c r="AB148" s="902"/>
      <c r="AC148" s="902"/>
    </row>
    <row r="149" spans="1:29" s="890" customFormat="1" ht="15.65" outlineLevel="1">
      <c r="A149" s="977" t="s">
        <v>1025</v>
      </c>
      <c r="B149" s="898"/>
      <c r="C149" s="898"/>
      <c r="D149" s="899"/>
      <c r="E149" s="899"/>
      <c r="F149" s="899"/>
      <c r="G149" s="900"/>
      <c r="H149" s="901"/>
      <c r="I149" s="902"/>
      <c r="J149" s="897"/>
      <c r="K149" s="903"/>
      <c r="L149" s="899">
        <f t="shared" si="4"/>
        <v>0</v>
      </c>
      <c r="M149" s="903"/>
      <c r="N149" s="903"/>
      <c r="O149" s="903"/>
      <c r="P149" s="902"/>
      <c r="Q149" s="902"/>
      <c r="R149" s="902"/>
      <c r="S149" s="903"/>
      <c r="T149" s="902"/>
      <c r="U149" s="902"/>
      <c r="V149" s="902"/>
      <c r="W149" s="902"/>
      <c r="X149" s="902"/>
      <c r="Y149" s="902"/>
      <c r="Z149" s="902"/>
      <c r="AA149" s="902"/>
      <c r="AB149" s="902"/>
      <c r="AC149" s="902"/>
    </row>
    <row r="150" spans="1:29" s="890" customFormat="1" ht="15.65" outlineLevel="1">
      <c r="A150" s="977" t="s">
        <v>1026</v>
      </c>
      <c r="B150" s="898"/>
      <c r="C150" s="898"/>
      <c r="D150" s="899"/>
      <c r="E150" s="899"/>
      <c r="F150" s="899"/>
      <c r="G150" s="900"/>
      <c r="H150" s="901"/>
      <c r="I150" s="902"/>
      <c r="J150" s="897"/>
      <c r="K150" s="903"/>
      <c r="L150" s="899">
        <f t="shared" si="4"/>
        <v>0</v>
      </c>
      <c r="M150" s="903"/>
      <c r="N150" s="903"/>
      <c r="O150" s="903"/>
      <c r="P150" s="902"/>
      <c r="Q150" s="902"/>
      <c r="R150" s="902"/>
      <c r="S150" s="903"/>
      <c r="T150" s="902"/>
      <c r="U150" s="902"/>
      <c r="V150" s="902"/>
      <c r="W150" s="902"/>
      <c r="X150" s="902"/>
      <c r="Y150" s="902"/>
      <c r="Z150" s="902"/>
      <c r="AA150" s="902"/>
      <c r="AB150" s="902"/>
      <c r="AC150" s="902"/>
    </row>
    <row r="151" spans="1:29" s="890" customFormat="1" ht="15.65" outlineLevel="1">
      <c r="A151" s="977" t="s">
        <v>1027</v>
      </c>
      <c r="B151" s="898"/>
      <c r="C151" s="898"/>
      <c r="D151" s="899"/>
      <c r="E151" s="899"/>
      <c r="F151" s="899"/>
      <c r="G151" s="900"/>
      <c r="H151" s="901"/>
      <c r="I151" s="902"/>
      <c r="J151" s="897"/>
      <c r="K151" s="903"/>
      <c r="L151" s="899">
        <f t="shared" si="4"/>
        <v>0</v>
      </c>
      <c r="M151" s="903"/>
      <c r="N151" s="903"/>
      <c r="O151" s="903"/>
      <c r="P151" s="902"/>
      <c r="Q151" s="902"/>
      <c r="R151" s="902"/>
      <c r="S151" s="903"/>
      <c r="T151" s="902"/>
      <c r="U151" s="902"/>
      <c r="V151" s="902"/>
      <c r="W151" s="902"/>
      <c r="X151" s="902"/>
      <c r="Y151" s="902"/>
      <c r="Z151" s="902"/>
      <c r="AA151" s="902"/>
      <c r="AB151" s="902"/>
      <c r="AC151" s="902"/>
    </row>
    <row r="152" spans="1:29" s="890" customFormat="1" ht="15.65" outlineLevel="1">
      <c r="A152" s="977" t="s">
        <v>960</v>
      </c>
      <c r="B152" s="898"/>
      <c r="C152" s="898"/>
      <c r="D152" s="899"/>
      <c r="E152" s="899"/>
      <c r="F152" s="899"/>
      <c r="G152" s="900"/>
      <c r="H152" s="901"/>
      <c r="I152" s="902"/>
      <c r="J152" s="897"/>
      <c r="K152" s="903"/>
      <c r="L152" s="899">
        <f t="shared" si="4"/>
        <v>0</v>
      </c>
      <c r="M152" s="903"/>
      <c r="N152" s="903"/>
      <c r="O152" s="903"/>
      <c r="P152" s="902"/>
      <c r="Q152" s="902"/>
      <c r="R152" s="902"/>
      <c r="S152" s="903"/>
      <c r="T152" s="902"/>
      <c r="U152" s="902"/>
      <c r="V152" s="902"/>
      <c r="W152" s="902"/>
      <c r="X152" s="902"/>
      <c r="Y152" s="902"/>
      <c r="Z152" s="902"/>
      <c r="AA152" s="902"/>
      <c r="AB152" s="902"/>
      <c r="AC152" s="902"/>
    </row>
    <row r="153" spans="1:29" s="890" customFormat="1" ht="15.65" outlineLevel="1">
      <c r="A153" s="977" t="s">
        <v>1028</v>
      </c>
      <c r="B153" s="898"/>
      <c r="C153" s="898"/>
      <c r="D153" s="899"/>
      <c r="E153" s="899"/>
      <c r="F153" s="899"/>
      <c r="G153" s="900"/>
      <c r="H153" s="901"/>
      <c r="I153" s="902"/>
      <c r="J153" s="897"/>
      <c r="K153" s="903"/>
      <c r="L153" s="899">
        <f t="shared" si="4"/>
        <v>0</v>
      </c>
      <c r="M153" s="903"/>
      <c r="N153" s="903"/>
      <c r="O153" s="903"/>
      <c r="P153" s="902"/>
      <c r="Q153" s="902"/>
      <c r="R153" s="902"/>
      <c r="S153" s="903"/>
      <c r="T153" s="902"/>
      <c r="U153" s="902"/>
      <c r="V153" s="902"/>
      <c r="W153" s="902"/>
      <c r="X153" s="902"/>
      <c r="Y153" s="902"/>
      <c r="Z153" s="902"/>
      <c r="AA153" s="902"/>
      <c r="AB153" s="902"/>
      <c r="AC153" s="902"/>
    </row>
    <row r="154" spans="1:29" s="890" customFormat="1" ht="15.65" outlineLevel="1">
      <c r="A154" s="977" t="s">
        <v>1029</v>
      </c>
      <c r="B154" s="898"/>
      <c r="C154" s="898"/>
      <c r="D154" s="899"/>
      <c r="E154" s="899"/>
      <c r="F154" s="899"/>
      <c r="G154" s="900"/>
      <c r="H154" s="901"/>
      <c r="I154" s="902"/>
      <c r="J154" s="897"/>
      <c r="K154" s="903"/>
      <c r="L154" s="899">
        <f t="shared" si="4"/>
        <v>0</v>
      </c>
      <c r="M154" s="903"/>
      <c r="N154" s="903"/>
      <c r="O154" s="903"/>
      <c r="P154" s="902"/>
      <c r="Q154" s="902"/>
      <c r="R154" s="902"/>
      <c r="S154" s="903"/>
      <c r="T154" s="902"/>
      <c r="U154" s="902"/>
      <c r="V154" s="902"/>
      <c r="W154" s="902"/>
      <c r="X154" s="902"/>
      <c r="Y154" s="902"/>
      <c r="Z154" s="902"/>
      <c r="AA154" s="902"/>
      <c r="AB154" s="902"/>
      <c r="AC154" s="902"/>
    </row>
    <row r="155" spans="1:29" s="890" customFormat="1" ht="15.65" outlineLevel="1">
      <c r="A155" s="977" t="s">
        <v>1030</v>
      </c>
      <c r="B155" s="898"/>
      <c r="C155" s="898"/>
      <c r="D155" s="899"/>
      <c r="E155" s="899"/>
      <c r="F155" s="899"/>
      <c r="G155" s="900"/>
      <c r="H155" s="901"/>
      <c r="I155" s="902"/>
      <c r="J155" s="897"/>
      <c r="K155" s="903"/>
      <c r="L155" s="899">
        <f t="shared" si="4"/>
        <v>0</v>
      </c>
      <c r="M155" s="903"/>
      <c r="N155" s="903"/>
      <c r="O155" s="903"/>
      <c r="P155" s="902"/>
      <c r="Q155" s="902"/>
      <c r="R155" s="902"/>
      <c r="S155" s="903"/>
      <c r="T155" s="902"/>
      <c r="U155" s="902"/>
      <c r="V155" s="902"/>
      <c r="W155" s="902"/>
      <c r="X155" s="902"/>
      <c r="Y155" s="902"/>
      <c r="Z155" s="902"/>
      <c r="AA155" s="902"/>
      <c r="AB155" s="902"/>
      <c r="AC155" s="902"/>
    </row>
    <row r="156" spans="1:29" s="890" customFormat="1" ht="15.65" outlineLevel="1">
      <c r="A156" s="977" t="s">
        <v>1031</v>
      </c>
      <c r="B156" s="898"/>
      <c r="C156" s="898"/>
      <c r="D156" s="899"/>
      <c r="E156" s="899"/>
      <c r="F156" s="899"/>
      <c r="G156" s="900"/>
      <c r="H156" s="901"/>
      <c r="I156" s="902"/>
      <c r="J156" s="897"/>
      <c r="K156" s="903"/>
      <c r="L156" s="899">
        <f t="shared" si="4"/>
        <v>0</v>
      </c>
      <c r="M156" s="903"/>
      <c r="N156" s="903"/>
      <c r="O156" s="903"/>
      <c r="P156" s="902"/>
      <c r="Q156" s="902"/>
      <c r="R156" s="902"/>
      <c r="S156" s="903"/>
      <c r="T156" s="902"/>
      <c r="U156" s="902"/>
      <c r="V156" s="902"/>
      <c r="W156" s="902"/>
      <c r="X156" s="902"/>
      <c r="Y156" s="902"/>
      <c r="Z156" s="902"/>
      <c r="AA156" s="902"/>
      <c r="AB156" s="902"/>
      <c r="AC156" s="902"/>
    </row>
    <row r="157" spans="1:29" s="890" customFormat="1" ht="15.65" outlineLevel="1">
      <c r="A157" s="977" t="s">
        <v>1032</v>
      </c>
      <c r="B157" s="898"/>
      <c r="C157" s="898"/>
      <c r="D157" s="899"/>
      <c r="E157" s="899"/>
      <c r="F157" s="899"/>
      <c r="G157" s="900"/>
      <c r="H157" s="901"/>
      <c r="I157" s="902"/>
      <c r="J157" s="897"/>
      <c r="K157" s="903"/>
      <c r="L157" s="899">
        <f t="shared" si="4"/>
        <v>0</v>
      </c>
      <c r="M157" s="903"/>
      <c r="N157" s="903"/>
      <c r="O157" s="903"/>
      <c r="P157" s="902"/>
      <c r="Q157" s="902"/>
      <c r="R157" s="902"/>
      <c r="S157" s="903"/>
      <c r="T157" s="902"/>
      <c r="U157" s="902"/>
      <c r="V157" s="902"/>
      <c r="W157" s="902"/>
      <c r="X157" s="902"/>
      <c r="Y157" s="902"/>
      <c r="Z157" s="902"/>
      <c r="AA157" s="902"/>
      <c r="AB157" s="902"/>
      <c r="AC157" s="902"/>
    </row>
    <row r="158" spans="1:29" s="890" customFormat="1" ht="15.65" outlineLevel="1">
      <c r="A158" s="977" t="s">
        <v>1033</v>
      </c>
      <c r="B158" s="898"/>
      <c r="C158" s="898"/>
      <c r="D158" s="899"/>
      <c r="E158" s="899"/>
      <c r="F158" s="899"/>
      <c r="G158" s="900"/>
      <c r="H158" s="901"/>
      <c r="I158" s="902"/>
      <c r="J158" s="897"/>
      <c r="K158" s="903"/>
      <c r="L158" s="899">
        <f t="shared" si="4"/>
        <v>0</v>
      </c>
      <c r="M158" s="903"/>
      <c r="N158" s="903"/>
      <c r="O158" s="903"/>
      <c r="P158" s="902"/>
      <c r="Q158" s="902"/>
      <c r="R158" s="902"/>
      <c r="S158" s="903"/>
      <c r="T158" s="902"/>
      <c r="U158" s="902"/>
      <c r="V158" s="902"/>
      <c r="W158" s="902"/>
      <c r="X158" s="902"/>
      <c r="Y158" s="902"/>
      <c r="Z158" s="902"/>
      <c r="AA158" s="902"/>
      <c r="AB158" s="902"/>
      <c r="AC158" s="902"/>
    </row>
    <row r="159" spans="1:29" s="890" customFormat="1" ht="15.65" outlineLevel="1">
      <c r="A159" s="977" t="s">
        <v>1034</v>
      </c>
      <c r="B159" s="898"/>
      <c r="C159" s="898"/>
      <c r="D159" s="899"/>
      <c r="E159" s="899"/>
      <c r="F159" s="899"/>
      <c r="G159" s="900"/>
      <c r="H159" s="901"/>
      <c r="I159" s="902"/>
      <c r="J159" s="897"/>
      <c r="K159" s="903"/>
      <c r="L159" s="899">
        <f t="shared" si="4"/>
        <v>0</v>
      </c>
      <c r="M159" s="903"/>
      <c r="N159" s="903"/>
      <c r="O159" s="903"/>
      <c r="P159" s="902"/>
      <c r="Q159" s="902"/>
      <c r="R159" s="902"/>
      <c r="S159" s="903"/>
      <c r="T159" s="902"/>
      <c r="U159" s="902"/>
      <c r="V159" s="902"/>
      <c r="W159" s="902"/>
      <c r="X159" s="902"/>
      <c r="Y159" s="902"/>
      <c r="Z159" s="902"/>
      <c r="AA159" s="902"/>
      <c r="AB159" s="902"/>
      <c r="AC159" s="902"/>
    </row>
    <row r="160" spans="1:29" s="890" customFormat="1" ht="15.65" outlineLevel="1">
      <c r="A160" s="977" t="s">
        <v>453</v>
      </c>
      <c r="B160" s="898"/>
      <c r="C160" s="898"/>
      <c r="D160" s="899"/>
      <c r="E160" s="899"/>
      <c r="F160" s="899"/>
      <c r="G160" s="900"/>
      <c r="H160" s="901"/>
      <c r="I160" s="902"/>
      <c r="J160" s="897"/>
      <c r="K160" s="903"/>
      <c r="L160" s="899">
        <f t="shared" si="4"/>
        <v>0</v>
      </c>
      <c r="M160" s="903"/>
      <c r="N160" s="903"/>
      <c r="O160" s="903"/>
      <c r="P160" s="902"/>
      <c r="Q160" s="902"/>
      <c r="R160" s="902"/>
      <c r="S160" s="903"/>
      <c r="T160" s="902"/>
      <c r="U160" s="902"/>
      <c r="V160" s="902"/>
      <c r="W160" s="902"/>
      <c r="X160" s="902"/>
      <c r="Y160" s="902"/>
      <c r="Z160" s="902"/>
      <c r="AA160" s="902"/>
      <c r="AB160" s="902"/>
      <c r="AC160" s="902"/>
    </row>
    <row r="161" spans="1:29" s="890" customFormat="1" ht="15.65" outlineLevel="1">
      <c r="A161" s="977" t="s">
        <v>1035</v>
      </c>
      <c r="B161" s="898"/>
      <c r="C161" s="898"/>
      <c r="D161" s="899"/>
      <c r="E161" s="899"/>
      <c r="F161" s="899"/>
      <c r="G161" s="900"/>
      <c r="H161" s="901"/>
      <c r="I161" s="902"/>
      <c r="J161" s="897"/>
      <c r="K161" s="903"/>
      <c r="L161" s="899">
        <f t="shared" si="4"/>
        <v>0</v>
      </c>
      <c r="M161" s="903"/>
      <c r="N161" s="903"/>
      <c r="O161" s="903"/>
      <c r="P161" s="902"/>
      <c r="Q161" s="902"/>
      <c r="R161" s="902"/>
      <c r="S161" s="903"/>
      <c r="T161" s="902"/>
      <c r="U161" s="902"/>
      <c r="V161" s="902"/>
      <c r="W161" s="902"/>
      <c r="X161" s="902"/>
      <c r="Y161" s="902"/>
      <c r="Z161" s="902"/>
      <c r="AA161" s="902"/>
      <c r="AB161" s="902"/>
      <c r="AC161" s="902"/>
    </row>
    <row r="162" spans="1:29" s="890" customFormat="1" ht="15.65" outlineLevel="1">
      <c r="A162" s="977" t="s">
        <v>1036</v>
      </c>
      <c r="B162" s="898"/>
      <c r="C162" s="898"/>
      <c r="D162" s="899"/>
      <c r="E162" s="899"/>
      <c r="F162" s="899"/>
      <c r="G162" s="900"/>
      <c r="H162" s="901"/>
      <c r="I162" s="902"/>
      <c r="J162" s="897"/>
      <c r="K162" s="903"/>
      <c r="L162" s="899">
        <f t="shared" si="4"/>
        <v>0</v>
      </c>
      <c r="M162" s="903"/>
      <c r="N162" s="903"/>
      <c r="O162" s="903"/>
      <c r="P162" s="902"/>
      <c r="Q162" s="902"/>
      <c r="R162" s="902"/>
      <c r="S162" s="903"/>
      <c r="T162" s="902"/>
      <c r="U162" s="902"/>
      <c r="V162" s="902"/>
      <c r="W162" s="902"/>
      <c r="X162" s="902"/>
      <c r="Y162" s="902"/>
      <c r="Z162" s="902"/>
      <c r="AA162" s="902"/>
      <c r="AB162" s="902"/>
      <c r="AC162" s="902"/>
    </row>
    <row r="163" spans="1:29" s="890" customFormat="1" ht="15.65" outlineLevel="1">
      <c r="A163" s="976" t="s">
        <v>1037</v>
      </c>
      <c r="B163" s="898"/>
      <c r="C163" s="898"/>
      <c r="D163" s="899"/>
      <c r="E163" s="899"/>
      <c r="F163" s="899"/>
      <c r="G163" s="900"/>
      <c r="H163" s="901"/>
      <c r="I163" s="902"/>
      <c r="J163" s="897"/>
      <c r="K163" s="903"/>
      <c r="L163" s="899">
        <f t="shared" si="4"/>
        <v>0</v>
      </c>
      <c r="M163" s="903"/>
      <c r="N163" s="903"/>
      <c r="O163" s="903"/>
      <c r="P163" s="902"/>
      <c r="Q163" s="902"/>
      <c r="R163" s="902"/>
      <c r="S163" s="903"/>
      <c r="T163" s="902"/>
      <c r="U163" s="902"/>
      <c r="V163" s="902"/>
      <c r="W163" s="902"/>
      <c r="X163" s="902"/>
      <c r="Y163" s="902"/>
      <c r="Z163" s="902"/>
      <c r="AA163" s="902"/>
      <c r="AB163" s="902"/>
      <c r="AC163" s="902"/>
    </row>
    <row r="164" spans="1:29" s="890" customFormat="1" ht="15.65" outlineLevel="1">
      <c r="A164" s="976" t="s">
        <v>1038</v>
      </c>
      <c r="B164" s="898"/>
      <c r="C164" s="898"/>
      <c r="D164" s="899"/>
      <c r="E164" s="899"/>
      <c r="F164" s="899"/>
      <c r="G164" s="900"/>
      <c r="H164" s="901"/>
      <c r="I164" s="902"/>
      <c r="J164" s="897"/>
      <c r="K164" s="903"/>
      <c r="L164" s="899">
        <f t="shared" si="4"/>
        <v>0</v>
      </c>
      <c r="M164" s="903"/>
      <c r="N164" s="903"/>
      <c r="O164" s="903"/>
      <c r="P164" s="902"/>
      <c r="Q164" s="902"/>
      <c r="R164" s="902"/>
      <c r="S164" s="903"/>
      <c r="T164" s="902"/>
      <c r="U164" s="902"/>
      <c r="V164" s="902"/>
      <c r="W164" s="902"/>
      <c r="X164" s="902"/>
      <c r="Y164" s="902"/>
      <c r="Z164" s="902"/>
      <c r="AA164" s="902"/>
      <c r="AB164" s="902"/>
      <c r="AC164" s="902"/>
    </row>
    <row r="165" spans="1:29" s="890" customFormat="1" ht="15.65" outlineLevel="1">
      <c r="A165" s="976" t="s">
        <v>1039</v>
      </c>
      <c r="B165" s="898"/>
      <c r="C165" s="898"/>
      <c r="D165" s="899"/>
      <c r="E165" s="899"/>
      <c r="F165" s="899"/>
      <c r="G165" s="900"/>
      <c r="H165" s="901"/>
      <c r="I165" s="902"/>
      <c r="J165" s="897"/>
      <c r="K165" s="903"/>
      <c r="L165" s="899">
        <f t="shared" si="4"/>
        <v>0</v>
      </c>
      <c r="M165" s="903"/>
      <c r="N165" s="903"/>
      <c r="O165" s="903"/>
      <c r="P165" s="902"/>
      <c r="Q165" s="902"/>
      <c r="R165" s="902"/>
      <c r="S165" s="903"/>
      <c r="T165" s="902"/>
      <c r="U165" s="902"/>
      <c r="V165" s="902"/>
      <c r="W165" s="902"/>
      <c r="X165" s="902"/>
      <c r="Y165" s="902"/>
      <c r="Z165" s="902"/>
      <c r="AA165" s="902"/>
      <c r="AB165" s="902"/>
      <c r="AC165" s="902"/>
    </row>
    <row r="166" spans="1:29" s="890" customFormat="1" ht="15.65" outlineLevel="1">
      <c r="A166" s="976" t="s">
        <v>1040</v>
      </c>
      <c r="B166" s="898"/>
      <c r="C166" s="898"/>
      <c r="D166" s="899"/>
      <c r="E166" s="899"/>
      <c r="F166" s="899"/>
      <c r="G166" s="900"/>
      <c r="H166" s="901"/>
      <c r="I166" s="902"/>
      <c r="J166" s="897"/>
      <c r="K166" s="903"/>
      <c r="L166" s="899">
        <f t="shared" si="4"/>
        <v>0</v>
      </c>
      <c r="M166" s="903"/>
      <c r="N166" s="903"/>
      <c r="O166" s="903"/>
      <c r="P166" s="902"/>
      <c r="Q166" s="902"/>
      <c r="R166" s="902"/>
      <c r="S166" s="903"/>
      <c r="T166" s="902"/>
      <c r="U166" s="902"/>
      <c r="V166" s="902"/>
      <c r="W166" s="902"/>
      <c r="X166" s="902"/>
      <c r="Y166" s="902"/>
      <c r="Z166" s="902"/>
      <c r="AA166" s="902"/>
      <c r="AB166" s="902"/>
      <c r="AC166" s="902"/>
    </row>
    <row r="167" spans="1:29" s="890" customFormat="1" ht="15.65" outlineLevel="1">
      <c r="A167" s="976" t="s">
        <v>1041</v>
      </c>
      <c r="B167" s="898"/>
      <c r="C167" s="898"/>
      <c r="D167" s="899"/>
      <c r="E167" s="899"/>
      <c r="F167" s="899"/>
      <c r="G167" s="900"/>
      <c r="H167" s="901"/>
      <c r="I167" s="902"/>
      <c r="J167" s="897"/>
      <c r="K167" s="903"/>
      <c r="L167" s="899">
        <f t="shared" si="4"/>
        <v>0</v>
      </c>
      <c r="M167" s="903"/>
      <c r="N167" s="903"/>
      <c r="O167" s="903"/>
      <c r="P167" s="902"/>
      <c r="Q167" s="902"/>
      <c r="R167" s="902"/>
      <c r="S167" s="903"/>
      <c r="T167" s="902"/>
      <c r="U167" s="902"/>
      <c r="V167" s="902"/>
      <c r="W167" s="902"/>
      <c r="X167" s="902"/>
      <c r="Y167" s="902"/>
      <c r="Z167" s="902"/>
      <c r="AA167" s="902"/>
      <c r="AB167" s="902"/>
      <c r="AC167" s="902"/>
    </row>
    <row r="168" spans="1:29" s="890" customFormat="1" ht="15.65" outlineLevel="1">
      <c r="A168" s="976" t="s">
        <v>1042</v>
      </c>
      <c r="B168" s="898"/>
      <c r="C168" s="898"/>
      <c r="D168" s="899"/>
      <c r="E168" s="899"/>
      <c r="F168" s="899"/>
      <c r="G168" s="900"/>
      <c r="H168" s="901"/>
      <c r="I168" s="902"/>
      <c r="J168" s="897"/>
      <c r="K168" s="903"/>
      <c r="L168" s="899">
        <f t="shared" si="4"/>
        <v>0</v>
      </c>
      <c r="M168" s="903"/>
      <c r="N168" s="903"/>
      <c r="O168" s="903"/>
      <c r="P168" s="902"/>
      <c r="Q168" s="902"/>
      <c r="R168" s="902"/>
      <c r="S168" s="903"/>
      <c r="T168" s="902"/>
      <c r="U168" s="902"/>
      <c r="V168" s="902"/>
      <c r="W168" s="902"/>
      <c r="X168" s="902"/>
      <c r="Y168" s="902"/>
      <c r="Z168" s="902"/>
      <c r="AA168" s="902"/>
      <c r="AB168" s="902"/>
      <c r="AC168" s="902"/>
    </row>
    <row r="169" spans="1:29" s="890" customFormat="1" ht="15.65" outlineLevel="1">
      <c r="A169" s="976" t="s">
        <v>1043</v>
      </c>
      <c r="B169" s="898"/>
      <c r="C169" s="898"/>
      <c r="D169" s="899"/>
      <c r="E169" s="899"/>
      <c r="F169" s="899"/>
      <c r="G169" s="900"/>
      <c r="H169" s="901"/>
      <c r="I169" s="902"/>
      <c r="J169" s="897"/>
      <c r="K169" s="903"/>
      <c r="L169" s="899">
        <f t="shared" si="4"/>
        <v>0</v>
      </c>
      <c r="M169" s="903"/>
      <c r="N169" s="903"/>
      <c r="O169" s="903"/>
      <c r="P169" s="902"/>
      <c r="Q169" s="902"/>
      <c r="R169" s="902"/>
      <c r="S169" s="903"/>
      <c r="T169" s="902"/>
      <c r="U169" s="902"/>
      <c r="V169" s="902"/>
      <c r="W169" s="902"/>
      <c r="X169" s="902"/>
      <c r="Y169" s="902"/>
      <c r="Z169" s="902"/>
      <c r="AA169" s="902"/>
      <c r="AB169" s="902"/>
      <c r="AC169" s="902"/>
    </row>
    <row r="170" spans="1:29" s="890" customFormat="1" ht="15.65" outlineLevel="1">
      <c r="A170" s="976" t="s">
        <v>1044</v>
      </c>
      <c r="B170" s="898"/>
      <c r="C170" s="898"/>
      <c r="D170" s="899"/>
      <c r="E170" s="899"/>
      <c r="F170" s="899"/>
      <c r="G170" s="900"/>
      <c r="H170" s="901"/>
      <c r="I170" s="902"/>
      <c r="J170" s="897"/>
      <c r="K170" s="903"/>
      <c r="L170" s="899">
        <f t="shared" si="4"/>
        <v>0</v>
      </c>
      <c r="M170" s="903"/>
      <c r="N170" s="903"/>
      <c r="O170" s="903"/>
      <c r="P170" s="902"/>
      <c r="Q170" s="902"/>
      <c r="R170" s="902"/>
      <c r="S170" s="903"/>
      <c r="T170" s="902"/>
      <c r="U170" s="902"/>
      <c r="V170" s="902"/>
      <c r="W170" s="902"/>
      <c r="X170" s="902"/>
      <c r="Y170" s="902"/>
      <c r="Z170" s="902"/>
      <c r="AA170" s="902"/>
      <c r="AB170" s="902"/>
      <c r="AC170" s="902"/>
    </row>
    <row r="171" spans="1:29" s="890" customFormat="1" ht="15.65" outlineLevel="1">
      <c r="A171" s="976" t="s">
        <v>970</v>
      </c>
      <c r="B171" s="898"/>
      <c r="C171" s="898"/>
      <c r="D171" s="899"/>
      <c r="E171" s="899"/>
      <c r="F171" s="899"/>
      <c r="G171" s="900"/>
      <c r="H171" s="901"/>
      <c r="I171" s="902"/>
      <c r="J171" s="897"/>
      <c r="K171" s="903"/>
      <c r="L171" s="899">
        <f t="shared" si="4"/>
        <v>0</v>
      </c>
      <c r="M171" s="903"/>
      <c r="N171" s="903"/>
      <c r="O171" s="903"/>
      <c r="P171" s="902"/>
      <c r="Q171" s="902"/>
      <c r="R171" s="902"/>
      <c r="S171" s="903"/>
      <c r="T171" s="902"/>
      <c r="U171" s="902"/>
      <c r="V171" s="902"/>
      <c r="W171" s="902"/>
      <c r="X171" s="902"/>
      <c r="Y171" s="902"/>
      <c r="Z171" s="902"/>
      <c r="AA171" s="902"/>
      <c r="AB171" s="902"/>
      <c r="AC171" s="902"/>
    </row>
    <row r="172" spans="1:29" s="890" customFormat="1" ht="15.65" outlineLevel="1">
      <c r="A172" s="897" t="s">
        <v>1045</v>
      </c>
      <c r="B172" s="898"/>
      <c r="C172" s="898"/>
      <c r="D172" s="899"/>
      <c r="E172" s="899"/>
      <c r="F172" s="899"/>
      <c r="G172" s="900"/>
      <c r="H172" s="901"/>
      <c r="I172" s="902"/>
      <c r="J172" s="897"/>
      <c r="K172" s="903"/>
      <c r="L172" s="899">
        <f t="shared" si="4"/>
        <v>0</v>
      </c>
      <c r="M172" s="903"/>
      <c r="N172" s="903"/>
      <c r="O172" s="903"/>
      <c r="P172" s="902"/>
      <c r="Q172" s="902"/>
      <c r="R172" s="902"/>
      <c r="S172" s="903"/>
      <c r="T172" s="902"/>
      <c r="U172" s="902"/>
      <c r="V172" s="902"/>
      <c r="W172" s="902"/>
      <c r="X172" s="902"/>
      <c r="Y172" s="902"/>
      <c r="Z172" s="902"/>
      <c r="AA172" s="902"/>
      <c r="AB172" s="902"/>
      <c r="AC172" s="902"/>
    </row>
    <row r="173" spans="1:29" s="890" customFormat="1" ht="15.65" outlineLevel="1">
      <c r="A173" s="897" t="s">
        <v>978</v>
      </c>
      <c r="B173" s="898"/>
      <c r="C173" s="898"/>
      <c r="D173" s="899"/>
      <c r="E173" s="899"/>
      <c r="F173" s="899"/>
      <c r="G173" s="900"/>
      <c r="H173" s="901"/>
      <c r="I173" s="902"/>
      <c r="J173" s="897"/>
      <c r="K173" s="903"/>
      <c r="L173" s="899">
        <f t="shared" si="4"/>
        <v>0</v>
      </c>
      <c r="M173" s="903"/>
      <c r="N173" s="903"/>
      <c r="O173" s="903"/>
      <c r="P173" s="902"/>
      <c r="Q173" s="902"/>
      <c r="R173" s="902"/>
      <c r="S173" s="903"/>
      <c r="T173" s="902"/>
      <c r="U173" s="902"/>
      <c r="V173" s="902"/>
      <c r="W173" s="902"/>
      <c r="X173" s="902"/>
      <c r="Y173" s="902"/>
      <c r="Z173" s="902"/>
      <c r="AA173" s="902"/>
      <c r="AB173" s="902"/>
      <c r="AC173" s="902"/>
    </row>
    <row r="174" spans="1:29" s="890" customFormat="1" ht="15.65" outlineLevel="1">
      <c r="A174" s="976" t="s">
        <v>1046</v>
      </c>
      <c r="B174" s="898"/>
      <c r="C174" s="898"/>
      <c r="D174" s="899"/>
      <c r="E174" s="899"/>
      <c r="F174" s="899"/>
      <c r="G174" s="900"/>
      <c r="H174" s="901"/>
      <c r="I174" s="902"/>
      <c r="J174" s="897"/>
      <c r="K174" s="903"/>
      <c r="L174" s="899">
        <f t="shared" si="4"/>
        <v>0</v>
      </c>
      <c r="M174" s="903"/>
      <c r="N174" s="903"/>
      <c r="O174" s="903"/>
      <c r="P174" s="902"/>
      <c r="Q174" s="902"/>
      <c r="R174" s="902"/>
      <c r="S174" s="903"/>
      <c r="T174" s="902"/>
      <c r="U174" s="902"/>
      <c r="V174" s="902"/>
      <c r="W174" s="902"/>
      <c r="X174" s="902"/>
      <c r="Y174" s="902"/>
      <c r="Z174" s="902"/>
      <c r="AA174" s="902"/>
      <c r="AB174" s="902"/>
      <c r="AC174" s="902"/>
    </row>
    <row r="175" spans="1:29" s="890" customFormat="1" ht="15.65" outlineLevel="1">
      <c r="A175" s="976" t="s">
        <v>1047</v>
      </c>
      <c r="B175" s="898"/>
      <c r="C175" s="898"/>
      <c r="D175" s="899"/>
      <c r="E175" s="899"/>
      <c r="F175" s="899"/>
      <c r="G175" s="900"/>
      <c r="H175" s="901"/>
      <c r="I175" s="902"/>
      <c r="J175" s="897"/>
      <c r="K175" s="903"/>
      <c r="L175" s="899">
        <f t="shared" si="4"/>
        <v>0</v>
      </c>
      <c r="M175" s="903"/>
      <c r="N175" s="903"/>
      <c r="O175" s="903"/>
      <c r="P175" s="902"/>
      <c r="Q175" s="902"/>
      <c r="R175" s="902"/>
      <c r="S175" s="903"/>
      <c r="T175" s="902"/>
      <c r="U175" s="902"/>
      <c r="V175" s="902"/>
      <c r="W175" s="902"/>
      <c r="X175" s="902"/>
      <c r="Y175" s="902"/>
      <c r="Z175" s="902"/>
      <c r="AA175" s="902"/>
      <c r="AB175" s="902"/>
      <c r="AC175" s="902"/>
    </row>
    <row r="176" spans="1:29" s="890" customFormat="1" ht="15.65" outlineLevel="1">
      <c r="A176" s="976" t="s">
        <v>1048</v>
      </c>
      <c r="B176" s="898"/>
      <c r="C176" s="898"/>
      <c r="D176" s="899"/>
      <c r="E176" s="899"/>
      <c r="F176" s="899"/>
      <c r="G176" s="900"/>
      <c r="H176" s="901"/>
      <c r="I176" s="902"/>
      <c r="J176" s="897"/>
      <c r="K176" s="903"/>
      <c r="L176" s="899">
        <f t="shared" si="4"/>
        <v>0</v>
      </c>
      <c r="M176" s="903"/>
      <c r="N176" s="903"/>
      <c r="O176" s="903"/>
      <c r="P176" s="902"/>
      <c r="Q176" s="902"/>
      <c r="R176" s="902"/>
      <c r="S176" s="903"/>
      <c r="T176" s="902"/>
      <c r="U176" s="902"/>
      <c r="V176" s="902"/>
      <c r="W176" s="902"/>
      <c r="X176" s="902"/>
      <c r="Y176" s="902"/>
      <c r="Z176" s="902"/>
      <c r="AA176" s="902"/>
      <c r="AB176" s="902"/>
      <c r="AC176" s="902"/>
    </row>
    <row r="177" spans="1:29" s="890" customFormat="1" ht="15.65" outlineLevel="1">
      <c r="A177" s="976" t="s">
        <v>1049</v>
      </c>
      <c r="B177" s="898"/>
      <c r="C177" s="898"/>
      <c r="D177" s="899"/>
      <c r="E177" s="899"/>
      <c r="F177" s="899"/>
      <c r="G177" s="900"/>
      <c r="H177" s="901"/>
      <c r="I177" s="902"/>
      <c r="J177" s="897"/>
      <c r="K177" s="903"/>
      <c r="L177" s="899">
        <f t="shared" si="4"/>
        <v>0</v>
      </c>
      <c r="M177" s="903"/>
      <c r="N177" s="903"/>
      <c r="O177" s="903"/>
      <c r="P177" s="902"/>
      <c r="Q177" s="902"/>
      <c r="R177" s="902"/>
      <c r="S177" s="903"/>
      <c r="T177" s="902"/>
      <c r="U177" s="902"/>
      <c r="V177" s="902"/>
      <c r="W177" s="902"/>
      <c r="X177" s="902"/>
      <c r="Y177" s="902"/>
      <c r="Z177" s="902"/>
      <c r="AA177" s="902"/>
      <c r="AB177" s="902"/>
      <c r="AC177" s="902"/>
    </row>
    <row r="178" spans="1:29" s="890" customFormat="1" ht="15.65" outlineLevel="1">
      <c r="A178" s="976" t="s">
        <v>967</v>
      </c>
      <c r="B178" s="898"/>
      <c r="C178" s="898"/>
      <c r="D178" s="899"/>
      <c r="E178" s="899"/>
      <c r="F178" s="899"/>
      <c r="G178" s="900"/>
      <c r="H178" s="901"/>
      <c r="I178" s="902"/>
      <c r="J178" s="897"/>
      <c r="K178" s="903"/>
      <c r="L178" s="899">
        <f t="shared" si="4"/>
        <v>0</v>
      </c>
      <c r="M178" s="903"/>
      <c r="N178" s="903"/>
      <c r="O178" s="903"/>
      <c r="P178" s="902"/>
      <c r="Q178" s="902"/>
      <c r="R178" s="902"/>
      <c r="S178" s="903"/>
      <c r="T178" s="902"/>
      <c r="U178" s="902"/>
      <c r="V178" s="902"/>
      <c r="W178" s="902"/>
      <c r="X178" s="902"/>
      <c r="Y178" s="902"/>
      <c r="Z178" s="902"/>
      <c r="AA178" s="902"/>
      <c r="AB178" s="902"/>
      <c r="AC178" s="902"/>
    </row>
    <row r="179" spans="1:29" s="890" customFormat="1" ht="15.65" outlineLevel="1">
      <c r="A179" s="976" t="s">
        <v>1050</v>
      </c>
      <c r="B179" s="898"/>
      <c r="C179" s="898"/>
      <c r="D179" s="899"/>
      <c r="E179" s="899"/>
      <c r="F179" s="899"/>
      <c r="G179" s="900"/>
      <c r="H179" s="901"/>
      <c r="I179" s="902"/>
      <c r="J179" s="897"/>
      <c r="K179" s="903"/>
      <c r="L179" s="899">
        <f t="shared" si="4"/>
        <v>0</v>
      </c>
      <c r="M179" s="903"/>
      <c r="N179" s="903"/>
      <c r="O179" s="903"/>
      <c r="P179" s="902"/>
      <c r="Q179" s="902"/>
      <c r="R179" s="902"/>
      <c r="S179" s="903"/>
      <c r="T179" s="902"/>
      <c r="U179" s="902"/>
      <c r="V179" s="902"/>
      <c r="W179" s="902"/>
      <c r="X179" s="902"/>
      <c r="Y179" s="902"/>
      <c r="Z179" s="902"/>
      <c r="AA179" s="902"/>
      <c r="AB179" s="902"/>
      <c r="AC179" s="902"/>
    </row>
    <row r="180" spans="1:29" s="890" customFormat="1" ht="15.65" outlineLevel="1">
      <c r="A180" s="976" t="s">
        <v>1051</v>
      </c>
      <c r="B180" s="898"/>
      <c r="C180" s="898"/>
      <c r="D180" s="899"/>
      <c r="E180" s="899"/>
      <c r="F180" s="899"/>
      <c r="G180" s="900"/>
      <c r="H180" s="901"/>
      <c r="I180" s="902"/>
      <c r="J180" s="897"/>
      <c r="K180" s="903"/>
      <c r="L180" s="899">
        <f t="shared" si="4"/>
        <v>0</v>
      </c>
      <c r="M180" s="903"/>
      <c r="N180" s="903"/>
      <c r="O180" s="903"/>
      <c r="P180" s="902"/>
      <c r="Q180" s="902"/>
      <c r="R180" s="902"/>
      <c r="S180" s="903"/>
      <c r="T180" s="902"/>
      <c r="U180" s="902"/>
      <c r="V180" s="902"/>
      <c r="W180" s="902"/>
      <c r="X180" s="902"/>
      <c r="Y180" s="902"/>
      <c r="Z180" s="902"/>
      <c r="AA180" s="902"/>
      <c r="AB180" s="902"/>
      <c r="AC180" s="902"/>
    </row>
    <row r="181" spans="1:29" s="890" customFormat="1" ht="15.65" outlineLevel="1">
      <c r="A181" s="976" t="s">
        <v>1052</v>
      </c>
      <c r="B181" s="898"/>
      <c r="C181" s="898"/>
      <c r="D181" s="899"/>
      <c r="E181" s="899"/>
      <c r="F181" s="899"/>
      <c r="G181" s="900"/>
      <c r="H181" s="901"/>
      <c r="I181" s="902"/>
      <c r="J181" s="897"/>
      <c r="K181" s="903"/>
      <c r="L181" s="899">
        <f t="shared" si="4"/>
        <v>0</v>
      </c>
      <c r="M181" s="903"/>
      <c r="N181" s="903"/>
      <c r="O181" s="903"/>
      <c r="P181" s="902"/>
      <c r="Q181" s="902"/>
      <c r="R181" s="902"/>
      <c r="S181" s="903"/>
      <c r="T181" s="902"/>
      <c r="U181" s="902"/>
      <c r="V181" s="902"/>
      <c r="W181" s="902"/>
      <c r="X181" s="902"/>
      <c r="Y181" s="902"/>
      <c r="Z181" s="902"/>
      <c r="AA181" s="902"/>
      <c r="AB181" s="902"/>
      <c r="AC181" s="902"/>
    </row>
    <row r="182" spans="1:29" s="890" customFormat="1" ht="15.65" outlineLevel="1">
      <c r="A182" s="976" t="s">
        <v>1053</v>
      </c>
      <c r="B182" s="898"/>
      <c r="C182" s="898"/>
      <c r="D182" s="899"/>
      <c r="E182" s="899"/>
      <c r="F182" s="899"/>
      <c r="G182" s="900"/>
      <c r="H182" s="901"/>
      <c r="I182" s="902"/>
      <c r="J182" s="897"/>
      <c r="K182" s="903"/>
      <c r="L182" s="899">
        <f t="shared" si="4"/>
        <v>0</v>
      </c>
      <c r="M182" s="903"/>
      <c r="N182" s="903"/>
      <c r="O182" s="903"/>
      <c r="P182" s="902"/>
      <c r="Q182" s="902"/>
      <c r="R182" s="902"/>
      <c r="S182" s="903"/>
      <c r="T182" s="902"/>
      <c r="U182" s="902"/>
      <c r="V182" s="902"/>
      <c r="W182" s="902"/>
      <c r="X182" s="902"/>
      <c r="Y182" s="902"/>
      <c r="Z182" s="902"/>
      <c r="AA182" s="902"/>
      <c r="AB182" s="902"/>
      <c r="AC182" s="902"/>
    </row>
    <row r="183" spans="1:29" s="890" customFormat="1" ht="15.65" outlineLevel="1">
      <c r="A183" s="976" t="s">
        <v>1054</v>
      </c>
      <c r="B183" s="898"/>
      <c r="C183" s="898"/>
      <c r="D183" s="899"/>
      <c r="E183" s="899"/>
      <c r="F183" s="899"/>
      <c r="G183" s="900"/>
      <c r="H183" s="901"/>
      <c r="I183" s="902"/>
      <c r="J183" s="897"/>
      <c r="K183" s="903"/>
      <c r="L183" s="899">
        <f t="shared" si="4"/>
        <v>0</v>
      </c>
      <c r="M183" s="903"/>
      <c r="N183" s="903"/>
      <c r="O183" s="903"/>
      <c r="P183" s="902"/>
      <c r="Q183" s="902"/>
      <c r="R183" s="902"/>
      <c r="S183" s="903"/>
      <c r="T183" s="902"/>
      <c r="U183" s="902"/>
      <c r="V183" s="902"/>
      <c r="W183" s="902"/>
      <c r="X183" s="902"/>
      <c r="Y183" s="902"/>
      <c r="Z183" s="902"/>
      <c r="AA183" s="902"/>
      <c r="AB183" s="902"/>
      <c r="AC183" s="902"/>
    </row>
    <row r="184" spans="1:29" s="890" customFormat="1" ht="15.65" outlineLevel="1">
      <c r="A184" s="976" t="s">
        <v>1013</v>
      </c>
      <c r="B184" s="898"/>
      <c r="C184" s="898"/>
      <c r="D184" s="899"/>
      <c r="E184" s="899"/>
      <c r="F184" s="899"/>
      <c r="G184" s="900"/>
      <c r="H184" s="901"/>
      <c r="I184" s="902"/>
      <c r="J184" s="897"/>
      <c r="K184" s="903"/>
      <c r="L184" s="899">
        <f t="shared" si="4"/>
        <v>0</v>
      </c>
      <c r="M184" s="903"/>
      <c r="N184" s="903"/>
      <c r="O184" s="903"/>
      <c r="P184" s="902"/>
      <c r="Q184" s="902"/>
      <c r="R184" s="902"/>
      <c r="S184" s="903"/>
      <c r="T184" s="902"/>
      <c r="U184" s="902"/>
      <c r="V184" s="902"/>
      <c r="W184" s="902"/>
      <c r="X184" s="902"/>
      <c r="Y184" s="902"/>
      <c r="Z184" s="902"/>
      <c r="AA184" s="902"/>
      <c r="AB184" s="902"/>
      <c r="AC184" s="902"/>
    </row>
    <row r="185" spans="1:29" s="890" customFormat="1" ht="15.65" outlineLevel="1">
      <c r="A185" s="976" t="s">
        <v>1055</v>
      </c>
      <c r="B185" s="898"/>
      <c r="C185" s="898"/>
      <c r="D185" s="899"/>
      <c r="E185" s="899"/>
      <c r="F185" s="899"/>
      <c r="G185" s="900"/>
      <c r="H185" s="901"/>
      <c r="I185" s="902"/>
      <c r="J185" s="897"/>
      <c r="K185" s="903"/>
      <c r="L185" s="899">
        <f t="shared" si="4"/>
        <v>0</v>
      </c>
      <c r="M185" s="903"/>
      <c r="N185" s="903"/>
      <c r="O185" s="903"/>
      <c r="P185" s="902"/>
      <c r="Q185" s="902"/>
      <c r="R185" s="902"/>
      <c r="S185" s="903"/>
      <c r="T185" s="902"/>
      <c r="U185" s="902"/>
      <c r="V185" s="902"/>
      <c r="W185" s="902"/>
      <c r="X185" s="902"/>
      <c r="Y185" s="902"/>
      <c r="Z185" s="902"/>
      <c r="AA185" s="902"/>
      <c r="AB185" s="902"/>
      <c r="AC185" s="902"/>
    </row>
    <row r="186" spans="1:29" s="890" customFormat="1" ht="15.65" outlineLevel="1">
      <c r="A186" s="897" t="s">
        <v>1056</v>
      </c>
      <c r="B186" s="898"/>
      <c r="C186" s="898"/>
      <c r="D186" s="899"/>
      <c r="E186" s="899"/>
      <c r="F186" s="899"/>
      <c r="G186" s="900"/>
      <c r="H186" s="901"/>
      <c r="I186" s="902"/>
      <c r="J186" s="897"/>
      <c r="K186" s="903"/>
      <c r="L186" s="899">
        <f t="shared" si="4"/>
        <v>0</v>
      </c>
      <c r="M186" s="903"/>
      <c r="N186" s="903"/>
      <c r="O186" s="903"/>
      <c r="P186" s="902"/>
      <c r="Q186" s="902"/>
      <c r="R186" s="902"/>
      <c r="S186" s="903"/>
      <c r="T186" s="902"/>
      <c r="U186" s="902"/>
      <c r="V186" s="902"/>
      <c r="W186" s="902"/>
      <c r="X186" s="902"/>
      <c r="Y186" s="902"/>
      <c r="Z186" s="902"/>
      <c r="AA186" s="902"/>
      <c r="AB186" s="902"/>
      <c r="AC186" s="902"/>
    </row>
    <row r="187" spans="1:29" s="890" customFormat="1" ht="15.65" outlineLevel="1">
      <c r="A187" s="897" t="s">
        <v>1057</v>
      </c>
      <c r="B187" s="898"/>
      <c r="C187" s="898"/>
      <c r="D187" s="899"/>
      <c r="E187" s="899"/>
      <c r="F187" s="899"/>
      <c r="G187" s="900"/>
      <c r="H187" s="901"/>
      <c r="I187" s="902"/>
      <c r="J187" s="897"/>
      <c r="K187" s="903"/>
      <c r="L187" s="899">
        <f t="shared" si="4"/>
        <v>0</v>
      </c>
      <c r="M187" s="903"/>
      <c r="N187" s="903"/>
      <c r="O187" s="903"/>
      <c r="P187" s="902"/>
      <c r="Q187" s="902"/>
      <c r="R187" s="902"/>
      <c r="S187" s="903"/>
      <c r="T187" s="902"/>
      <c r="U187" s="902"/>
      <c r="V187" s="902"/>
      <c r="W187" s="902"/>
      <c r="X187" s="902"/>
      <c r="Y187" s="902"/>
      <c r="Z187" s="902"/>
      <c r="AA187" s="902"/>
      <c r="AB187" s="902"/>
      <c r="AC187" s="902"/>
    </row>
    <row r="188" spans="1:29" s="890" customFormat="1" ht="15.65" outlineLevel="1">
      <c r="A188" s="976" t="s">
        <v>1058</v>
      </c>
      <c r="B188" s="898"/>
      <c r="C188" s="898"/>
      <c r="D188" s="899"/>
      <c r="E188" s="899"/>
      <c r="F188" s="899"/>
      <c r="G188" s="900"/>
      <c r="H188" s="901"/>
      <c r="I188" s="902"/>
      <c r="J188" s="897"/>
      <c r="K188" s="903"/>
      <c r="L188" s="899">
        <f t="shared" si="4"/>
        <v>0</v>
      </c>
      <c r="M188" s="903"/>
      <c r="N188" s="903"/>
      <c r="O188" s="903"/>
      <c r="P188" s="902"/>
      <c r="Q188" s="902"/>
      <c r="R188" s="902"/>
      <c r="S188" s="903"/>
      <c r="T188" s="902"/>
      <c r="U188" s="902"/>
      <c r="V188" s="902"/>
      <c r="W188" s="902"/>
      <c r="X188" s="902"/>
      <c r="Y188" s="902"/>
      <c r="Z188" s="902"/>
      <c r="AA188" s="902"/>
      <c r="AB188" s="902"/>
      <c r="AC188" s="902"/>
    </row>
    <row r="189" spans="1:29" s="890" customFormat="1" ht="15.65" outlineLevel="1">
      <c r="A189" s="976" t="s">
        <v>1059</v>
      </c>
      <c r="B189" s="898"/>
      <c r="C189" s="898"/>
      <c r="D189" s="899"/>
      <c r="E189" s="899"/>
      <c r="F189" s="899"/>
      <c r="G189" s="900"/>
      <c r="H189" s="901"/>
      <c r="I189" s="902"/>
      <c r="J189" s="897"/>
      <c r="K189" s="903"/>
      <c r="L189" s="899">
        <f t="shared" si="4"/>
        <v>0</v>
      </c>
      <c r="M189" s="903"/>
      <c r="N189" s="903"/>
      <c r="O189" s="903"/>
      <c r="P189" s="902"/>
      <c r="Q189" s="902"/>
      <c r="R189" s="902"/>
      <c r="S189" s="903"/>
      <c r="T189" s="902"/>
      <c r="U189" s="902"/>
      <c r="V189" s="902"/>
      <c r="W189" s="902"/>
      <c r="X189" s="902"/>
      <c r="Y189" s="902"/>
      <c r="Z189" s="902"/>
      <c r="AA189" s="902"/>
      <c r="AB189" s="902"/>
      <c r="AC189" s="902"/>
    </row>
    <row r="190" spans="1:29" s="890" customFormat="1" ht="15.65" outlineLevel="1">
      <c r="A190" s="976" t="s">
        <v>1060</v>
      </c>
      <c r="B190" s="898"/>
      <c r="C190" s="898"/>
      <c r="D190" s="899"/>
      <c r="E190" s="899"/>
      <c r="F190" s="899"/>
      <c r="G190" s="900"/>
      <c r="H190" s="901"/>
      <c r="I190" s="902"/>
      <c r="J190" s="897"/>
      <c r="K190" s="903"/>
      <c r="L190" s="899">
        <f t="shared" si="4"/>
        <v>0</v>
      </c>
      <c r="M190" s="903"/>
      <c r="N190" s="903"/>
      <c r="O190" s="903"/>
      <c r="P190" s="902"/>
      <c r="Q190" s="902"/>
      <c r="R190" s="902"/>
      <c r="S190" s="903"/>
      <c r="T190" s="902"/>
      <c r="U190" s="902"/>
      <c r="V190" s="902"/>
      <c r="W190" s="902"/>
      <c r="X190" s="902"/>
      <c r="Y190" s="902"/>
      <c r="Z190" s="902"/>
      <c r="AA190" s="902"/>
      <c r="AB190" s="902"/>
      <c r="AC190" s="902"/>
    </row>
    <row r="191" spans="1:29" s="890" customFormat="1" ht="15.65" outlineLevel="1">
      <c r="A191" s="976" t="s">
        <v>1061</v>
      </c>
      <c r="B191" s="898"/>
      <c r="C191" s="898"/>
      <c r="D191" s="899"/>
      <c r="E191" s="899"/>
      <c r="F191" s="899"/>
      <c r="G191" s="900"/>
      <c r="H191" s="901"/>
      <c r="I191" s="902"/>
      <c r="J191" s="897"/>
      <c r="K191" s="903"/>
      <c r="L191" s="899">
        <f t="shared" si="4"/>
        <v>0</v>
      </c>
      <c r="M191" s="903"/>
      <c r="N191" s="903"/>
      <c r="O191" s="903"/>
      <c r="P191" s="902"/>
      <c r="Q191" s="902"/>
      <c r="R191" s="902"/>
      <c r="S191" s="903"/>
      <c r="T191" s="902"/>
      <c r="U191" s="902"/>
      <c r="V191" s="902"/>
      <c r="W191" s="902"/>
      <c r="X191" s="902"/>
      <c r="Y191" s="902"/>
      <c r="Z191" s="902"/>
      <c r="AA191" s="902"/>
      <c r="AB191" s="902"/>
      <c r="AC191" s="902"/>
    </row>
    <row r="192" spans="1:29" s="890" customFormat="1" ht="15.65" outlineLevel="1">
      <c r="A192" s="976" t="s">
        <v>1062</v>
      </c>
      <c r="B192" s="898"/>
      <c r="C192" s="898"/>
      <c r="D192" s="899"/>
      <c r="E192" s="899"/>
      <c r="F192" s="899"/>
      <c r="G192" s="900"/>
      <c r="H192" s="901"/>
      <c r="I192" s="902"/>
      <c r="J192" s="897"/>
      <c r="K192" s="903"/>
      <c r="L192" s="899">
        <f t="shared" si="4"/>
        <v>0</v>
      </c>
      <c r="M192" s="903"/>
      <c r="N192" s="903"/>
      <c r="O192" s="903"/>
      <c r="P192" s="902"/>
      <c r="Q192" s="902"/>
      <c r="R192" s="902"/>
      <c r="S192" s="903"/>
      <c r="T192" s="902"/>
      <c r="U192" s="902"/>
      <c r="V192" s="902"/>
      <c r="W192" s="902"/>
      <c r="X192" s="902"/>
      <c r="Y192" s="902"/>
      <c r="Z192" s="902"/>
      <c r="AA192" s="902"/>
      <c r="AB192" s="902"/>
      <c r="AC192" s="902"/>
    </row>
    <row r="193" spans="1:29" s="890" customFormat="1" ht="15.65" outlineLevel="1">
      <c r="A193" s="976" t="s">
        <v>1063</v>
      </c>
      <c r="B193" s="898"/>
      <c r="C193" s="898"/>
      <c r="D193" s="899"/>
      <c r="E193" s="899"/>
      <c r="F193" s="899"/>
      <c r="G193" s="900"/>
      <c r="H193" s="901"/>
      <c r="I193" s="902"/>
      <c r="J193" s="897"/>
      <c r="K193" s="903"/>
      <c r="L193" s="899">
        <f t="shared" si="4"/>
        <v>0</v>
      </c>
      <c r="M193" s="903"/>
      <c r="N193" s="903"/>
      <c r="O193" s="903"/>
      <c r="P193" s="902"/>
      <c r="Q193" s="902"/>
      <c r="R193" s="902"/>
      <c r="S193" s="903"/>
      <c r="T193" s="902"/>
      <c r="U193" s="902"/>
      <c r="V193" s="902"/>
      <c r="W193" s="902"/>
      <c r="X193" s="902"/>
      <c r="Y193" s="902"/>
      <c r="Z193" s="902"/>
      <c r="AA193" s="902"/>
      <c r="AB193" s="902"/>
      <c r="AC193" s="902"/>
    </row>
    <row r="194" spans="1:29" s="890" customFormat="1" ht="15.65" outlineLevel="1">
      <c r="A194" s="976" t="s">
        <v>1064</v>
      </c>
      <c r="B194" s="898"/>
      <c r="C194" s="898"/>
      <c r="D194" s="899"/>
      <c r="E194" s="899"/>
      <c r="F194" s="899"/>
      <c r="G194" s="900"/>
      <c r="H194" s="901"/>
      <c r="I194" s="902"/>
      <c r="J194" s="897"/>
      <c r="K194" s="903"/>
      <c r="L194" s="899">
        <f t="shared" si="4"/>
        <v>0</v>
      </c>
      <c r="M194" s="903"/>
      <c r="N194" s="903"/>
      <c r="O194" s="903"/>
      <c r="P194" s="902"/>
      <c r="Q194" s="902"/>
      <c r="R194" s="902"/>
      <c r="S194" s="903"/>
      <c r="T194" s="902"/>
      <c r="U194" s="902"/>
      <c r="V194" s="902"/>
      <c r="W194" s="902"/>
      <c r="X194" s="902"/>
      <c r="Y194" s="902"/>
      <c r="Z194" s="902"/>
      <c r="AA194" s="902"/>
      <c r="AB194" s="902"/>
      <c r="AC194" s="902"/>
    </row>
    <row r="195" spans="1:29" s="890" customFormat="1" ht="15.65" outlineLevel="1">
      <c r="A195" s="976" t="s">
        <v>963</v>
      </c>
      <c r="B195" s="898"/>
      <c r="C195" s="898"/>
      <c r="D195" s="899"/>
      <c r="E195" s="899"/>
      <c r="F195" s="899"/>
      <c r="G195" s="900"/>
      <c r="H195" s="901"/>
      <c r="I195" s="902"/>
      <c r="J195" s="897"/>
      <c r="K195" s="903"/>
      <c r="L195" s="899">
        <f t="shared" si="4"/>
        <v>0</v>
      </c>
      <c r="M195" s="903"/>
      <c r="N195" s="903"/>
      <c r="O195" s="903"/>
      <c r="P195" s="902"/>
      <c r="Q195" s="902"/>
      <c r="R195" s="902"/>
      <c r="S195" s="903"/>
      <c r="T195" s="902"/>
      <c r="U195" s="902"/>
      <c r="V195" s="902"/>
      <c r="W195" s="902"/>
      <c r="X195" s="902"/>
      <c r="Y195" s="902"/>
      <c r="Z195" s="902"/>
      <c r="AA195" s="902"/>
      <c r="AB195" s="902"/>
      <c r="AC195" s="902"/>
    </row>
    <row r="196" spans="1:29" s="890" customFormat="1" ht="15.65" outlineLevel="1">
      <c r="A196" s="976" t="s">
        <v>1065</v>
      </c>
      <c r="B196" s="898"/>
      <c r="C196" s="898"/>
      <c r="D196" s="899"/>
      <c r="E196" s="899"/>
      <c r="F196" s="899"/>
      <c r="G196" s="900"/>
      <c r="H196" s="901"/>
      <c r="I196" s="902"/>
      <c r="J196" s="897"/>
      <c r="K196" s="903"/>
      <c r="L196" s="899">
        <f t="shared" ref="L196:L240" si="5">E196-C196</f>
        <v>0</v>
      </c>
      <c r="M196" s="903"/>
      <c r="N196" s="903"/>
      <c r="O196" s="903"/>
      <c r="P196" s="902"/>
      <c r="Q196" s="902"/>
      <c r="R196" s="902"/>
      <c r="S196" s="903"/>
      <c r="T196" s="902"/>
      <c r="U196" s="902"/>
      <c r="V196" s="902"/>
      <c r="W196" s="902"/>
      <c r="X196" s="902"/>
      <c r="Y196" s="902"/>
      <c r="Z196" s="902"/>
      <c r="AA196" s="902"/>
      <c r="AB196" s="902"/>
      <c r="AC196" s="902"/>
    </row>
    <row r="197" spans="1:29" s="890" customFormat="1" ht="15.65" outlineLevel="1">
      <c r="A197" s="976" t="s">
        <v>1066</v>
      </c>
      <c r="B197" s="898"/>
      <c r="C197" s="898"/>
      <c r="D197" s="899"/>
      <c r="E197" s="899"/>
      <c r="F197" s="899"/>
      <c r="G197" s="900"/>
      <c r="H197" s="901"/>
      <c r="I197" s="902"/>
      <c r="J197" s="897"/>
      <c r="K197" s="903"/>
      <c r="L197" s="899">
        <f t="shared" si="5"/>
        <v>0</v>
      </c>
      <c r="M197" s="903"/>
      <c r="N197" s="903"/>
      <c r="O197" s="903"/>
      <c r="P197" s="902"/>
      <c r="Q197" s="902"/>
      <c r="R197" s="902"/>
      <c r="S197" s="903"/>
      <c r="T197" s="902"/>
      <c r="U197" s="902"/>
      <c r="V197" s="902"/>
      <c r="W197" s="902"/>
      <c r="X197" s="902"/>
      <c r="Y197" s="902"/>
      <c r="Z197" s="902"/>
      <c r="AA197" s="902"/>
      <c r="AB197" s="902"/>
      <c r="AC197" s="902"/>
    </row>
    <row r="198" spans="1:29" s="890" customFormat="1" ht="15.65" outlineLevel="1">
      <c r="A198" s="976" t="s">
        <v>975</v>
      </c>
      <c r="B198" s="898"/>
      <c r="C198" s="898"/>
      <c r="D198" s="899"/>
      <c r="E198" s="899"/>
      <c r="F198" s="899"/>
      <c r="G198" s="900"/>
      <c r="H198" s="901"/>
      <c r="I198" s="902"/>
      <c r="J198" s="897"/>
      <c r="K198" s="903"/>
      <c r="L198" s="899">
        <f t="shared" si="5"/>
        <v>0</v>
      </c>
      <c r="M198" s="903"/>
      <c r="N198" s="903"/>
      <c r="O198" s="903"/>
      <c r="P198" s="902"/>
      <c r="Q198" s="902"/>
      <c r="R198" s="902"/>
      <c r="S198" s="903"/>
      <c r="T198" s="902"/>
      <c r="U198" s="902"/>
      <c r="V198" s="902"/>
      <c r="W198" s="902"/>
      <c r="X198" s="902"/>
      <c r="Y198" s="902"/>
      <c r="Z198" s="902"/>
      <c r="AA198" s="902"/>
      <c r="AB198" s="902"/>
      <c r="AC198" s="902"/>
    </row>
    <row r="199" spans="1:29" s="890" customFormat="1" ht="15.65" outlineLevel="1">
      <c r="A199" s="976" t="s">
        <v>1067</v>
      </c>
      <c r="B199" s="898"/>
      <c r="C199" s="898"/>
      <c r="D199" s="899"/>
      <c r="E199" s="899"/>
      <c r="F199" s="899"/>
      <c r="G199" s="900"/>
      <c r="H199" s="901"/>
      <c r="I199" s="902"/>
      <c r="J199" s="897"/>
      <c r="K199" s="903"/>
      <c r="L199" s="899">
        <f t="shared" si="5"/>
        <v>0</v>
      </c>
      <c r="M199" s="903"/>
      <c r="N199" s="903"/>
      <c r="O199" s="903"/>
      <c r="P199" s="902"/>
      <c r="Q199" s="902"/>
      <c r="R199" s="902"/>
      <c r="S199" s="903"/>
      <c r="T199" s="902"/>
      <c r="U199" s="902"/>
      <c r="V199" s="902"/>
      <c r="W199" s="902"/>
      <c r="X199" s="902"/>
      <c r="Y199" s="902"/>
      <c r="Z199" s="902"/>
      <c r="AA199" s="902"/>
      <c r="AB199" s="902"/>
      <c r="AC199" s="902"/>
    </row>
    <row r="200" spans="1:29" s="890" customFormat="1" ht="15.65" outlineLevel="1">
      <c r="A200" s="897" t="s">
        <v>1068</v>
      </c>
      <c r="B200" s="898"/>
      <c r="C200" s="898"/>
      <c r="D200" s="899"/>
      <c r="E200" s="899"/>
      <c r="F200" s="899"/>
      <c r="G200" s="900"/>
      <c r="H200" s="901"/>
      <c r="I200" s="902"/>
      <c r="J200" s="897"/>
      <c r="K200" s="903"/>
      <c r="L200" s="899">
        <f t="shared" si="5"/>
        <v>0</v>
      </c>
      <c r="M200" s="903"/>
      <c r="N200" s="903"/>
      <c r="O200" s="903"/>
      <c r="P200" s="902"/>
      <c r="Q200" s="902"/>
      <c r="R200" s="902"/>
      <c r="S200" s="903"/>
      <c r="T200" s="902"/>
      <c r="U200" s="902"/>
      <c r="V200" s="902"/>
      <c r="W200" s="902"/>
      <c r="X200" s="902"/>
      <c r="Y200" s="902"/>
      <c r="Z200" s="902"/>
      <c r="AA200" s="902"/>
      <c r="AB200" s="902"/>
      <c r="AC200" s="902"/>
    </row>
    <row r="201" spans="1:29" s="890" customFormat="1" ht="15.65" outlineLevel="1">
      <c r="A201" s="897" t="s">
        <v>1069</v>
      </c>
      <c r="B201" s="898"/>
      <c r="C201" s="898"/>
      <c r="D201" s="899"/>
      <c r="E201" s="899"/>
      <c r="F201" s="899"/>
      <c r="G201" s="900"/>
      <c r="H201" s="901"/>
      <c r="I201" s="902"/>
      <c r="J201" s="897"/>
      <c r="K201" s="903"/>
      <c r="L201" s="899">
        <f t="shared" si="5"/>
        <v>0</v>
      </c>
      <c r="M201" s="903"/>
      <c r="N201" s="903"/>
      <c r="O201" s="903"/>
      <c r="P201" s="902"/>
      <c r="Q201" s="902"/>
      <c r="R201" s="902"/>
      <c r="S201" s="903"/>
      <c r="T201" s="902"/>
      <c r="U201" s="902"/>
      <c r="V201" s="902"/>
      <c r="W201" s="902"/>
      <c r="X201" s="902"/>
      <c r="Y201" s="902"/>
      <c r="Z201" s="902"/>
      <c r="AA201" s="902"/>
      <c r="AB201" s="902"/>
      <c r="AC201" s="902"/>
    </row>
    <row r="202" spans="1:29" s="890" customFormat="1" ht="15.65" outlineLevel="1">
      <c r="A202" s="976" t="s">
        <v>959</v>
      </c>
      <c r="B202" s="898"/>
      <c r="C202" s="898"/>
      <c r="D202" s="899"/>
      <c r="E202" s="899"/>
      <c r="F202" s="899"/>
      <c r="G202" s="900"/>
      <c r="H202" s="901"/>
      <c r="I202" s="902"/>
      <c r="J202" s="897"/>
      <c r="K202" s="903"/>
      <c r="L202" s="899">
        <f t="shared" si="5"/>
        <v>0</v>
      </c>
      <c r="M202" s="903"/>
      <c r="N202" s="903"/>
      <c r="O202" s="903"/>
      <c r="P202" s="902"/>
      <c r="Q202" s="902"/>
      <c r="R202" s="902"/>
      <c r="S202" s="903"/>
      <c r="T202" s="902"/>
      <c r="U202" s="902"/>
      <c r="V202" s="902"/>
      <c r="W202" s="902"/>
      <c r="X202" s="902"/>
      <c r="Y202" s="902"/>
      <c r="Z202" s="902"/>
      <c r="AA202" s="902"/>
      <c r="AB202" s="902"/>
      <c r="AC202" s="902"/>
    </row>
    <row r="203" spans="1:29" s="890" customFormat="1" ht="15.65" outlineLevel="1">
      <c r="A203" s="976" t="s">
        <v>1070</v>
      </c>
      <c r="B203" s="898"/>
      <c r="C203" s="898"/>
      <c r="D203" s="899"/>
      <c r="E203" s="899"/>
      <c r="F203" s="899"/>
      <c r="G203" s="900"/>
      <c r="H203" s="901"/>
      <c r="I203" s="902"/>
      <c r="J203" s="897"/>
      <c r="K203" s="903"/>
      <c r="L203" s="899">
        <f t="shared" si="5"/>
        <v>0</v>
      </c>
      <c r="M203" s="903"/>
      <c r="N203" s="903"/>
      <c r="O203" s="903"/>
      <c r="P203" s="902"/>
      <c r="Q203" s="902"/>
      <c r="R203" s="902"/>
      <c r="S203" s="903"/>
      <c r="T203" s="902"/>
      <c r="U203" s="902"/>
      <c r="V203" s="902"/>
      <c r="W203" s="902"/>
      <c r="X203" s="902"/>
      <c r="Y203" s="902"/>
      <c r="Z203" s="902"/>
      <c r="AA203" s="902"/>
      <c r="AB203" s="902"/>
      <c r="AC203" s="902"/>
    </row>
    <row r="204" spans="1:29" s="890" customFormat="1" ht="15.65" outlineLevel="1">
      <c r="A204" s="976" t="s">
        <v>1071</v>
      </c>
      <c r="B204" s="898"/>
      <c r="C204" s="898"/>
      <c r="D204" s="899"/>
      <c r="E204" s="899"/>
      <c r="F204" s="899"/>
      <c r="G204" s="900"/>
      <c r="H204" s="901"/>
      <c r="I204" s="902"/>
      <c r="J204" s="897"/>
      <c r="K204" s="903"/>
      <c r="L204" s="899">
        <f t="shared" si="5"/>
        <v>0</v>
      </c>
      <c r="M204" s="903"/>
      <c r="N204" s="903"/>
      <c r="O204" s="903"/>
      <c r="P204" s="902"/>
      <c r="Q204" s="902"/>
      <c r="R204" s="902"/>
      <c r="S204" s="903"/>
      <c r="T204" s="902"/>
      <c r="U204" s="902"/>
      <c r="V204" s="902"/>
      <c r="W204" s="902"/>
      <c r="X204" s="902"/>
      <c r="Y204" s="902"/>
      <c r="Z204" s="902"/>
      <c r="AA204" s="902"/>
      <c r="AB204" s="902"/>
      <c r="AC204" s="902"/>
    </row>
    <row r="205" spans="1:29" s="890" customFormat="1" ht="15.65" outlineLevel="1">
      <c r="A205" s="976" t="s">
        <v>1072</v>
      </c>
      <c r="B205" s="898"/>
      <c r="C205" s="898"/>
      <c r="D205" s="899"/>
      <c r="E205" s="899"/>
      <c r="F205" s="899"/>
      <c r="G205" s="900"/>
      <c r="H205" s="901"/>
      <c r="I205" s="902"/>
      <c r="J205" s="897"/>
      <c r="K205" s="903"/>
      <c r="L205" s="899">
        <f t="shared" si="5"/>
        <v>0</v>
      </c>
      <c r="M205" s="903"/>
      <c r="N205" s="903"/>
      <c r="O205" s="903"/>
      <c r="P205" s="902"/>
      <c r="Q205" s="902"/>
      <c r="R205" s="902"/>
      <c r="S205" s="903"/>
      <c r="T205" s="902"/>
      <c r="U205" s="902"/>
      <c r="V205" s="902"/>
      <c r="W205" s="902"/>
      <c r="X205" s="902"/>
      <c r="Y205" s="902"/>
      <c r="Z205" s="902"/>
      <c r="AA205" s="902"/>
      <c r="AB205" s="902"/>
      <c r="AC205" s="902"/>
    </row>
    <row r="206" spans="1:29" s="890" customFormat="1" ht="15.65" outlineLevel="1">
      <c r="A206" s="976" t="s">
        <v>1073</v>
      </c>
      <c r="B206" s="898"/>
      <c r="C206" s="898"/>
      <c r="D206" s="899"/>
      <c r="E206" s="899"/>
      <c r="F206" s="899"/>
      <c r="G206" s="900"/>
      <c r="H206" s="901"/>
      <c r="I206" s="902"/>
      <c r="J206" s="897"/>
      <c r="K206" s="903"/>
      <c r="L206" s="899">
        <f t="shared" si="5"/>
        <v>0</v>
      </c>
      <c r="M206" s="903"/>
      <c r="N206" s="903"/>
      <c r="O206" s="903"/>
      <c r="P206" s="902"/>
      <c r="Q206" s="902"/>
      <c r="R206" s="902"/>
      <c r="S206" s="903"/>
      <c r="T206" s="902"/>
      <c r="U206" s="902"/>
      <c r="V206" s="902"/>
      <c r="W206" s="902"/>
      <c r="X206" s="902"/>
      <c r="Y206" s="902"/>
      <c r="Z206" s="902"/>
      <c r="AA206" s="902"/>
      <c r="AB206" s="902"/>
      <c r="AC206" s="902"/>
    </row>
    <row r="207" spans="1:29" s="890" customFormat="1" ht="15.65" outlineLevel="1">
      <c r="A207" s="976" t="s">
        <v>961</v>
      </c>
      <c r="B207" s="898"/>
      <c r="C207" s="898"/>
      <c r="D207" s="899"/>
      <c r="E207" s="899"/>
      <c r="F207" s="899"/>
      <c r="G207" s="900"/>
      <c r="H207" s="901"/>
      <c r="I207" s="902"/>
      <c r="J207" s="897"/>
      <c r="K207" s="903"/>
      <c r="L207" s="899">
        <f t="shared" si="5"/>
        <v>0</v>
      </c>
      <c r="M207" s="903" t="s">
        <v>465</v>
      </c>
      <c r="N207" s="903" t="s">
        <v>523</v>
      </c>
      <c r="O207" s="903"/>
      <c r="P207" s="902"/>
      <c r="Q207" s="902"/>
      <c r="R207" s="902">
        <f>COUNTIF(L226:L228,"&lt;&gt;0")</f>
        <v>0</v>
      </c>
      <c r="S207" s="903" t="s">
        <v>512</v>
      </c>
      <c r="T207" s="902"/>
      <c r="U207" s="902"/>
      <c r="V207" s="902"/>
      <c r="W207" s="902"/>
      <c r="X207" s="902"/>
      <c r="Y207" s="902"/>
      <c r="Z207" s="902"/>
      <c r="AA207" s="902"/>
      <c r="AB207" s="902"/>
      <c r="AC207" s="902"/>
    </row>
    <row r="208" spans="1:29" s="890" customFormat="1" ht="15.65" outlineLevel="1">
      <c r="A208" s="976" t="s">
        <v>1074</v>
      </c>
      <c r="B208" s="898"/>
      <c r="C208" s="898"/>
      <c r="D208" s="899"/>
      <c r="E208" s="899"/>
      <c r="F208" s="899"/>
      <c r="G208" s="900"/>
      <c r="H208" s="901"/>
      <c r="I208" s="902"/>
      <c r="J208" s="897"/>
      <c r="K208" s="903"/>
      <c r="L208" s="899">
        <f t="shared" si="5"/>
        <v>0</v>
      </c>
      <c r="M208" s="903" t="s">
        <v>467</v>
      </c>
      <c r="N208" s="903" t="s">
        <v>523</v>
      </c>
      <c r="O208" s="903"/>
      <c r="P208" s="902"/>
      <c r="Q208" s="902"/>
      <c r="R208" s="902">
        <f>COUNTIF(L229,"&lt;&gt;0")</f>
        <v>0</v>
      </c>
      <c r="S208" s="903" t="s">
        <v>514</v>
      </c>
      <c r="T208" s="902"/>
      <c r="U208" s="902"/>
      <c r="V208" s="902"/>
      <c r="W208" s="902"/>
      <c r="X208" s="902"/>
      <c r="Y208" s="902"/>
      <c r="Z208" s="902"/>
      <c r="AA208" s="902"/>
      <c r="AB208" s="902"/>
      <c r="AC208" s="902"/>
    </row>
    <row r="209" spans="1:29" s="890" customFormat="1" ht="15.65" outlineLevel="1">
      <c r="A209" s="976" t="s">
        <v>1075</v>
      </c>
      <c r="B209" s="898"/>
      <c r="C209" s="898"/>
      <c r="D209" s="899"/>
      <c r="E209" s="899"/>
      <c r="F209" s="899"/>
      <c r="G209" s="900"/>
      <c r="H209" s="901"/>
      <c r="I209" s="902"/>
      <c r="J209" s="897"/>
      <c r="K209" s="903"/>
      <c r="L209" s="899">
        <f t="shared" si="5"/>
        <v>0</v>
      </c>
      <c r="M209" s="903"/>
      <c r="N209" s="903"/>
      <c r="O209" s="903"/>
      <c r="P209" s="902"/>
      <c r="Q209" s="902"/>
      <c r="R209" s="902"/>
      <c r="S209" s="903"/>
      <c r="T209" s="902"/>
      <c r="U209" s="902"/>
      <c r="V209" s="902"/>
      <c r="W209" s="902"/>
      <c r="X209" s="902"/>
      <c r="Y209" s="902"/>
      <c r="Z209" s="902"/>
      <c r="AA209" s="902"/>
      <c r="AB209" s="902"/>
      <c r="AC209" s="902"/>
    </row>
    <row r="210" spans="1:29" s="890" customFormat="1" ht="15.65" outlineLevel="1">
      <c r="A210" s="976" t="s">
        <v>1076</v>
      </c>
      <c r="B210" s="898"/>
      <c r="C210" s="898"/>
      <c r="D210" s="899"/>
      <c r="E210" s="899"/>
      <c r="F210" s="899"/>
      <c r="G210" s="900"/>
      <c r="H210" s="901"/>
      <c r="I210" s="902"/>
      <c r="J210" s="897"/>
      <c r="K210" s="903"/>
      <c r="L210" s="899">
        <f t="shared" si="5"/>
        <v>0</v>
      </c>
      <c r="M210" s="903"/>
      <c r="N210" s="903"/>
      <c r="O210" s="903"/>
      <c r="P210" s="902"/>
      <c r="Q210" s="902"/>
      <c r="R210" s="902"/>
      <c r="S210" s="903"/>
      <c r="T210" s="902"/>
      <c r="U210" s="902"/>
      <c r="V210" s="902"/>
      <c r="W210" s="902"/>
      <c r="X210" s="902"/>
      <c r="Y210" s="902"/>
      <c r="Z210" s="902"/>
      <c r="AA210" s="902"/>
      <c r="AB210" s="902"/>
      <c r="AC210" s="902"/>
    </row>
    <row r="211" spans="1:29" s="890" customFormat="1" ht="15.65" outlineLevel="1">
      <c r="A211" s="976" t="s">
        <v>1077</v>
      </c>
      <c r="B211" s="898"/>
      <c r="C211" s="898"/>
      <c r="D211" s="899"/>
      <c r="E211" s="899"/>
      <c r="F211" s="899"/>
      <c r="G211" s="900"/>
      <c r="H211" s="901"/>
      <c r="I211" s="902"/>
      <c r="J211" s="897"/>
      <c r="K211" s="903"/>
      <c r="L211" s="899">
        <f t="shared" si="5"/>
        <v>0</v>
      </c>
      <c r="M211" s="903"/>
      <c r="N211" s="903"/>
      <c r="O211" s="903"/>
      <c r="P211" s="902"/>
      <c r="Q211" s="902"/>
      <c r="R211" s="902"/>
      <c r="S211" s="903"/>
      <c r="T211" s="902"/>
      <c r="U211" s="902"/>
      <c r="V211" s="902"/>
      <c r="W211" s="902"/>
      <c r="X211" s="902"/>
      <c r="Y211" s="902"/>
      <c r="Z211" s="902"/>
      <c r="AA211" s="902"/>
      <c r="AB211" s="902"/>
      <c r="AC211" s="902"/>
    </row>
    <row r="212" spans="1:29" s="890" customFormat="1" ht="15.65" outlineLevel="1">
      <c r="A212" s="976" t="s">
        <v>1078</v>
      </c>
      <c r="B212" s="898"/>
      <c r="C212" s="898"/>
      <c r="D212" s="899"/>
      <c r="E212" s="899"/>
      <c r="F212" s="899"/>
      <c r="G212" s="900"/>
      <c r="H212" s="901"/>
      <c r="I212" s="902"/>
      <c r="J212" s="897"/>
      <c r="K212" s="903"/>
      <c r="L212" s="899">
        <f t="shared" si="5"/>
        <v>0</v>
      </c>
      <c r="M212" s="903"/>
      <c r="N212" s="903"/>
      <c r="O212" s="903"/>
      <c r="P212" s="902"/>
      <c r="Q212" s="902"/>
      <c r="R212" s="902"/>
      <c r="S212" s="903"/>
      <c r="T212" s="902"/>
      <c r="U212" s="902"/>
      <c r="V212" s="902"/>
      <c r="W212" s="902"/>
      <c r="X212" s="902"/>
      <c r="Y212" s="902"/>
      <c r="Z212" s="902"/>
      <c r="AA212" s="902"/>
      <c r="AB212" s="902"/>
      <c r="AC212" s="902"/>
    </row>
    <row r="213" spans="1:29" s="890" customFormat="1" ht="15.65" outlineLevel="1">
      <c r="A213" s="976" t="s">
        <v>1079</v>
      </c>
      <c r="B213" s="898"/>
      <c r="C213" s="898"/>
      <c r="D213" s="899"/>
      <c r="E213" s="899"/>
      <c r="F213" s="899"/>
      <c r="G213" s="900"/>
      <c r="H213" s="901"/>
      <c r="I213" s="902"/>
      <c r="J213" s="897"/>
      <c r="K213" s="903"/>
      <c r="L213" s="899">
        <f t="shared" si="5"/>
        <v>0</v>
      </c>
      <c r="M213" s="903"/>
      <c r="N213" s="903"/>
      <c r="O213" s="903"/>
      <c r="P213" s="902"/>
      <c r="Q213" s="902"/>
      <c r="R213" s="902"/>
      <c r="S213" s="903"/>
      <c r="T213" s="902"/>
      <c r="U213" s="902"/>
      <c r="V213" s="902"/>
      <c r="W213" s="902"/>
      <c r="X213" s="902"/>
      <c r="Y213" s="902"/>
      <c r="Z213" s="902"/>
      <c r="AA213" s="902"/>
      <c r="AB213" s="902"/>
      <c r="AC213" s="902"/>
    </row>
    <row r="214" spans="1:29" s="890" customFormat="1" ht="15.65" outlineLevel="1">
      <c r="A214" s="897" t="s">
        <v>1080</v>
      </c>
      <c r="B214" s="898"/>
      <c r="C214" s="898"/>
      <c r="D214" s="899"/>
      <c r="E214" s="899"/>
      <c r="F214" s="899"/>
      <c r="G214" s="900"/>
      <c r="H214" s="901"/>
      <c r="I214" s="902"/>
      <c r="J214" s="897"/>
      <c r="K214" s="903"/>
      <c r="L214" s="899">
        <f t="shared" si="5"/>
        <v>0</v>
      </c>
      <c r="M214" s="903"/>
      <c r="N214" s="903"/>
      <c r="O214" s="903"/>
      <c r="P214" s="902"/>
      <c r="Q214" s="902"/>
      <c r="R214" s="902"/>
      <c r="S214" s="903"/>
      <c r="T214" s="902"/>
      <c r="U214" s="902"/>
      <c r="V214" s="902"/>
      <c r="W214" s="902"/>
      <c r="X214" s="902"/>
      <c r="Y214" s="902"/>
      <c r="Z214" s="902"/>
      <c r="AA214" s="902"/>
      <c r="AB214" s="902"/>
      <c r="AC214" s="902"/>
    </row>
    <row r="215" spans="1:29" s="890" customFormat="1" ht="15.65" outlineLevel="1">
      <c r="A215" s="897" t="s">
        <v>1081</v>
      </c>
      <c r="B215" s="898"/>
      <c r="C215" s="898"/>
      <c r="D215" s="899"/>
      <c r="E215" s="899"/>
      <c r="F215" s="899"/>
      <c r="G215" s="900"/>
      <c r="H215" s="901"/>
      <c r="I215" s="902"/>
      <c r="J215" s="897"/>
      <c r="K215" s="903"/>
      <c r="L215" s="899">
        <f t="shared" si="5"/>
        <v>0</v>
      </c>
      <c r="M215" s="903"/>
      <c r="N215" s="903"/>
      <c r="O215" s="903"/>
      <c r="P215" s="902"/>
      <c r="Q215" s="902"/>
      <c r="R215" s="902"/>
      <c r="S215" s="903"/>
      <c r="T215" s="902"/>
      <c r="U215" s="902"/>
      <c r="V215" s="902"/>
      <c r="W215" s="902"/>
      <c r="X215" s="902"/>
      <c r="Y215" s="902"/>
      <c r="Z215" s="902"/>
      <c r="AA215" s="902"/>
      <c r="AB215" s="902"/>
      <c r="AC215" s="902"/>
    </row>
    <row r="216" spans="1:29" s="890" customFormat="1" ht="15.65" outlineLevel="1">
      <c r="A216" s="976" t="s">
        <v>968</v>
      </c>
      <c r="B216" s="898"/>
      <c r="C216" s="898"/>
      <c r="D216" s="899"/>
      <c r="E216" s="899"/>
      <c r="F216" s="899"/>
      <c r="G216" s="900"/>
      <c r="H216" s="901"/>
      <c r="I216" s="902"/>
      <c r="J216" s="897"/>
      <c r="K216" s="903"/>
      <c r="L216" s="899">
        <f t="shared" si="5"/>
        <v>0</v>
      </c>
      <c r="M216" s="903"/>
      <c r="N216" s="903"/>
      <c r="O216" s="903"/>
      <c r="P216" s="902"/>
      <c r="Q216" s="902"/>
      <c r="R216" s="902"/>
      <c r="S216" s="903"/>
      <c r="T216" s="902"/>
      <c r="U216" s="902"/>
      <c r="V216" s="902"/>
      <c r="W216" s="902"/>
      <c r="X216" s="902"/>
      <c r="Y216" s="902"/>
      <c r="Z216" s="902"/>
      <c r="AA216" s="902"/>
      <c r="AB216" s="902"/>
      <c r="AC216" s="902"/>
    </row>
    <row r="217" spans="1:29" s="890" customFormat="1" ht="15.65" outlineLevel="1">
      <c r="A217" s="976" t="s">
        <v>1082</v>
      </c>
      <c r="B217" s="898"/>
      <c r="C217" s="898"/>
      <c r="D217" s="899"/>
      <c r="E217" s="899"/>
      <c r="F217" s="899"/>
      <c r="G217" s="900"/>
      <c r="H217" s="901"/>
      <c r="I217" s="902"/>
      <c r="J217" s="897"/>
      <c r="K217" s="903"/>
      <c r="L217" s="899">
        <f t="shared" si="5"/>
        <v>0</v>
      </c>
      <c r="M217" s="903"/>
      <c r="N217" s="903"/>
      <c r="O217" s="903"/>
      <c r="P217" s="902"/>
      <c r="Q217" s="902"/>
      <c r="R217" s="902"/>
      <c r="S217" s="903"/>
      <c r="T217" s="902"/>
      <c r="U217" s="902"/>
      <c r="V217" s="902"/>
      <c r="W217" s="902"/>
      <c r="X217" s="902"/>
      <c r="Y217" s="902"/>
      <c r="Z217" s="902"/>
      <c r="AA217" s="902"/>
      <c r="AB217" s="902"/>
      <c r="AC217" s="902"/>
    </row>
    <row r="218" spans="1:29" s="890" customFormat="1" ht="15.65" outlineLevel="1">
      <c r="A218" s="976" t="s">
        <v>1083</v>
      </c>
      <c r="B218" s="898"/>
      <c r="C218" s="898"/>
      <c r="D218" s="899"/>
      <c r="E218" s="899"/>
      <c r="F218" s="899"/>
      <c r="G218" s="900"/>
      <c r="H218" s="901"/>
      <c r="I218" s="902"/>
      <c r="J218" s="897"/>
      <c r="K218" s="903"/>
      <c r="L218" s="899">
        <f t="shared" si="5"/>
        <v>0</v>
      </c>
      <c r="M218" s="903"/>
      <c r="N218" s="903"/>
      <c r="O218" s="903"/>
      <c r="P218" s="902"/>
      <c r="Q218" s="902"/>
      <c r="R218" s="902"/>
      <c r="S218" s="903"/>
      <c r="T218" s="902"/>
      <c r="U218" s="902"/>
      <c r="V218" s="902"/>
      <c r="W218" s="902"/>
      <c r="X218" s="902"/>
      <c r="Y218" s="902"/>
      <c r="Z218" s="902"/>
      <c r="AA218" s="902"/>
      <c r="AB218" s="902"/>
      <c r="AC218" s="902"/>
    </row>
    <row r="219" spans="1:29" s="890" customFormat="1" ht="15.65" outlineLevel="1">
      <c r="A219" s="976" t="s">
        <v>1084</v>
      </c>
      <c r="B219" s="898"/>
      <c r="C219" s="898"/>
      <c r="D219" s="899"/>
      <c r="E219" s="899"/>
      <c r="F219" s="899"/>
      <c r="G219" s="900"/>
      <c r="H219" s="901"/>
      <c r="I219" s="902"/>
      <c r="J219" s="897"/>
      <c r="K219" s="903"/>
      <c r="L219" s="899">
        <f t="shared" si="5"/>
        <v>0</v>
      </c>
      <c r="M219" s="903"/>
      <c r="N219" s="903"/>
      <c r="O219" s="903"/>
      <c r="P219" s="902"/>
      <c r="Q219" s="902"/>
      <c r="R219" s="902"/>
      <c r="S219" s="903"/>
      <c r="T219" s="902"/>
      <c r="U219" s="902"/>
      <c r="V219" s="902"/>
      <c r="W219" s="902"/>
      <c r="X219" s="902"/>
      <c r="Y219" s="902"/>
      <c r="Z219" s="902"/>
      <c r="AA219" s="902"/>
      <c r="AB219" s="902"/>
      <c r="AC219" s="902"/>
    </row>
    <row r="220" spans="1:29" s="890" customFormat="1" ht="15.65" outlineLevel="1">
      <c r="A220" s="976" t="s">
        <v>1085</v>
      </c>
      <c r="B220" s="898"/>
      <c r="C220" s="898"/>
      <c r="D220" s="899"/>
      <c r="E220" s="899"/>
      <c r="F220" s="899"/>
      <c r="G220" s="900"/>
      <c r="H220" s="901"/>
      <c r="I220" s="902"/>
      <c r="J220" s="897"/>
      <c r="K220" s="903"/>
      <c r="L220" s="899">
        <f t="shared" si="5"/>
        <v>0</v>
      </c>
      <c r="M220" s="903"/>
      <c r="N220" s="903"/>
      <c r="O220" s="903"/>
      <c r="P220" s="902"/>
      <c r="Q220" s="902"/>
      <c r="R220" s="902"/>
      <c r="S220" s="903"/>
      <c r="T220" s="902"/>
      <c r="U220" s="902"/>
      <c r="V220" s="902"/>
      <c r="W220" s="902"/>
      <c r="X220" s="902"/>
      <c r="Y220" s="902"/>
      <c r="Z220" s="902"/>
      <c r="AA220" s="902"/>
      <c r="AB220" s="902"/>
      <c r="AC220" s="902"/>
    </row>
    <row r="221" spans="1:29" s="890" customFormat="1" ht="15.65" outlineLevel="1">
      <c r="A221" s="976" t="s">
        <v>1086</v>
      </c>
      <c r="B221" s="898"/>
      <c r="C221" s="898"/>
      <c r="D221" s="899"/>
      <c r="E221" s="899"/>
      <c r="F221" s="899"/>
      <c r="G221" s="900"/>
      <c r="H221" s="901"/>
      <c r="I221" s="902"/>
      <c r="J221" s="897"/>
      <c r="K221" s="903"/>
      <c r="L221" s="899">
        <f t="shared" si="5"/>
        <v>0</v>
      </c>
      <c r="M221" s="903"/>
      <c r="N221" s="903"/>
      <c r="O221" s="903"/>
      <c r="P221" s="902"/>
      <c r="Q221" s="902"/>
      <c r="R221" s="902"/>
      <c r="S221" s="903"/>
      <c r="T221" s="902"/>
      <c r="U221" s="902"/>
      <c r="V221" s="902"/>
      <c r="W221" s="902"/>
      <c r="X221" s="902"/>
      <c r="Y221" s="902"/>
      <c r="Z221" s="902"/>
      <c r="AA221" s="902"/>
      <c r="AB221" s="902"/>
      <c r="AC221" s="902"/>
    </row>
    <row r="222" spans="1:29" s="890" customFormat="1" ht="15.65" outlineLevel="1">
      <c r="A222" s="976" t="s">
        <v>1087</v>
      </c>
      <c r="B222" s="898"/>
      <c r="C222" s="898"/>
      <c r="D222" s="899"/>
      <c r="E222" s="899"/>
      <c r="F222" s="899"/>
      <c r="G222" s="900"/>
      <c r="H222" s="901"/>
      <c r="I222" s="902"/>
      <c r="J222" s="897"/>
      <c r="K222" s="903"/>
      <c r="L222" s="899">
        <f t="shared" si="5"/>
        <v>0</v>
      </c>
      <c r="M222" s="903" t="s">
        <v>472</v>
      </c>
      <c r="N222" s="903" t="s">
        <v>523</v>
      </c>
      <c r="O222" s="903"/>
      <c r="P222" s="902"/>
      <c r="Q222" s="902"/>
      <c r="R222" s="902">
        <f t="shared" ref="R222:R232" si="6">COUNTIF(L230,"&lt;&gt;0")</f>
        <v>0</v>
      </c>
      <c r="S222" s="903" t="s">
        <v>513</v>
      </c>
      <c r="T222" s="902"/>
      <c r="U222" s="902"/>
      <c r="V222" s="902"/>
      <c r="W222" s="902"/>
      <c r="X222" s="902"/>
      <c r="Y222" s="902"/>
      <c r="Z222" s="902"/>
      <c r="AA222" s="902"/>
      <c r="AB222" s="902"/>
      <c r="AC222" s="902"/>
    </row>
    <row r="223" spans="1:29" s="890" customFormat="1" ht="15.65" outlineLevel="1">
      <c r="A223" s="976" t="s">
        <v>1088</v>
      </c>
      <c r="B223" s="898"/>
      <c r="C223" s="898"/>
      <c r="D223" s="899"/>
      <c r="E223" s="899"/>
      <c r="F223" s="899"/>
      <c r="G223" s="900"/>
      <c r="H223" s="901"/>
      <c r="I223" s="902"/>
      <c r="J223" s="897"/>
      <c r="K223" s="903"/>
      <c r="L223" s="899">
        <f t="shared" si="5"/>
        <v>0</v>
      </c>
      <c r="M223" s="903" t="s">
        <v>485</v>
      </c>
      <c r="N223" s="903" t="s">
        <v>523</v>
      </c>
      <c r="O223" s="903"/>
      <c r="P223" s="902"/>
      <c r="Q223" s="902"/>
      <c r="R223" s="902">
        <f t="shared" si="6"/>
        <v>0</v>
      </c>
      <c r="S223" s="903" t="s">
        <v>515</v>
      </c>
      <c r="T223" s="902"/>
      <c r="U223" s="902"/>
      <c r="V223" s="902"/>
      <c r="W223" s="902"/>
      <c r="X223" s="902"/>
      <c r="Y223" s="902"/>
      <c r="Z223" s="902"/>
      <c r="AA223" s="902"/>
      <c r="AB223" s="902"/>
      <c r="AC223" s="902"/>
    </row>
    <row r="224" spans="1:29" s="890" customFormat="1" ht="15.65" outlineLevel="1">
      <c r="A224" s="976" t="s">
        <v>1089</v>
      </c>
      <c r="B224" s="898"/>
      <c r="C224" s="898"/>
      <c r="D224" s="899"/>
      <c r="E224" s="899"/>
      <c r="F224" s="899"/>
      <c r="G224" s="900"/>
      <c r="H224" s="901"/>
      <c r="I224" s="902"/>
      <c r="J224" s="897"/>
      <c r="K224" s="903"/>
      <c r="L224" s="899">
        <f t="shared" si="5"/>
        <v>0</v>
      </c>
      <c r="M224" s="903" t="s">
        <v>464</v>
      </c>
      <c r="N224" s="903" t="s">
        <v>497</v>
      </c>
      <c r="O224" s="903"/>
      <c r="P224" s="902"/>
      <c r="Q224" s="902"/>
      <c r="R224" s="902">
        <f t="shared" si="6"/>
        <v>0</v>
      </c>
      <c r="S224" s="903" t="s">
        <v>516</v>
      </c>
      <c r="T224" s="902"/>
      <c r="U224" s="902"/>
      <c r="V224" s="902"/>
      <c r="W224" s="902"/>
      <c r="X224" s="902"/>
      <c r="Y224" s="902"/>
      <c r="Z224" s="902"/>
      <c r="AA224" s="902"/>
      <c r="AB224" s="902"/>
      <c r="AC224" s="902"/>
    </row>
    <row r="225" spans="1:29" s="890" customFormat="1" ht="15.65" outlineLevel="1">
      <c r="A225" s="976" t="s">
        <v>973</v>
      </c>
      <c r="B225" s="898"/>
      <c r="C225" s="898"/>
      <c r="D225" s="899"/>
      <c r="E225" s="899"/>
      <c r="F225" s="899"/>
      <c r="G225" s="900"/>
      <c r="H225" s="901"/>
      <c r="I225" s="902"/>
      <c r="J225" s="897"/>
      <c r="K225" s="903"/>
      <c r="L225" s="899">
        <f t="shared" si="5"/>
        <v>0</v>
      </c>
      <c r="M225" s="903" t="s">
        <v>488</v>
      </c>
      <c r="N225" s="903" t="s">
        <v>524</v>
      </c>
      <c r="O225" s="903"/>
      <c r="P225" s="902"/>
      <c r="Q225" s="902"/>
      <c r="R225" s="902">
        <f t="shared" si="6"/>
        <v>0</v>
      </c>
      <c r="S225" s="903" t="s">
        <v>517</v>
      </c>
      <c r="T225" s="902"/>
      <c r="U225" s="902"/>
      <c r="V225" s="902"/>
      <c r="W225" s="902"/>
      <c r="X225" s="902"/>
      <c r="Y225" s="902"/>
      <c r="Z225" s="902"/>
      <c r="AA225" s="902"/>
      <c r="AB225" s="902"/>
      <c r="AC225" s="902"/>
    </row>
    <row r="226" spans="1:29" s="890" customFormat="1" ht="15.65" outlineLevel="1">
      <c r="A226" s="976" t="s">
        <v>1090</v>
      </c>
      <c r="B226" s="898"/>
      <c r="C226" s="898"/>
      <c r="D226" s="899"/>
      <c r="E226" s="899"/>
      <c r="F226" s="899"/>
      <c r="G226" s="900"/>
      <c r="H226" s="901"/>
      <c r="I226" s="902"/>
      <c r="J226" s="897"/>
      <c r="K226" s="903"/>
      <c r="L226" s="899">
        <f t="shared" si="5"/>
        <v>0</v>
      </c>
      <c r="M226" s="903" t="s">
        <v>466</v>
      </c>
      <c r="N226" s="903" t="s">
        <v>496</v>
      </c>
      <c r="O226" s="903"/>
      <c r="P226" s="902"/>
      <c r="Q226" s="902"/>
      <c r="R226" s="902">
        <f t="shared" si="6"/>
        <v>0</v>
      </c>
      <c r="S226" s="927" t="s">
        <v>518</v>
      </c>
      <c r="T226" s="902"/>
      <c r="U226" s="902"/>
      <c r="V226" s="902"/>
      <c r="W226" s="902"/>
      <c r="X226" s="902"/>
      <c r="Y226" s="902"/>
      <c r="Z226" s="902"/>
      <c r="AA226" s="902"/>
      <c r="AB226" s="902"/>
      <c r="AC226" s="902"/>
    </row>
    <row r="227" spans="1:29" s="890" customFormat="1" ht="15.65" outlineLevel="1">
      <c r="A227" s="976" t="s">
        <v>1091</v>
      </c>
      <c r="B227" s="898"/>
      <c r="C227" s="898"/>
      <c r="D227" s="899"/>
      <c r="E227" s="899"/>
      <c r="F227" s="899"/>
      <c r="G227" s="900"/>
      <c r="H227" s="901"/>
      <c r="I227" s="902"/>
      <c r="J227" s="897"/>
      <c r="K227" s="903"/>
      <c r="L227" s="899">
        <f t="shared" si="5"/>
        <v>0</v>
      </c>
      <c r="M227" s="903" t="s">
        <v>474</v>
      </c>
      <c r="N227" s="903" t="s">
        <v>525</v>
      </c>
      <c r="O227" s="903"/>
      <c r="P227" s="902"/>
      <c r="Q227" s="902"/>
      <c r="R227" s="902">
        <f t="shared" si="6"/>
        <v>0</v>
      </c>
      <c r="S227" s="1568" t="s">
        <v>529</v>
      </c>
      <c r="T227" s="1568"/>
      <c r="U227" s="902"/>
      <c r="V227" s="902"/>
      <c r="W227" s="902"/>
      <c r="X227" s="902"/>
      <c r="Y227" s="902"/>
      <c r="Z227" s="902"/>
      <c r="AA227" s="902"/>
      <c r="AB227" s="902"/>
      <c r="AC227" s="902"/>
    </row>
    <row r="228" spans="1:29" s="890" customFormat="1" ht="15.65" outlineLevel="1">
      <c r="A228" s="897" t="s">
        <v>1092</v>
      </c>
      <c r="B228" s="898"/>
      <c r="C228" s="898"/>
      <c r="D228" s="899"/>
      <c r="E228" s="899"/>
      <c r="F228" s="899"/>
      <c r="G228" s="900"/>
      <c r="H228" s="901"/>
      <c r="I228" s="902"/>
      <c r="J228" s="897"/>
      <c r="K228" s="903"/>
      <c r="L228" s="899">
        <f t="shared" si="5"/>
        <v>0</v>
      </c>
      <c r="M228" s="903" t="s">
        <v>468</v>
      </c>
      <c r="N228" s="903" t="s">
        <v>525</v>
      </c>
      <c r="O228" s="903"/>
      <c r="P228" s="902"/>
      <c r="Q228" s="902"/>
      <c r="R228" s="902">
        <f t="shared" si="6"/>
        <v>0</v>
      </c>
      <c r="S228" s="927" t="s">
        <v>519</v>
      </c>
      <c r="T228" s="902"/>
      <c r="U228" s="902"/>
      <c r="V228" s="902"/>
      <c r="W228" s="902"/>
      <c r="X228" s="902"/>
      <c r="Y228" s="902"/>
      <c r="Z228" s="902"/>
      <c r="AA228" s="902"/>
      <c r="AB228" s="902"/>
      <c r="AC228" s="902"/>
    </row>
    <row r="229" spans="1:29" s="890" customFormat="1" ht="15.65" outlineLevel="1">
      <c r="A229" s="897" t="s">
        <v>966</v>
      </c>
      <c r="B229" s="898"/>
      <c r="C229" s="898"/>
      <c r="D229" s="899"/>
      <c r="E229" s="899"/>
      <c r="F229" s="899"/>
      <c r="G229" s="900"/>
      <c r="H229" s="901"/>
      <c r="I229" s="902"/>
      <c r="J229" s="897"/>
      <c r="K229" s="903"/>
      <c r="L229" s="899">
        <f t="shared" si="5"/>
        <v>0</v>
      </c>
      <c r="M229" s="903" t="s">
        <v>479</v>
      </c>
      <c r="N229" s="903" t="s">
        <v>531</v>
      </c>
      <c r="O229" s="903"/>
      <c r="P229" s="902"/>
      <c r="Q229" s="902"/>
      <c r="R229" s="902">
        <f t="shared" si="6"/>
        <v>0</v>
      </c>
      <c r="S229" s="902" t="s">
        <v>520</v>
      </c>
      <c r="T229" s="902"/>
      <c r="U229" s="902"/>
      <c r="V229" s="902"/>
      <c r="W229" s="902"/>
      <c r="X229" s="902"/>
      <c r="Y229" s="902"/>
      <c r="Z229" s="902"/>
      <c r="AA229" s="902"/>
      <c r="AB229" s="902"/>
      <c r="AC229" s="902"/>
    </row>
    <row r="230" spans="1:29" s="890" customFormat="1" ht="15.65" outlineLevel="1">
      <c r="A230" s="976" t="s">
        <v>1093</v>
      </c>
      <c r="B230" s="898"/>
      <c r="C230" s="898"/>
      <c r="D230" s="899"/>
      <c r="E230" s="899"/>
      <c r="F230" s="899"/>
      <c r="G230" s="900"/>
      <c r="H230" s="901"/>
      <c r="I230" s="902"/>
      <c r="J230" s="897"/>
      <c r="K230" s="903"/>
      <c r="L230" s="899">
        <f t="shared" si="5"/>
        <v>0</v>
      </c>
      <c r="M230" s="903" t="s">
        <v>476</v>
      </c>
      <c r="N230" s="903" t="s">
        <v>532</v>
      </c>
      <c r="O230" s="903"/>
      <c r="P230" s="902"/>
      <c r="Q230" s="902"/>
      <c r="R230" s="902">
        <f t="shared" si="6"/>
        <v>0</v>
      </c>
      <c r="S230" s="902" t="s">
        <v>516</v>
      </c>
      <c r="T230" s="902"/>
      <c r="U230" s="902"/>
      <c r="V230" s="902"/>
      <c r="W230" s="902"/>
      <c r="X230" s="902"/>
      <c r="Y230" s="902"/>
      <c r="Z230" s="902"/>
      <c r="AA230" s="902"/>
      <c r="AB230" s="902"/>
      <c r="AC230" s="902"/>
    </row>
    <row r="231" spans="1:29" s="890" customFormat="1" ht="15.65" outlineLevel="1">
      <c r="A231" s="976" t="s">
        <v>1094</v>
      </c>
      <c r="B231" s="898"/>
      <c r="C231" s="898"/>
      <c r="D231" s="899"/>
      <c r="E231" s="899"/>
      <c r="F231" s="899"/>
      <c r="G231" s="900"/>
      <c r="H231" s="901"/>
      <c r="I231" s="902"/>
      <c r="J231" s="897"/>
      <c r="K231" s="903"/>
      <c r="L231" s="899">
        <f t="shared" si="5"/>
        <v>0</v>
      </c>
      <c r="M231" s="903" t="s">
        <v>470</v>
      </c>
      <c r="N231" s="903" t="s">
        <v>533</v>
      </c>
      <c r="O231" s="927"/>
      <c r="P231" s="902"/>
      <c r="Q231" s="902"/>
      <c r="R231" s="902">
        <f t="shared" si="6"/>
        <v>0</v>
      </c>
      <c r="S231" s="902" t="s">
        <v>522</v>
      </c>
      <c r="T231" s="902"/>
      <c r="U231" s="902"/>
      <c r="V231" s="902"/>
      <c r="W231" s="902"/>
      <c r="X231" s="902"/>
      <c r="Y231" s="902"/>
      <c r="Z231" s="902"/>
      <c r="AA231" s="902"/>
      <c r="AB231" s="902"/>
      <c r="AC231" s="902"/>
    </row>
    <row r="232" spans="1:29" s="890" customFormat="1" ht="15.65" outlineLevel="1">
      <c r="A232" s="976" t="s">
        <v>1095</v>
      </c>
      <c r="B232" s="898"/>
      <c r="C232" s="898"/>
      <c r="D232" s="899"/>
      <c r="E232" s="899"/>
      <c r="F232" s="899"/>
      <c r="G232" s="900"/>
      <c r="H232" s="901"/>
      <c r="I232" s="902"/>
      <c r="J232" s="897"/>
      <c r="K232" s="903"/>
      <c r="L232" s="899">
        <f t="shared" si="5"/>
        <v>0</v>
      </c>
      <c r="M232" s="903" t="s">
        <v>473</v>
      </c>
      <c r="N232" s="903" t="s">
        <v>498</v>
      </c>
      <c r="O232" s="927"/>
      <c r="P232" s="902"/>
      <c r="Q232" s="902"/>
      <c r="R232" s="902">
        <f t="shared" si="6"/>
        <v>0</v>
      </c>
      <c r="S232" s="902" t="s">
        <v>521</v>
      </c>
      <c r="T232" s="902"/>
      <c r="U232" s="902"/>
      <c r="V232" s="902"/>
      <c r="W232" s="902"/>
      <c r="X232" s="902"/>
      <c r="Y232" s="902"/>
      <c r="Z232" s="902"/>
      <c r="AA232" s="902"/>
      <c r="AB232" s="902"/>
      <c r="AC232" s="902"/>
    </row>
    <row r="233" spans="1:29" s="890" customFormat="1" ht="15.65" outlineLevel="1">
      <c r="A233" s="976" t="s">
        <v>1096</v>
      </c>
      <c r="B233" s="898"/>
      <c r="C233" s="898"/>
      <c r="D233" s="899"/>
      <c r="E233" s="899"/>
      <c r="F233" s="899"/>
      <c r="G233" s="900"/>
      <c r="H233" s="901"/>
      <c r="I233" s="902"/>
      <c r="J233" s="897"/>
      <c r="K233" s="903"/>
      <c r="L233" s="899">
        <f t="shared" si="5"/>
        <v>0</v>
      </c>
      <c r="M233" s="903" t="s">
        <v>486</v>
      </c>
      <c r="N233" s="903" t="s">
        <v>534</v>
      </c>
      <c r="O233" s="927"/>
      <c r="P233" s="902"/>
      <c r="Q233" s="902"/>
      <c r="R233" s="902"/>
      <c r="S233" s="902"/>
      <c r="T233" s="902"/>
      <c r="U233" s="902"/>
      <c r="V233" s="902"/>
      <c r="W233" s="902"/>
      <c r="X233" s="902"/>
      <c r="Y233" s="902"/>
      <c r="Z233" s="902"/>
      <c r="AA233" s="902"/>
      <c r="AB233" s="902"/>
      <c r="AC233" s="902"/>
    </row>
    <row r="234" spans="1:29" s="890" customFormat="1" ht="15.65" outlineLevel="1">
      <c r="A234" s="976" t="s">
        <v>1097</v>
      </c>
      <c r="B234" s="898"/>
      <c r="C234" s="898"/>
      <c r="D234" s="899"/>
      <c r="E234" s="899"/>
      <c r="F234" s="899"/>
      <c r="G234" s="900"/>
      <c r="H234" s="901"/>
      <c r="I234" s="902"/>
      <c r="J234" s="897"/>
      <c r="K234" s="903"/>
      <c r="L234" s="899">
        <f t="shared" si="5"/>
        <v>0</v>
      </c>
      <c r="M234" s="902" t="s">
        <v>478</v>
      </c>
      <c r="N234" s="927" t="s">
        <v>535</v>
      </c>
      <c r="O234" s="927"/>
      <c r="P234" s="902"/>
      <c r="Q234" s="902"/>
      <c r="R234" s="902"/>
      <c r="S234" s="902"/>
      <c r="T234" s="902"/>
      <c r="U234" s="902"/>
      <c r="V234" s="902"/>
      <c r="W234" s="902"/>
      <c r="X234" s="902"/>
      <c r="Y234" s="902"/>
      <c r="Z234" s="902"/>
      <c r="AA234" s="902"/>
      <c r="AB234" s="902"/>
      <c r="AC234" s="902"/>
    </row>
    <row r="235" spans="1:29" s="890" customFormat="1" ht="15.65" outlineLevel="1">
      <c r="A235" s="976" t="s">
        <v>1012</v>
      </c>
      <c r="B235" s="898"/>
      <c r="C235" s="898"/>
      <c r="D235" s="899"/>
      <c r="E235" s="899"/>
      <c r="F235" s="899"/>
      <c r="G235" s="900"/>
      <c r="H235" s="901"/>
      <c r="I235" s="902"/>
      <c r="J235" s="897"/>
      <c r="K235" s="903"/>
      <c r="L235" s="899">
        <f t="shared" si="5"/>
        <v>0</v>
      </c>
      <c r="M235" s="974" t="s">
        <v>493</v>
      </c>
      <c r="N235" s="1568" t="s">
        <v>494</v>
      </c>
      <c r="O235" s="1568"/>
      <c r="P235" s="902"/>
      <c r="Q235" s="902"/>
      <c r="R235" s="902"/>
      <c r="S235" s="902"/>
      <c r="T235" s="902"/>
      <c r="U235" s="902"/>
      <c r="V235" s="902"/>
      <c r="W235" s="902"/>
      <c r="X235" s="902"/>
      <c r="Y235" s="902"/>
      <c r="Z235" s="902"/>
      <c r="AA235" s="902"/>
      <c r="AB235" s="902"/>
      <c r="AC235" s="902"/>
    </row>
    <row r="236" spans="1:29" s="890" customFormat="1" ht="15.65" outlineLevel="1">
      <c r="A236" s="976" t="s">
        <v>1098</v>
      </c>
      <c r="B236" s="898"/>
      <c r="C236" s="898"/>
      <c r="D236" s="899"/>
      <c r="E236" s="899"/>
      <c r="F236" s="899"/>
      <c r="G236" s="900"/>
      <c r="H236" s="901"/>
      <c r="I236" s="902"/>
      <c r="J236" s="897"/>
      <c r="K236" s="903"/>
      <c r="L236" s="899">
        <f t="shared" si="5"/>
        <v>0</v>
      </c>
      <c r="M236" s="927" t="s">
        <v>471</v>
      </c>
      <c r="N236" s="927" t="s">
        <v>536</v>
      </c>
      <c r="O236" s="927"/>
      <c r="P236" s="902"/>
      <c r="Q236" s="902"/>
      <c r="R236" s="902"/>
      <c r="S236" s="902"/>
      <c r="T236" s="902"/>
      <c r="U236" s="902"/>
      <c r="V236" s="902"/>
      <c r="W236" s="902"/>
      <c r="X236" s="902"/>
      <c r="Y236" s="902"/>
      <c r="Z236" s="902"/>
      <c r="AA236" s="902"/>
      <c r="AB236" s="902"/>
      <c r="AC236" s="902"/>
    </row>
    <row r="237" spans="1:29" s="890" customFormat="1" ht="15.65" outlineLevel="1">
      <c r="A237" s="976" t="s">
        <v>1099</v>
      </c>
      <c r="B237" s="898"/>
      <c r="C237" s="898"/>
      <c r="D237" s="899"/>
      <c r="E237" s="899"/>
      <c r="F237" s="899"/>
      <c r="G237" s="900"/>
      <c r="H237" s="901"/>
      <c r="I237" s="902"/>
      <c r="J237" s="897"/>
      <c r="K237" s="903"/>
      <c r="L237" s="899">
        <f t="shared" si="5"/>
        <v>0</v>
      </c>
      <c r="M237" s="927" t="s">
        <v>480</v>
      </c>
      <c r="N237" s="927" t="s">
        <v>537</v>
      </c>
      <c r="O237" s="927"/>
      <c r="P237" s="902"/>
      <c r="Q237" s="902"/>
      <c r="R237" s="902"/>
      <c r="S237" s="902"/>
      <c r="T237" s="902"/>
      <c r="U237" s="902"/>
      <c r="V237" s="902"/>
      <c r="W237" s="902"/>
      <c r="X237" s="902"/>
      <c r="Y237" s="902"/>
      <c r="Z237" s="902"/>
      <c r="AA237" s="902"/>
      <c r="AB237" s="902"/>
      <c r="AC237" s="902"/>
    </row>
    <row r="238" spans="1:29" s="890" customFormat="1" ht="15.65" outlineLevel="1">
      <c r="A238" s="976" t="s">
        <v>1100</v>
      </c>
      <c r="B238" s="898"/>
      <c r="C238" s="898"/>
      <c r="D238" s="899"/>
      <c r="E238" s="899"/>
      <c r="F238" s="899"/>
      <c r="G238" s="900"/>
      <c r="H238" s="901"/>
      <c r="I238" s="902"/>
      <c r="J238" s="897"/>
      <c r="K238" s="903"/>
      <c r="L238" s="899">
        <f t="shared" si="5"/>
        <v>0</v>
      </c>
      <c r="M238" s="927" t="s">
        <v>469</v>
      </c>
      <c r="N238" s="927" t="s">
        <v>499</v>
      </c>
      <c r="O238" s="927"/>
      <c r="P238" s="902"/>
      <c r="Q238" s="902"/>
      <c r="R238" s="902"/>
      <c r="S238" s="902"/>
      <c r="T238" s="902"/>
      <c r="U238" s="902"/>
      <c r="V238" s="902"/>
      <c r="W238" s="902"/>
      <c r="X238" s="902"/>
      <c r="Y238" s="902"/>
      <c r="Z238" s="902"/>
      <c r="AA238" s="902"/>
      <c r="AB238" s="902"/>
      <c r="AC238" s="902"/>
    </row>
    <row r="239" spans="1:29" s="890" customFormat="1" ht="15.65" outlineLevel="1">
      <c r="A239" s="976" t="s">
        <v>1101</v>
      </c>
      <c r="B239" s="898"/>
      <c r="C239" s="898"/>
      <c r="D239" s="899"/>
      <c r="E239" s="899"/>
      <c r="F239" s="899"/>
      <c r="G239" s="900"/>
      <c r="H239" s="901"/>
      <c r="I239" s="902"/>
      <c r="J239" s="897"/>
      <c r="K239" s="903"/>
      <c r="L239" s="899">
        <f t="shared" si="5"/>
        <v>0</v>
      </c>
      <c r="M239" s="927" t="s">
        <v>475</v>
      </c>
      <c r="N239" s="927" t="s">
        <v>538</v>
      </c>
      <c r="O239" s="927"/>
      <c r="P239" s="902"/>
      <c r="Q239" s="902"/>
      <c r="R239" s="902"/>
      <c r="S239" s="902"/>
      <c r="T239" s="902"/>
      <c r="U239" s="902"/>
      <c r="V239" s="902"/>
      <c r="W239" s="902"/>
      <c r="X239" s="902"/>
      <c r="Y239" s="902"/>
      <c r="Z239" s="902"/>
      <c r="AA239" s="902"/>
      <c r="AB239" s="902"/>
      <c r="AC239" s="902"/>
    </row>
    <row r="240" spans="1:29" s="890" customFormat="1" ht="15.65" outlineLevel="1">
      <c r="A240" s="976" t="s">
        <v>1102</v>
      </c>
      <c r="B240" s="898"/>
      <c r="C240" s="898"/>
      <c r="D240" s="899"/>
      <c r="E240" s="899"/>
      <c r="F240" s="899"/>
      <c r="G240" s="900"/>
      <c r="H240" s="901"/>
      <c r="I240" s="902"/>
      <c r="J240" s="897"/>
      <c r="K240" s="903"/>
      <c r="L240" s="899">
        <f t="shared" si="5"/>
        <v>0</v>
      </c>
      <c r="M240" s="927" t="s">
        <v>477</v>
      </c>
      <c r="N240" s="927" t="s">
        <v>539</v>
      </c>
      <c r="O240" s="902"/>
      <c r="P240" s="902"/>
      <c r="Q240" s="902"/>
      <c r="R240" s="902"/>
      <c r="S240" s="902"/>
      <c r="T240" s="902"/>
      <c r="U240" s="902"/>
      <c r="V240" s="902"/>
      <c r="W240" s="902"/>
      <c r="X240" s="902"/>
      <c r="Y240" s="902"/>
      <c r="Z240" s="902"/>
      <c r="AA240" s="902"/>
      <c r="AB240" s="902"/>
      <c r="AC240" s="902"/>
    </row>
    <row r="244" spans="1:29" s="890" customFormat="1" ht="15.65">
      <c r="A244" s="975" t="s">
        <v>1103</v>
      </c>
      <c r="B244" s="898" t="s">
        <v>490</v>
      </c>
      <c r="C244" s="898"/>
      <c r="D244" s="899">
        <v>79900</v>
      </c>
      <c r="E244" s="899">
        <v>88900</v>
      </c>
      <c r="F244" s="899"/>
      <c r="G244" s="900">
        <v>6</v>
      </c>
      <c r="H244" s="895"/>
      <c r="I244" s="902" t="str">
        <f>IF(H244="x",CONCATENATE(A244,"; "),"")</f>
        <v/>
      </c>
      <c r="J244" s="897"/>
      <c r="K244" s="903"/>
      <c r="L244" s="899">
        <f t="shared" ref="L244:L256" si="7">E244-C244</f>
        <v>88900</v>
      </c>
      <c r="M244" s="902"/>
      <c r="N244" s="902"/>
      <c r="O244" s="902"/>
      <c r="P244" s="902"/>
      <c r="Q244" s="902"/>
      <c r="R244" s="902"/>
      <c r="S244" s="902"/>
      <c r="T244" s="902"/>
      <c r="U244" s="902"/>
      <c r="V244" s="902"/>
      <c r="W244" s="902"/>
      <c r="X244" s="902"/>
      <c r="Y244" s="902"/>
      <c r="Z244" s="902"/>
      <c r="AA244" s="902"/>
      <c r="AB244" s="902"/>
      <c r="AC244" s="902"/>
    </row>
    <row r="245" spans="1:29" s="890" customFormat="1" ht="62.5" outlineLevel="1">
      <c r="A245" s="978" t="s">
        <v>1104</v>
      </c>
      <c r="B245" s="898"/>
      <c r="C245" s="898"/>
      <c r="D245" s="899"/>
      <c r="E245" s="899"/>
      <c r="F245" s="899"/>
      <c r="G245" s="900"/>
      <c r="H245" s="901"/>
      <c r="I245" s="902"/>
      <c r="J245" s="897"/>
      <c r="K245" s="903"/>
      <c r="L245" s="899">
        <f t="shared" si="7"/>
        <v>0</v>
      </c>
      <c r="M245" s="903" t="s">
        <v>463</v>
      </c>
      <c r="N245" s="903" t="s">
        <v>495</v>
      </c>
      <c r="O245" s="903"/>
      <c r="P245" s="902"/>
      <c r="Q245" s="902"/>
      <c r="R245" s="902">
        <f>(COUNTIF(L245:L250,"&lt;&gt;0"))+IF(H244="x",1,0)</f>
        <v>0</v>
      </c>
      <c r="S245" s="903" t="s">
        <v>510</v>
      </c>
      <c r="T245" s="902"/>
      <c r="U245" s="902"/>
      <c r="V245" s="902"/>
      <c r="W245" s="902"/>
      <c r="X245" s="902"/>
      <c r="Y245" s="902"/>
      <c r="Z245" s="902"/>
      <c r="AA245" s="902"/>
      <c r="AB245" s="902"/>
      <c r="AC245" s="902"/>
    </row>
    <row r="246" spans="1:29" s="890" customFormat="1" ht="187.5" outlineLevel="1">
      <c r="A246" s="978" t="s">
        <v>1105</v>
      </c>
      <c r="B246" s="898"/>
      <c r="C246" s="898"/>
      <c r="D246" s="899"/>
      <c r="E246" s="899"/>
      <c r="F246" s="899"/>
      <c r="G246" s="900"/>
      <c r="H246" s="901"/>
      <c r="I246" s="902"/>
      <c r="J246" s="897"/>
      <c r="K246" s="903"/>
      <c r="L246" s="899">
        <f t="shared" si="7"/>
        <v>0</v>
      </c>
      <c r="M246" s="903" t="s">
        <v>487</v>
      </c>
      <c r="N246" s="903" t="s">
        <v>523</v>
      </c>
      <c r="O246" s="903"/>
      <c r="P246" s="902"/>
      <c r="Q246" s="902"/>
      <c r="R246" s="902">
        <f>COUNTIF(L251:L252,"&lt;&gt;0")</f>
        <v>0</v>
      </c>
      <c r="S246" s="903" t="s">
        <v>511</v>
      </c>
      <c r="T246" s="902"/>
      <c r="U246" s="902"/>
      <c r="V246" s="902"/>
      <c r="W246" s="902"/>
      <c r="X246" s="902"/>
      <c r="Y246" s="902"/>
      <c r="Z246" s="902"/>
      <c r="AA246" s="902"/>
      <c r="AB246" s="902"/>
      <c r="AC246" s="902"/>
    </row>
    <row r="247" spans="1:29" s="890" customFormat="1" ht="140.6" outlineLevel="1">
      <c r="A247" s="978" t="s">
        <v>1106</v>
      </c>
      <c r="B247" s="898"/>
      <c r="C247" s="898"/>
      <c r="D247" s="899"/>
      <c r="E247" s="899"/>
      <c r="F247" s="899"/>
      <c r="G247" s="900"/>
      <c r="H247" s="901"/>
      <c r="I247" s="902"/>
      <c r="J247" s="897"/>
      <c r="K247" s="903"/>
      <c r="L247" s="899">
        <f t="shared" si="7"/>
        <v>0</v>
      </c>
      <c r="M247" s="903" t="s">
        <v>465</v>
      </c>
      <c r="N247" s="903" t="s">
        <v>523</v>
      </c>
      <c r="O247" s="903"/>
      <c r="P247" s="902"/>
      <c r="Q247" s="902"/>
      <c r="R247" s="902">
        <f>COUNTIF(L253:L255,"&lt;&gt;0")</f>
        <v>0</v>
      </c>
      <c r="S247" s="903" t="s">
        <v>512</v>
      </c>
      <c r="T247" s="902"/>
      <c r="U247" s="902"/>
      <c r="V247" s="902"/>
      <c r="W247" s="902"/>
      <c r="X247" s="902"/>
      <c r="Y247" s="902"/>
      <c r="Z247" s="902"/>
      <c r="AA247" s="902"/>
      <c r="AB247" s="902"/>
      <c r="AC247" s="902"/>
    </row>
    <row r="248" spans="1:29" s="890" customFormat="1" ht="46.9" outlineLevel="1">
      <c r="A248" s="978" t="s">
        <v>1107</v>
      </c>
      <c r="B248" s="898"/>
      <c r="C248" s="898"/>
      <c r="D248" s="899"/>
      <c r="E248" s="899"/>
      <c r="F248" s="899"/>
      <c r="G248" s="900"/>
      <c r="H248" s="901"/>
      <c r="I248" s="902"/>
      <c r="J248" s="897"/>
      <c r="K248" s="903"/>
      <c r="L248" s="899">
        <f t="shared" si="7"/>
        <v>0</v>
      </c>
      <c r="M248" s="903" t="s">
        <v>467</v>
      </c>
      <c r="N248" s="903" t="s">
        <v>523</v>
      </c>
      <c r="O248" s="903"/>
      <c r="P248" s="902"/>
      <c r="Q248" s="902"/>
      <c r="R248" s="902">
        <f>COUNTIF(L256,"&lt;&gt;0")</f>
        <v>0</v>
      </c>
      <c r="S248" s="903" t="s">
        <v>514</v>
      </c>
      <c r="T248" s="902"/>
      <c r="U248" s="902"/>
      <c r="V248" s="902"/>
      <c r="W248" s="902"/>
      <c r="X248" s="902"/>
      <c r="Y248" s="902"/>
      <c r="Z248" s="902"/>
      <c r="AA248" s="902"/>
      <c r="AB248" s="902"/>
      <c r="AC248" s="902"/>
    </row>
    <row r="249" spans="1:29" s="890" customFormat="1" ht="15.65" outlineLevel="1">
      <c r="A249" s="978" t="s">
        <v>1108</v>
      </c>
      <c r="B249" s="898"/>
      <c r="C249" s="898"/>
      <c r="D249" s="899"/>
      <c r="E249" s="899"/>
      <c r="F249" s="899"/>
      <c r="G249" s="900"/>
      <c r="H249" s="901"/>
      <c r="I249" s="902"/>
      <c r="J249" s="897"/>
      <c r="K249" s="903"/>
      <c r="L249" s="899">
        <f t="shared" si="7"/>
        <v>0</v>
      </c>
      <c r="M249" s="903" t="s">
        <v>472</v>
      </c>
      <c r="N249" s="903" t="s">
        <v>523</v>
      </c>
      <c r="O249" s="903"/>
      <c r="P249" s="902"/>
      <c r="Q249" s="902"/>
      <c r="R249" s="902" t="e">
        <f>COUNTIF(#REF!,"&lt;&gt;0")</f>
        <v>#REF!</v>
      </c>
      <c r="S249" s="903" t="s">
        <v>513</v>
      </c>
      <c r="T249" s="902"/>
      <c r="U249" s="902"/>
      <c r="V249" s="902"/>
      <c r="W249" s="902"/>
      <c r="X249" s="902"/>
      <c r="Y249" s="902"/>
      <c r="Z249" s="902"/>
      <c r="AA249" s="902"/>
      <c r="AB249" s="902"/>
      <c r="AC249" s="902"/>
    </row>
    <row r="250" spans="1:29" s="890" customFormat="1" ht="46.9" outlineLevel="1">
      <c r="A250" s="978" t="s">
        <v>1109</v>
      </c>
      <c r="B250" s="898"/>
      <c r="C250" s="898"/>
      <c r="D250" s="899"/>
      <c r="E250" s="899"/>
      <c r="F250" s="899"/>
      <c r="G250" s="900"/>
      <c r="H250" s="901"/>
      <c r="I250" s="902"/>
      <c r="J250" s="897"/>
      <c r="K250" s="903"/>
      <c r="L250" s="899">
        <f t="shared" si="7"/>
        <v>0</v>
      </c>
      <c r="M250" s="903" t="s">
        <v>485</v>
      </c>
      <c r="N250" s="903" t="s">
        <v>523</v>
      </c>
      <c r="O250" s="903"/>
      <c r="P250" s="902"/>
      <c r="Q250" s="902"/>
      <c r="R250" s="902" t="e">
        <f>COUNTIF(#REF!,"&lt;&gt;0")</f>
        <v>#REF!</v>
      </c>
      <c r="S250" s="903" t="s">
        <v>515</v>
      </c>
      <c r="T250" s="902"/>
      <c r="U250" s="902"/>
      <c r="V250" s="902"/>
      <c r="W250" s="902"/>
      <c r="X250" s="902"/>
      <c r="Y250" s="902"/>
      <c r="Z250" s="902"/>
      <c r="AA250" s="902"/>
      <c r="AB250" s="902"/>
      <c r="AC250" s="902"/>
    </row>
    <row r="251" spans="1:29" s="890" customFormat="1" ht="156.25" outlineLevel="1">
      <c r="A251" s="978" t="s">
        <v>1110</v>
      </c>
      <c r="B251" s="898"/>
      <c r="C251" s="898"/>
      <c r="D251" s="899"/>
      <c r="E251" s="899"/>
      <c r="F251" s="899"/>
      <c r="G251" s="900"/>
      <c r="H251" s="901"/>
      <c r="I251" s="902"/>
      <c r="J251" s="897"/>
      <c r="K251" s="903"/>
      <c r="L251" s="899">
        <f t="shared" si="7"/>
        <v>0</v>
      </c>
      <c r="M251" s="903" t="s">
        <v>464</v>
      </c>
      <c r="N251" s="903" t="s">
        <v>497</v>
      </c>
      <c r="O251" s="903"/>
      <c r="P251" s="902"/>
      <c r="Q251" s="902"/>
      <c r="R251" s="902" t="e">
        <f>COUNTIF(#REF!,"&lt;&gt;0")</f>
        <v>#REF!</v>
      </c>
      <c r="S251" s="903" t="s">
        <v>516</v>
      </c>
      <c r="T251" s="902"/>
      <c r="U251" s="902"/>
      <c r="V251" s="902"/>
      <c r="W251" s="902"/>
      <c r="X251" s="902"/>
      <c r="Y251" s="902"/>
      <c r="Z251" s="902"/>
      <c r="AA251" s="902"/>
      <c r="AB251" s="902"/>
      <c r="AC251" s="902"/>
    </row>
    <row r="252" spans="1:29" s="890" customFormat="1" ht="78.150000000000006" outlineLevel="1">
      <c r="A252" s="978" t="s">
        <v>1111</v>
      </c>
      <c r="B252" s="898"/>
      <c r="C252" s="898"/>
      <c r="D252" s="899"/>
      <c r="E252" s="899"/>
      <c r="F252" s="899"/>
      <c r="G252" s="900"/>
      <c r="H252" s="901"/>
      <c r="I252" s="902"/>
      <c r="J252" s="897"/>
      <c r="K252" s="903"/>
      <c r="L252" s="899">
        <f t="shared" si="7"/>
        <v>0</v>
      </c>
      <c r="M252" s="903" t="s">
        <v>488</v>
      </c>
      <c r="N252" s="903" t="s">
        <v>524</v>
      </c>
      <c r="O252" s="903"/>
      <c r="P252" s="902"/>
      <c r="Q252" s="902"/>
      <c r="R252" s="902" t="e">
        <f>COUNTIF(#REF!,"&lt;&gt;0")</f>
        <v>#REF!</v>
      </c>
      <c r="S252" s="903" t="s">
        <v>517</v>
      </c>
      <c r="T252" s="902"/>
      <c r="U252" s="902"/>
      <c r="V252" s="902"/>
      <c r="W252" s="902"/>
      <c r="X252" s="902"/>
      <c r="Y252" s="902"/>
      <c r="Z252" s="902"/>
      <c r="AA252" s="902"/>
      <c r="AB252" s="902"/>
      <c r="AC252" s="902"/>
    </row>
    <row r="253" spans="1:29" s="890" customFormat="1" ht="78.150000000000006" outlineLevel="1">
      <c r="A253" s="978" t="s">
        <v>1112</v>
      </c>
      <c r="B253" s="898"/>
      <c r="C253" s="898"/>
      <c r="D253" s="899"/>
      <c r="E253" s="899"/>
      <c r="F253" s="899"/>
      <c r="G253" s="900"/>
      <c r="H253" s="901"/>
      <c r="I253" s="902"/>
      <c r="J253" s="897"/>
      <c r="K253" s="903"/>
      <c r="L253" s="899">
        <f t="shared" si="7"/>
        <v>0</v>
      </c>
      <c r="M253" s="903" t="s">
        <v>466</v>
      </c>
      <c r="N253" s="903" t="s">
        <v>496</v>
      </c>
      <c r="O253" s="903"/>
      <c r="P253" s="902"/>
      <c r="Q253" s="902"/>
      <c r="R253" s="902" t="e">
        <f>COUNTIF(#REF!,"&lt;&gt;0")</f>
        <v>#REF!</v>
      </c>
      <c r="S253" s="927" t="s">
        <v>518</v>
      </c>
      <c r="T253" s="902"/>
      <c r="U253" s="902"/>
      <c r="V253" s="902"/>
      <c r="W253" s="902"/>
      <c r="X253" s="902"/>
      <c r="Y253" s="902"/>
      <c r="Z253" s="902"/>
      <c r="AA253" s="902"/>
      <c r="AB253" s="902"/>
      <c r="AC253" s="902"/>
    </row>
    <row r="254" spans="1:29" s="890" customFormat="1" ht="187.5" outlineLevel="1">
      <c r="A254" s="978" t="s">
        <v>1113</v>
      </c>
      <c r="B254" s="898"/>
      <c r="C254" s="898"/>
      <c r="D254" s="899"/>
      <c r="E254" s="899"/>
      <c r="F254" s="899"/>
      <c r="G254" s="900"/>
      <c r="H254" s="901"/>
      <c r="I254" s="902"/>
      <c r="J254" s="897"/>
      <c r="K254" s="903"/>
      <c r="L254" s="899">
        <f t="shared" si="7"/>
        <v>0</v>
      </c>
      <c r="M254" s="903" t="s">
        <v>474</v>
      </c>
      <c r="N254" s="903" t="s">
        <v>525</v>
      </c>
      <c r="O254" s="903"/>
      <c r="P254" s="902"/>
      <c r="Q254" s="902"/>
      <c r="R254" s="902" t="e">
        <f>COUNTIF(#REF!,"&lt;&gt;0")</f>
        <v>#REF!</v>
      </c>
      <c r="S254" s="1568" t="s">
        <v>529</v>
      </c>
      <c r="T254" s="1568"/>
      <c r="U254" s="902"/>
      <c r="V254" s="902"/>
      <c r="W254" s="902"/>
      <c r="X254" s="902"/>
      <c r="Y254" s="902"/>
      <c r="Z254" s="902"/>
      <c r="AA254" s="902"/>
      <c r="AB254" s="902"/>
      <c r="AC254" s="902"/>
    </row>
    <row r="255" spans="1:29" s="890" customFormat="1" ht="46.9" outlineLevel="1">
      <c r="A255" s="978" t="s">
        <v>1114</v>
      </c>
      <c r="B255" s="898"/>
      <c r="C255" s="898"/>
      <c r="D255" s="899"/>
      <c r="E255" s="899"/>
      <c r="F255" s="899"/>
      <c r="G255" s="900"/>
      <c r="H255" s="901"/>
      <c r="I255" s="902"/>
      <c r="J255" s="897"/>
      <c r="K255" s="903"/>
      <c r="L255" s="899">
        <f t="shared" si="7"/>
        <v>0</v>
      </c>
      <c r="M255" s="903" t="s">
        <v>468</v>
      </c>
      <c r="N255" s="903" t="s">
        <v>525</v>
      </c>
      <c r="O255" s="903"/>
      <c r="P255" s="902"/>
      <c r="Q255" s="902"/>
      <c r="R255" s="902" t="e">
        <f>COUNTIF(#REF!,"&lt;&gt;0")</f>
        <v>#REF!</v>
      </c>
      <c r="S255" s="927" t="s">
        <v>519</v>
      </c>
      <c r="T255" s="902"/>
      <c r="U255" s="902"/>
      <c r="V255" s="902"/>
      <c r="W255" s="902"/>
      <c r="X255" s="902"/>
      <c r="Y255" s="902"/>
      <c r="Z255" s="902"/>
      <c r="AA255" s="902"/>
      <c r="AB255" s="902"/>
      <c r="AC255" s="902"/>
    </row>
    <row r="256" spans="1:29" s="890" customFormat="1" ht="31.25" outlineLevel="1">
      <c r="A256" s="978" t="s">
        <v>1115</v>
      </c>
      <c r="B256" s="898"/>
      <c r="C256" s="898"/>
      <c r="D256" s="899"/>
      <c r="E256" s="899"/>
      <c r="F256" s="899"/>
      <c r="G256" s="900"/>
      <c r="H256" s="901"/>
      <c r="I256" s="902"/>
      <c r="J256" s="897"/>
      <c r="K256" s="903"/>
      <c r="L256" s="899">
        <f t="shared" si="7"/>
        <v>0</v>
      </c>
      <c r="M256" s="903" t="s">
        <v>479</v>
      </c>
      <c r="N256" s="903" t="s">
        <v>531</v>
      </c>
      <c r="O256" s="903"/>
      <c r="P256" s="902"/>
      <c r="Q256" s="902"/>
      <c r="R256" s="902" t="e">
        <f>COUNTIF(#REF!,"&lt;&gt;0")</f>
        <v>#REF!</v>
      </c>
      <c r="S256" s="902" t="s">
        <v>520</v>
      </c>
      <c r="T256" s="902"/>
      <c r="U256" s="902"/>
      <c r="V256" s="902"/>
      <c r="W256" s="902"/>
      <c r="X256" s="902"/>
      <c r="Y256" s="902"/>
      <c r="Z256" s="902"/>
      <c r="AA256" s="902"/>
      <c r="AB256" s="902"/>
      <c r="AC256" s="902"/>
    </row>
    <row r="259" spans="1:12" ht="43.5">
      <c r="A259" s="1289" t="s">
        <v>6035</v>
      </c>
      <c r="L259" s="899">
        <v>16600</v>
      </c>
    </row>
    <row r="261" spans="1:12">
      <c r="A261" t="s">
        <v>6047</v>
      </c>
    </row>
    <row r="262" spans="1:12">
      <c r="A262" t="s">
        <v>6048</v>
      </c>
    </row>
    <row r="263" spans="1:12">
      <c r="A263" t="s">
        <v>6049</v>
      </c>
    </row>
    <row r="264" spans="1:12">
      <c r="A264" t="s">
        <v>6050</v>
      </c>
    </row>
    <row r="265" spans="1:12">
      <c r="A265" t="s">
        <v>6051</v>
      </c>
    </row>
    <row r="266" spans="1:12">
      <c r="A266" t="s">
        <v>6052</v>
      </c>
    </row>
    <row r="267" spans="1:12">
      <c r="A267" t="s">
        <v>6053</v>
      </c>
    </row>
    <row r="268" spans="1:12">
      <c r="A268" t="s">
        <v>6054</v>
      </c>
    </row>
    <row r="269" spans="1:12">
      <c r="A269" t="s">
        <v>6055</v>
      </c>
    </row>
    <row r="270" spans="1:12">
      <c r="A270" t="s">
        <v>6056</v>
      </c>
    </row>
    <row r="271" spans="1:12">
      <c r="A271" t="s">
        <v>6057</v>
      </c>
    </row>
    <row r="272" spans="1:12">
      <c r="A272" t="s">
        <v>6058</v>
      </c>
    </row>
    <row r="273" spans="1:1">
      <c r="A273" t="s">
        <v>6059</v>
      </c>
    </row>
    <row r="274" spans="1:1">
      <c r="A274" t="s">
        <v>6060</v>
      </c>
    </row>
    <row r="275" spans="1:1">
      <c r="A275" t="s">
        <v>6061</v>
      </c>
    </row>
    <row r="276" spans="1:1">
      <c r="A276" t="s">
        <v>6062</v>
      </c>
    </row>
    <row r="277" spans="1:1">
      <c r="A277" t="s">
        <v>6063</v>
      </c>
    </row>
    <row r="278" spans="1:1">
      <c r="A278" t="s">
        <v>6064</v>
      </c>
    </row>
    <row r="279" spans="1:1">
      <c r="A279" t="s">
        <v>6065</v>
      </c>
    </row>
    <row r="280" spans="1:1">
      <c r="A280" t="s">
        <v>6066</v>
      </c>
    </row>
    <row r="281" spans="1:1">
      <c r="A281" t="s">
        <v>6067</v>
      </c>
    </row>
    <row r="282" spans="1:1">
      <c r="A282" t="s">
        <v>6068</v>
      </c>
    </row>
    <row r="283" spans="1:1">
      <c r="A283" t="s">
        <v>6069</v>
      </c>
    </row>
    <row r="284" spans="1:1">
      <c r="A284" t="s">
        <v>6070</v>
      </c>
    </row>
    <row r="285" spans="1:1">
      <c r="A285" t="s">
        <v>6071</v>
      </c>
    </row>
    <row r="286" spans="1:1">
      <c r="A286" t="s">
        <v>6072</v>
      </c>
    </row>
    <row r="287" spans="1:1">
      <c r="A287" t="s">
        <v>6073</v>
      </c>
    </row>
    <row r="288" spans="1:1">
      <c r="A288" t="s">
        <v>6074</v>
      </c>
    </row>
    <row r="289" spans="1:12">
      <c r="A289" t="s">
        <v>6075</v>
      </c>
    </row>
    <row r="290" spans="1:12">
      <c r="A290" t="s">
        <v>6076</v>
      </c>
    </row>
    <row r="291" spans="1:12">
      <c r="A291" t="s">
        <v>6077</v>
      </c>
    </row>
    <row r="292" spans="1:12">
      <c r="A292" t="s">
        <v>6078</v>
      </c>
    </row>
    <row r="293" spans="1:12">
      <c r="A293" t="s">
        <v>6079</v>
      </c>
    </row>
    <row r="294" spans="1:12">
      <c r="A294" t="s">
        <v>6080</v>
      </c>
    </row>
    <row r="295" spans="1:12">
      <c r="A295" t="s">
        <v>6081</v>
      </c>
    </row>
    <row r="296" spans="1:12">
      <c r="A296" t="s">
        <v>6082</v>
      </c>
    </row>
    <row r="297" spans="1:12">
      <c r="A297" t="s">
        <v>6083</v>
      </c>
    </row>
    <row r="298" spans="1:12">
      <c r="A298" t="s">
        <v>6084</v>
      </c>
    </row>
    <row r="299" spans="1:12">
      <c r="A299" t="s">
        <v>6085</v>
      </c>
    </row>
    <row r="300" spans="1:12">
      <c r="A300" t="s">
        <v>6086</v>
      </c>
    </row>
    <row r="303" spans="1:12" ht="42.15">
      <c r="A303" s="1287" t="s">
        <v>6038</v>
      </c>
      <c r="L303" s="899">
        <v>16600</v>
      </c>
    </row>
    <row r="305" spans="1:1">
      <c r="A305" t="s">
        <v>6087</v>
      </c>
    </row>
    <row r="306" spans="1:1">
      <c r="A306" t="s">
        <v>6088</v>
      </c>
    </row>
    <row r="307" spans="1:1">
      <c r="A307" t="s">
        <v>6089</v>
      </c>
    </row>
    <row r="308" spans="1:1">
      <c r="A308" t="s">
        <v>6090</v>
      </c>
    </row>
    <row r="309" spans="1:1">
      <c r="A309" t="s">
        <v>6091</v>
      </c>
    </row>
    <row r="310" spans="1:1">
      <c r="A310" t="s">
        <v>6092</v>
      </c>
    </row>
    <row r="311" spans="1:1">
      <c r="A311" t="s">
        <v>6093</v>
      </c>
    </row>
    <row r="312" spans="1:1">
      <c r="A312" t="s">
        <v>6094</v>
      </c>
    </row>
    <row r="313" spans="1:1">
      <c r="A313" t="s">
        <v>6095</v>
      </c>
    </row>
    <row r="314" spans="1:1">
      <c r="A314" t="s">
        <v>6096</v>
      </c>
    </row>
    <row r="315" spans="1:1">
      <c r="A315" t="s">
        <v>6097</v>
      </c>
    </row>
    <row r="316" spans="1:1">
      <c r="A316" t="s">
        <v>6098</v>
      </c>
    </row>
    <row r="317" spans="1:1">
      <c r="A317" t="s">
        <v>6099</v>
      </c>
    </row>
    <row r="318" spans="1:1">
      <c r="A318" t="s">
        <v>6100</v>
      </c>
    </row>
    <row r="319" spans="1:1">
      <c r="A319" t="s">
        <v>6101</v>
      </c>
    </row>
    <row r="320" spans="1:1">
      <c r="A320" t="s">
        <v>6102</v>
      </c>
    </row>
    <row r="321" spans="1:1">
      <c r="A321" t="s">
        <v>6103</v>
      </c>
    </row>
    <row r="322" spans="1:1">
      <c r="A322" t="s">
        <v>6104</v>
      </c>
    </row>
    <row r="323" spans="1:1">
      <c r="A323" t="s">
        <v>6105</v>
      </c>
    </row>
    <row r="324" spans="1:1">
      <c r="A324" t="s">
        <v>6106</v>
      </c>
    </row>
    <row r="325" spans="1:1">
      <c r="A325" t="s">
        <v>6107</v>
      </c>
    </row>
    <row r="326" spans="1:1">
      <c r="A326" t="s">
        <v>6108</v>
      </c>
    </row>
    <row r="327" spans="1:1">
      <c r="A327" t="s">
        <v>6109</v>
      </c>
    </row>
    <row r="328" spans="1:1">
      <c r="A328" t="s">
        <v>6110</v>
      </c>
    </row>
    <row r="329" spans="1:1">
      <c r="A329" t="s">
        <v>6111</v>
      </c>
    </row>
    <row r="330" spans="1:1">
      <c r="A330" t="s">
        <v>6112</v>
      </c>
    </row>
    <row r="331" spans="1:1">
      <c r="A331" t="s">
        <v>6113</v>
      </c>
    </row>
    <row r="332" spans="1:1">
      <c r="A332" t="s">
        <v>6114</v>
      </c>
    </row>
    <row r="333" spans="1:1">
      <c r="A333" t="s">
        <v>6115</v>
      </c>
    </row>
    <row r="334" spans="1:1">
      <c r="A334" t="s">
        <v>6116</v>
      </c>
    </row>
    <row r="335" spans="1:1">
      <c r="A335" t="s">
        <v>6117</v>
      </c>
    </row>
    <row r="336" spans="1:1">
      <c r="A336" t="s">
        <v>6118</v>
      </c>
    </row>
    <row r="337" spans="1:1">
      <c r="A337" t="s">
        <v>6119</v>
      </c>
    </row>
    <row r="338" spans="1:1">
      <c r="A338" t="s">
        <v>6120</v>
      </c>
    </row>
    <row r="339" spans="1:1">
      <c r="A339" t="s">
        <v>6121</v>
      </c>
    </row>
    <row r="340" spans="1:1">
      <c r="A340" t="s">
        <v>6122</v>
      </c>
    </row>
    <row r="341" spans="1:1">
      <c r="A341" t="s">
        <v>6123</v>
      </c>
    </row>
    <row r="342" spans="1:1">
      <c r="A342" t="s">
        <v>6124</v>
      </c>
    </row>
    <row r="343" spans="1:1">
      <c r="A343" t="s">
        <v>6125</v>
      </c>
    </row>
    <row r="344" spans="1:1">
      <c r="A344" t="s">
        <v>6126</v>
      </c>
    </row>
  </sheetData>
  <mergeCells count="7">
    <mergeCell ref="S254:T254"/>
    <mergeCell ref="S62:T62"/>
    <mergeCell ref="N70:O70"/>
    <mergeCell ref="S96:T96"/>
    <mergeCell ref="N126:O126"/>
    <mergeCell ref="S227:T227"/>
    <mergeCell ref="N235:O235"/>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568CBA-FB86-FB46-BE68-23A8E4A6B704}">
  <sheetPr codeName="Munka6">
    <tabColor rgb="FF26A7A7"/>
  </sheetPr>
  <dimension ref="A1:AU702"/>
  <sheetViews>
    <sheetView zoomScale="91" zoomScaleNormal="62" workbookViewId="0">
      <pane xSplit="2" ySplit="1" topLeftCell="G17" activePane="bottomRight" state="frozen"/>
      <selection pane="topRight" activeCell="H1" sqref="H1"/>
      <selection pane="bottomLeft" activeCell="A2" sqref="A2"/>
      <selection pane="bottomRight" activeCell="H3" sqref="H3"/>
    </sheetView>
  </sheetViews>
  <sheetFormatPr defaultColWidth="12.44140625" defaultRowHeight="14.95" customHeight="1"/>
  <cols>
    <col min="1" max="1" width="67.77734375" style="5" customWidth="1"/>
    <col min="2" max="2" width="28.77734375" style="5" customWidth="1"/>
    <col min="3" max="5" width="28.77734375" style="520" customWidth="1"/>
    <col min="6" max="6" width="14.77734375" style="69" bestFit="1" customWidth="1"/>
    <col min="7" max="7" width="11.77734375" style="16" bestFit="1" customWidth="1"/>
    <col min="8" max="8" width="10.77734375" style="7" bestFit="1" customWidth="1"/>
    <col min="9" max="9" width="68.77734375" style="5" customWidth="1"/>
    <col min="10" max="10" width="15.44140625" style="5" customWidth="1"/>
    <col min="11" max="11" width="20.77734375" style="5" bestFit="1" customWidth="1"/>
    <col min="12" max="14" width="68.77734375" style="5" customWidth="1"/>
    <col min="15" max="16384" width="12.44140625" style="5"/>
  </cols>
  <sheetData>
    <row r="1" spans="1:11" s="16" customFormat="1" ht="36" customHeight="1">
      <c r="A1" s="17" t="s">
        <v>439</v>
      </c>
      <c r="B1" s="17" t="s">
        <v>440</v>
      </c>
      <c r="C1" s="516" t="s">
        <v>2823</v>
      </c>
      <c r="D1" s="516" t="s">
        <v>2824</v>
      </c>
      <c r="E1" s="516" t="s">
        <v>2826</v>
      </c>
      <c r="F1" s="66" t="s">
        <v>2825</v>
      </c>
      <c r="G1" s="17" t="s">
        <v>0</v>
      </c>
      <c r="H1" s="29" t="s">
        <v>448</v>
      </c>
      <c r="I1" s="17" t="s">
        <v>449</v>
      </c>
      <c r="J1" s="17" t="s">
        <v>462</v>
      </c>
      <c r="K1" s="17" t="s">
        <v>491</v>
      </c>
    </row>
    <row r="2" spans="1:11" ht="15.8" customHeight="1">
      <c r="A2" s="511" t="s">
        <v>1199</v>
      </c>
      <c r="B2" s="120" t="s">
        <v>645</v>
      </c>
      <c r="C2" s="527">
        <v>48000</v>
      </c>
      <c r="D2" s="527">
        <v>37000</v>
      </c>
      <c r="E2" s="527">
        <v>55000</v>
      </c>
      <c r="F2" s="533">
        <v>55000</v>
      </c>
      <c r="G2" s="19">
        <v>10</v>
      </c>
      <c r="H2" s="119"/>
      <c r="I2" s="82" t="str">
        <f>IF(H2="x",CONCATENATE(A2,"; "),"")</f>
        <v/>
      </c>
      <c r="J2" s="5" t="s">
        <v>1751</v>
      </c>
      <c r="K2" s="5" t="str">
        <f t="shared" ref="K2:K43" si="0">IF(H2="x",J2,"")</f>
        <v/>
      </c>
    </row>
    <row r="3" spans="1:11" ht="15.8" customHeight="1">
      <c r="A3" s="511"/>
      <c r="B3" s="120"/>
      <c r="C3" s="517"/>
      <c r="D3" s="517"/>
      <c r="E3" s="517"/>
      <c r="F3" s="67"/>
      <c r="G3" s="19"/>
      <c r="H3" s="119"/>
      <c r="I3" s="27"/>
      <c r="K3" s="5" t="str">
        <f t="shared" si="0"/>
        <v/>
      </c>
    </row>
    <row r="4" spans="1:11" ht="15.8" customHeight="1">
      <c r="A4" s="511" t="s">
        <v>1164</v>
      </c>
      <c r="B4" s="121" t="s">
        <v>1165</v>
      </c>
      <c r="C4" s="510">
        <v>11900</v>
      </c>
      <c r="D4" s="528">
        <v>7900</v>
      </c>
      <c r="E4" s="526">
        <v>14800</v>
      </c>
      <c r="F4" s="533">
        <v>14800</v>
      </c>
      <c r="G4" s="19">
        <v>5</v>
      </c>
      <c r="H4" s="119"/>
      <c r="I4" s="82" t="str">
        <f t="shared" ref="I4:I15" si="1">IF(H4="x",CONCATENATE(A4,"; "),"")</f>
        <v/>
      </c>
      <c r="J4" s="5" t="s">
        <v>604</v>
      </c>
      <c r="K4" s="5" t="str">
        <f t="shared" si="0"/>
        <v/>
      </c>
    </row>
    <row r="5" spans="1:11" ht="15.8" customHeight="1">
      <c r="A5" s="511" t="s">
        <v>1166</v>
      </c>
      <c r="B5" s="121" t="s">
        <v>1165</v>
      </c>
      <c r="C5" s="458">
        <v>11000</v>
      </c>
      <c r="D5" s="528">
        <v>7900</v>
      </c>
      <c r="E5" s="525">
        <v>14300</v>
      </c>
      <c r="F5" s="533">
        <v>14300</v>
      </c>
      <c r="G5" s="19">
        <v>5</v>
      </c>
      <c r="H5" s="119"/>
      <c r="I5" s="82" t="str">
        <f t="shared" si="1"/>
        <v/>
      </c>
      <c r="J5" s="5" t="s">
        <v>1222</v>
      </c>
      <c r="K5" s="5" t="str">
        <f t="shared" si="0"/>
        <v/>
      </c>
    </row>
    <row r="6" spans="1:11" ht="15.8" customHeight="1">
      <c r="A6" s="511" t="s">
        <v>1167</v>
      </c>
      <c r="B6" s="121" t="s">
        <v>1165</v>
      </c>
      <c r="C6" s="514">
        <v>12649.999999999998</v>
      </c>
      <c r="D6" s="528">
        <v>7900</v>
      </c>
      <c r="E6" s="514">
        <v>16450</v>
      </c>
      <c r="F6" s="533">
        <v>10270</v>
      </c>
      <c r="G6" s="19">
        <v>5</v>
      </c>
      <c r="H6" s="119"/>
      <c r="I6" s="82" t="str">
        <f t="shared" si="1"/>
        <v/>
      </c>
      <c r="K6" s="5" t="str">
        <f t="shared" si="0"/>
        <v/>
      </c>
    </row>
    <row r="7" spans="1:11" ht="15.8" customHeight="1">
      <c r="A7" s="512" t="s">
        <v>1168</v>
      </c>
      <c r="B7" s="121" t="s">
        <v>1165</v>
      </c>
      <c r="C7" s="518"/>
      <c r="D7" s="518">
        <v>7900</v>
      </c>
      <c r="E7" s="518"/>
      <c r="F7" s="67">
        <v>10270</v>
      </c>
      <c r="G7" s="19">
        <v>5</v>
      </c>
      <c r="H7" s="119"/>
      <c r="I7" s="82" t="str">
        <f t="shared" si="1"/>
        <v/>
      </c>
      <c r="K7" s="5" t="str">
        <f t="shared" si="0"/>
        <v/>
      </c>
    </row>
    <row r="8" spans="1:11" ht="15.8" customHeight="1">
      <c r="A8" s="511" t="s">
        <v>1183</v>
      </c>
      <c r="B8" s="121" t="s">
        <v>1165</v>
      </c>
      <c r="C8" s="518"/>
      <c r="D8" s="518">
        <v>9900</v>
      </c>
      <c r="E8" s="518"/>
      <c r="F8" s="67">
        <v>12870</v>
      </c>
      <c r="G8" s="19">
        <v>5</v>
      </c>
      <c r="H8" s="119"/>
      <c r="I8" s="82" t="str">
        <f t="shared" si="1"/>
        <v/>
      </c>
      <c r="K8" s="5" t="str">
        <f t="shared" si="0"/>
        <v/>
      </c>
    </row>
    <row r="9" spans="1:11" ht="15.8" customHeight="1">
      <c r="A9" s="511" t="s">
        <v>1184</v>
      </c>
      <c r="B9" s="121" t="s">
        <v>1165</v>
      </c>
      <c r="C9" s="518"/>
      <c r="D9" s="518">
        <v>9900</v>
      </c>
      <c r="E9" s="518"/>
      <c r="F9" s="67">
        <v>12870</v>
      </c>
      <c r="G9" s="19">
        <v>5</v>
      </c>
      <c r="H9" s="119"/>
      <c r="I9" s="82" t="str">
        <f t="shared" si="1"/>
        <v/>
      </c>
      <c r="J9" s="5" t="s">
        <v>1222</v>
      </c>
      <c r="K9" s="5" t="str">
        <f t="shared" si="0"/>
        <v/>
      </c>
    </row>
    <row r="10" spans="1:11" ht="15.8" customHeight="1">
      <c r="A10" s="511" t="s">
        <v>1185</v>
      </c>
      <c r="B10" s="121" t="s">
        <v>1165</v>
      </c>
      <c r="C10" s="518"/>
      <c r="D10" s="518">
        <v>9500</v>
      </c>
      <c r="E10" s="518"/>
      <c r="F10" s="67">
        <v>12350</v>
      </c>
      <c r="G10" s="19">
        <v>5</v>
      </c>
      <c r="H10" s="119"/>
      <c r="I10" s="82" t="str">
        <f t="shared" si="1"/>
        <v/>
      </c>
      <c r="K10" s="5" t="str">
        <f t="shared" si="0"/>
        <v/>
      </c>
    </row>
    <row r="11" spans="1:11" ht="15.8" customHeight="1">
      <c r="A11" s="511" t="s">
        <v>1186</v>
      </c>
      <c r="B11" s="121" t="s">
        <v>1165</v>
      </c>
      <c r="C11" s="518"/>
      <c r="D11" s="518">
        <v>8900</v>
      </c>
      <c r="E11" s="518"/>
      <c r="F11" s="67">
        <v>11570</v>
      </c>
      <c r="G11" s="19">
        <v>5</v>
      </c>
      <c r="H11" s="119"/>
      <c r="I11" s="82" t="str">
        <f t="shared" si="1"/>
        <v/>
      </c>
      <c r="K11" s="5" t="str">
        <f t="shared" si="0"/>
        <v/>
      </c>
    </row>
    <row r="12" spans="1:11" ht="15.8" customHeight="1">
      <c r="A12" s="511" t="s">
        <v>1187</v>
      </c>
      <c r="B12" s="121" t="s">
        <v>1165</v>
      </c>
      <c r="C12" s="518"/>
      <c r="D12" s="518">
        <v>12900</v>
      </c>
      <c r="E12" s="518"/>
      <c r="F12" s="67">
        <v>16770</v>
      </c>
      <c r="G12" s="19">
        <v>5</v>
      </c>
      <c r="H12" s="119"/>
      <c r="I12" s="82" t="str">
        <f t="shared" si="1"/>
        <v/>
      </c>
      <c r="J12" s="5" t="s">
        <v>1249</v>
      </c>
      <c r="K12" s="5" t="str">
        <f t="shared" si="0"/>
        <v/>
      </c>
    </row>
    <row r="13" spans="1:11" ht="15.8" customHeight="1">
      <c r="A13" s="511" t="s">
        <v>1188</v>
      </c>
      <c r="B13" s="121" t="s">
        <v>1165</v>
      </c>
      <c r="C13" s="518"/>
      <c r="D13" s="518">
        <v>12900</v>
      </c>
      <c r="E13" s="518"/>
      <c r="F13" s="67">
        <v>16770</v>
      </c>
      <c r="G13" s="19">
        <v>5</v>
      </c>
      <c r="H13" s="119"/>
      <c r="I13" s="82" t="str">
        <f t="shared" si="1"/>
        <v/>
      </c>
      <c r="K13" s="5" t="str">
        <f t="shared" si="0"/>
        <v/>
      </c>
    </row>
    <row r="14" spans="1:11" s="438" customFormat="1" ht="15.8" customHeight="1">
      <c r="A14" s="437" t="s">
        <v>1789</v>
      </c>
      <c r="C14" s="535">
        <v>20500</v>
      </c>
      <c r="D14" s="535" t="s">
        <v>1217</v>
      </c>
      <c r="E14" s="536">
        <v>45000</v>
      </c>
      <c r="F14" s="535">
        <v>45000</v>
      </c>
      <c r="G14" s="537">
        <v>7</v>
      </c>
      <c r="H14" s="538"/>
      <c r="I14" s="82" t="str">
        <f t="shared" si="1"/>
        <v/>
      </c>
      <c r="J14" s="5"/>
      <c r="K14" s="5" t="str">
        <f t="shared" si="0"/>
        <v/>
      </c>
    </row>
    <row r="15" spans="1:11" ht="15.8" customHeight="1">
      <c r="A15" s="512"/>
      <c r="B15" s="1"/>
      <c r="C15" s="79"/>
      <c r="D15" s="79"/>
      <c r="E15" s="79"/>
      <c r="F15" s="67"/>
      <c r="G15" s="19"/>
      <c r="H15" s="119"/>
      <c r="I15" s="82" t="str">
        <f t="shared" si="1"/>
        <v/>
      </c>
      <c r="K15" s="5" t="str">
        <f t="shared" si="0"/>
        <v/>
      </c>
    </row>
    <row r="16" spans="1:11" ht="15.8" customHeight="1">
      <c r="A16" s="511" t="s">
        <v>1189</v>
      </c>
      <c r="B16" s="122" t="s">
        <v>1169</v>
      </c>
      <c r="C16" s="519"/>
      <c r="D16" s="519">
        <v>8500</v>
      </c>
      <c r="E16" s="519"/>
      <c r="F16" s="67">
        <v>11050</v>
      </c>
      <c r="G16" s="19">
        <v>5</v>
      </c>
      <c r="H16" s="119"/>
      <c r="I16" s="82" t="str">
        <f>IF(H16="x",CONCATENATE(A16,"; "),"")</f>
        <v/>
      </c>
      <c r="J16" s="5" t="s">
        <v>604</v>
      </c>
      <c r="K16" s="5" t="str">
        <f t="shared" si="0"/>
        <v/>
      </c>
    </row>
    <row r="17" spans="1:11" ht="15.8" customHeight="1">
      <c r="A17" s="511" t="s">
        <v>1190</v>
      </c>
      <c r="B17" s="122" t="s">
        <v>1169</v>
      </c>
      <c r="C17" s="530">
        <v>11500</v>
      </c>
      <c r="D17" s="531">
        <v>12500</v>
      </c>
      <c r="E17" s="530">
        <v>12600</v>
      </c>
      <c r="F17" s="534">
        <v>16250</v>
      </c>
      <c r="G17" s="19">
        <v>5</v>
      </c>
      <c r="H17" s="119"/>
      <c r="I17" s="82" t="str">
        <f>IF(H17="x",CONCATENATE(A17,"; "),"")</f>
        <v/>
      </c>
      <c r="J17" s="5" t="s">
        <v>604</v>
      </c>
      <c r="K17" s="5" t="str">
        <f t="shared" si="0"/>
        <v/>
      </c>
    </row>
    <row r="18" spans="1:11" ht="15.8" customHeight="1">
      <c r="A18" s="511" t="s">
        <v>1191</v>
      </c>
      <c r="B18" s="122" t="s">
        <v>1169</v>
      </c>
      <c r="C18" s="519"/>
      <c r="D18" s="519">
        <v>19600</v>
      </c>
      <c r="E18" s="519"/>
      <c r="F18" s="67">
        <v>16250</v>
      </c>
      <c r="G18" s="19">
        <v>5</v>
      </c>
      <c r="H18" s="119"/>
      <c r="I18" s="82" t="str">
        <f>IF(H18="x",CONCATENATE(A18,"; "),"")</f>
        <v/>
      </c>
      <c r="K18" s="5" t="str">
        <f t="shared" si="0"/>
        <v/>
      </c>
    </row>
    <row r="19" spans="1:11" ht="15.8" customHeight="1">
      <c r="A19" s="511" t="s">
        <v>1192</v>
      </c>
      <c r="B19" s="122" t="s">
        <v>1169</v>
      </c>
      <c r="C19" s="514">
        <v>27599.999999999996</v>
      </c>
      <c r="D19" s="529">
        <v>24900</v>
      </c>
      <c r="E19" s="515">
        <v>35880</v>
      </c>
      <c r="F19" s="533">
        <v>32370</v>
      </c>
      <c r="G19" s="19">
        <v>5</v>
      </c>
      <c r="H19" s="119"/>
      <c r="I19" s="82" t="str">
        <f>IF(H19="x",CONCATENATE(A19,"; "),"")</f>
        <v/>
      </c>
      <c r="K19" s="5" t="str">
        <f t="shared" si="0"/>
        <v/>
      </c>
    </row>
    <row r="20" spans="1:11" ht="15.8" customHeight="1">
      <c r="A20" s="511" t="s">
        <v>1193</v>
      </c>
      <c r="B20" s="122" t="s">
        <v>1169</v>
      </c>
      <c r="C20" s="519"/>
      <c r="D20" s="519">
        <v>17600</v>
      </c>
      <c r="E20" s="519"/>
      <c r="F20" s="67">
        <v>14170</v>
      </c>
      <c r="G20" s="19">
        <v>5</v>
      </c>
      <c r="H20" s="119"/>
      <c r="I20" s="82" t="str">
        <f>IF(H20="x",CONCATENATE(A20,"; "),"")</f>
        <v/>
      </c>
      <c r="K20" s="5" t="str">
        <f t="shared" si="0"/>
        <v/>
      </c>
    </row>
    <row r="21" spans="1:11" ht="15.8" customHeight="1">
      <c r="A21" s="512"/>
      <c r="B21" s="1"/>
      <c r="C21" s="79"/>
      <c r="D21" s="79"/>
      <c r="E21" s="79"/>
      <c r="F21" s="67"/>
      <c r="G21" s="19"/>
      <c r="H21" s="119"/>
      <c r="I21" s="27"/>
      <c r="K21" s="5" t="str">
        <f t="shared" si="0"/>
        <v/>
      </c>
    </row>
    <row r="22" spans="1:11" ht="15.8" customHeight="1">
      <c r="A22" s="511" t="s">
        <v>1194</v>
      </c>
      <c r="B22" s="122" t="s">
        <v>1170</v>
      </c>
      <c r="C22" s="519"/>
      <c r="D22" s="519">
        <v>26500</v>
      </c>
      <c r="E22" s="519"/>
      <c r="F22" s="67">
        <v>34450</v>
      </c>
      <c r="G22" s="19">
        <v>5</v>
      </c>
      <c r="H22" s="119"/>
      <c r="I22" s="82" t="str">
        <f>IF(H22="x",CONCATENATE(A22,"; "),"")</f>
        <v/>
      </c>
      <c r="K22" s="5" t="str">
        <f t="shared" si="0"/>
        <v/>
      </c>
    </row>
    <row r="23" spans="1:11" ht="15.8" customHeight="1">
      <c r="A23" s="511" t="s">
        <v>1195</v>
      </c>
      <c r="B23" s="122" t="s">
        <v>1170</v>
      </c>
      <c r="C23" s="519"/>
      <c r="D23" s="519">
        <v>12600</v>
      </c>
      <c r="E23" s="519"/>
      <c r="F23" s="67">
        <v>12600</v>
      </c>
      <c r="G23" s="19">
        <v>5</v>
      </c>
      <c r="H23" s="119"/>
      <c r="I23" s="82" t="str">
        <f>IF(H23="x",CONCATENATE(A23,"; "),"")</f>
        <v/>
      </c>
      <c r="K23" s="5" t="str">
        <f t="shared" si="0"/>
        <v/>
      </c>
    </row>
    <row r="24" spans="1:11" ht="15.8" customHeight="1">
      <c r="A24" s="512"/>
      <c r="B24" s="1"/>
      <c r="C24" s="79"/>
      <c r="D24" s="79"/>
      <c r="E24" s="79"/>
      <c r="F24" s="67"/>
      <c r="G24" s="19"/>
      <c r="H24" s="119"/>
      <c r="I24" s="27"/>
      <c r="K24" s="5" t="str">
        <f t="shared" si="0"/>
        <v/>
      </c>
    </row>
    <row r="25" spans="1:11" ht="15.8" customHeight="1">
      <c r="A25" s="511" t="s">
        <v>1171</v>
      </c>
      <c r="B25" s="122" t="s">
        <v>1175</v>
      </c>
      <c r="C25" s="519"/>
      <c r="D25" s="519"/>
      <c r="E25" s="519"/>
      <c r="F25" s="67"/>
      <c r="G25" s="19"/>
      <c r="H25" s="119"/>
      <c r="I25" s="82" t="str">
        <f>IF(H25="x",CONCATENATE(A25," ; "),"")</f>
        <v/>
      </c>
      <c r="K25" s="5" t="str">
        <f t="shared" si="0"/>
        <v/>
      </c>
    </row>
    <row r="26" spans="1:11" ht="15.8" customHeight="1">
      <c r="A26" s="511" t="s">
        <v>1172</v>
      </c>
      <c r="B26" s="122" t="s">
        <v>1175</v>
      </c>
      <c r="C26" s="519"/>
      <c r="D26" s="519"/>
      <c r="E26" s="519"/>
      <c r="F26" s="67"/>
      <c r="G26" s="19"/>
      <c r="H26" s="119"/>
      <c r="I26" s="82" t="str">
        <f t="shared" ref="I26:I31" si="2">IF(H26="x",CONCATENATE(A26,"; "),"")</f>
        <v/>
      </c>
      <c r="K26" s="5" t="str">
        <f t="shared" si="0"/>
        <v/>
      </c>
    </row>
    <row r="27" spans="1:11" ht="15.8" customHeight="1">
      <c r="A27" s="511" t="s">
        <v>1197</v>
      </c>
      <c r="B27" s="122" t="s">
        <v>1175</v>
      </c>
      <c r="C27" s="519"/>
      <c r="D27" s="519">
        <v>41900</v>
      </c>
      <c r="E27" s="519"/>
      <c r="F27" s="67">
        <v>54470</v>
      </c>
      <c r="G27" s="19">
        <v>20</v>
      </c>
      <c r="H27" s="119"/>
      <c r="I27" s="82" t="str">
        <f t="shared" si="2"/>
        <v/>
      </c>
      <c r="K27" s="5" t="str">
        <f t="shared" si="0"/>
        <v/>
      </c>
    </row>
    <row r="28" spans="1:11" ht="15.8" customHeight="1">
      <c r="A28" s="511" t="s">
        <v>1173</v>
      </c>
      <c r="B28" s="122" t="s">
        <v>1175</v>
      </c>
      <c r="C28" s="519"/>
      <c r="D28" s="519"/>
      <c r="E28" s="519"/>
      <c r="F28" s="67"/>
      <c r="G28" s="19"/>
      <c r="H28" s="119"/>
      <c r="I28" s="82" t="str">
        <f t="shared" si="2"/>
        <v/>
      </c>
      <c r="K28" s="5" t="str">
        <f t="shared" si="0"/>
        <v/>
      </c>
    </row>
    <row r="29" spans="1:11" ht="15.8" customHeight="1">
      <c r="A29" s="511" t="s">
        <v>1174</v>
      </c>
      <c r="B29" s="122" t="s">
        <v>1175</v>
      </c>
      <c r="C29" s="519"/>
      <c r="D29" s="519"/>
      <c r="E29" s="519"/>
      <c r="F29" s="67"/>
      <c r="G29" s="19"/>
      <c r="H29" s="119"/>
      <c r="I29" s="82" t="str">
        <f t="shared" si="2"/>
        <v/>
      </c>
      <c r="K29" s="5" t="str">
        <f t="shared" si="0"/>
        <v/>
      </c>
    </row>
    <row r="30" spans="1:11" ht="15.8" customHeight="1">
      <c r="A30" s="512"/>
      <c r="B30" s="1"/>
      <c r="C30" s="79"/>
      <c r="D30" s="79"/>
      <c r="E30" s="79"/>
      <c r="F30" s="67"/>
      <c r="G30" s="19"/>
      <c r="H30" s="119"/>
      <c r="I30" s="82" t="str">
        <f t="shared" si="2"/>
        <v/>
      </c>
      <c r="K30" s="5" t="str">
        <f t="shared" si="0"/>
        <v/>
      </c>
    </row>
    <row r="31" spans="1:11" ht="15.8" customHeight="1">
      <c r="A31" s="511" t="s">
        <v>1198</v>
      </c>
      <c r="B31" s="122" t="s">
        <v>1176</v>
      </c>
      <c r="C31" s="532">
        <v>12900</v>
      </c>
      <c r="D31" s="531">
        <v>12900</v>
      </c>
      <c r="E31" s="532">
        <v>16770</v>
      </c>
      <c r="F31" s="534">
        <v>16770</v>
      </c>
      <c r="G31" s="19">
        <v>5</v>
      </c>
      <c r="H31" s="119"/>
      <c r="I31" s="82" t="str">
        <f t="shared" si="2"/>
        <v/>
      </c>
      <c r="J31" s="5" t="s">
        <v>1222</v>
      </c>
      <c r="K31" s="5" t="str">
        <f t="shared" si="0"/>
        <v/>
      </c>
    </row>
    <row r="32" spans="1:11" ht="15.8" customHeight="1">
      <c r="A32" s="512"/>
      <c r="B32" s="1"/>
      <c r="C32" s="79"/>
      <c r="D32" s="79"/>
      <c r="E32" s="79"/>
      <c r="F32" s="67"/>
      <c r="G32" s="19"/>
      <c r="H32" s="119"/>
      <c r="I32" s="82" t="str">
        <f t="shared" ref="I32:I37" si="3">IF(H32="x",CONCATENATE(A32," ;"),"")</f>
        <v/>
      </c>
      <c r="K32" s="5" t="str">
        <f t="shared" si="0"/>
        <v/>
      </c>
    </row>
    <row r="33" spans="1:11" ht="39.1" customHeight="1">
      <c r="A33" s="513" t="s">
        <v>1177</v>
      </c>
      <c r="B33" s="122" t="s">
        <v>1182</v>
      </c>
      <c r="C33" s="519"/>
      <c r="D33" s="519"/>
      <c r="E33" s="519"/>
      <c r="F33" s="67"/>
      <c r="G33" s="19"/>
      <c r="H33" s="119"/>
      <c r="I33" s="82" t="str">
        <f t="shared" si="3"/>
        <v/>
      </c>
      <c r="K33" s="5" t="str">
        <f t="shared" si="0"/>
        <v/>
      </c>
    </row>
    <row r="34" spans="1:11" ht="34.15" customHeight="1">
      <c r="A34" s="513" t="s">
        <v>1178</v>
      </c>
      <c r="B34" s="122" t="s">
        <v>1182</v>
      </c>
      <c r="C34" s="519"/>
      <c r="D34" s="519"/>
      <c r="E34" s="519"/>
      <c r="F34" s="67"/>
      <c r="G34" s="19"/>
      <c r="H34" s="119"/>
      <c r="I34" s="82" t="str">
        <f t="shared" si="3"/>
        <v/>
      </c>
      <c r="K34" s="5" t="str">
        <f t="shared" si="0"/>
        <v/>
      </c>
    </row>
    <row r="35" spans="1:11" ht="15.8" customHeight="1">
      <c r="A35" s="511" t="s">
        <v>1179</v>
      </c>
      <c r="B35" s="122" t="s">
        <v>1182</v>
      </c>
      <c r="C35" s="519"/>
      <c r="D35" s="519"/>
      <c r="E35" s="519"/>
      <c r="F35" s="67"/>
      <c r="G35" s="19"/>
      <c r="H35" s="119"/>
      <c r="I35" s="82" t="str">
        <f t="shared" si="3"/>
        <v/>
      </c>
      <c r="K35" s="5" t="str">
        <f t="shared" si="0"/>
        <v/>
      </c>
    </row>
    <row r="36" spans="1:11" ht="15.8" customHeight="1">
      <c r="A36" s="511" t="s">
        <v>1180</v>
      </c>
      <c r="B36" s="122" t="s">
        <v>1182</v>
      </c>
      <c r="C36" s="519"/>
      <c r="D36" s="519"/>
      <c r="E36" s="519"/>
      <c r="F36" s="67"/>
      <c r="G36" s="19"/>
      <c r="H36" s="119"/>
      <c r="I36" s="82" t="str">
        <f t="shared" si="3"/>
        <v/>
      </c>
      <c r="K36" s="5" t="str">
        <f t="shared" si="0"/>
        <v/>
      </c>
    </row>
    <row r="37" spans="1:11" ht="15.8" customHeight="1">
      <c r="A37" s="511" t="s">
        <v>1181</v>
      </c>
      <c r="B37" s="122" t="s">
        <v>1182</v>
      </c>
      <c r="C37" s="519"/>
      <c r="D37" s="519"/>
      <c r="E37" s="519"/>
      <c r="F37" s="67"/>
      <c r="G37" s="19"/>
      <c r="H37" s="119"/>
      <c r="I37" s="82" t="str">
        <f t="shared" si="3"/>
        <v/>
      </c>
      <c r="K37" s="5" t="str">
        <f t="shared" si="0"/>
        <v/>
      </c>
    </row>
    <row r="38" spans="1:11" ht="15.8" customHeight="1">
      <c r="A38" s="512"/>
      <c r="B38" s="1"/>
      <c r="C38" s="79"/>
      <c r="D38" s="79"/>
      <c r="E38" s="79"/>
      <c r="F38" s="67"/>
      <c r="G38" s="19"/>
      <c r="H38" s="119"/>
      <c r="I38" s="27"/>
    </row>
    <row r="39" spans="1:11" ht="15.8" customHeight="1">
      <c r="A39" s="512" t="s">
        <v>1296</v>
      </c>
      <c r="B39" s="1" t="s">
        <v>1297</v>
      </c>
      <c r="C39" s="79"/>
      <c r="D39" s="79"/>
      <c r="E39" s="79"/>
      <c r="F39" s="67">
        <v>316000</v>
      </c>
      <c r="G39" s="19">
        <v>20</v>
      </c>
      <c r="H39" s="119"/>
      <c r="I39" s="82" t="str">
        <f>IF(H39="x",CONCATENATE(A39,"; "),"")</f>
        <v/>
      </c>
      <c r="J39" s="5" t="s">
        <v>1308</v>
      </c>
      <c r="K39" s="5" t="str">
        <f t="shared" si="0"/>
        <v/>
      </c>
    </row>
    <row r="40" spans="1:11" ht="15.8" customHeight="1">
      <c r="H40" s="119"/>
      <c r="I40" s="27"/>
    </row>
    <row r="41" spans="1:11" ht="15.8" customHeight="1">
      <c r="A41" s="162" t="s">
        <v>1298</v>
      </c>
      <c r="B41" s="163" t="s">
        <v>1299</v>
      </c>
      <c r="C41" s="521"/>
      <c r="D41" s="521"/>
      <c r="E41" s="521"/>
      <c r="F41" s="67">
        <v>285000</v>
      </c>
      <c r="G41" s="19">
        <v>20</v>
      </c>
      <c r="H41" s="119"/>
      <c r="I41" s="82" t="str">
        <f>IF(H41="x",CONCATENATE(A41,"; "),"")</f>
        <v/>
      </c>
      <c r="J41" s="5" t="s">
        <v>1308</v>
      </c>
      <c r="K41" s="5" t="str">
        <f t="shared" si="0"/>
        <v/>
      </c>
    </row>
    <row r="42" spans="1:11" ht="15.8" customHeight="1">
      <c r="A42" s="164" t="s">
        <v>1300</v>
      </c>
      <c r="B42" s="163" t="s">
        <v>1299</v>
      </c>
      <c r="C42" s="521"/>
      <c r="D42" s="521"/>
      <c r="E42" s="521"/>
      <c r="F42" s="67">
        <v>285000</v>
      </c>
      <c r="G42" s="19">
        <v>20</v>
      </c>
      <c r="H42" s="119"/>
      <c r="I42" s="82" t="str">
        <f>IF(H42="x",CONCATENATE(A42,"; "),"")</f>
        <v/>
      </c>
      <c r="J42" s="5" t="s">
        <v>1308</v>
      </c>
      <c r="K42" s="5" t="str">
        <f t="shared" si="0"/>
        <v/>
      </c>
    </row>
    <row r="43" spans="1:11" ht="15.8" customHeight="1">
      <c r="A43" s="164" t="s">
        <v>1301</v>
      </c>
      <c r="B43" s="163" t="s">
        <v>1299</v>
      </c>
      <c r="C43" s="521"/>
      <c r="D43" s="521"/>
      <c r="E43" s="521"/>
      <c r="F43" s="67">
        <v>316000</v>
      </c>
      <c r="G43" s="19">
        <v>20</v>
      </c>
      <c r="H43" s="119"/>
      <c r="I43" s="82" t="str">
        <f>IF(H43="x",CONCATENATE(A43,"; "),"")</f>
        <v/>
      </c>
      <c r="J43" s="5" t="s">
        <v>1308</v>
      </c>
      <c r="K43" s="5" t="str">
        <f t="shared" si="0"/>
        <v/>
      </c>
    </row>
    <row r="44" spans="1:11" ht="15.8" customHeight="1">
      <c r="A44" s="1569" t="s">
        <v>1302</v>
      </c>
      <c r="B44" s="163"/>
      <c r="C44" s="521"/>
      <c r="D44" s="521"/>
      <c r="E44" s="521"/>
      <c r="F44" s="67"/>
      <c r="G44" s="19"/>
      <c r="H44" s="119"/>
      <c r="I44" s="27"/>
    </row>
    <row r="45" spans="1:11" ht="15.8" customHeight="1">
      <c r="A45" s="1569"/>
      <c r="B45" s="163" t="s">
        <v>1303</v>
      </c>
      <c r="C45" s="521"/>
      <c r="D45" s="521"/>
      <c r="E45" s="521"/>
      <c r="F45" s="67"/>
      <c r="G45" s="19"/>
      <c r="H45" s="119"/>
      <c r="I45" s="27"/>
    </row>
    <row r="46" spans="1:11" ht="15.8" customHeight="1">
      <c r="A46" s="1570" t="s">
        <v>1304</v>
      </c>
      <c r="B46" s="163"/>
      <c r="C46" s="521"/>
      <c r="D46" s="521"/>
      <c r="E46" s="521"/>
      <c r="F46" s="67"/>
      <c r="G46" s="19"/>
      <c r="H46" s="119"/>
      <c r="I46" s="27"/>
    </row>
    <row r="47" spans="1:11" ht="15.8" customHeight="1">
      <c r="A47" s="1570"/>
      <c r="B47" s="163"/>
      <c r="C47" s="521"/>
      <c r="D47" s="521"/>
      <c r="E47" s="521"/>
      <c r="F47" s="67"/>
      <c r="G47" s="19"/>
      <c r="H47" s="119"/>
      <c r="I47" s="27"/>
    </row>
    <row r="48" spans="1:11" ht="15.8" customHeight="1">
      <c r="A48" s="1570"/>
      <c r="B48" s="163"/>
      <c r="C48" s="521"/>
      <c r="D48" s="521"/>
      <c r="E48" s="521"/>
      <c r="F48" s="67"/>
      <c r="G48" s="19"/>
      <c r="H48" s="119"/>
      <c r="I48" s="27"/>
    </row>
    <row r="49" spans="1:9" ht="15.8" customHeight="1">
      <c r="A49" s="164"/>
      <c r="B49" s="163"/>
      <c r="C49" s="521"/>
      <c r="D49" s="521"/>
      <c r="E49" s="521"/>
      <c r="F49" s="67"/>
      <c r="G49" s="19"/>
      <c r="H49" s="119"/>
      <c r="I49" s="27"/>
    </row>
    <row r="50" spans="1:9" ht="15.8" customHeight="1">
      <c r="A50" s="1"/>
      <c r="B50" s="1"/>
      <c r="C50" s="79"/>
      <c r="D50" s="79"/>
      <c r="E50" s="79"/>
      <c r="F50" s="67"/>
      <c r="G50" s="19"/>
      <c r="H50" s="119"/>
      <c r="I50" s="27"/>
    </row>
    <row r="51" spans="1:9" ht="15.8" customHeight="1">
      <c r="B51" s="1"/>
      <c r="C51" s="79"/>
      <c r="D51" s="79"/>
      <c r="E51" s="79"/>
      <c r="F51" s="67"/>
      <c r="G51" s="21"/>
      <c r="H51" s="88"/>
    </row>
    <row r="52" spans="1:9" ht="15.8" customHeight="1">
      <c r="A52" s="55" t="s">
        <v>444</v>
      </c>
      <c r="B52" s="55" t="s">
        <v>445</v>
      </c>
      <c r="C52" s="522"/>
      <c r="D52" s="522"/>
      <c r="E52" s="522"/>
      <c r="F52" s="125">
        <v>4000</v>
      </c>
      <c r="G52" s="63"/>
      <c r="H52" s="89"/>
      <c r="I52" s="5" t="str">
        <f>IF(H52="x",CONCATENATE(A52,"; "),"")</f>
        <v/>
      </c>
    </row>
    <row r="53" spans="1:9" ht="15.8" customHeight="1">
      <c r="F53" s="67"/>
      <c r="G53" s="21"/>
    </row>
    <row r="54" spans="1:9" ht="15.8" customHeight="1">
      <c r="A54" s="28" t="s">
        <v>450</v>
      </c>
      <c r="F54" s="67"/>
      <c r="G54" s="21"/>
    </row>
    <row r="55" spans="1:9" ht="15.8" customHeight="1">
      <c r="A55" s="1571" t="str">
        <f>IF(I2&amp;I4&amp;I5&amp;I6&amp;I7&amp;I8&amp;I9&amp;I10&amp;I11&amp;I12&amp;I13&amp;I15&amp;I16&amp;I17&amp;I18&amp;I19&amp;I20&amp;I22&amp;I23&amp;I25&amp;I26&amp;I27&amp;I28&amp;I29&amp;I31&amp;I39&amp;I41&amp;I42&amp;I43&amp;I52="","-",I2&amp;I4&amp;I5&amp;I6&amp;I7&amp;I8&amp;I9&amp;I10&amp;I11&amp;I12&amp;I13&amp;I15&amp;I16&amp;I17&amp;I18&amp;I19&amp;I20&amp;I22&amp;I23&amp;I25&amp;I26&amp;I27&amp;I28&amp;I29&amp;I31&amp;I39&amp;I41&amp;I42&amp;I43&amp;I52)</f>
        <v>-</v>
      </c>
      <c r="B55" s="1571"/>
      <c r="C55" s="1571"/>
      <c r="D55" s="1571"/>
      <c r="E55" s="1571"/>
      <c r="F55" s="1571"/>
      <c r="G55" s="1571"/>
      <c r="H55" s="1571"/>
      <c r="I55" s="1571"/>
    </row>
    <row r="56" spans="1:9" ht="15.8" customHeight="1">
      <c r="A56" s="1571"/>
      <c r="B56" s="1571"/>
      <c r="C56" s="1571"/>
      <c r="D56" s="1571"/>
      <c r="E56" s="1571"/>
      <c r="F56" s="1571"/>
      <c r="G56" s="1571"/>
      <c r="H56" s="1571"/>
      <c r="I56" s="1571"/>
    </row>
    <row r="57" spans="1:9" ht="15.8" customHeight="1">
      <c r="A57" s="1571"/>
      <c r="B57" s="1571"/>
      <c r="C57" s="1571"/>
      <c r="D57" s="1571"/>
      <c r="E57" s="1571"/>
      <c r="F57" s="1571"/>
      <c r="G57" s="1571"/>
      <c r="H57" s="1571"/>
      <c r="I57" s="1571"/>
    </row>
    <row r="58" spans="1:9" ht="15.8" customHeight="1">
      <c r="A58" s="1571"/>
      <c r="B58" s="1571"/>
      <c r="C58" s="1571"/>
      <c r="D58" s="1571"/>
      <c r="E58" s="1571"/>
      <c r="F58" s="1571"/>
      <c r="G58" s="1571"/>
      <c r="H58" s="1571"/>
      <c r="I58" s="1571"/>
    </row>
    <row r="59" spans="1:9" ht="15.8" customHeight="1">
      <c r="A59" s="1571"/>
      <c r="B59" s="1571"/>
      <c r="C59" s="1571"/>
      <c r="D59" s="1571"/>
      <c r="E59" s="1571"/>
      <c r="F59" s="1571"/>
      <c r="G59" s="1571"/>
      <c r="H59" s="1571"/>
      <c r="I59" s="1571"/>
    </row>
    <row r="60" spans="1:9" ht="15.8" customHeight="1">
      <c r="A60" s="1571"/>
      <c r="B60" s="1571"/>
      <c r="C60" s="1571"/>
      <c r="D60" s="1571"/>
      <c r="E60" s="1571"/>
      <c r="F60" s="1571"/>
      <c r="G60" s="1571"/>
      <c r="H60" s="1571"/>
      <c r="I60" s="1571"/>
    </row>
    <row r="61" spans="1:9" ht="15.8" customHeight="1">
      <c r="A61" s="1571"/>
      <c r="B61" s="1571"/>
      <c r="C61" s="1571"/>
      <c r="D61" s="1571"/>
      <c r="E61" s="1571"/>
      <c r="F61" s="1571"/>
      <c r="G61" s="1571"/>
      <c r="H61" s="1571"/>
      <c r="I61" s="1571"/>
    </row>
    <row r="62" spans="1:9" ht="15.8" customHeight="1">
      <c r="A62" s="1571"/>
      <c r="B62" s="1571"/>
      <c r="C62" s="1571"/>
      <c r="D62" s="1571"/>
      <c r="E62" s="1571"/>
      <c r="F62" s="1571"/>
      <c r="G62" s="1571"/>
      <c r="H62" s="1571"/>
      <c r="I62" s="1571"/>
    </row>
    <row r="63" spans="1:9" ht="15.8" customHeight="1">
      <c r="A63" s="1571"/>
      <c r="B63" s="1571"/>
      <c r="C63" s="1571"/>
      <c r="D63" s="1571"/>
      <c r="E63" s="1571"/>
      <c r="F63" s="1571"/>
      <c r="G63" s="1571"/>
      <c r="H63" s="1571"/>
      <c r="I63" s="1571"/>
    </row>
    <row r="64" spans="1:9" ht="15.8" customHeight="1">
      <c r="F64" s="67"/>
      <c r="G64" s="21"/>
    </row>
    <row r="65" spans="1:13" ht="15.8" customHeight="1">
      <c r="F65" s="67"/>
      <c r="G65" s="21"/>
    </row>
    <row r="66" spans="1:13" ht="15.8" customHeight="1">
      <c r="B66" s="40" t="s">
        <v>451</v>
      </c>
      <c r="C66" s="523"/>
      <c r="D66" s="523"/>
      <c r="E66" s="523"/>
      <c r="F66" s="68">
        <f>SUMIF(H2:H52,"x",F2:F52)</f>
        <v>0</v>
      </c>
      <c r="G66" s="21"/>
    </row>
    <row r="67" spans="1:13" s="7" customFormat="1" ht="15.8" customHeight="1">
      <c r="A67" s="5"/>
      <c r="B67" s="5"/>
      <c r="C67" s="520"/>
      <c r="D67" s="520"/>
      <c r="E67" s="520"/>
      <c r="F67" s="67"/>
      <c r="G67" s="21"/>
      <c r="I67" s="5"/>
      <c r="J67" s="5"/>
    </row>
    <row r="68" spans="1:13" s="7" customFormat="1" ht="15.8" customHeight="1">
      <c r="A68" s="5"/>
      <c r="B68" s="5"/>
      <c r="C68" s="520"/>
      <c r="D68" s="520"/>
      <c r="E68" s="520"/>
      <c r="F68" s="67"/>
      <c r="G68" s="21"/>
      <c r="I68" s="5"/>
      <c r="J68" s="5"/>
    </row>
    <row r="69" spans="1:13" s="7" customFormat="1" ht="15.8" customHeight="1">
      <c r="A69" s="5"/>
      <c r="B69" s="5"/>
      <c r="C69" s="520"/>
      <c r="D69" s="520"/>
      <c r="E69" s="520"/>
      <c r="F69" s="67"/>
      <c r="G69" s="21"/>
      <c r="I69" s="5"/>
      <c r="J69" s="5"/>
    </row>
    <row r="70" spans="1:13" s="7" customFormat="1" ht="15.8" customHeight="1">
      <c r="A70" s="28" t="s">
        <v>492</v>
      </c>
      <c r="B70" s="5"/>
      <c r="C70" s="520"/>
      <c r="D70" s="520"/>
      <c r="E70" s="520"/>
      <c r="F70" s="67"/>
      <c r="G70" s="21"/>
      <c r="I70" s="5"/>
      <c r="J70" s="5"/>
    </row>
    <row r="71" spans="1:13" s="7" customFormat="1" ht="15.8" customHeight="1">
      <c r="A71" s="5"/>
      <c r="B71" s="5"/>
      <c r="C71" s="520"/>
      <c r="D71" s="520"/>
      <c r="E71" s="520"/>
      <c r="F71" s="69"/>
      <c r="G71" s="5"/>
      <c r="I71" s="5"/>
      <c r="J71" s="5"/>
    </row>
    <row r="72" spans="1:13" s="7" customFormat="1" ht="15.8" customHeight="1">
      <c r="A72" s="5"/>
      <c r="B72" s="5"/>
      <c r="C72" s="520"/>
      <c r="D72" s="520"/>
      <c r="E72" s="520"/>
      <c r="F72" s="69"/>
      <c r="G72" s="5"/>
      <c r="I72" s="5"/>
      <c r="J72" s="5"/>
    </row>
    <row r="73" spans="1:13" s="7" customFormat="1" ht="15.8" customHeight="1">
      <c r="A73" s="5">
        <f>COUNTIF(J73,"&lt;&gt;0")</f>
        <v>0</v>
      </c>
      <c r="B73" s="1572" t="s">
        <v>1224</v>
      </c>
      <c r="C73" s="1572"/>
      <c r="D73" s="1572"/>
      <c r="E73" s="1572"/>
      <c r="F73" s="1572"/>
      <c r="G73" s="1572"/>
      <c r="I73" s="5"/>
      <c r="J73" s="5">
        <f>COUNTIF(K2:K48,"Külsős EDTA 9ml")</f>
        <v>0</v>
      </c>
      <c r="K73" s="1572" t="s">
        <v>1223</v>
      </c>
      <c r="L73" s="1572"/>
      <c r="M73" s="1572"/>
    </row>
    <row r="74" spans="1:13" s="7" customFormat="1" ht="15.8" customHeight="1">
      <c r="A74" s="5">
        <f>COUNTIF(J74,"&lt;&gt;0")</f>
        <v>0</v>
      </c>
      <c r="B74" s="80" t="s">
        <v>2785</v>
      </c>
      <c r="C74" s="524"/>
      <c r="D74" s="524"/>
      <c r="E74" s="524"/>
      <c r="F74" s="80"/>
      <c r="G74" s="80"/>
      <c r="I74" s="5"/>
      <c r="J74" s="5">
        <f>COUNTIF(K2:K48,"CW")</f>
        <v>0</v>
      </c>
      <c r="K74" s="80" t="s">
        <v>1751</v>
      </c>
      <c r="L74" s="80"/>
      <c r="M74" s="80"/>
    </row>
    <row r="75" spans="1:13" s="7" customFormat="1" ht="15.8" customHeight="1">
      <c r="A75" s="5">
        <f>COUNTIF(J75,"&lt;&gt;0")</f>
        <v>0</v>
      </c>
      <c r="B75" s="1572" t="s">
        <v>1225</v>
      </c>
      <c r="C75" s="1572"/>
      <c r="D75" s="1572"/>
      <c r="E75" s="1572"/>
      <c r="F75" s="1572"/>
      <c r="G75" s="1572"/>
      <c r="I75" s="5"/>
      <c r="J75" s="5">
        <f>COUNTIF(K2:K48,"E")</f>
        <v>0</v>
      </c>
      <c r="K75" s="7" t="s">
        <v>890</v>
      </c>
    </row>
    <row r="76" spans="1:13" s="7" customFormat="1" ht="15.8" customHeight="1">
      <c r="A76" s="5">
        <f>COUNTIF(J76,"&lt;&gt;0")</f>
        <v>0</v>
      </c>
      <c r="B76" s="1572" t="s">
        <v>1251</v>
      </c>
      <c r="C76" s="1572"/>
      <c r="D76" s="1572"/>
      <c r="E76" s="1572"/>
      <c r="F76" s="1572"/>
      <c r="G76" s="1572"/>
      <c r="I76" s="5"/>
      <c r="J76" s="5">
        <f>COUNTIF(K2:K48,"Külsős szérum")</f>
        <v>0</v>
      </c>
      <c r="K76" s="7" t="s">
        <v>1250</v>
      </c>
    </row>
    <row r="77" spans="1:13" s="7" customFormat="1" ht="15.8" customHeight="1">
      <c r="A77" s="5">
        <f>COUNTIF(J77,"&lt;&gt;0")</f>
        <v>0</v>
      </c>
      <c r="B77" s="5" t="s">
        <v>1310</v>
      </c>
      <c r="C77" s="520"/>
      <c r="D77" s="520"/>
      <c r="E77" s="520"/>
      <c r="F77" s="67"/>
      <c r="G77" s="21"/>
      <c r="I77" s="5"/>
      <c r="J77" s="5">
        <f>COUNTIF(K2:K48,"EDTA (K2/K3) 3ml")</f>
        <v>0</v>
      </c>
      <c r="K77" s="7" t="s">
        <v>1309</v>
      </c>
    </row>
    <row r="78" spans="1:13" s="7" customFormat="1" ht="15.8" customHeight="1">
      <c r="A78" s="5"/>
      <c r="B78" s="5"/>
      <c r="C78" s="520"/>
      <c r="D78" s="520"/>
      <c r="E78" s="520"/>
      <c r="F78" s="67"/>
      <c r="G78" s="21"/>
      <c r="I78" s="5"/>
      <c r="J78" s="5"/>
    </row>
    <row r="79" spans="1:13" s="7" customFormat="1" ht="15.8" customHeight="1">
      <c r="A79" s="5"/>
      <c r="B79" s="5"/>
      <c r="C79" s="520"/>
      <c r="D79" s="520"/>
      <c r="E79" s="520"/>
      <c r="F79" s="67"/>
      <c r="G79" s="21"/>
      <c r="I79" s="5"/>
      <c r="J79" s="5"/>
    </row>
    <row r="80" spans="1:13" s="7" customFormat="1" ht="15.8" customHeight="1">
      <c r="A80" s="5"/>
      <c r="B80" s="5"/>
      <c r="C80" s="520"/>
      <c r="D80" s="520"/>
      <c r="E80" s="520"/>
      <c r="F80" s="67"/>
      <c r="G80" s="21"/>
      <c r="I80" s="5"/>
      <c r="J80" s="5"/>
    </row>
    <row r="81" spans="1:47" s="7" customFormat="1" ht="15.8" customHeight="1">
      <c r="A81" s="5"/>
      <c r="B81" s="5"/>
      <c r="C81" s="520"/>
      <c r="D81" s="520"/>
      <c r="E81" s="520"/>
      <c r="F81" s="67"/>
      <c r="G81" s="21"/>
      <c r="I81" s="5"/>
      <c r="J81" s="5"/>
    </row>
    <row r="82" spans="1:47" s="7" customFormat="1" ht="15.8" customHeight="1">
      <c r="A82" s="5"/>
      <c r="B82" s="5"/>
      <c r="C82" s="520"/>
      <c r="D82" s="520"/>
      <c r="E82" s="520"/>
      <c r="F82" s="67"/>
      <c r="G82" s="21"/>
      <c r="I82" s="5"/>
      <c r="J82" s="28" t="s">
        <v>1209</v>
      </c>
    </row>
    <row r="83" spans="1:47" s="7" customFormat="1" ht="15.8" customHeight="1">
      <c r="A83" s="5"/>
      <c r="B83" s="5"/>
      <c r="C83" s="520"/>
      <c r="D83" s="520"/>
      <c r="E83" s="520"/>
      <c r="F83" s="67"/>
      <c r="G83" s="21"/>
      <c r="I83" s="5"/>
      <c r="J83" s="1571" t="str">
        <f>IF(A73&lt;&gt;0,CONCATENATE(A73," ",CONCATENATE(B73,""),CONCATENATE("; ")),"")&amp;IF(A74&lt;&gt;0,CONCATENATE(A74," ",CONCATENATE(B74,""),CONCATENATE("; ")),"")&amp;IF(A75&lt;&gt;0,CONCATENATE(A75," ",CONCATENATE(B75,""),CONCATENATE("; ")),"")&amp;IF(A76&lt;&gt;0,CONCATENATE(A76," ",CONCATENATE(B76,"")),"")&amp;IF(A77&lt;&gt;0,CONCATENATE(A77," ",CONCATENATE(B77,"")),"")</f>
        <v/>
      </c>
      <c r="K83" s="1571"/>
      <c r="L83" s="1571"/>
      <c r="M83" s="1571"/>
      <c r="N83" s="1571"/>
      <c r="O83" s="1571"/>
      <c r="P83" s="1571"/>
      <c r="Q83" s="1571"/>
      <c r="R83" s="1571"/>
      <c r="S83" s="1571"/>
      <c r="T83" s="1571"/>
      <c r="U83" s="1571"/>
      <c r="V83" s="1571"/>
      <c r="W83" s="1571"/>
      <c r="X83" s="1571"/>
      <c r="Y83" s="1571"/>
      <c r="Z83" s="1571"/>
      <c r="AA83" s="1571"/>
      <c r="AB83" s="1571"/>
      <c r="AC83" s="1571"/>
      <c r="AD83" s="1571"/>
      <c r="AE83" s="1571"/>
      <c r="AF83" s="1571"/>
      <c r="AG83" s="1571"/>
      <c r="AH83" s="1571"/>
      <c r="AI83" s="1571"/>
      <c r="AJ83" s="1571"/>
      <c r="AK83" s="1571"/>
      <c r="AL83" s="1571"/>
      <c r="AM83" s="1571"/>
      <c r="AN83" s="1571"/>
      <c r="AO83" s="1571"/>
      <c r="AP83" s="1571"/>
      <c r="AQ83" s="1571"/>
      <c r="AR83" s="1571"/>
      <c r="AS83" s="1571"/>
      <c r="AT83" s="1571"/>
      <c r="AU83" s="1571"/>
    </row>
    <row r="84" spans="1:47" s="7" customFormat="1" ht="15.8" customHeight="1">
      <c r="A84" s="5"/>
      <c r="B84" s="5"/>
      <c r="C84" s="520"/>
      <c r="D84" s="520"/>
      <c r="E84" s="520"/>
      <c r="F84" s="67"/>
      <c r="G84" s="21"/>
      <c r="I84" s="5"/>
      <c r="J84" s="5"/>
    </row>
    <row r="85" spans="1:47" s="7" customFormat="1" ht="15.8" customHeight="1">
      <c r="A85" s="5"/>
      <c r="B85" s="5"/>
      <c r="C85" s="520"/>
      <c r="D85" s="520"/>
      <c r="E85" s="520"/>
      <c r="F85" s="67"/>
      <c r="G85" s="21"/>
      <c r="I85" s="5"/>
      <c r="J85" s="5"/>
    </row>
    <row r="86" spans="1:47" s="7" customFormat="1" ht="15.8" customHeight="1">
      <c r="A86" s="5"/>
      <c r="B86" s="5"/>
      <c r="C86" s="520"/>
      <c r="D86" s="520"/>
      <c r="E86" s="520"/>
      <c r="F86" s="67"/>
      <c r="G86" s="21"/>
      <c r="I86" s="5"/>
      <c r="J86" s="5"/>
    </row>
    <row r="87" spans="1:47" s="7" customFormat="1" ht="15.8" customHeight="1">
      <c r="A87" s="5"/>
      <c r="B87" s="5"/>
      <c r="C87" s="520"/>
      <c r="D87" s="520"/>
      <c r="E87" s="520"/>
      <c r="F87" s="67"/>
      <c r="G87" s="21"/>
      <c r="I87" s="5"/>
      <c r="J87" s="5"/>
    </row>
    <row r="88" spans="1:47" s="7" customFormat="1" ht="15.8" customHeight="1">
      <c r="A88" s="5"/>
      <c r="B88" s="5"/>
      <c r="C88" s="520"/>
      <c r="D88" s="520"/>
      <c r="E88" s="520"/>
      <c r="F88" s="67"/>
      <c r="G88" s="21"/>
      <c r="I88" s="5"/>
      <c r="J88" s="5"/>
    </row>
    <row r="89" spans="1:47" s="7" customFormat="1" ht="15.8" customHeight="1">
      <c r="A89" s="5"/>
      <c r="B89" s="5"/>
      <c r="C89" s="520"/>
      <c r="D89" s="520"/>
      <c r="E89" s="520"/>
      <c r="F89" s="67"/>
      <c r="G89" s="21"/>
      <c r="I89" s="5"/>
      <c r="J89" s="5"/>
    </row>
    <row r="90" spans="1:47" s="7" customFormat="1" ht="15.8" customHeight="1">
      <c r="A90" s="5"/>
      <c r="B90" s="5"/>
      <c r="C90" s="520"/>
      <c r="D90" s="520"/>
      <c r="E90" s="520"/>
      <c r="F90" s="67"/>
      <c r="G90" s="21"/>
      <c r="I90" s="5"/>
      <c r="J90" s="5"/>
    </row>
    <row r="91" spans="1:47" s="7" customFormat="1" ht="15.8" customHeight="1">
      <c r="A91" s="5"/>
      <c r="B91" s="5"/>
      <c r="C91" s="520"/>
      <c r="D91" s="520"/>
      <c r="E91" s="520"/>
      <c r="F91" s="67"/>
      <c r="G91" s="21"/>
      <c r="I91" s="5"/>
      <c r="J91" s="5"/>
    </row>
    <row r="92" spans="1:47" s="7" customFormat="1" ht="15.8" customHeight="1">
      <c r="A92" s="5"/>
      <c r="B92" s="5"/>
      <c r="C92" s="520"/>
      <c r="D92" s="520"/>
      <c r="E92" s="520"/>
      <c r="F92" s="67"/>
      <c r="G92" s="21"/>
      <c r="I92" s="5"/>
      <c r="J92" s="5"/>
    </row>
    <row r="93" spans="1:47" s="7" customFormat="1" ht="15.8" customHeight="1">
      <c r="A93" s="5"/>
      <c r="B93" s="5"/>
      <c r="C93" s="520"/>
      <c r="D93" s="520"/>
      <c r="E93" s="520"/>
      <c r="F93" s="67"/>
      <c r="G93" s="21"/>
      <c r="I93" s="5"/>
      <c r="J93" s="5"/>
    </row>
    <row r="94" spans="1:47" s="7" customFormat="1" ht="15.8" customHeight="1">
      <c r="A94" s="5"/>
      <c r="B94" s="5"/>
      <c r="C94" s="520"/>
      <c r="D94" s="520"/>
      <c r="E94" s="520"/>
      <c r="F94" s="67"/>
      <c r="G94" s="21"/>
      <c r="I94" s="5"/>
      <c r="J94" s="5"/>
    </row>
    <row r="95" spans="1:47" s="7" customFormat="1" ht="15.8" customHeight="1">
      <c r="A95" s="5"/>
      <c r="B95" s="5"/>
      <c r="C95" s="520"/>
      <c r="D95" s="520"/>
      <c r="E95" s="520"/>
      <c r="F95" s="67"/>
      <c r="G95" s="21"/>
      <c r="I95" s="5"/>
      <c r="J95" s="5"/>
    </row>
    <row r="96" spans="1:47" s="7" customFormat="1" ht="15.8" customHeight="1">
      <c r="A96" s="5"/>
      <c r="B96" s="5"/>
      <c r="C96" s="520"/>
      <c r="D96" s="520"/>
      <c r="E96" s="520"/>
      <c r="F96" s="67"/>
      <c r="G96" s="21"/>
      <c r="I96" s="5"/>
      <c r="J96" s="5"/>
    </row>
    <row r="97" spans="1:10" s="7" customFormat="1" ht="15.8" customHeight="1">
      <c r="A97" s="5"/>
      <c r="B97" s="5"/>
      <c r="C97" s="520"/>
      <c r="D97" s="520"/>
      <c r="E97" s="520"/>
      <c r="F97" s="67"/>
      <c r="G97" s="21"/>
      <c r="I97" s="5"/>
      <c r="J97" s="5"/>
    </row>
    <row r="98" spans="1:10" s="7" customFormat="1" ht="15.8" customHeight="1">
      <c r="A98" s="5"/>
      <c r="B98" s="5"/>
      <c r="C98" s="520"/>
      <c r="D98" s="520"/>
      <c r="E98" s="520"/>
      <c r="F98" s="67"/>
      <c r="G98" s="21"/>
      <c r="I98" s="5"/>
      <c r="J98" s="5"/>
    </row>
    <row r="99" spans="1:10" s="7" customFormat="1" ht="15.8" customHeight="1">
      <c r="A99" s="5"/>
      <c r="B99" s="5"/>
      <c r="C99" s="520"/>
      <c r="D99" s="520"/>
      <c r="E99" s="520"/>
      <c r="F99" s="67"/>
      <c r="G99" s="21"/>
      <c r="I99" s="5"/>
      <c r="J99" s="5"/>
    </row>
    <row r="100" spans="1:10" s="7" customFormat="1" ht="15.8" customHeight="1">
      <c r="A100" s="5"/>
      <c r="B100" s="5"/>
      <c r="C100" s="520"/>
      <c r="D100" s="520"/>
      <c r="E100" s="520"/>
      <c r="F100" s="67"/>
      <c r="G100" s="21"/>
      <c r="I100" s="5"/>
      <c r="J100" s="5"/>
    </row>
    <row r="101" spans="1:10" s="7" customFormat="1" ht="15.8" customHeight="1">
      <c r="A101" s="5"/>
      <c r="B101" s="5"/>
      <c r="C101" s="520"/>
      <c r="D101" s="520"/>
      <c r="E101" s="520"/>
      <c r="F101" s="67"/>
      <c r="G101" s="21"/>
      <c r="I101" s="5"/>
      <c r="J101" s="5"/>
    </row>
    <row r="102" spans="1:10" s="7" customFormat="1" ht="15.8" customHeight="1">
      <c r="A102" s="5"/>
      <c r="B102" s="5"/>
      <c r="C102" s="520"/>
      <c r="D102" s="520"/>
      <c r="E102" s="520"/>
      <c r="F102" s="67"/>
      <c r="G102" s="21"/>
      <c r="I102" s="5"/>
      <c r="J102" s="5"/>
    </row>
    <row r="103" spans="1:10" s="7" customFormat="1" ht="15.8" customHeight="1">
      <c r="A103" s="5"/>
      <c r="B103" s="5"/>
      <c r="C103" s="520"/>
      <c r="D103" s="520"/>
      <c r="E103" s="520"/>
      <c r="F103" s="67"/>
      <c r="G103" s="21"/>
      <c r="I103" s="5"/>
      <c r="J103" s="5"/>
    </row>
    <row r="104" spans="1:10" s="7" customFormat="1" ht="15.8" customHeight="1">
      <c r="A104" s="5"/>
      <c r="B104" s="5"/>
      <c r="C104" s="520"/>
      <c r="D104" s="520"/>
      <c r="E104" s="520"/>
      <c r="F104" s="67"/>
      <c r="G104" s="21"/>
      <c r="I104" s="5"/>
      <c r="J104" s="5"/>
    </row>
    <row r="105" spans="1:10" s="7" customFormat="1" ht="15.8" customHeight="1">
      <c r="A105" s="5"/>
      <c r="B105" s="5"/>
      <c r="C105" s="520"/>
      <c r="D105" s="520"/>
      <c r="E105" s="520"/>
      <c r="F105" s="67"/>
      <c r="G105" s="21"/>
      <c r="I105" s="5"/>
      <c r="J105" s="5"/>
    </row>
    <row r="106" spans="1:10" s="7" customFormat="1" ht="15.8" customHeight="1">
      <c r="A106" s="5"/>
      <c r="B106" s="5"/>
      <c r="C106" s="520"/>
      <c r="D106" s="520"/>
      <c r="E106" s="520"/>
      <c r="F106" s="67"/>
      <c r="G106" s="21"/>
      <c r="I106" s="5"/>
      <c r="J106" s="5"/>
    </row>
    <row r="107" spans="1:10" s="7" customFormat="1" ht="15.8" customHeight="1">
      <c r="A107" s="5"/>
      <c r="B107" s="5"/>
      <c r="C107" s="520"/>
      <c r="D107" s="520"/>
      <c r="E107" s="520"/>
      <c r="F107" s="67"/>
      <c r="G107" s="21"/>
      <c r="I107" s="5"/>
      <c r="J107" s="5"/>
    </row>
    <row r="108" spans="1:10" s="7" customFormat="1" ht="15.8" customHeight="1">
      <c r="A108" s="5"/>
      <c r="B108" s="5"/>
      <c r="C108" s="520"/>
      <c r="D108" s="520"/>
      <c r="E108" s="520"/>
      <c r="F108" s="67"/>
      <c r="G108" s="21"/>
      <c r="I108" s="5"/>
      <c r="J108" s="5"/>
    </row>
    <row r="109" spans="1:10" s="7" customFormat="1" ht="15.8" customHeight="1">
      <c r="A109" s="5"/>
      <c r="B109" s="5"/>
      <c r="C109" s="520"/>
      <c r="D109" s="520"/>
      <c r="E109" s="520"/>
      <c r="F109" s="67"/>
      <c r="G109" s="21"/>
      <c r="I109" s="5"/>
      <c r="J109" s="5"/>
    </row>
    <row r="110" spans="1:10" s="7" customFormat="1" ht="15.8" customHeight="1">
      <c r="A110" s="5"/>
      <c r="B110" s="5"/>
      <c r="C110" s="520"/>
      <c r="D110" s="520"/>
      <c r="E110" s="520"/>
      <c r="F110" s="67"/>
      <c r="G110" s="21"/>
      <c r="I110" s="5"/>
      <c r="J110" s="5"/>
    </row>
    <row r="111" spans="1:10" s="7" customFormat="1" ht="15.8" customHeight="1">
      <c r="A111" s="5"/>
      <c r="B111" s="5"/>
      <c r="C111" s="520"/>
      <c r="D111" s="520"/>
      <c r="E111" s="520"/>
      <c r="F111" s="67"/>
      <c r="G111" s="21"/>
      <c r="I111" s="5"/>
      <c r="J111" s="5"/>
    </row>
    <row r="112" spans="1:10" s="7" customFormat="1" ht="15.8" customHeight="1">
      <c r="A112" s="5"/>
      <c r="B112" s="5"/>
      <c r="C112" s="520"/>
      <c r="D112" s="520"/>
      <c r="E112" s="520"/>
      <c r="F112" s="67"/>
      <c r="G112" s="21"/>
      <c r="I112" s="5"/>
      <c r="J112" s="5"/>
    </row>
    <row r="113" spans="1:10" s="7" customFormat="1" ht="15.8" customHeight="1">
      <c r="A113" s="5"/>
      <c r="B113" s="5"/>
      <c r="C113" s="520"/>
      <c r="D113" s="520"/>
      <c r="E113" s="520"/>
      <c r="F113" s="67"/>
      <c r="G113" s="21"/>
      <c r="I113" s="5"/>
      <c r="J113" s="5"/>
    </row>
    <row r="114" spans="1:10" s="7" customFormat="1" ht="15.8" customHeight="1">
      <c r="A114" s="5"/>
      <c r="B114" s="5"/>
      <c r="C114" s="520"/>
      <c r="D114" s="520"/>
      <c r="E114" s="520"/>
      <c r="F114" s="67"/>
      <c r="G114" s="21"/>
      <c r="I114" s="5"/>
      <c r="J114" s="5"/>
    </row>
    <row r="115" spans="1:10" s="7" customFormat="1" ht="15.8" customHeight="1">
      <c r="A115" s="5"/>
      <c r="B115" s="5"/>
      <c r="C115" s="520"/>
      <c r="D115" s="520"/>
      <c r="E115" s="520"/>
      <c r="F115" s="67"/>
      <c r="G115" s="21"/>
      <c r="I115" s="5"/>
      <c r="J115" s="5"/>
    </row>
    <row r="116" spans="1:10" s="7" customFormat="1" ht="15.8" customHeight="1">
      <c r="A116" s="5"/>
      <c r="B116" s="5"/>
      <c r="C116" s="520"/>
      <c r="D116" s="520"/>
      <c r="E116" s="520"/>
      <c r="F116" s="67"/>
      <c r="G116" s="21"/>
      <c r="I116" s="5"/>
      <c r="J116" s="5"/>
    </row>
    <row r="117" spans="1:10" s="7" customFormat="1" ht="15.8" customHeight="1">
      <c r="A117" s="5"/>
      <c r="B117" s="5"/>
      <c r="C117" s="520"/>
      <c r="D117" s="520"/>
      <c r="E117" s="520"/>
      <c r="F117" s="67"/>
      <c r="G117" s="21"/>
      <c r="I117" s="5"/>
      <c r="J117" s="5"/>
    </row>
    <row r="118" spans="1:10" s="7" customFormat="1" ht="15.8" customHeight="1">
      <c r="A118" s="5"/>
      <c r="B118" s="5"/>
      <c r="C118" s="520"/>
      <c r="D118" s="520"/>
      <c r="E118" s="520"/>
      <c r="F118" s="67"/>
      <c r="G118" s="21"/>
      <c r="I118" s="5"/>
      <c r="J118" s="5"/>
    </row>
    <row r="119" spans="1:10" s="7" customFormat="1" ht="15.8" customHeight="1">
      <c r="A119" s="5"/>
      <c r="B119" s="5"/>
      <c r="C119" s="520"/>
      <c r="D119" s="520"/>
      <c r="E119" s="520"/>
      <c r="F119" s="67"/>
      <c r="G119" s="21"/>
      <c r="I119" s="5"/>
      <c r="J119" s="5"/>
    </row>
    <row r="120" spans="1:10" s="7" customFormat="1" ht="15.8" customHeight="1">
      <c r="A120" s="5"/>
      <c r="B120" s="5"/>
      <c r="C120" s="520"/>
      <c r="D120" s="520"/>
      <c r="E120" s="520"/>
      <c r="F120" s="67"/>
      <c r="G120" s="21"/>
      <c r="I120" s="5"/>
      <c r="J120" s="5"/>
    </row>
    <row r="121" spans="1:10" s="7" customFormat="1" ht="15.8" customHeight="1">
      <c r="A121" s="5"/>
      <c r="B121" s="5"/>
      <c r="C121" s="520"/>
      <c r="D121" s="520"/>
      <c r="E121" s="520"/>
      <c r="F121" s="67"/>
      <c r="G121" s="21"/>
      <c r="I121" s="5"/>
      <c r="J121" s="5"/>
    </row>
    <row r="122" spans="1:10" s="7" customFormat="1" ht="15.8" customHeight="1">
      <c r="A122" s="5"/>
      <c r="B122" s="5"/>
      <c r="C122" s="520"/>
      <c r="D122" s="520"/>
      <c r="E122" s="520"/>
      <c r="F122" s="67"/>
      <c r="G122" s="21"/>
      <c r="I122" s="5"/>
      <c r="J122" s="5"/>
    </row>
    <row r="123" spans="1:10" s="7" customFormat="1" ht="15.8" customHeight="1">
      <c r="A123" s="5"/>
      <c r="B123" s="5"/>
      <c r="C123" s="520"/>
      <c r="D123" s="520"/>
      <c r="E123" s="520"/>
      <c r="F123" s="67"/>
      <c r="G123" s="21"/>
      <c r="I123" s="5"/>
      <c r="J123" s="5"/>
    </row>
    <row r="124" spans="1:10" s="7" customFormat="1" ht="15.8" customHeight="1">
      <c r="A124" s="5"/>
      <c r="B124" s="5"/>
      <c r="C124" s="520"/>
      <c r="D124" s="520"/>
      <c r="E124" s="520"/>
      <c r="F124" s="67"/>
      <c r="G124" s="21"/>
      <c r="I124" s="5"/>
      <c r="J124" s="5"/>
    </row>
    <row r="125" spans="1:10" s="7" customFormat="1" ht="15.8" customHeight="1">
      <c r="A125" s="5"/>
      <c r="B125" s="5"/>
      <c r="C125" s="520"/>
      <c r="D125" s="520"/>
      <c r="E125" s="520"/>
      <c r="F125" s="67"/>
      <c r="G125" s="21"/>
      <c r="I125" s="5"/>
      <c r="J125" s="5"/>
    </row>
    <row r="126" spans="1:10" s="7" customFormat="1" ht="15.8" customHeight="1">
      <c r="A126" s="5"/>
      <c r="B126" s="5"/>
      <c r="C126" s="520"/>
      <c r="D126" s="520"/>
      <c r="E126" s="520"/>
      <c r="F126" s="67"/>
      <c r="G126" s="21"/>
      <c r="I126" s="5"/>
      <c r="J126" s="5"/>
    </row>
    <row r="127" spans="1:10" s="7" customFormat="1" ht="15.8" customHeight="1">
      <c r="A127" s="5"/>
      <c r="B127" s="5"/>
      <c r="C127" s="520"/>
      <c r="D127" s="520"/>
      <c r="E127" s="520"/>
      <c r="F127" s="67"/>
      <c r="G127" s="21"/>
      <c r="I127" s="5"/>
      <c r="J127" s="5"/>
    </row>
    <row r="128" spans="1:10" s="7" customFormat="1" ht="15.8" customHeight="1">
      <c r="A128" s="5"/>
      <c r="B128" s="5"/>
      <c r="C128" s="520"/>
      <c r="D128" s="520"/>
      <c r="E128" s="520"/>
      <c r="F128" s="67"/>
      <c r="G128" s="21"/>
      <c r="I128" s="5"/>
      <c r="J128" s="5"/>
    </row>
    <row r="129" spans="1:10" s="7" customFormat="1" ht="15.8" customHeight="1">
      <c r="A129" s="5"/>
      <c r="B129" s="5"/>
      <c r="C129" s="520"/>
      <c r="D129" s="520"/>
      <c r="E129" s="520"/>
      <c r="F129" s="67"/>
      <c r="G129" s="21"/>
      <c r="I129" s="5"/>
      <c r="J129" s="5"/>
    </row>
    <row r="130" spans="1:10" s="7" customFormat="1" ht="15.8" customHeight="1">
      <c r="A130" s="5"/>
      <c r="B130" s="5"/>
      <c r="C130" s="520"/>
      <c r="D130" s="520"/>
      <c r="E130" s="520"/>
      <c r="F130" s="67"/>
      <c r="G130" s="21"/>
      <c r="I130" s="5"/>
      <c r="J130" s="5"/>
    </row>
    <row r="131" spans="1:10" s="7" customFormat="1" ht="15.8" customHeight="1">
      <c r="A131" s="5"/>
      <c r="B131" s="5"/>
      <c r="C131" s="520"/>
      <c r="D131" s="520"/>
      <c r="E131" s="520"/>
      <c r="F131" s="67"/>
      <c r="G131" s="21"/>
      <c r="I131" s="5"/>
      <c r="J131" s="5"/>
    </row>
    <row r="132" spans="1:10" s="7" customFormat="1" ht="15.8" customHeight="1">
      <c r="A132" s="5"/>
      <c r="B132" s="5"/>
      <c r="C132" s="520"/>
      <c r="D132" s="520"/>
      <c r="E132" s="520"/>
      <c r="F132" s="67"/>
      <c r="G132" s="21"/>
      <c r="I132" s="5"/>
      <c r="J132" s="5"/>
    </row>
    <row r="133" spans="1:10" s="7" customFormat="1" ht="15.8" customHeight="1">
      <c r="A133" s="5"/>
      <c r="B133" s="5"/>
      <c r="C133" s="520"/>
      <c r="D133" s="520"/>
      <c r="E133" s="520"/>
      <c r="F133" s="67"/>
      <c r="G133" s="21"/>
      <c r="I133" s="5"/>
      <c r="J133" s="5"/>
    </row>
    <row r="134" spans="1:10" s="7" customFormat="1" ht="15.8" customHeight="1">
      <c r="A134" s="5"/>
      <c r="B134" s="5"/>
      <c r="C134" s="520"/>
      <c r="D134" s="520"/>
      <c r="E134" s="520"/>
      <c r="F134" s="67"/>
      <c r="G134" s="21"/>
      <c r="I134" s="5"/>
      <c r="J134" s="5"/>
    </row>
    <row r="135" spans="1:10" s="7" customFormat="1" ht="15.8" customHeight="1">
      <c r="A135" s="5"/>
      <c r="B135" s="5"/>
      <c r="C135" s="520"/>
      <c r="D135" s="520"/>
      <c r="E135" s="520"/>
      <c r="F135" s="67"/>
      <c r="G135" s="21"/>
      <c r="I135" s="5"/>
      <c r="J135" s="5"/>
    </row>
    <row r="136" spans="1:10" s="7" customFormat="1" ht="15.8" customHeight="1">
      <c r="A136" s="5"/>
      <c r="B136" s="5"/>
      <c r="C136" s="520"/>
      <c r="D136" s="520"/>
      <c r="E136" s="520"/>
      <c r="F136" s="67"/>
      <c r="G136" s="21"/>
      <c r="I136" s="5"/>
      <c r="J136" s="5"/>
    </row>
    <row r="137" spans="1:10" s="7" customFormat="1" ht="15.8" customHeight="1">
      <c r="A137" s="5"/>
      <c r="B137" s="5"/>
      <c r="C137" s="520"/>
      <c r="D137" s="520"/>
      <c r="E137" s="520"/>
      <c r="F137" s="67"/>
      <c r="G137" s="21"/>
      <c r="I137" s="5"/>
      <c r="J137" s="5"/>
    </row>
    <row r="138" spans="1:10" s="7" customFormat="1" ht="15.8" customHeight="1">
      <c r="A138" s="5"/>
      <c r="B138" s="5"/>
      <c r="C138" s="520"/>
      <c r="D138" s="520"/>
      <c r="E138" s="520"/>
      <c r="F138" s="67"/>
      <c r="G138" s="21"/>
      <c r="I138" s="5"/>
      <c r="J138" s="5"/>
    </row>
    <row r="139" spans="1:10" s="7" customFormat="1" ht="15.8" customHeight="1">
      <c r="A139" s="5"/>
      <c r="B139" s="5"/>
      <c r="C139" s="520"/>
      <c r="D139" s="520"/>
      <c r="E139" s="520"/>
      <c r="F139" s="67"/>
      <c r="G139" s="21"/>
      <c r="I139" s="5"/>
      <c r="J139" s="5"/>
    </row>
    <row r="140" spans="1:10" s="7" customFormat="1" ht="15.8" customHeight="1">
      <c r="A140" s="5"/>
      <c r="B140" s="5"/>
      <c r="C140" s="520"/>
      <c r="D140" s="520"/>
      <c r="E140" s="520"/>
      <c r="F140" s="67"/>
      <c r="G140" s="21"/>
      <c r="I140" s="5"/>
      <c r="J140" s="5"/>
    </row>
    <row r="141" spans="1:10" s="7" customFormat="1" ht="15.8" customHeight="1">
      <c r="A141" s="5"/>
      <c r="B141" s="5"/>
      <c r="C141" s="520"/>
      <c r="D141" s="520"/>
      <c r="E141" s="520"/>
      <c r="F141" s="67"/>
      <c r="G141" s="21"/>
      <c r="I141" s="5"/>
      <c r="J141" s="5"/>
    </row>
    <row r="142" spans="1:10" s="7" customFormat="1" ht="15.8" customHeight="1">
      <c r="A142" s="5"/>
      <c r="B142" s="5"/>
      <c r="C142" s="520"/>
      <c r="D142" s="520"/>
      <c r="E142" s="520"/>
      <c r="F142" s="67"/>
      <c r="G142" s="21"/>
      <c r="I142" s="5"/>
      <c r="J142" s="5"/>
    </row>
    <row r="143" spans="1:10" s="7" customFormat="1" ht="15.8" customHeight="1">
      <c r="A143" s="5"/>
      <c r="B143" s="5"/>
      <c r="C143" s="520"/>
      <c r="D143" s="520"/>
      <c r="E143" s="520"/>
      <c r="F143" s="67"/>
      <c r="G143" s="21"/>
      <c r="I143" s="5"/>
      <c r="J143" s="5"/>
    </row>
    <row r="144" spans="1:10" s="7" customFormat="1" ht="15.8" customHeight="1">
      <c r="A144" s="5"/>
      <c r="B144" s="5"/>
      <c r="C144" s="520"/>
      <c r="D144" s="520"/>
      <c r="E144" s="520"/>
      <c r="F144" s="67"/>
      <c r="G144" s="21"/>
      <c r="I144" s="5"/>
      <c r="J144" s="5"/>
    </row>
    <row r="145" spans="1:10" s="7" customFormat="1" ht="15.8" customHeight="1">
      <c r="A145" s="5"/>
      <c r="B145" s="5"/>
      <c r="C145" s="520"/>
      <c r="D145" s="520"/>
      <c r="E145" s="520"/>
      <c r="F145" s="67"/>
      <c r="G145" s="21"/>
      <c r="I145" s="5"/>
      <c r="J145" s="5"/>
    </row>
    <row r="146" spans="1:10" s="7" customFormat="1" ht="15.8" customHeight="1">
      <c r="A146" s="5"/>
      <c r="B146" s="5"/>
      <c r="C146" s="520"/>
      <c r="D146" s="520"/>
      <c r="E146" s="520"/>
      <c r="F146" s="67"/>
      <c r="G146" s="21"/>
      <c r="I146" s="5"/>
      <c r="J146" s="5"/>
    </row>
    <row r="147" spans="1:10" s="7" customFormat="1" ht="15.8" customHeight="1">
      <c r="A147" s="5"/>
      <c r="B147" s="5"/>
      <c r="C147" s="520"/>
      <c r="D147" s="520"/>
      <c r="E147" s="520"/>
      <c r="F147" s="67"/>
      <c r="G147" s="21"/>
      <c r="I147" s="5"/>
      <c r="J147" s="5"/>
    </row>
    <row r="148" spans="1:10" s="7" customFormat="1" ht="15.8" customHeight="1">
      <c r="A148" s="5"/>
      <c r="B148" s="5"/>
      <c r="C148" s="520"/>
      <c r="D148" s="520"/>
      <c r="E148" s="520"/>
      <c r="F148" s="67"/>
      <c r="G148" s="21"/>
      <c r="I148" s="5"/>
      <c r="J148" s="5"/>
    </row>
    <row r="149" spans="1:10" s="7" customFormat="1" ht="15.8" customHeight="1">
      <c r="A149" s="5"/>
      <c r="B149" s="5"/>
      <c r="C149" s="520"/>
      <c r="D149" s="520"/>
      <c r="E149" s="520"/>
      <c r="F149" s="67"/>
      <c r="G149" s="21"/>
      <c r="I149" s="5"/>
      <c r="J149" s="5"/>
    </row>
    <row r="150" spans="1:10" s="7" customFormat="1" ht="15.8" customHeight="1">
      <c r="A150" s="5"/>
      <c r="B150" s="5"/>
      <c r="C150" s="520"/>
      <c r="D150" s="520"/>
      <c r="E150" s="520"/>
      <c r="F150" s="67"/>
      <c r="G150" s="21"/>
      <c r="I150" s="5"/>
      <c r="J150" s="5"/>
    </row>
    <row r="151" spans="1:10" s="7" customFormat="1" ht="15.8" customHeight="1">
      <c r="A151" s="5"/>
      <c r="B151" s="5"/>
      <c r="C151" s="520"/>
      <c r="D151" s="520"/>
      <c r="E151" s="520"/>
      <c r="F151" s="67"/>
      <c r="G151" s="21"/>
      <c r="I151" s="5"/>
      <c r="J151" s="5"/>
    </row>
    <row r="152" spans="1:10" s="7" customFormat="1" ht="15.8" customHeight="1">
      <c r="A152" s="5"/>
      <c r="B152" s="5"/>
      <c r="C152" s="520"/>
      <c r="D152" s="520"/>
      <c r="E152" s="520"/>
      <c r="F152" s="67"/>
      <c r="G152" s="21"/>
      <c r="I152" s="5"/>
      <c r="J152" s="5"/>
    </row>
    <row r="153" spans="1:10" s="7" customFormat="1" ht="15.8" customHeight="1">
      <c r="A153" s="5"/>
      <c r="B153" s="5"/>
      <c r="C153" s="520"/>
      <c r="D153" s="520"/>
      <c r="E153" s="520"/>
      <c r="F153" s="67"/>
      <c r="G153" s="21"/>
      <c r="I153" s="5"/>
      <c r="J153" s="5"/>
    </row>
    <row r="154" spans="1:10" s="7" customFormat="1" ht="15.8" customHeight="1">
      <c r="A154" s="5"/>
      <c r="B154" s="5"/>
      <c r="C154" s="520"/>
      <c r="D154" s="520"/>
      <c r="E154" s="520"/>
      <c r="F154" s="67"/>
      <c r="G154" s="21"/>
      <c r="I154" s="5"/>
      <c r="J154" s="5"/>
    </row>
    <row r="155" spans="1:10" s="7" customFormat="1" ht="15.8" customHeight="1">
      <c r="A155" s="5"/>
      <c r="B155" s="5"/>
      <c r="C155" s="520"/>
      <c r="D155" s="520"/>
      <c r="E155" s="520"/>
      <c r="F155" s="67"/>
      <c r="G155" s="21"/>
      <c r="I155" s="5"/>
      <c r="J155" s="5"/>
    </row>
    <row r="156" spans="1:10" s="7" customFormat="1" ht="15.8" customHeight="1">
      <c r="A156" s="5"/>
      <c r="B156" s="5"/>
      <c r="C156" s="520"/>
      <c r="D156" s="520"/>
      <c r="E156" s="520"/>
      <c r="F156" s="67"/>
      <c r="G156" s="21"/>
      <c r="I156" s="5"/>
      <c r="J156" s="5"/>
    </row>
    <row r="157" spans="1:10" s="7" customFormat="1" ht="15.8" customHeight="1">
      <c r="A157" s="5"/>
      <c r="B157" s="5"/>
      <c r="C157" s="520"/>
      <c r="D157" s="520"/>
      <c r="E157" s="520"/>
      <c r="F157" s="67"/>
      <c r="G157" s="21"/>
      <c r="I157" s="5"/>
      <c r="J157" s="5"/>
    </row>
    <row r="158" spans="1:10" s="7" customFormat="1" ht="15.8" customHeight="1">
      <c r="A158" s="5"/>
      <c r="B158" s="5"/>
      <c r="C158" s="520"/>
      <c r="D158" s="520"/>
      <c r="E158" s="520"/>
      <c r="F158" s="67"/>
      <c r="G158" s="21"/>
      <c r="I158" s="5"/>
      <c r="J158" s="5"/>
    </row>
    <row r="159" spans="1:10" s="7" customFormat="1" ht="15.8" customHeight="1">
      <c r="A159" s="5"/>
      <c r="B159" s="5"/>
      <c r="C159" s="520"/>
      <c r="D159" s="520"/>
      <c r="E159" s="520"/>
      <c r="F159" s="67"/>
      <c r="G159" s="21"/>
      <c r="I159" s="5"/>
      <c r="J159" s="5"/>
    </row>
    <row r="160" spans="1:10" s="7" customFormat="1" ht="15.8" customHeight="1">
      <c r="A160" s="5"/>
      <c r="B160" s="5"/>
      <c r="C160" s="520"/>
      <c r="D160" s="520"/>
      <c r="E160" s="520"/>
      <c r="F160" s="67"/>
      <c r="G160" s="21"/>
      <c r="I160" s="5"/>
      <c r="J160" s="5"/>
    </row>
    <row r="161" spans="1:10" s="7" customFormat="1" ht="15.8" customHeight="1">
      <c r="A161" s="5"/>
      <c r="B161" s="5"/>
      <c r="C161" s="520"/>
      <c r="D161" s="520"/>
      <c r="E161" s="520"/>
      <c r="F161" s="67"/>
      <c r="G161" s="21"/>
      <c r="I161" s="5"/>
      <c r="J161" s="5"/>
    </row>
    <row r="162" spans="1:10" s="7" customFormat="1" ht="15.8" customHeight="1">
      <c r="A162" s="5"/>
      <c r="B162" s="5"/>
      <c r="C162" s="520"/>
      <c r="D162" s="520"/>
      <c r="E162" s="520"/>
      <c r="F162" s="67"/>
      <c r="G162" s="21"/>
      <c r="I162" s="5"/>
      <c r="J162" s="5"/>
    </row>
    <row r="163" spans="1:10" s="7" customFormat="1" ht="15.8" customHeight="1">
      <c r="A163" s="5"/>
      <c r="B163" s="5"/>
      <c r="C163" s="520"/>
      <c r="D163" s="520"/>
      <c r="E163" s="520"/>
      <c r="F163" s="67"/>
      <c r="G163" s="21"/>
      <c r="I163" s="5"/>
      <c r="J163" s="5"/>
    </row>
    <row r="164" spans="1:10" s="7" customFormat="1" ht="15.8" customHeight="1">
      <c r="A164" s="5"/>
      <c r="B164" s="5"/>
      <c r="C164" s="520"/>
      <c r="D164" s="520"/>
      <c r="E164" s="520"/>
      <c r="F164" s="67"/>
      <c r="G164" s="21"/>
      <c r="I164" s="5"/>
      <c r="J164" s="5"/>
    </row>
    <row r="165" spans="1:10" s="7" customFormat="1" ht="15.8" customHeight="1">
      <c r="A165" s="5"/>
      <c r="B165" s="5"/>
      <c r="C165" s="520"/>
      <c r="D165" s="520"/>
      <c r="E165" s="520"/>
      <c r="F165" s="67"/>
      <c r="G165" s="21"/>
      <c r="I165" s="5"/>
      <c r="J165" s="5"/>
    </row>
    <row r="166" spans="1:10" s="7" customFormat="1" ht="15.8" customHeight="1">
      <c r="A166" s="5"/>
      <c r="B166" s="5"/>
      <c r="C166" s="520"/>
      <c r="D166" s="520"/>
      <c r="E166" s="520"/>
      <c r="F166" s="67"/>
      <c r="G166" s="21"/>
      <c r="I166" s="5"/>
      <c r="J166" s="5"/>
    </row>
    <row r="167" spans="1:10" s="7" customFormat="1" ht="15.8" customHeight="1">
      <c r="A167" s="5"/>
      <c r="B167" s="5"/>
      <c r="C167" s="520"/>
      <c r="D167" s="520"/>
      <c r="E167" s="520"/>
      <c r="F167" s="67"/>
      <c r="G167" s="21"/>
      <c r="I167" s="5"/>
      <c r="J167" s="5"/>
    </row>
    <row r="168" spans="1:10" s="7" customFormat="1" ht="15.8" customHeight="1">
      <c r="A168" s="5"/>
      <c r="B168" s="5"/>
      <c r="C168" s="520"/>
      <c r="D168" s="520"/>
      <c r="E168" s="520"/>
      <c r="F168" s="67"/>
      <c r="G168" s="21"/>
      <c r="I168" s="5"/>
      <c r="J168" s="5"/>
    </row>
    <row r="169" spans="1:10" s="7" customFormat="1" ht="15.8" customHeight="1">
      <c r="A169" s="5"/>
      <c r="B169" s="5"/>
      <c r="C169" s="520"/>
      <c r="D169" s="520"/>
      <c r="E169" s="520"/>
      <c r="F169" s="67"/>
      <c r="G169" s="21"/>
      <c r="I169" s="5"/>
      <c r="J169" s="5"/>
    </row>
    <row r="170" spans="1:10" s="7" customFormat="1" ht="15.8" customHeight="1">
      <c r="A170" s="5"/>
      <c r="B170" s="5"/>
      <c r="C170" s="520"/>
      <c r="D170" s="520"/>
      <c r="E170" s="520"/>
      <c r="F170" s="67"/>
      <c r="G170" s="21"/>
      <c r="I170" s="5"/>
      <c r="J170" s="5"/>
    </row>
    <row r="171" spans="1:10" s="7" customFormat="1" ht="15.8" customHeight="1">
      <c r="A171" s="5"/>
      <c r="B171" s="5"/>
      <c r="C171" s="520"/>
      <c r="D171" s="520"/>
      <c r="E171" s="520"/>
      <c r="F171" s="67"/>
      <c r="G171" s="21"/>
      <c r="I171" s="5"/>
      <c r="J171" s="5"/>
    </row>
    <row r="172" spans="1:10" s="7" customFormat="1" ht="15.8" customHeight="1">
      <c r="A172" s="5"/>
      <c r="B172" s="5"/>
      <c r="C172" s="520"/>
      <c r="D172" s="520"/>
      <c r="E172" s="520"/>
      <c r="F172" s="67"/>
      <c r="G172" s="21"/>
      <c r="I172" s="5"/>
      <c r="J172" s="5"/>
    </row>
    <row r="173" spans="1:10" s="7" customFormat="1" ht="15.8" customHeight="1">
      <c r="A173" s="5"/>
      <c r="B173" s="5"/>
      <c r="C173" s="520"/>
      <c r="D173" s="520"/>
      <c r="E173" s="520"/>
      <c r="F173" s="67"/>
      <c r="G173" s="21"/>
      <c r="I173" s="5"/>
      <c r="J173" s="5"/>
    </row>
    <row r="174" spans="1:10" s="7" customFormat="1" ht="15.8" customHeight="1">
      <c r="A174" s="5"/>
      <c r="B174" s="5"/>
      <c r="C174" s="520"/>
      <c r="D174" s="520"/>
      <c r="E174" s="520"/>
      <c r="F174" s="67"/>
      <c r="G174" s="21"/>
      <c r="I174" s="5"/>
      <c r="J174" s="5"/>
    </row>
    <row r="175" spans="1:10" s="7" customFormat="1" ht="15.8" customHeight="1">
      <c r="A175" s="5"/>
      <c r="B175" s="5"/>
      <c r="C175" s="520"/>
      <c r="D175" s="520"/>
      <c r="E175" s="520"/>
      <c r="F175" s="67"/>
      <c r="G175" s="21"/>
      <c r="I175" s="5"/>
      <c r="J175" s="5"/>
    </row>
    <row r="176" spans="1:10" s="7" customFormat="1" ht="15.8" customHeight="1">
      <c r="A176" s="5"/>
      <c r="B176" s="5"/>
      <c r="C176" s="520"/>
      <c r="D176" s="520"/>
      <c r="E176" s="520"/>
      <c r="F176" s="67"/>
      <c r="G176" s="21"/>
      <c r="I176" s="5"/>
      <c r="J176" s="5"/>
    </row>
    <row r="177" spans="1:10" s="7" customFormat="1" ht="15.8" customHeight="1">
      <c r="A177" s="5"/>
      <c r="B177" s="5"/>
      <c r="C177" s="520"/>
      <c r="D177" s="520"/>
      <c r="E177" s="520"/>
      <c r="F177" s="67"/>
      <c r="G177" s="21"/>
      <c r="I177" s="5"/>
      <c r="J177" s="5"/>
    </row>
    <row r="178" spans="1:10" s="7" customFormat="1" ht="15.8" customHeight="1">
      <c r="A178" s="5"/>
      <c r="B178" s="5"/>
      <c r="C178" s="520"/>
      <c r="D178" s="520"/>
      <c r="E178" s="520"/>
      <c r="F178" s="67"/>
      <c r="G178" s="21"/>
      <c r="I178" s="5"/>
      <c r="J178" s="5"/>
    </row>
    <row r="179" spans="1:10" s="7" customFormat="1" ht="15.8" customHeight="1">
      <c r="A179" s="5"/>
      <c r="B179" s="5"/>
      <c r="C179" s="520"/>
      <c r="D179" s="520"/>
      <c r="E179" s="520"/>
      <c r="F179" s="67"/>
      <c r="G179" s="21"/>
      <c r="I179" s="5"/>
      <c r="J179" s="5"/>
    </row>
    <row r="180" spans="1:10" s="7" customFormat="1" ht="15.8" customHeight="1">
      <c r="A180" s="5"/>
      <c r="B180" s="5"/>
      <c r="C180" s="520"/>
      <c r="D180" s="520"/>
      <c r="E180" s="520"/>
      <c r="F180" s="67"/>
      <c r="G180" s="21"/>
      <c r="I180" s="5"/>
      <c r="J180" s="5"/>
    </row>
    <row r="181" spans="1:10" s="7" customFormat="1" ht="15.8" customHeight="1">
      <c r="A181" s="5"/>
      <c r="B181" s="5"/>
      <c r="C181" s="520"/>
      <c r="D181" s="520"/>
      <c r="E181" s="520"/>
      <c r="F181" s="67"/>
      <c r="G181" s="21"/>
      <c r="I181" s="5"/>
      <c r="J181" s="5"/>
    </row>
    <row r="182" spans="1:10" s="7" customFormat="1" ht="15.8" customHeight="1">
      <c r="A182" s="5"/>
      <c r="B182" s="5"/>
      <c r="C182" s="520"/>
      <c r="D182" s="520"/>
      <c r="E182" s="520"/>
      <c r="F182" s="67"/>
      <c r="G182" s="21"/>
      <c r="I182" s="5"/>
      <c r="J182" s="5"/>
    </row>
    <row r="183" spans="1:10" s="7" customFormat="1" ht="15.8" customHeight="1">
      <c r="A183" s="5"/>
      <c r="B183" s="5"/>
      <c r="C183" s="520"/>
      <c r="D183" s="520"/>
      <c r="E183" s="520"/>
      <c r="F183" s="67"/>
      <c r="G183" s="21"/>
      <c r="I183" s="5"/>
      <c r="J183" s="5"/>
    </row>
    <row r="184" spans="1:10" s="7" customFormat="1" ht="15.8" customHeight="1">
      <c r="A184" s="5"/>
      <c r="B184" s="5"/>
      <c r="C184" s="520"/>
      <c r="D184" s="520"/>
      <c r="E184" s="520"/>
      <c r="F184" s="67"/>
      <c r="G184" s="21"/>
      <c r="I184" s="5"/>
      <c r="J184" s="5"/>
    </row>
    <row r="185" spans="1:10" s="7" customFormat="1" ht="15.8" customHeight="1">
      <c r="A185" s="5"/>
      <c r="B185" s="5"/>
      <c r="C185" s="520"/>
      <c r="D185" s="520"/>
      <c r="E185" s="520"/>
      <c r="F185" s="67"/>
      <c r="G185" s="21"/>
      <c r="I185" s="5"/>
      <c r="J185" s="5"/>
    </row>
    <row r="186" spans="1:10" s="7" customFormat="1" ht="15.8" customHeight="1">
      <c r="A186" s="5"/>
      <c r="B186" s="5"/>
      <c r="C186" s="520"/>
      <c r="D186" s="520"/>
      <c r="E186" s="520"/>
      <c r="F186" s="67"/>
      <c r="G186" s="21"/>
      <c r="I186" s="5"/>
      <c r="J186" s="5"/>
    </row>
    <row r="187" spans="1:10" s="7" customFormat="1" ht="15.8" customHeight="1">
      <c r="A187" s="5"/>
      <c r="B187" s="5"/>
      <c r="C187" s="520"/>
      <c r="D187" s="520"/>
      <c r="E187" s="520"/>
      <c r="F187" s="67"/>
      <c r="G187" s="21"/>
      <c r="I187" s="5"/>
      <c r="J187" s="5"/>
    </row>
    <row r="188" spans="1:10" s="7" customFormat="1" ht="15.8" customHeight="1">
      <c r="A188" s="5"/>
      <c r="B188" s="5"/>
      <c r="C188" s="520"/>
      <c r="D188" s="520"/>
      <c r="E188" s="520"/>
      <c r="F188" s="67"/>
      <c r="G188" s="21"/>
      <c r="I188" s="5"/>
      <c r="J188" s="5"/>
    </row>
    <row r="189" spans="1:10" s="7" customFormat="1" ht="15.8" customHeight="1">
      <c r="A189" s="5"/>
      <c r="B189" s="5"/>
      <c r="C189" s="520"/>
      <c r="D189" s="520"/>
      <c r="E189" s="520"/>
      <c r="F189" s="67"/>
      <c r="G189" s="21"/>
      <c r="I189" s="5"/>
      <c r="J189" s="5"/>
    </row>
    <row r="190" spans="1:10" s="7" customFormat="1" ht="15.8" customHeight="1">
      <c r="A190" s="5"/>
      <c r="B190" s="5"/>
      <c r="C190" s="520"/>
      <c r="D190" s="520"/>
      <c r="E190" s="520"/>
      <c r="F190" s="67"/>
      <c r="G190" s="21"/>
      <c r="I190" s="5"/>
      <c r="J190" s="5"/>
    </row>
    <row r="191" spans="1:10" s="7" customFormat="1" ht="15.8" customHeight="1">
      <c r="A191" s="5"/>
      <c r="B191" s="5"/>
      <c r="C191" s="520"/>
      <c r="D191" s="520"/>
      <c r="E191" s="520"/>
      <c r="F191" s="67"/>
      <c r="G191" s="21"/>
      <c r="I191" s="5"/>
      <c r="J191" s="5"/>
    </row>
    <row r="192" spans="1:10" s="7" customFormat="1" ht="15.8" customHeight="1">
      <c r="A192" s="5"/>
      <c r="B192" s="5"/>
      <c r="C192" s="520"/>
      <c r="D192" s="520"/>
      <c r="E192" s="520"/>
      <c r="F192" s="67"/>
      <c r="G192" s="21"/>
      <c r="I192" s="5"/>
      <c r="J192" s="5"/>
    </row>
    <row r="193" spans="1:10" s="7" customFormat="1" ht="15.8" customHeight="1">
      <c r="A193" s="5"/>
      <c r="B193" s="5"/>
      <c r="C193" s="520"/>
      <c r="D193" s="520"/>
      <c r="E193" s="520"/>
      <c r="F193" s="67"/>
      <c r="G193" s="21"/>
      <c r="I193" s="5"/>
      <c r="J193" s="5"/>
    </row>
    <row r="194" spans="1:10" s="7" customFormat="1" ht="15.8" customHeight="1">
      <c r="A194" s="5"/>
      <c r="B194" s="5"/>
      <c r="C194" s="520"/>
      <c r="D194" s="520"/>
      <c r="E194" s="520"/>
      <c r="F194" s="67"/>
      <c r="G194" s="21"/>
      <c r="I194" s="5"/>
      <c r="J194" s="5"/>
    </row>
    <row r="195" spans="1:10" s="7" customFormat="1" ht="15.8" customHeight="1">
      <c r="A195" s="5"/>
      <c r="B195" s="5"/>
      <c r="C195" s="520"/>
      <c r="D195" s="520"/>
      <c r="E195" s="520"/>
      <c r="F195" s="67"/>
      <c r="G195" s="21"/>
      <c r="I195" s="5"/>
      <c r="J195" s="5"/>
    </row>
    <row r="196" spans="1:10" s="7" customFormat="1" ht="15.8" customHeight="1">
      <c r="A196" s="5"/>
      <c r="B196" s="5"/>
      <c r="C196" s="520"/>
      <c r="D196" s="520"/>
      <c r="E196" s="520"/>
      <c r="F196" s="67"/>
      <c r="G196" s="21"/>
      <c r="I196" s="5"/>
      <c r="J196" s="5"/>
    </row>
    <row r="197" spans="1:10" s="7" customFormat="1" ht="15.8" customHeight="1">
      <c r="A197" s="5"/>
      <c r="B197" s="5"/>
      <c r="C197" s="520"/>
      <c r="D197" s="520"/>
      <c r="E197" s="520"/>
      <c r="F197" s="67"/>
      <c r="G197" s="21"/>
      <c r="I197" s="5"/>
      <c r="J197" s="5"/>
    </row>
    <row r="198" spans="1:10" s="7" customFormat="1" ht="15.8" customHeight="1">
      <c r="A198" s="5"/>
      <c r="B198" s="5"/>
      <c r="C198" s="520"/>
      <c r="D198" s="520"/>
      <c r="E198" s="520"/>
      <c r="F198" s="67"/>
      <c r="G198" s="21"/>
      <c r="I198" s="5"/>
      <c r="J198" s="5"/>
    </row>
    <row r="199" spans="1:10" s="7" customFormat="1" ht="15.8" customHeight="1">
      <c r="A199" s="5"/>
      <c r="B199" s="5"/>
      <c r="C199" s="520"/>
      <c r="D199" s="520"/>
      <c r="E199" s="520"/>
      <c r="F199" s="67"/>
      <c r="G199" s="21"/>
      <c r="I199" s="5"/>
      <c r="J199" s="5"/>
    </row>
    <row r="200" spans="1:10" s="7" customFormat="1" ht="15.8" customHeight="1">
      <c r="A200" s="5"/>
      <c r="B200" s="5"/>
      <c r="C200" s="520"/>
      <c r="D200" s="520"/>
      <c r="E200" s="520"/>
      <c r="F200" s="67"/>
      <c r="G200" s="21"/>
      <c r="I200" s="5"/>
      <c r="J200" s="5"/>
    </row>
    <row r="201" spans="1:10" s="7" customFormat="1" ht="15.8" customHeight="1">
      <c r="A201" s="5"/>
      <c r="B201" s="5"/>
      <c r="C201" s="520"/>
      <c r="D201" s="520"/>
      <c r="E201" s="520"/>
      <c r="F201" s="67"/>
      <c r="G201" s="21"/>
      <c r="I201" s="5"/>
      <c r="J201" s="5"/>
    </row>
    <row r="202" spans="1:10" s="7" customFormat="1" ht="15.8" customHeight="1">
      <c r="A202" s="5"/>
      <c r="B202" s="5"/>
      <c r="C202" s="520"/>
      <c r="D202" s="520"/>
      <c r="E202" s="520"/>
      <c r="F202" s="67"/>
      <c r="G202" s="21"/>
      <c r="I202" s="5"/>
      <c r="J202" s="5"/>
    </row>
    <row r="203" spans="1:10" s="7" customFormat="1" ht="15.8" customHeight="1">
      <c r="A203" s="5"/>
      <c r="B203" s="5"/>
      <c r="C203" s="520"/>
      <c r="D203" s="520"/>
      <c r="E203" s="520"/>
      <c r="F203" s="67"/>
      <c r="G203" s="21"/>
      <c r="I203" s="5"/>
      <c r="J203" s="5"/>
    </row>
    <row r="204" spans="1:10" s="7" customFormat="1" ht="15.8" customHeight="1">
      <c r="A204" s="5"/>
      <c r="B204" s="5"/>
      <c r="C204" s="520"/>
      <c r="D204" s="520"/>
      <c r="E204" s="520"/>
      <c r="F204" s="67"/>
      <c r="G204" s="21"/>
      <c r="I204" s="5"/>
      <c r="J204" s="5"/>
    </row>
    <row r="205" spans="1:10" s="7" customFormat="1" ht="15.8" customHeight="1">
      <c r="A205" s="5"/>
      <c r="B205" s="5"/>
      <c r="C205" s="520"/>
      <c r="D205" s="520"/>
      <c r="E205" s="520"/>
      <c r="F205" s="67"/>
      <c r="G205" s="21"/>
      <c r="I205" s="5"/>
      <c r="J205" s="5"/>
    </row>
    <row r="206" spans="1:10" s="7" customFormat="1" ht="15.8" customHeight="1">
      <c r="A206" s="5"/>
      <c r="B206" s="5"/>
      <c r="C206" s="520"/>
      <c r="D206" s="520"/>
      <c r="E206" s="520"/>
      <c r="F206" s="67"/>
      <c r="G206" s="21"/>
      <c r="I206" s="5"/>
      <c r="J206" s="5"/>
    </row>
    <row r="207" spans="1:10" s="7" customFormat="1" ht="15.8" customHeight="1">
      <c r="A207" s="5"/>
      <c r="B207" s="5"/>
      <c r="C207" s="520"/>
      <c r="D207" s="520"/>
      <c r="E207" s="520"/>
      <c r="F207" s="67"/>
      <c r="G207" s="21"/>
      <c r="I207" s="5"/>
      <c r="J207" s="5"/>
    </row>
    <row r="208" spans="1:10" s="7" customFormat="1" ht="15.8" customHeight="1">
      <c r="A208" s="5"/>
      <c r="B208" s="5"/>
      <c r="C208" s="520"/>
      <c r="D208" s="520"/>
      <c r="E208" s="520"/>
      <c r="F208" s="67"/>
      <c r="G208" s="21"/>
      <c r="I208" s="5"/>
      <c r="J208" s="5"/>
    </row>
    <row r="209" spans="1:10" s="7" customFormat="1" ht="15.8" customHeight="1">
      <c r="A209" s="5"/>
      <c r="B209" s="5"/>
      <c r="C209" s="520"/>
      <c r="D209" s="520"/>
      <c r="E209" s="520"/>
      <c r="F209" s="67"/>
      <c r="G209" s="21"/>
      <c r="I209" s="5"/>
      <c r="J209" s="5"/>
    </row>
    <row r="210" spans="1:10" s="7" customFormat="1" ht="15.8" customHeight="1">
      <c r="A210" s="5"/>
      <c r="B210" s="5"/>
      <c r="C210" s="520"/>
      <c r="D210" s="520"/>
      <c r="E210" s="520"/>
      <c r="F210" s="67"/>
      <c r="G210" s="21"/>
      <c r="I210" s="5"/>
      <c r="J210" s="5"/>
    </row>
    <row r="211" spans="1:10" s="7" customFormat="1" ht="15.8" customHeight="1">
      <c r="A211" s="5"/>
      <c r="B211" s="5"/>
      <c r="C211" s="520"/>
      <c r="D211" s="520"/>
      <c r="E211" s="520"/>
      <c r="F211" s="67"/>
      <c r="G211" s="21"/>
      <c r="I211" s="5"/>
      <c r="J211" s="5"/>
    </row>
    <row r="212" spans="1:10" s="7" customFormat="1" ht="15.8" customHeight="1">
      <c r="A212" s="5"/>
      <c r="B212" s="5"/>
      <c r="C212" s="520"/>
      <c r="D212" s="520"/>
      <c r="E212" s="520"/>
      <c r="F212" s="67"/>
      <c r="G212" s="21"/>
      <c r="I212" s="5"/>
      <c r="J212" s="5"/>
    </row>
    <row r="213" spans="1:10" s="7" customFormat="1" ht="15.8" customHeight="1">
      <c r="A213" s="5"/>
      <c r="B213" s="5"/>
      <c r="C213" s="520"/>
      <c r="D213" s="520"/>
      <c r="E213" s="520"/>
      <c r="F213" s="67"/>
      <c r="G213" s="21"/>
      <c r="I213" s="5"/>
      <c r="J213" s="5"/>
    </row>
    <row r="214" spans="1:10" s="7" customFormat="1" ht="15.8" customHeight="1">
      <c r="A214" s="5"/>
      <c r="B214" s="5"/>
      <c r="C214" s="520"/>
      <c r="D214" s="520"/>
      <c r="E214" s="520"/>
      <c r="F214" s="67"/>
      <c r="G214" s="21"/>
      <c r="I214" s="5"/>
      <c r="J214" s="5"/>
    </row>
    <row r="215" spans="1:10" s="7" customFormat="1" ht="15.8" customHeight="1">
      <c r="A215" s="5"/>
      <c r="B215" s="5"/>
      <c r="C215" s="520"/>
      <c r="D215" s="520"/>
      <c r="E215" s="520"/>
      <c r="F215" s="67"/>
      <c r="G215" s="21"/>
      <c r="I215" s="5"/>
      <c r="J215" s="5"/>
    </row>
    <row r="216" spans="1:10" s="7" customFormat="1" ht="15.8" customHeight="1">
      <c r="A216" s="5"/>
      <c r="B216" s="5"/>
      <c r="C216" s="520"/>
      <c r="D216" s="520"/>
      <c r="E216" s="520"/>
      <c r="F216" s="67"/>
      <c r="G216" s="21"/>
      <c r="I216" s="5"/>
      <c r="J216" s="5"/>
    </row>
    <row r="217" spans="1:10" s="7" customFormat="1" ht="15.8" customHeight="1">
      <c r="A217" s="5"/>
      <c r="B217" s="5"/>
      <c r="C217" s="520"/>
      <c r="D217" s="520"/>
      <c r="E217" s="520"/>
      <c r="F217" s="67"/>
      <c r="G217" s="21"/>
      <c r="I217" s="5"/>
      <c r="J217" s="5"/>
    </row>
    <row r="218" spans="1:10" s="7" customFormat="1" ht="15.8" customHeight="1">
      <c r="A218" s="5"/>
      <c r="B218" s="5"/>
      <c r="C218" s="520"/>
      <c r="D218" s="520"/>
      <c r="E218" s="520"/>
      <c r="F218" s="67"/>
      <c r="G218" s="21"/>
      <c r="I218" s="5"/>
      <c r="J218" s="5"/>
    </row>
    <row r="219" spans="1:10" s="7" customFormat="1" ht="15.8" customHeight="1">
      <c r="A219" s="5"/>
      <c r="B219" s="5"/>
      <c r="C219" s="520"/>
      <c r="D219" s="520"/>
      <c r="E219" s="520"/>
      <c r="F219" s="67"/>
      <c r="G219" s="21"/>
      <c r="I219" s="5"/>
      <c r="J219" s="5"/>
    </row>
    <row r="220" spans="1:10" s="7" customFormat="1" ht="15.8" customHeight="1">
      <c r="A220" s="5"/>
      <c r="B220" s="5"/>
      <c r="C220" s="520"/>
      <c r="D220" s="520"/>
      <c r="E220" s="520"/>
      <c r="F220" s="67"/>
      <c r="G220" s="21"/>
      <c r="I220" s="5"/>
      <c r="J220" s="5"/>
    </row>
    <row r="221" spans="1:10" s="7" customFormat="1" ht="15.8" customHeight="1">
      <c r="A221" s="5"/>
      <c r="B221" s="5"/>
      <c r="C221" s="520"/>
      <c r="D221" s="520"/>
      <c r="E221" s="520"/>
      <c r="F221" s="67"/>
      <c r="G221" s="21"/>
      <c r="I221" s="5"/>
      <c r="J221" s="5"/>
    </row>
    <row r="222" spans="1:10" s="7" customFormat="1" ht="15.8" customHeight="1">
      <c r="A222" s="5"/>
      <c r="B222" s="5"/>
      <c r="C222" s="520"/>
      <c r="D222" s="520"/>
      <c r="E222" s="520"/>
      <c r="F222" s="67"/>
      <c r="G222" s="21"/>
      <c r="I222" s="5"/>
      <c r="J222" s="5"/>
    </row>
    <row r="223" spans="1:10" s="7" customFormat="1" ht="15.8" customHeight="1">
      <c r="A223" s="5"/>
      <c r="B223" s="5"/>
      <c r="C223" s="520"/>
      <c r="D223" s="520"/>
      <c r="E223" s="520"/>
      <c r="F223" s="67"/>
      <c r="G223" s="21"/>
      <c r="I223" s="5"/>
      <c r="J223" s="5"/>
    </row>
    <row r="224" spans="1:10" s="7" customFormat="1" ht="15.8" customHeight="1">
      <c r="A224" s="5"/>
      <c r="B224" s="5"/>
      <c r="C224" s="520"/>
      <c r="D224" s="520"/>
      <c r="E224" s="520"/>
      <c r="F224" s="67"/>
      <c r="G224" s="21"/>
      <c r="I224" s="5"/>
      <c r="J224" s="5"/>
    </row>
    <row r="225" spans="1:10" s="7" customFormat="1" ht="15.8" customHeight="1">
      <c r="A225" s="5"/>
      <c r="B225" s="5"/>
      <c r="C225" s="520"/>
      <c r="D225" s="520"/>
      <c r="E225" s="520"/>
      <c r="F225" s="67"/>
      <c r="G225" s="21"/>
      <c r="I225" s="5"/>
      <c r="J225" s="5"/>
    </row>
    <row r="226" spans="1:10" s="7" customFormat="1" ht="15.8" customHeight="1">
      <c r="A226" s="5"/>
      <c r="B226" s="5"/>
      <c r="C226" s="520"/>
      <c r="D226" s="520"/>
      <c r="E226" s="520"/>
      <c r="F226" s="67"/>
      <c r="G226" s="21"/>
      <c r="I226" s="5"/>
      <c r="J226" s="5"/>
    </row>
    <row r="227" spans="1:10" s="7" customFormat="1" ht="15.8" customHeight="1">
      <c r="A227" s="5"/>
      <c r="B227" s="5"/>
      <c r="C227" s="520"/>
      <c r="D227" s="520"/>
      <c r="E227" s="520"/>
      <c r="F227" s="67"/>
      <c r="G227" s="21"/>
      <c r="I227" s="5"/>
      <c r="J227" s="5"/>
    </row>
    <row r="228" spans="1:10" s="7" customFormat="1" ht="15.8" customHeight="1">
      <c r="A228" s="5"/>
      <c r="B228" s="5"/>
      <c r="C228" s="520"/>
      <c r="D228" s="520"/>
      <c r="E228" s="520"/>
      <c r="F228" s="67"/>
      <c r="G228" s="21"/>
      <c r="I228" s="5"/>
      <c r="J228" s="5"/>
    </row>
    <row r="229" spans="1:10" s="7" customFormat="1" ht="15.8" customHeight="1">
      <c r="A229" s="5"/>
      <c r="B229" s="5"/>
      <c r="C229" s="520"/>
      <c r="D229" s="520"/>
      <c r="E229" s="520"/>
      <c r="F229" s="67"/>
      <c r="G229" s="21"/>
      <c r="I229" s="5"/>
      <c r="J229" s="5"/>
    </row>
    <row r="230" spans="1:10" s="7" customFormat="1" ht="15.8" customHeight="1">
      <c r="A230" s="5"/>
      <c r="B230" s="5"/>
      <c r="C230" s="520"/>
      <c r="D230" s="520"/>
      <c r="E230" s="520"/>
      <c r="F230" s="67"/>
      <c r="G230" s="21"/>
      <c r="I230" s="5"/>
      <c r="J230" s="5"/>
    </row>
    <row r="231" spans="1:10" s="7" customFormat="1" ht="15.8" customHeight="1">
      <c r="A231" s="5"/>
      <c r="B231" s="5"/>
      <c r="C231" s="520"/>
      <c r="D231" s="520"/>
      <c r="E231" s="520"/>
      <c r="F231" s="67"/>
      <c r="G231" s="21"/>
      <c r="I231" s="5"/>
      <c r="J231" s="5"/>
    </row>
    <row r="232" spans="1:10" s="7" customFormat="1" ht="15.8" customHeight="1">
      <c r="A232" s="5"/>
      <c r="B232" s="5"/>
      <c r="C232" s="520"/>
      <c r="D232" s="520"/>
      <c r="E232" s="520"/>
      <c r="F232" s="67"/>
      <c r="G232" s="21"/>
      <c r="I232" s="5"/>
      <c r="J232" s="5"/>
    </row>
    <row r="233" spans="1:10" s="7" customFormat="1" ht="15.8" customHeight="1">
      <c r="A233" s="5"/>
      <c r="B233" s="5"/>
      <c r="C233" s="520"/>
      <c r="D233" s="520"/>
      <c r="E233" s="520"/>
      <c r="F233" s="67"/>
      <c r="G233" s="21"/>
      <c r="I233" s="5"/>
      <c r="J233" s="5"/>
    </row>
    <row r="234" spans="1:10" s="7" customFormat="1" ht="15.8" customHeight="1">
      <c r="A234" s="5"/>
      <c r="B234" s="5"/>
      <c r="C234" s="520"/>
      <c r="D234" s="520"/>
      <c r="E234" s="520"/>
      <c r="F234" s="67"/>
      <c r="G234" s="21"/>
      <c r="I234" s="5"/>
      <c r="J234" s="5"/>
    </row>
    <row r="235" spans="1:10" s="7" customFormat="1" ht="15.8" customHeight="1">
      <c r="A235" s="5"/>
      <c r="B235" s="5"/>
      <c r="C235" s="520"/>
      <c r="D235" s="520"/>
      <c r="E235" s="520"/>
      <c r="F235" s="67"/>
      <c r="G235" s="21"/>
      <c r="I235" s="5"/>
      <c r="J235" s="5"/>
    </row>
    <row r="236" spans="1:10" s="7" customFormat="1" ht="15.8" customHeight="1">
      <c r="A236" s="5"/>
      <c r="B236" s="5"/>
      <c r="C236" s="520"/>
      <c r="D236" s="520"/>
      <c r="E236" s="520"/>
      <c r="F236" s="67"/>
      <c r="G236" s="21"/>
      <c r="I236" s="5"/>
      <c r="J236" s="5"/>
    </row>
    <row r="237" spans="1:10" s="7" customFormat="1" ht="15.8" customHeight="1">
      <c r="A237" s="5"/>
      <c r="B237" s="5"/>
      <c r="C237" s="520"/>
      <c r="D237" s="520"/>
      <c r="E237" s="520"/>
      <c r="F237" s="67"/>
      <c r="G237" s="21"/>
      <c r="I237" s="5"/>
      <c r="J237" s="5"/>
    </row>
    <row r="238" spans="1:10" s="7" customFormat="1" ht="15.8" customHeight="1">
      <c r="A238" s="5"/>
      <c r="B238" s="5"/>
      <c r="C238" s="520"/>
      <c r="D238" s="520"/>
      <c r="E238" s="520"/>
      <c r="F238" s="67"/>
      <c r="G238" s="21"/>
      <c r="I238" s="5"/>
      <c r="J238" s="5"/>
    </row>
    <row r="239" spans="1:10" s="7" customFormat="1" ht="15.8" customHeight="1">
      <c r="A239" s="5"/>
      <c r="B239" s="5"/>
      <c r="C239" s="520"/>
      <c r="D239" s="520"/>
      <c r="E239" s="520"/>
      <c r="F239" s="67"/>
      <c r="G239" s="21"/>
      <c r="I239" s="5"/>
      <c r="J239" s="5"/>
    </row>
    <row r="240" spans="1:10" s="7" customFormat="1" ht="15.8" customHeight="1">
      <c r="A240" s="5"/>
      <c r="B240" s="5"/>
      <c r="C240" s="520"/>
      <c r="D240" s="520"/>
      <c r="E240" s="520"/>
      <c r="F240" s="67"/>
      <c r="G240" s="21"/>
      <c r="I240" s="5"/>
      <c r="J240" s="5"/>
    </row>
    <row r="241" spans="1:10" s="7" customFormat="1" ht="15.8" customHeight="1">
      <c r="A241" s="5"/>
      <c r="B241" s="5"/>
      <c r="C241" s="520"/>
      <c r="D241" s="520"/>
      <c r="E241" s="520"/>
      <c r="F241" s="67"/>
      <c r="G241" s="21"/>
      <c r="I241" s="5"/>
      <c r="J241" s="5"/>
    </row>
    <row r="242" spans="1:10" s="7" customFormat="1" ht="15.8" customHeight="1">
      <c r="A242" s="5"/>
      <c r="B242" s="5"/>
      <c r="C242" s="520"/>
      <c r="D242" s="520"/>
      <c r="E242" s="520"/>
      <c r="F242" s="67"/>
      <c r="G242" s="21"/>
      <c r="I242" s="5"/>
      <c r="J242" s="5"/>
    </row>
    <row r="243" spans="1:10" s="7" customFormat="1" ht="15.8" customHeight="1">
      <c r="A243" s="5"/>
      <c r="B243" s="5"/>
      <c r="C243" s="520"/>
      <c r="D243" s="520"/>
      <c r="E243" s="520"/>
      <c r="F243" s="67"/>
      <c r="G243" s="21"/>
      <c r="I243" s="5"/>
      <c r="J243" s="5"/>
    </row>
    <row r="244" spans="1:10" s="7" customFormat="1" ht="15.8" customHeight="1">
      <c r="A244" s="5"/>
      <c r="B244" s="5"/>
      <c r="C244" s="520"/>
      <c r="D244" s="520"/>
      <c r="E244" s="520"/>
      <c r="F244" s="67"/>
      <c r="G244" s="21"/>
      <c r="I244" s="5"/>
      <c r="J244" s="5"/>
    </row>
    <row r="245" spans="1:10" s="7" customFormat="1" ht="15.8" customHeight="1">
      <c r="A245" s="5"/>
      <c r="B245" s="5"/>
      <c r="C245" s="520"/>
      <c r="D245" s="520"/>
      <c r="E245" s="520"/>
      <c r="F245" s="67"/>
      <c r="G245" s="21"/>
      <c r="I245" s="5"/>
      <c r="J245" s="5"/>
    </row>
    <row r="246" spans="1:10" s="7" customFormat="1" ht="15.8" customHeight="1">
      <c r="A246" s="5"/>
      <c r="B246" s="5"/>
      <c r="C246" s="520"/>
      <c r="D246" s="520"/>
      <c r="E246" s="520"/>
      <c r="F246" s="67"/>
      <c r="G246" s="21"/>
      <c r="I246" s="5"/>
      <c r="J246" s="5"/>
    </row>
    <row r="247" spans="1:10" s="7" customFormat="1" ht="15.8" customHeight="1">
      <c r="A247" s="5"/>
      <c r="B247" s="5"/>
      <c r="C247" s="520"/>
      <c r="D247" s="520"/>
      <c r="E247" s="520"/>
      <c r="F247" s="67"/>
      <c r="G247" s="21"/>
      <c r="I247" s="5"/>
      <c r="J247" s="5"/>
    </row>
    <row r="248" spans="1:10" s="7" customFormat="1" ht="15.8" customHeight="1">
      <c r="A248" s="5"/>
      <c r="B248" s="5"/>
      <c r="C248" s="520"/>
      <c r="D248" s="520"/>
      <c r="E248" s="520"/>
      <c r="F248" s="67"/>
      <c r="G248" s="21"/>
      <c r="I248" s="5"/>
      <c r="J248" s="5"/>
    </row>
    <row r="249" spans="1:10" s="7" customFormat="1" ht="15.8" customHeight="1">
      <c r="A249" s="5"/>
      <c r="B249" s="5"/>
      <c r="C249" s="520"/>
      <c r="D249" s="520"/>
      <c r="E249" s="520"/>
      <c r="F249" s="67"/>
      <c r="G249" s="21"/>
      <c r="I249" s="5"/>
      <c r="J249" s="5"/>
    </row>
    <row r="250" spans="1:10" s="7" customFormat="1" ht="15.8" customHeight="1">
      <c r="A250" s="5"/>
      <c r="B250" s="5"/>
      <c r="C250" s="520"/>
      <c r="D250" s="520"/>
      <c r="E250" s="520"/>
      <c r="F250" s="67"/>
      <c r="G250" s="21"/>
      <c r="I250" s="5"/>
      <c r="J250" s="5"/>
    </row>
    <row r="251" spans="1:10" s="7" customFormat="1" ht="15.8" customHeight="1">
      <c r="A251" s="5"/>
      <c r="B251" s="5"/>
      <c r="C251" s="520"/>
      <c r="D251" s="520"/>
      <c r="E251" s="520"/>
      <c r="F251" s="67"/>
      <c r="G251" s="21"/>
      <c r="I251" s="5"/>
      <c r="J251" s="5"/>
    </row>
    <row r="252" spans="1:10" s="7" customFormat="1" ht="15.8" customHeight="1">
      <c r="A252" s="5"/>
      <c r="B252" s="5"/>
      <c r="C252" s="520"/>
      <c r="D252" s="520"/>
      <c r="E252" s="520"/>
      <c r="F252" s="67"/>
      <c r="G252" s="21"/>
      <c r="I252" s="5"/>
      <c r="J252" s="5"/>
    </row>
    <row r="253" spans="1:10" s="7" customFormat="1" ht="15.8" customHeight="1">
      <c r="A253" s="5"/>
      <c r="B253" s="5"/>
      <c r="C253" s="520"/>
      <c r="D253" s="520"/>
      <c r="E253" s="520"/>
      <c r="F253" s="67"/>
      <c r="G253" s="21"/>
      <c r="I253" s="5"/>
      <c r="J253" s="5"/>
    </row>
    <row r="254" spans="1:10" s="7" customFormat="1" ht="15.8" customHeight="1">
      <c r="A254" s="5"/>
      <c r="B254" s="5"/>
      <c r="C254" s="520"/>
      <c r="D254" s="520"/>
      <c r="E254" s="520"/>
      <c r="F254" s="67"/>
      <c r="G254" s="21"/>
      <c r="I254" s="5"/>
      <c r="J254" s="5"/>
    </row>
    <row r="255" spans="1:10" s="7" customFormat="1" ht="15.8" customHeight="1">
      <c r="A255" s="5"/>
      <c r="B255" s="5"/>
      <c r="C255" s="520"/>
      <c r="D255" s="520"/>
      <c r="E255" s="520"/>
      <c r="F255" s="67"/>
      <c r="G255" s="21"/>
      <c r="I255" s="5"/>
      <c r="J255" s="5"/>
    </row>
    <row r="256" spans="1:10" s="7" customFormat="1" ht="15.8" customHeight="1">
      <c r="A256" s="5"/>
      <c r="B256" s="5"/>
      <c r="C256" s="520"/>
      <c r="D256" s="520"/>
      <c r="E256" s="520"/>
      <c r="F256" s="67"/>
      <c r="G256" s="21"/>
      <c r="I256" s="5"/>
      <c r="J256" s="5"/>
    </row>
    <row r="257" spans="1:10" s="7" customFormat="1" ht="15.8" customHeight="1">
      <c r="A257" s="5"/>
      <c r="B257" s="5"/>
      <c r="C257" s="520"/>
      <c r="D257" s="520"/>
      <c r="E257" s="520"/>
      <c r="F257" s="67"/>
      <c r="G257" s="21"/>
      <c r="I257" s="5"/>
      <c r="J257" s="5"/>
    </row>
    <row r="258" spans="1:10" s="7" customFormat="1" ht="15.8" customHeight="1">
      <c r="A258" s="5"/>
      <c r="B258" s="5"/>
      <c r="C258" s="520"/>
      <c r="D258" s="520"/>
      <c r="E258" s="520"/>
      <c r="F258" s="67"/>
      <c r="G258" s="21"/>
      <c r="I258" s="5"/>
      <c r="J258" s="5"/>
    </row>
    <row r="259" spans="1:10" s="7" customFormat="1" ht="15.8" customHeight="1">
      <c r="A259" s="5"/>
      <c r="B259" s="5"/>
      <c r="C259" s="520"/>
      <c r="D259" s="520"/>
      <c r="E259" s="520"/>
      <c r="F259" s="67"/>
      <c r="G259" s="21"/>
      <c r="I259" s="5"/>
      <c r="J259" s="5"/>
    </row>
    <row r="260" spans="1:10" s="7" customFormat="1" ht="15.8" customHeight="1">
      <c r="A260" s="5"/>
      <c r="B260" s="5"/>
      <c r="C260" s="520"/>
      <c r="D260" s="520"/>
      <c r="E260" s="520"/>
      <c r="F260" s="67"/>
      <c r="G260" s="21"/>
      <c r="I260" s="5"/>
      <c r="J260" s="5"/>
    </row>
    <row r="261" spans="1:10" s="7" customFormat="1" ht="15.8" customHeight="1">
      <c r="A261" s="5"/>
      <c r="B261" s="5"/>
      <c r="C261" s="520"/>
      <c r="D261" s="520"/>
      <c r="E261" s="520"/>
      <c r="F261" s="67"/>
      <c r="G261" s="21"/>
      <c r="I261" s="5"/>
      <c r="J261" s="5"/>
    </row>
    <row r="262" spans="1:10" s="7" customFormat="1" ht="15.8" customHeight="1">
      <c r="A262" s="5"/>
      <c r="B262" s="5"/>
      <c r="C262" s="520"/>
      <c r="D262" s="520"/>
      <c r="E262" s="520"/>
      <c r="F262" s="67"/>
      <c r="G262" s="21"/>
      <c r="I262" s="5"/>
      <c r="J262" s="5"/>
    </row>
    <row r="263" spans="1:10" s="7" customFormat="1" ht="15.8" customHeight="1">
      <c r="A263" s="5"/>
      <c r="B263" s="5"/>
      <c r="C263" s="520"/>
      <c r="D263" s="520"/>
      <c r="E263" s="520"/>
      <c r="F263" s="67"/>
      <c r="G263" s="21"/>
      <c r="I263" s="5"/>
      <c r="J263" s="5"/>
    </row>
    <row r="264" spans="1:10" s="7" customFormat="1" ht="15.8" customHeight="1">
      <c r="A264" s="5"/>
      <c r="B264" s="5"/>
      <c r="C264" s="520"/>
      <c r="D264" s="520"/>
      <c r="E264" s="520"/>
      <c r="F264" s="67"/>
      <c r="G264" s="21"/>
      <c r="I264" s="5"/>
      <c r="J264" s="5"/>
    </row>
    <row r="265" spans="1:10" s="7" customFormat="1" ht="15.8" customHeight="1">
      <c r="A265" s="5"/>
      <c r="B265" s="5"/>
      <c r="C265" s="520"/>
      <c r="D265" s="520"/>
      <c r="E265" s="520"/>
      <c r="F265" s="67"/>
      <c r="G265" s="21"/>
      <c r="I265" s="5"/>
      <c r="J265" s="5"/>
    </row>
    <row r="266" spans="1:10" s="7" customFormat="1" ht="15.8" customHeight="1">
      <c r="A266" s="5"/>
      <c r="B266" s="5"/>
      <c r="C266" s="520"/>
      <c r="D266" s="520"/>
      <c r="E266" s="520"/>
      <c r="F266" s="67"/>
      <c r="G266" s="21"/>
      <c r="I266" s="5"/>
      <c r="J266" s="5"/>
    </row>
    <row r="267" spans="1:10" s="7" customFormat="1" ht="15.8" customHeight="1">
      <c r="A267" s="5"/>
      <c r="B267" s="5"/>
      <c r="C267" s="520"/>
      <c r="D267" s="520"/>
      <c r="E267" s="520"/>
      <c r="F267" s="67"/>
      <c r="G267" s="21"/>
      <c r="I267" s="5"/>
      <c r="J267" s="5"/>
    </row>
    <row r="268" spans="1:10" s="7" customFormat="1" ht="15.8" customHeight="1">
      <c r="A268" s="5"/>
      <c r="B268" s="5"/>
      <c r="C268" s="520"/>
      <c r="D268" s="520"/>
      <c r="E268" s="520"/>
      <c r="F268" s="67"/>
      <c r="G268" s="21"/>
      <c r="I268" s="5"/>
      <c r="J268" s="5"/>
    </row>
    <row r="269" spans="1:10" s="7" customFormat="1" ht="15.8" customHeight="1">
      <c r="A269" s="5"/>
      <c r="B269" s="5"/>
      <c r="C269" s="520"/>
      <c r="D269" s="520"/>
      <c r="E269" s="520"/>
      <c r="F269" s="67"/>
      <c r="G269" s="21"/>
      <c r="I269" s="5"/>
      <c r="J269" s="5"/>
    </row>
    <row r="270" spans="1:10" s="7" customFormat="1" ht="15.8" customHeight="1">
      <c r="A270" s="5"/>
      <c r="B270" s="5"/>
      <c r="C270" s="520"/>
      <c r="D270" s="520"/>
      <c r="E270" s="520"/>
      <c r="F270" s="67"/>
      <c r="G270" s="21"/>
      <c r="I270" s="5"/>
      <c r="J270" s="5"/>
    </row>
    <row r="271" spans="1:10" s="7" customFormat="1" ht="15.8" customHeight="1">
      <c r="A271" s="5"/>
      <c r="B271" s="5"/>
      <c r="C271" s="520"/>
      <c r="D271" s="520"/>
      <c r="E271" s="520"/>
      <c r="F271" s="67"/>
      <c r="G271" s="21"/>
      <c r="I271" s="5"/>
      <c r="J271" s="5"/>
    </row>
    <row r="272" spans="1:10" s="7" customFormat="1" ht="15.8" customHeight="1">
      <c r="A272" s="5"/>
      <c r="B272" s="5"/>
      <c r="C272" s="520"/>
      <c r="D272" s="520"/>
      <c r="E272" s="520"/>
      <c r="F272" s="67"/>
      <c r="G272" s="21"/>
      <c r="I272" s="5"/>
      <c r="J272" s="5"/>
    </row>
    <row r="273" spans="1:10" s="7" customFormat="1" ht="15.8" customHeight="1">
      <c r="A273" s="5"/>
      <c r="B273" s="5"/>
      <c r="C273" s="520"/>
      <c r="D273" s="520"/>
      <c r="E273" s="520"/>
      <c r="F273" s="67"/>
      <c r="G273" s="21"/>
      <c r="I273" s="5"/>
      <c r="J273" s="5"/>
    </row>
    <row r="274" spans="1:10" s="7" customFormat="1" ht="15.8" customHeight="1">
      <c r="A274" s="5"/>
      <c r="B274" s="5"/>
      <c r="C274" s="520"/>
      <c r="D274" s="520"/>
      <c r="E274" s="520"/>
      <c r="F274" s="67"/>
      <c r="G274" s="21"/>
      <c r="I274" s="5"/>
      <c r="J274" s="5"/>
    </row>
    <row r="275" spans="1:10" s="7" customFormat="1" ht="15.8" customHeight="1">
      <c r="A275" s="5"/>
      <c r="B275" s="5"/>
      <c r="C275" s="520"/>
      <c r="D275" s="520"/>
      <c r="E275" s="520"/>
      <c r="F275" s="67"/>
      <c r="G275" s="21"/>
      <c r="I275" s="5"/>
      <c r="J275" s="5"/>
    </row>
    <row r="276" spans="1:10" s="7" customFormat="1" ht="15.8" customHeight="1">
      <c r="A276" s="5"/>
      <c r="B276" s="5"/>
      <c r="C276" s="520"/>
      <c r="D276" s="520"/>
      <c r="E276" s="520"/>
      <c r="F276" s="67"/>
      <c r="G276" s="21"/>
      <c r="I276" s="5"/>
      <c r="J276" s="5"/>
    </row>
    <row r="277" spans="1:10" s="7" customFormat="1" ht="15.8" customHeight="1">
      <c r="A277" s="5"/>
      <c r="B277" s="5"/>
      <c r="C277" s="520"/>
      <c r="D277" s="520"/>
      <c r="E277" s="520"/>
      <c r="F277" s="67"/>
      <c r="G277" s="21"/>
      <c r="I277" s="5"/>
      <c r="J277" s="5"/>
    </row>
    <row r="278" spans="1:10" s="7" customFormat="1" ht="15.8" customHeight="1">
      <c r="A278" s="5"/>
      <c r="B278" s="5"/>
      <c r="C278" s="520"/>
      <c r="D278" s="520"/>
      <c r="E278" s="520"/>
      <c r="F278" s="67"/>
      <c r="G278" s="21"/>
      <c r="I278" s="5"/>
      <c r="J278" s="5"/>
    </row>
    <row r="279" spans="1:10" s="7" customFormat="1" ht="15.8" customHeight="1">
      <c r="A279" s="5"/>
      <c r="B279" s="5"/>
      <c r="C279" s="520"/>
      <c r="D279" s="520"/>
      <c r="E279" s="520"/>
      <c r="F279" s="67"/>
      <c r="G279" s="21"/>
      <c r="I279" s="5"/>
      <c r="J279" s="5"/>
    </row>
    <row r="280" spans="1:10" s="7" customFormat="1" ht="15.8" customHeight="1">
      <c r="A280" s="5"/>
      <c r="B280" s="5"/>
      <c r="C280" s="520"/>
      <c r="D280" s="520"/>
      <c r="E280" s="520"/>
      <c r="F280" s="67"/>
      <c r="G280" s="21"/>
      <c r="I280" s="5"/>
      <c r="J280" s="5"/>
    </row>
    <row r="281" spans="1:10" s="7" customFormat="1" ht="15.8" customHeight="1">
      <c r="A281" s="5"/>
      <c r="B281" s="5"/>
      <c r="C281" s="520"/>
      <c r="D281" s="520"/>
      <c r="E281" s="520"/>
      <c r="F281" s="67"/>
      <c r="G281" s="21"/>
      <c r="I281" s="5"/>
      <c r="J281" s="5"/>
    </row>
    <row r="282" spans="1:10" s="7" customFormat="1" ht="15.8" customHeight="1">
      <c r="A282" s="5"/>
      <c r="B282" s="5"/>
      <c r="C282" s="520"/>
      <c r="D282" s="520"/>
      <c r="E282" s="520"/>
      <c r="F282" s="67"/>
      <c r="G282" s="21"/>
      <c r="I282" s="5"/>
      <c r="J282" s="5"/>
    </row>
    <row r="283" spans="1:10" s="7" customFormat="1" ht="15.8" customHeight="1">
      <c r="A283" s="5"/>
      <c r="B283" s="5"/>
      <c r="C283" s="520"/>
      <c r="D283" s="520"/>
      <c r="E283" s="520"/>
      <c r="F283" s="67"/>
      <c r="G283" s="21"/>
      <c r="I283" s="5"/>
      <c r="J283" s="5"/>
    </row>
    <row r="284" spans="1:10" s="7" customFormat="1" ht="15.8" customHeight="1">
      <c r="A284" s="5"/>
      <c r="B284" s="5"/>
      <c r="C284" s="520"/>
      <c r="D284" s="520"/>
      <c r="E284" s="520"/>
      <c r="F284" s="67"/>
      <c r="G284" s="21"/>
      <c r="I284" s="5"/>
      <c r="J284" s="5"/>
    </row>
    <row r="285" spans="1:10" s="7" customFormat="1" ht="15.8" customHeight="1">
      <c r="A285" s="5"/>
      <c r="B285" s="5"/>
      <c r="C285" s="520"/>
      <c r="D285" s="520"/>
      <c r="E285" s="520"/>
      <c r="F285" s="67"/>
      <c r="G285" s="21"/>
      <c r="I285" s="5"/>
      <c r="J285" s="5"/>
    </row>
    <row r="286" spans="1:10" s="7" customFormat="1" ht="15.8" customHeight="1">
      <c r="A286" s="5"/>
      <c r="B286" s="5"/>
      <c r="C286" s="520"/>
      <c r="D286" s="520"/>
      <c r="E286" s="520"/>
      <c r="F286" s="67"/>
      <c r="G286" s="21"/>
      <c r="I286" s="5"/>
      <c r="J286" s="5"/>
    </row>
    <row r="287" spans="1:10" s="7" customFormat="1" ht="15.8" customHeight="1">
      <c r="A287" s="5"/>
      <c r="B287" s="5"/>
      <c r="C287" s="520"/>
      <c r="D287" s="520"/>
      <c r="E287" s="520"/>
      <c r="F287" s="67"/>
      <c r="G287" s="21"/>
      <c r="I287" s="5"/>
      <c r="J287" s="5"/>
    </row>
    <row r="288" spans="1:10" s="7" customFormat="1" ht="15.8" customHeight="1">
      <c r="A288" s="5"/>
      <c r="B288" s="5"/>
      <c r="C288" s="520"/>
      <c r="D288" s="520"/>
      <c r="E288" s="520"/>
      <c r="F288" s="67"/>
      <c r="G288" s="21"/>
      <c r="I288" s="5"/>
      <c r="J288" s="5"/>
    </row>
    <row r="289" spans="1:10" s="7" customFormat="1" ht="15.8" customHeight="1">
      <c r="A289" s="5"/>
      <c r="B289" s="5"/>
      <c r="C289" s="520"/>
      <c r="D289" s="520"/>
      <c r="E289" s="520"/>
      <c r="F289" s="67"/>
      <c r="G289" s="21"/>
      <c r="I289" s="5"/>
      <c r="J289" s="5"/>
    </row>
    <row r="290" spans="1:10" s="7" customFormat="1" ht="15.8" customHeight="1">
      <c r="A290" s="5"/>
      <c r="B290" s="5"/>
      <c r="C290" s="520"/>
      <c r="D290" s="520"/>
      <c r="E290" s="520"/>
      <c r="F290" s="67"/>
      <c r="G290" s="21"/>
      <c r="I290" s="5"/>
      <c r="J290" s="5"/>
    </row>
    <row r="291" spans="1:10" s="7" customFormat="1" ht="15.8" customHeight="1">
      <c r="A291" s="5"/>
      <c r="B291" s="5"/>
      <c r="C291" s="520"/>
      <c r="D291" s="520"/>
      <c r="E291" s="520"/>
      <c r="F291" s="67"/>
      <c r="G291" s="21"/>
      <c r="I291" s="5"/>
      <c r="J291" s="5"/>
    </row>
    <row r="292" spans="1:10" s="7" customFormat="1" ht="15.8" customHeight="1">
      <c r="A292" s="5"/>
      <c r="B292" s="5"/>
      <c r="C292" s="520"/>
      <c r="D292" s="520"/>
      <c r="E292" s="520"/>
      <c r="F292" s="67"/>
      <c r="G292" s="21"/>
      <c r="I292" s="5"/>
      <c r="J292" s="5"/>
    </row>
    <row r="293" spans="1:10" s="7" customFormat="1" ht="15.8" customHeight="1">
      <c r="A293" s="5"/>
      <c r="B293" s="5"/>
      <c r="C293" s="520"/>
      <c r="D293" s="520"/>
      <c r="E293" s="520"/>
      <c r="F293" s="67"/>
      <c r="G293" s="21"/>
      <c r="I293" s="5"/>
      <c r="J293" s="5"/>
    </row>
    <row r="294" spans="1:10" s="7" customFormat="1" ht="15.8" customHeight="1">
      <c r="A294" s="5"/>
      <c r="B294" s="5"/>
      <c r="C294" s="520"/>
      <c r="D294" s="520"/>
      <c r="E294" s="520"/>
      <c r="F294" s="67"/>
      <c r="G294" s="21"/>
      <c r="I294" s="5"/>
      <c r="J294" s="5"/>
    </row>
    <row r="295" spans="1:10" s="7" customFormat="1" ht="15.8" customHeight="1">
      <c r="A295" s="5"/>
      <c r="B295" s="5"/>
      <c r="C295" s="520"/>
      <c r="D295" s="520"/>
      <c r="E295" s="520"/>
      <c r="F295" s="67"/>
      <c r="G295" s="21"/>
      <c r="I295" s="5"/>
      <c r="J295" s="5"/>
    </row>
    <row r="296" spans="1:10" s="7" customFormat="1" ht="15.8" customHeight="1">
      <c r="A296" s="5"/>
      <c r="B296" s="5"/>
      <c r="C296" s="520"/>
      <c r="D296" s="520"/>
      <c r="E296" s="520"/>
      <c r="F296" s="67"/>
      <c r="G296" s="21"/>
      <c r="I296" s="5"/>
      <c r="J296" s="5"/>
    </row>
    <row r="297" spans="1:10" s="7" customFormat="1" ht="15.8" customHeight="1">
      <c r="A297" s="5"/>
      <c r="B297" s="5"/>
      <c r="C297" s="520"/>
      <c r="D297" s="520"/>
      <c r="E297" s="520"/>
      <c r="F297" s="67"/>
      <c r="G297" s="21"/>
      <c r="I297" s="5"/>
      <c r="J297" s="5"/>
    </row>
    <row r="298" spans="1:10" s="7" customFormat="1" ht="15.8" customHeight="1">
      <c r="A298" s="5"/>
      <c r="B298" s="5"/>
      <c r="C298" s="520"/>
      <c r="D298" s="520"/>
      <c r="E298" s="520"/>
      <c r="F298" s="67"/>
      <c r="G298" s="21"/>
      <c r="I298" s="5"/>
      <c r="J298" s="5"/>
    </row>
    <row r="299" spans="1:10" s="7" customFormat="1" ht="15.8" customHeight="1">
      <c r="A299" s="5"/>
      <c r="B299" s="5"/>
      <c r="C299" s="520"/>
      <c r="D299" s="520"/>
      <c r="E299" s="520"/>
      <c r="F299" s="67"/>
      <c r="G299" s="21"/>
      <c r="I299" s="5"/>
      <c r="J299" s="5"/>
    </row>
    <row r="300" spans="1:10" s="7" customFormat="1" ht="15.8" customHeight="1">
      <c r="A300" s="5"/>
      <c r="B300" s="5"/>
      <c r="C300" s="520"/>
      <c r="D300" s="520"/>
      <c r="E300" s="520"/>
      <c r="F300" s="67"/>
      <c r="G300" s="21"/>
      <c r="I300" s="5"/>
      <c r="J300" s="5"/>
    </row>
    <row r="301" spans="1:10" s="7" customFormat="1" ht="15.8" customHeight="1">
      <c r="A301" s="5"/>
      <c r="B301" s="5"/>
      <c r="C301" s="520"/>
      <c r="D301" s="520"/>
      <c r="E301" s="520"/>
      <c r="F301" s="67"/>
      <c r="G301" s="21"/>
      <c r="I301" s="5"/>
      <c r="J301" s="5"/>
    </row>
    <row r="302" spans="1:10" s="7" customFormat="1" ht="15.8" customHeight="1">
      <c r="A302" s="5"/>
      <c r="B302" s="5"/>
      <c r="C302" s="520"/>
      <c r="D302" s="520"/>
      <c r="E302" s="520"/>
      <c r="F302" s="67"/>
      <c r="G302" s="21"/>
      <c r="I302" s="5"/>
      <c r="J302" s="5"/>
    </row>
    <row r="303" spans="1:10" s="7" customFormat="1" ht="15.8" customHeight="1">
      <c r="A303" s="5"/>
      <c r="B303" s="5"/>
      <c r="C303" s="520"/>
      <c r="D303" s="520"/>
      <c r="E303" s="520"/>
      <c r="F303" s="67"/>
      <c r="G303" s="21"/>
      <c r="I303" s="5"/>
      <c r="J303" s="5"/>
    </row>
    <row r="304" spans="1:10" s="7" customFormat="1" ht="15.8" customHeight="1">
      <c r="A304" s="5"/>
      <c r="B304" s="5"/>
      <c r="C304" s="520"/>
      <c r="D304" s="520"/>
      <c r="E304" s="520"/>
      <c r="F304" s="67"/>
      <c r="G304" s="21"/>
      <c r="I304" s="5"/>
      <c r="J304" s="5"/>
    </row>
    <row r="305" spans="1:10" s="7" customFormat="1" ht="15.8" customHeight="1">
      <c r="A305" s="5"/>
      <c r="B305" s="5"/>
      <c r="C305" s="520"/>
      <c r="D305" s="520"/>
      <c r="E305" s="520"/>
      <c r="F305" s="67"/>
      <c r="G305" s="21"/>
      <c r="I305" s="5"/>
      <c r="J305" s="5"/>
    </row>
    <row r="306" spans="1:10" s="7" customFormat="1" ht="15.8" customHeight="1">
      <c r="A306" s="5"/>
      <c r="B306" s="5"/>
      <c r="C306" s="520"/>
      <c r="D306" s="520"/>
      <c r="E306" s="520"/>
      <c r="F306" s="67"/>
      <c r="G306" s="21"/>
      <c r="I306" s="5"/>
      <c r="J306" s="5"/>
    </row>
    <row r="307" spans="1:10" s="7" customFormat="1" ht="15.8" customHeight="1">
      <c r="A307" s="5"/>
      <c r="B307" s="5"/>
      <c r="C307" s="520"/>
      <c r="D307" s="520"/>
      <c r="E307" s="520"/>
      <c r="F307" s="67"/>
      <c r="G307" s="21"/>
      <c r="I307" s="5"/>
      <c r="J307" s="5"/>
    </row>
    <row r="308" spans="1:10" s="7" customFormat="1" ht="15.8" customHeight="1">
      <c r="A308" s="5"/>
      <c r="B308" s="5"/>
      <c r="C308" s="520"/>
      <c r="D308" s="520"/>
      <c r="E308" s="520"/>
      <c r="F308" s="67"/>
      <c r="G308" s="21"/>
      <c r="I308" s="5"/>
      <c r="J308" s="5"/>
    </row>
    <row r="309" spans="1:10" s="7" customFormat="1" ht="15.8" customHeight="1">
      <c r="A309" s="5"/>
      <c r="B309" s="5"/>
      <c r="C309" s="520"/>
      <c r="D309" s="520"/>
      <c r="E309" s="520"/>
      <c r="F309" s="67"/>
      <c r="G309" s="21"/>
      <c r="I309" s="5"/>
      <c r="J309" s="5"/>
    </row>
    <row r="310" spans="1:10" s="7" customFormat="1" ht="15.8" customHeight="1">
      <c r="A310" s="5"/>
      <c r="B310" s="5"/>
      <c r="C310" s="520"/>
      <c r="D310" s="520"/>
      <c r="E310" s="520"/>
      <c r="F310" s="67"/>
      <c r="G310" s="21"/>
      <c r="I310" s="5"/>
      <c r="J310" s="5"/>
    </row>
    <row r="311" spans="1:10" s="7" customFormat="1" ht="15.8" customHeight="1">
      <c r="A311" s="5"/>
      <c r="B311" s="5"/>
      <c r="C311" s="520"/>
      <c r="D311" s="520"/>
      <c r="E311" s="520"/>
      <c r="F311" s="67"/>
      <c r="G311" s="21"/>
      <c r="I311" s="5"/>
      <c r="J311" s="5"/>
    </row>
    <row r="312" spans="1:10" s="7" customFormat="1" ht="15.8" customHeight="1">
      <c r="A312" s="5"/>
      <c r="B312" s="5"/>
      <c r="C312" s="520"/>
      <c r="D312" s="520"/>
      <c r="E312" s="520"/>
      <c r="F312" s="67"/>
      <c r="G312" s="21"/>
      <c r="I312" s="5"/>
      <c r="J312" s="5"/>
    </row>
    <row r="313" spans="1:10" s="7" customFormat="1" ht="15.8" customHeight="1">
      <c r="A313" s="5"/>
      <c r="B313" s="5"/>
      <c r="C313" s="520"/>
      <c r="D313" s="520"/>
      <c r="E313" s="520"/>
      <c r="F313" s="67"/>
      <c r="G313" s="21"/>
      <c r="I313" s="5"/>
      <c r="J313" s="5"/>
    </row>
    <row r="314" spans="1:10" s="7" customFormat="1" ht="15.8" customHeight="1">
      <c r="A314" s="5"/>
      <c r="B314" s="5"/>
      <c r="C314" s="520"/>
      <c r="D314" s="520"/>
      <c r="E314" s="520"/>
      <c r="F314" s="67"/>
      <c r="G314" s="21"/>
      <c r="I314" s="5"/>
      <c r="J314" s="5"/>
    </row>
    <row r="315" spans="1:10" s="7" customFormat="1" ht="15.8" customHeight="1">
      <c r="A315" s="5"/>
      <c r="B315" s="5"/>
      <c r="C315" s="520"/>
      <c r="D315" s="520"/>
      <c r="E315" s="520"/>
      <c r="F315" s="67"/>
      <c r="G315" s="21"/>
      <c r="I315" s="5"/>
      <c r="J315" s="5"/>
    </row>
    <row r="316" spans="1:10" s="7" customFormat="1" ht="15.8" customHeight="1">
      <c r="A316" s="5"/>
      <c r="B316" s="5"/>
      <c r="C316" s="520"/>
      <c r="D316" s="520"/>
      <c r="E316" s="520"/>
      <c r="F316" s="67"/>
      <c r="G316" s="21"/>
      <c r="I316" s="5"/>
      <c r="J316" s="5"/>
    </row>
    <row r="317" spans="1:10" s="7" customFormat="1" ht="15.8" customHeight="1">
      <c r="A317" s="5"/>
      <c r="B317" s="5"/>
      <c r="C317" s="520"/>
      <c r="D317" s="520"/>
      <c r="E317" s="520"/>
      <c r="F317" s="67"/>
      <c r="G317" s="21"/>
      <c r="I317" s="5"/>
      <c r="J317" s="5"/>
    </row>
    <row r="318" spans="1:10" s="7" customFormat="1" ht="15.8" customHeight="1">
      <c r="A318" s="5"/>
      <c r="B318" s="5"/>
      <c r="C318" s="520"/>
      <c r="D318" s="520"/>
      <c r="E318" s="520"/>
      <c r="F318" s="67"/>
      <c r="G318" s="21"/>
      <c r="I318" s="5"/>
      <c r="J318" s="5"/>
    </row>
    <row r="319" spans="1:10" s="7" customFormat="1" ht="15.8" customHeight="1">
      <c r="A319" s="5"/>
      <c r="B319" s="5"/>
      <c r="C319" s="520"/>
      <c r="D319" s="520"/>
      <c r="E319" s="520"/>
      <c r="F319" s="67"/>
      <c r="G319" s="21"/>
      <c r="I319" s="5"/>
      <c r="J319" s="5"/>
    </row>
    <row r="320" spans="1:10" s="7" customFormat="1" ht="15.8" customHeight="1">
      <c r="A320" s="5"/>
      <c r="B320" s="5"/>
      <c r="C320" s="520"/>
      <c r="D320" s="520"/>
      <c r="E320" s="520"/>
      <c r="F320" s="67"/>
      <c r="G320" s="21"/>
      <c r="I320" s="5"/>
      <c r="J320" s="5"/>
    </row>
    <row r="321" spans="1:10" s="7" customFormat="1" ht="15.8" customHeight="1">
      <c r="A321" s="5"/>
      <c r="B321" s="5"/>
      <c r="C321" s="520"/>
      <c r="D321" s="520"/>
      <c r="E321" s="520"/>
      <c r="F321" s="67"/>
      <c r="G321" s="21"/>
      <c r="I321" s="5"/>
      <c r="J321" s="5"/>
    </row>
    <row r="322" spans="1:10" s="7" customFormat="1" ht="15.8" customHeight="1">
      <c r="A322" s="5"/>
      <c r="B322" s="5"/>
      <c r="C322" s="520"/>
      <c r="D322" s="520"/>
      <c r="E322" s="520"/>
      <c r="F322" s="67"/>
      <c r="G322" s="21"/>
      <c r="I322" s="5"/>
      <c r="J322" s="5"/>
    </row>
    <row r="323" spans="1:10" s="7" customFormat="1" ht="15.8" customHeight="1">
      <c r="A323" s="5"/>
      <c r="B323" s="5"/>
      <c r="C323" s="520"/>
      <c r="D323" s="520"/>
      <c r="E323" s="520"/>
      <c r="F323" s="67"/>
      <c r="G323" s="21"/>
      <c r="I323" s="5"/>
      <c r="J323" s="5"/>
    </row>
    <row r="324" spans="1:10" s="7" customFormat="1" ht="15.8" customHeight="1">
      <c r="A324" s="5"/>
      <c r="B324" s="5"/>
      <c r="C324" s="520"/>
      <c r="D324" s="520"/>
      <c r="E324" s="520"/>
      <c r="F324" s="67"/>
      <c r="G324" s="21"/>
      <c r="I324" s="5"/>
      <c r="J324" s="5"/>
    </row>
    <row r="325" spans="1:10" s="7" customFormat="1" ht="15.8" customHeight="1">
      <c r="A325" s="5"/>
      <c r="B325" s="5"/>
      <c r="C325" s="520"/>
      <c r="D325" s="520"/>
      <c r="E325" s="520"/>
      <c r="F325" s="67"/>
      <c r="G325" s="21"/>
      <c r="I325" s="5"/>
      <c r="J325" s="5"/>
    </row>
    <row r="326" spans="1:10" s="7" customFormat="1" ht="15.8" customHeight="1">
      <c r="A326" s="5"/>
      <c r="B326" s="5"/>
      <c r="C326" s="520"/>
      <c r="D326" s="520"/>
      <c r="E326" s="520"/>
      <c r="F326" s="67"/>
      <c r="G326" s="21"/>
      <c r="I326" s="5"/>
      <c r="J326" s="5"/>
    </row>
    <row r="327" spans="1:10" s="7" customFormat="1" ht="15.8" customHeight="1">
      <c r="A327" s="5"/>
      <c r="B327" s="5"/>
      <c r="C327" s="520"/>
      <c r="D327" s="520"/>
      <c r="E327" s="520"/>
      <c r="F327" s="67"/>
      <c r="G327" s="21"/>
      <c r="I327" s="5"/>
      <c r="J327" s="5"/>
    </row>
    <row r="328" spans="1:10" s="7" customFormat="1" ht="15.8" customHeight="1">
      <c r="A328" s="5"/>
      <c r="B328" s="5"/>
      <c r="C328" s="520"/>
      <c r="D328" s="520"/>
      <c r="E328" s="520"/>
      <c r="F328" s="67"/>
      <c r="G328" s="21"/>
      <c r="I328" s="5"/>
      <c r="J328" s="5"/>
    </row>
    <row r="329" spans="1:10" s="7" customFormat="1" ht="15.8" customHeight="1">
      <c r="A329" s="5"/>
      <c r="B329" s="5"/>
      <c r="C329" s="520"/>
      <c r="D329" s="520"/>
      <c r="E329" s="520"/>
      <c r="F329" s="67"/>
      <c r="G329" s="21"/>
      <c r="I329" s="5"/>
      <c r="J329" s="5"/>
    </row>
    <row r="330" spans="1:10" s="7" customFormat="1" ht="15.8" customHeight="1">
      <c r="A330" s="5"/>
      <c r="B330" s="5"/>
      <c r="C330" s="520"/>
      <c r="D330" s="520"/>
      <c r="E330" s="520"/>
      <c r="F330" s="67"/>
      <c r="G330" s="21"/>
      <c r="I330" s="5"/>
      <c r="J330" s="5"/>
    </row>
    <row r="331" spans="1:10" s="7" customFormat="1" ht="15.8" customHeight="1">
      <c r="A331" s="5"/>
      <c r="B331" s="5"/>
      <c r="C331" s="520"/>
      <c r="D331" s="520"/>
      <c r="E331" s="520"/>
      <c r="F331" s="67"/>
      <c r="G331" s="21"/>
      <c r="I331" s="5"/>
      <c r="J331" s="5"/>
    </row>
    <row r="332" spans="1:10" s="7" customFormat="1" ht="15.8" customHeight="1">
      <c r="A332" s="5"/>
      <c r="B332" s="5"/>
      <c r="C332" s="520"/>
      <c r="D332" s="520"/>
      <c r="E332" s="520"/>
      <c r="F332" s="67"/>
      <c r="G332" s="21"/>
      <c r="I332" s="5"/>
      <c r="J332" s="5"/>
    </row>
    <row r="333" spans="1:10" s="7" customFormat="1" ht="15.8" customHeight="1">
      <c r="A333" s="5"/>
      <c r="B333" s="5"/>
      <c r="C333" s="520"/>
      <c r="D333" s="520"/>
      <c r="E333" s="520"/>
      <c r="F333" s="67"/>
      <c r="G333" s="21"/>
      <c r="I333" s="5"/>
      <c r="J333" s="5"/>
    </row>
    <row r="334" spans="1:10" s="7" customFormat="1" ht="15.8" customHeight="1">
      <c r="A334" s="5"/>
      <c r="B334" s="5"/>
      <c r="C334" s="520"/>
      <c r="D334" s="520"/>
      <c r="E334" s="520"/>
      <c r="F334" s="67"/>
      <c r="G334" s="21"/>
      <c r="I334" s="5"/>
      <c r="J334" s="5"/>
    </row>
    <row r="335" spans="1:10" s="7" customFormat="1" ht="15.8" customHeight="1">
      <c r="A335" s="5"/>
      <c r="B335" s="5"/>
      <c r="C335" s="520"/>
      <c r="D335" s="520"/>
      <c r="E335" s="520"/>
      <c r="F335" s="67"/>
      <c r="G335" s="21"/>
      <c r="I335" s="5"/>
      <c r="J335" s="5"/>
    </row>
    <row r="336" spans="1:10" s="7" customFormat="1" ht="15.8" customHeight="1">
      <c r="A336" s="5"/>
      <c r="B336" s="5"/>
      <c r="C336" s="520"/>
      <c r="D336" s="520"/>
      <c r="E336" s="520"/>
      <c r="F336" s="67"/>
      <c r="G336" s="21"/>
      <c r="I336" s="5"/>
      <c r="J336" s="5"/>
    </row>
    <row r="337" spans="1:10" s="7" customFormat="1" ht="15.8" customHeight="1">
      <c r="A337" s="5"/>
      <c r="B337" s="5"/>
      <c r="C337" s="520"/>
      <c r="D337" s="520"/>
      <c r="E337" s="520"/>
      <c r="F337" s="67"/>
      <c r="G337" s="21"/>
      <c r="I337" s="5"/>
      <c r="J337" s="5"/>
    </row>
    <row r="338" spans="1:10" s="7" customFormat="1" ht="15.8" customHeight="1">
      <c r="A338" s="5"/>
      <c r="B338" s="5"/>
      <c r="C338" s="520"/>
      <c r="D338" s="520"/>
      <c r="E338" s="520"/>
      <c r="F338" s="67"/>
      <c r="G338" s="21"/>
      <c r="I338" s="5"/>
      <c r="J338" s="5"/>
    </row>
    <row r="339" spans="1:10" s="7" customFormat="1" ht="15.8" customHeight="1">
      <c r="A339" s="5"/>
      <c r="B339" s="5"/>
      <c r="C339" s="520"/>
      <c r="D339" s="520"/>
      <c r="E339" s="520"/>
      <c r="F339" s="67"/>
      <c r="G339" s="21"/>
      <c r="I339" s="5"/>
      <c r="J339" s="5"/>
    </row>
    <row r="340" spans="1:10" s="7" customFormat="1" ht="15.8" customHeight="1">
      <c r="A340" s="5"/>
      <c r="B340" s="5"/>
      <c r="C340" s="520"/>
      <c r="D340" s="520"/>
      <c r="E340" s="520"/>
      <c r="F340" s="67"/>
      <c r="G340" s="21"/>
      <c r="I340" s="5"/>
      <c r="J340" s="5"/>
    </row>
    <row r="341" spans="1:10" s="7" customFormat="1" ht="15.8" customHeight="1">
      <c r="A341" s="5"/>
      <c r="B341" s="5"/>
      <c r="C341" s="520"/>
      <c r="D341" s="520"/>
      <c r="E341" s="520"/>
      <c r="F341" s="67"/>
      <c r="G341" s="21"/>
      <c r="I341" s="5"/>
      <c r="J341" s="5"/>
    </row>
    <row r="342" spans="1:10" s="7" customFormat="1" ht="15.8" customHeight="1">
      <c r="A342" s="5"/>
      <c r="B342" s="5"/>
      <c r="C342" s="520"/>
      <c r="D342" s="520"/>
      <c r="E342" s="520"/>
      <c r="F342" s="67"/>
      <c r="G342" s="21"/>
      <c r="I342" s="5"/>
      <c r="J342" s="5"/>
    </row>
    <row r="343" spans="1:10" s="7" customFormat="1" ht="15.8" customHeight="1">
      <c r="A343" s="5"/>
      <c r="B343" s="5"/>
      <c r="C343" s="520"/>
      <c r="D343" s="520"/>
      <c r="E343" s="520"/>
      <c r="F343" s="67"/>
      <c r="G343" s="21"/>
      <c r="I343" s="5"/>
      <c r="J343" s="5"/>
    </row>
    <row r="344" spans="1:10" s="7" customFormat="1" ht="15.8" customHeight="1">
      <c r="A344" s="5"/>
      <c r="B344" s="5"/>
      <c r="C344" s="520"/>
      <c r="D344" s="520"/>
      <c r="E344" s="520"/>
      <c r="F344" s="67"/>
      <c r="G344" s="21"/>
      <c r="I344" s="5"/>
      <c r="J344" s="5"/>
    </row>
    <row r="345" spans="1:10" s="7" customFormat="1" ht="15.8" customHeight="1">
      <c r="A345" s="5"/>
      <c r="B345" s="5"/>
      <c r="C345" s="520"/>
      <c r="D345" s="520"/>
      <c r="E345" s="520"/>
      <c r="F345" s="67"/>
      <c r="G345" s="21"/>
      <c r="I345" s="5"/>
      <c r="J345" s="5"/>
    </row>
    <row r="346" spans="1:10" s="7" customFormat="1" ht="15.8" customHeight="1">
      <c r="A346" s="5"/>
      <c r="B346" s="5"/>
      <c r="C346" s="520"/>
      <c r="D346" s="520"/>
      <c r="E346" s="520"/>
      <c r="F346" s="67"/>
      <c r="G346" s="21"/>
      <c r="I346" s="5"/>
      <c r="J346" s="5"/>
    </row>
    <row r="347" spans="1:10" s="7" customFormat="1" ht="15.8" customHeight="1">
      <c r="A347" s="5"/>
      <c r="B347" s="5"/>
      <c r="C347" s="520"/>
      <c r="D347" s="520"/>
      <c r="E347" s="520"/>
      <c r="F347" s="67"/>
      <c r="G347" s="21"/>
      <c r="I347" s="5"/>
      <c r="J347" s="5"/>
    </row>
    <row r="348" spans="1:10" s="7" customFormat="1" ht="15.8" customHeight="1">
      <c r="A348" s="5"/>
      <c r="B348" s="5"/>
      <c r="C348" s="520"/>
      <c r="D348" s="520"/>
      <c r="E348" s="520"/>
      <c r="F348" s="67"/>
      <c r="G348" s="21"/>
      <c r="I348" s="5"/>
      <c r="J348" s="5"/>
    </row>
    <row r="349" spans="1:10" s="7" customFormat="1" ht="15.8" customHeight="1">
      <c r="A349" s="5"/>
      <c r="B349" s="5"/>
      <c r="C349" s="520"/>
      <c r="D349" s="520"/>
      <c r="E349" s="520"/>
      <c r="F349" s="67"/>
      <c r="G349" s="21"/>
      <c r="I349" s="5"/>
      <c r="J349" s="5"/>
    </row>
    <row r="350" spans="1:10" s="7" customFormat="1" ht="15.8" customHeight="1">
      <c r="A350" s="5"/>
      <c r="B350" s="5"/>
      <c r="C350" s="520"/>
      <c r="D350" s="520"/>
      <c r="E350" s="520"/>
      <c r="F350" s="67"/>
      <c r="G350" s="21"/>
      <c r="I350" s="5"/>
      <c r="J350" s="5"/>
    </row>
    <row r="351" spans="1:10" s="7" customFormat="1" ht="15.8" customHeight="1">
      <c r="A351" s="5"/>
      <c r="B351" s="5"/>
      <c r="C351" s="520"/>
      <c r="D351" s="520"/>
      <c r="E351" s="520"/>
      <c r="F351" s="67"/>
      <c r="G351" s="21"/>
      <c r="I351" s="5"/>
      <c r="J351" s="5"/>
    </row>
    <row r="352" spans="1:10" s="7" customFormat="1" ht="15.8" customHeight="1">
      <c r="A352" s="5"/>
      <c r="B352" s="5"/>
      <c r="C352" s="520"/>
      <c r="D352" s="520"/>
      <c r="E352" s="520"/>
      <c r="F352" s="67"/>
      <c r="G352" s="21"/>
      <c r="I352" s="5"/>
      <c r="J352" s="5"/>
    </row>
    <row r="353" spans="1:10" s="7" customFormat="1" ht="15.8" customHeight="1">
      <c r="A353" s="5"/>
      <c r="B353" s="5"/>
      <c r="C353" s="520"/>
      <c r="D353" s="520"/>
      <c r="E353" s="520"/>
      <c r="F353" s="67"/>
      <c r="G353" s="21"/>
      <c r="I353" s="5"/>
      <c r="J353" s="5"/>
    </row>
    <row r="354" spans="1:10" s="7" customFormat="1" ht="15.8" customHeight="1">
      <c r="A354" s="5"/>
      <c r="B354" s="5"/>
      <c r="C354" s="520"/>
      <c r="D354" s="520"/>
      <c r="E354" s="520"/>
      <c r="F354" s="67"/>
      <c r="G354" s="21"/>
      <c r="I354" s="5"/>
      <c r="J354" s="5"/>
    </row>
    <row r="355" spans="1:10" s="7" customFormat="1" ht="15.8" customHeight="1">
      <c r="A355" s="5"/>
      <c r="B355" s="5"/>
      <c r="C355" s="520"/>
      <c r="D355" s="520"/>
      <c r="E355" s="520"/>
      <c r="F355" s="67"/>
      <c r="G355" s="21"/>
      <c r="I355" s="5"/>
      <c r="J355" s="5"/>
    </row>
    <row r="356" spans="1:10" s="7" customFormat="1" ht="15.8" customHeight="1">
      <c r="A356" s="5"/>
      <c r="B356" s="5"/>
      <c r="C356" s="520"/>
      <c r="D356" s="520"/>
      <c r="E356" s="520"/>
      <c r="F356" s="67"/>
      <c r="G356" s="21"/>
      <c r="I356" s="5"/>
      <c r="J356" s="5"/>
    </row>
    <row r="357" spans="1:10" s="7" customFormat="1" ht="15.8" customHeight="1">
      <c r="A357" s="5"/>
      <c r="B357" s="5"/>
      <c r="C357" s="520"/>
      <c r="D357" s="520"/>
      <c r="E357" s="520"/>
      <c r="F357" s="67"/>
      <c r="G357" s="21"/>
      <c r="I357" s="5"/>
      <c r="J357" s="5"/>
    </row>
    <row r="358" spans="1:10" s="7" customFormat="1" ht="15.8" customHeight="1">
      <c r="A358" s="5"/>
      <c r="B358" s="5"/>
      <c r="C358" s="520"/>
      <c r="D358" s="520"/>
      <c r="E358" s="520"/>
      <c r="F358" s="67"/>
      <c r="G358" s="21"/>
      <c r="I358" s="5"/>
      <c r="J358" s="5"/>
    </row>
    <row r="359" spans="1:10" s="7" customFormat="1" ht="15.8" customHeight="1">
      <c r="A359" s="5"/>
      <c r="B359" s="5"/>
      <c r="C359" s="520"/>
      <c r="D359" s="520"/>
      <c r="E359" s="520"/>
      <c r="F359" s="67"/>
      <c r="G359" s="21"/>
      <c r="I359" s="5"/>
      <c r="J359" s="5"/>
    </row>
    <row r="360" spans="1:10" s="7" customFormat="1" ht="15.8" customHeight="1">
      <c r="A360" s="5"/>
      <c r="B360" s="5"/>
      <c r="C360" s="520"/>
      <c r="D360" s="520"/>
      <c r="E360" s="520"/>
      <c r="F360" s="67"/>
      <c r="G360" s="21"/>
      <c r="I360" s="5"/>
      <c r="J360" s="5"/>
    </row>
    <row r="361" spans="1:10" s="7" customFormat="1" ht="15.8" customHeight="1">
      <c r="A361" s="5"/>
      <c r="B361" s="5"/>
      <c r="C361" s="520"/>
      <c r="D361" s="520"/>
      <c r="E361" s="520"/>
      <c r="F361" s="67"/>
      <c r="G361" s="21"/>
      <c r="I361" s="5"/>
      <c r="J361" s="5"/>
    </row>
    <row r="362" spans="1:10" s="7" customFormat="1" ht="15.8" customHeight="1">
      <c r="A362" s="5"/>
      <c r="B362" s="5"/>
      <c r="C362" s="520"/>
      <c r="D362" s="520"/>
      <c r="E362" s="520"/>
      <c r="F362" s="67"/>
      <c r="G362" s="21"/>
      <c r="I362" s="5"/>
      <c r="J362" s="5"/>
    </row>
    <row r="363" spans="1:10" s="7" customFormat="1" ht="15.8" customHeight="1">
      <c r="A363" s="5"/>
      <c r="B363" s="5"/>
      <c r="C363" s="520"/>
      <c r="D363" s="520"/>
      <c r="E363" s="520"/>
      <c r="F363" s="67"/>
      <c r="G363" s="21"/>
      <c r="I363" s="5"/>
      <c r="J363" s="5"/>
    </row>
    <row r="364" spans="1:10" s="7" customFormat="1" ht="15.8" customHeight="1">
      <c r="A364" s="5"/>
      <c r="B364" s="5"/>
      <c r="C364" s="520"/>
      <c r="D364" s="520"/>
      <c r="E364" s="520"/>
      <c r="F364" s="67"/>
      <c r="G364" s="21"/>
      <c r="I364" s="5"/>
      <c r="J364" s="5"/>
    </row>
    <row r="365" spans="1:10" s="7" customFormat="1" ht="15.8" customHeight="1">
      <c r="A365" s="5"/>
      <c r="B365" s="5"/>
      <c r="C365" s="520"/>
      <c r="D365" s="520"/>
      <c r="E365" s="520"/>
      <c r="F365" s="67"/>
      <c r="G365" s="21"/>
      <c r="I365" s="5"/>
      <c r="J365" s="5"/>
    </row>
    <row r="366" spans="1:10" s="7" customFormat="1" ht="15.8" customHeight="1">
      <c r="A366" s="5"/>
      <c r="B366" s="5"/>
      <c r="C366" s="520"/>
      <c r="D366" s="520"/>
      <c r="E366" s="520"/>
      <c r="F366" s="67"/>
      <c r="G366" s="21"/>
      <c r="I366" s="5"/>
      <c r="J366" s="5"/>
    </row>
    <row r="367" spans="1:10" s="7" customFormat="1" ht="15.8" customHeight="1">
      <c r="A367" s="5"/>
      <c r="B367" s="5"/>
      <c r="C367" s="520"/>
      <c r="D367" s="520"/>
      <c r="E367" s="520"/>
      <c r="F367" s="67"/>
      <c r="G367" s="21"/>
      <c r="I367" s="5"/>
      <c r="J367" s="5"/>
    </row>
    <row r="368" spans="1:10" s="7" customFormat="1" ht="15.8" customHeight="1">
      <c r="A368" s="5"/>
      <c r="B368" s="5"/>
      <c r="C368" s="520"/>
      <c r="D368" s="520"/>
      <c r="E368" s="520"/>
      <c r="F368" s="67"/>
      <c r="G368" s="21"/>
      <c r="I368" s="5"/>
      <c r="J368" s="5"/>
    </row>
    <row r="369" spans="1:10" s="7" customFormat="1" ht="15.8" customHeight="1">
      <c r="A369" s="5"/>
      <c r="B369" s="5"/>
      <c r="C369" s="520"/>
      <c r="D369" s="520"/>
      <c r="E369" s="520"/>
      <c r="F369" s="67"/>
      <c r="G369" s="21"/>
      <c r="I369" s="5"/>
      <c r="J369" s="5"/>
    </row>
    <row r="370" spans="1:10" s="7" customFormat="1" ht="15.8" customHeight="1">
      <c r="A370" s="5"/>
      <c r="B370" s="5"/>
      <c r="C370" s="520"/>
      <c r="D370" s="520"/>
      <c r="E370" s="520"/>
      <c r="F370" s="67"/>
      <c r="G370" s="21"/>
      <c r="I370" s="5"/>
      <c r="J370" s="5"/>
    </row>
    <row r="371" spans="1:10" s="7" customFormat="1" ht="15.8" customHeight="1">
      <c r="A371" s="5"/>
      <c r="B371" s="5"/>
      <c r="C371" s="520"/>
      <c r="D371" s="520"/>
      <c r="E371" s="520"/>
      <c r="F371" s="67"/>
      <c r="G371" s="21"/>
      <c r="I371" s="5"/>
      <c r="J371" s="5"/>
    </row>
    <row r="372" spans="1:10" s="7" customFormat="1" ht="15.8" customHeight="1">
      <c r="A372" s="5"/>
      <c r="B372" s="5"/>
      <c r="C372" s="520"/>
      <c r="D372" s="520"/>
      <c r="E372" s="520"/>
      <c r="F372" s="67"/>
      <c r="G372" s="21"/>
      <c r="I372" s="5"/>
      <c r="J372" s="5"/>
    </row>
    <row r="373" spans="1:10" s="7" customFormat="1" ht="15.8" customHeight="1">
      <c r="A373" s="5"/>
      <c r="B373" s="5"/>
      <c r="C373" s="520"/>
      <c r="D373" s="520"/>
      <c r="E373" s="520"/>
      <c r="F373" s="67"/>
      <c r="G373" s="21"/>
      <c r="I373" s="5"/>
      <c r="J373" s="5"/>
    </row>
    <row r="374" spans="1:10" s="7" customFormat="1" ht="15.8" customHeight="1">
      <c r="A374" s="5"/>
      <c r="B374" s="5"/>
      <c r="C374" s="520"/>
      <c r="D374" s="520"/>
      <c r="E374" s="520"/>
      <c r="F374" s="67"/>
      <c r="G374" s="21"/>
      <c r="I374" s="5"/>
      <c r="J374" s="5"/>
    </row>
    <row r="375" spans="1:10" s="7" customFormat="1" ht="15.8" customHeight="1">
      <c r="A375" s="5"/>
      <c r="B375" s="5"/>
      <c r="C375" s="520"/>
      <c r="D375" s="520"/>
      <c r="E375" s="520"/>
      <c r="F375" s="67"/>
      <c r="G375" s="21"/>
      <c r="I375" s="5"/>
      <c r="J375" s="5"/>
    </row>
    <row r="376" spans="1:10" s="7" customFormat="1" ht="15.8" customHeight="1">
      <c r="A376" s="5"/>
      <c r="B376" s="5"/>
      <c r="C376" s="520"/>
      <c r="D376" s="520"/>
      <c r="E376" s="520"/>
      <c r="F376" s="67"/>
      <c r="G376" s="21"/>
      <c r="I376" s="5"/>
      <c r="J376" s="5"/>
    </row>
    <row r="377" spans="1:10" s="7" customFormat="1" ht="15.8" customHeight="1">
      <c r="A377" s="5"/>
      <c r="B377" s="5"/>
      <c r="C377" s="520"/>
      <c r="D377" s="520"/>
      <c r="E377" s="520"/>
      <c r="F377" s="67"/>
      <c r="G377" s="21"/>
      <c r="I377" s="5"/>
      <c r="J377" s="5"/>
    </row>
    <row r="378" spans="1:10" s="7" customFormat="1" ht="15.8" customHeight="1">
      <c r="A378" s="5"/>
      <c r="B378" s="5"/>
      <c r="C378" s="520"/>
      <c r="D378" s="520"/>
      <c r="E378" s="520"/>
      <c r="F378" s="67"/>
      <c r="G378" s="21"/>
      <c r="I378" s="5"/>
      <c r="J378" s="5"/>
    </row>
    <row r="379" spans="1:10" s="7" customFormat="1" ht="15.8" customHeight="1">
      <c r="A379" s="5"/>
      <c r="B379" s="5"/>
      <c r="C379" s="520"/>
      <c r="D379" s="520"/>
      <c r="E379" s="520"/>
      <c r="F379" s="67"/>
      <c r="G379" s="21"/>
      <c r="I379" s="5"/>
      <c r="J379" s="5"/>
    </row>
    <row r="380" spans="1:10" s="7" customFormat="1" ht="15.8" customHeight="1">
      <c r="A380" s="5"/>
      <c r="B380" s="5"/>
      <c r="C380" s="520"/>
      <c r="D380" s="520"/>
      <c r="E380" s="520"/>
      <c r="F380" s="67"/>
      <c r="G380" s="21"/>
      <c r="I380" s="5"/>
      <c r="J380" s="5"/>
    </row>
    <row r="381" spans="1:10" s="7" customFormat="1" ht="15.8" customHeight="1">
      <c r="A381" s="5"/>
      <c r="B381" s="5"/>
      <c r="C381" s="520"/>
      <c r="D381" s="520"/>
      <c r="E381" s="520"/>
      <c r="F381" s="67"/>
      <c r="G381" s="21"/>
      <c r="I381" s="5"/>
      <c r="J381" s="5"/>
    </row>
    <row r="382" spans="1:10" s="7" customFormat="1" ht="15.8" customHeight="1">
      <c r="A382" s="5"/>
      <c r="B382" s="5"/>
      <c r="C382" s="520"/>
      <c r="D382" s="520"/>
      <c r="E382" s="520"/>
      <c r="F382" s="67"/>
      <c r="G382" s="21"/>
      <c r="I382" s="5"/>
      <c r="J382" s="5"/>
    </row>
    <row r="383" spans="1:10" s="7" customFormat="1" ht="15.8" customHeight="1">
      <c r="A383" s="5"/>
      <c r="B383" s="5"/>
      <c r="C383" s="520"/>
      <c r="D383" s="520"/>
      <c r="E383" s="520"/>
      <c r="F383" s="67"/>
      <c r="G383" s="21"/>
      <c r="I383" s="5"/>
      <c r="J383" s="5"/>
    </row>
    <row r="384" spans="1:10" s="7" customFormat="1" ht="15.8" customHeight="1">
      <c r="A384" s="5"/>
      <c r="B384" s="5"/>
      <c r="C384" s="520"/>
      <c r="D384" s="520"/>
      <c r="E384" s="520"/>
      <c r="F384" s="67"/>
      <c r="G384" s="21"/>
      <c r="I384" s="5"/>
      <c r="J384" s="5"/>
    </row>
    <row r="385" spans="1:10" s="7" customFormat="1" ht="15.8" customHeight="1">
      <c r="A385" s="5"/>
      <c r="B385" s="5"/>
      <c r="C385" s="520"/>
      <c r="D385" s="520"/>
      <c r="E385" s="520"/>
      <c r="F385" s="67"/>
      <c r="G385" s="21"/>
      <c r="I385" s="5"/>
      <c r="J385" s="5"/>
    </row>
    <row r="386" spans="1:10" s="7" customFormat="1" ht="15.8" customHeight="1">
      <c r="A386" s="5"/>
      <c r="B386" s="5"/>
      <c r="C386" s="520"/>
      <c r="D386" s="520"/>
      <c r="E386" s="520"/>
      <c r="F386" s="67"/>
      <c r="G386" s="21"/>
      <c r="I386" s="5"/>
      <c r="J386" s="5"/>
    </row>
    <row r="387" spans="1:10" s="7" customFormat="1" ht="15.8" customHeight="1">
      <c r="A387" s="5"/>
      <c r="B387" s="5"/>
      <c r="C387" s="520"/>
      <c r="D387" s="520"/>
      <c r="E387" s="520"/>
      <c r="F387" s="67"/>
      <c r="G387" s="21"/>
      <c r="I387" s="5"/>
      <c r="J387" s="5"/>
    </row>
    <row r="388" spans="1:10" s="7" customFormat="1" ht="15.8" customHeight="1">
      <c r="A388" s="5"/>
      <c r="B388" s="5"/>
      <c r="C388" s="520"/>
      <c r="D388" s="520"/>
      <c r="E388" s="520"/>
      <c r="F388" s="67"/>
      <c r="G388" s="21"/>
      <c r="I388" s="5"/>
      <c r="J388" s="5"/>
    </row>
    <row r="389" spans="1:10" s="7" customFormat="1" ht="15.8" customHeight="1">
      <c r="A389" s="5"/>
      <c r="B389" s="5"/>
      <c r="C389" s="520"/>
      <c r="D389" s="520"/>
      <c r="E389" s="520"/>
      <c r="F389" s="67"/>
      <c r="G389" s="21"/>
      <c r="I389" s="5"/>
      <c r="J389" s="5"/>
    </row>
    <row r="390" spans="1:10" s="7" customFormat="1" ht="15.8" customHeight="1">
      <c r="A390" s="5"/>
      <c r="B390" s="5"/>
      <c r="C390" s="520"/>
      <c r="D390" s="520"/>
      <c r="E390" s="520"/>
      <c r="F390" s="67"/>
      <c r="G390" s="21"/>
      <c r="I390" s="5"/>
      <c r="J390" s="5"/>
    </row>
    <row r="391" spans="1:10" s="7" customFormat="1" ht="15.8" customHeight="1">
      <c r="A391" s="5"/>
      <c r="B391" s="5"/>
      <c r="C391" s="520"/>
      <c r="D391" s="520"/>
      <c r="E391" s="520"/>
      <c r="F391" s="67"/>
      <c r="G391" s="21"/>
      <c r="I391" s="5"/>
      <c r="J391" s="5"/>
    </row>
    <row r="392" spans="1:10" s="7" customFormat="1" ht="15.8" customHeight="1">
      <c r="A392" s="5"/>
      <c r="B392" s="5"/>
      <c r="C392" s="520"/>
      <c r="D392" s="520"/>
      <c r="E392" s="520"/>
      <c r="F392" s="67"/>
      <c r="G392" s="21"/>
      <c r="I392" s="5"/>
      <c r="J392" s="5"/>
    </row>
    <row r="393" spans="1:10" s="7" customFormat="1" ht="15.8" customHeight="1">
      <c r="A393" s="5"/>
      <c r="B393" s="5"/>
      <c r="C393" s="520"/>
      <c r="D393" s="520"/>
      <c r="E393" s="520"/>
      <c r="F393" s="67"/>
      <c r="G393" s="21"/>
      <c r="I393" s="5"/>
      <c r="J393" s="5"/>
    </row>
    <row r="394" spans="1:10" s="7" customFormat="1" ht="15.8" customHeight="1">
      <c r="A394" s="5"/>
      <c r="B394" s="5"/>
      <c r="C394" s="520"/>
      <c r="D394" s="520"/>
      <c r="E394" s="520"/>
      <c r="F394" s="67"/>
      <c r="G394" s="21"/>
      <c r="I394" s="5"/>
      <c r="J394" s="5"/>
    </row>
    <row r="395" spans="1:10" s="7" customFormat="1" ht="15.8" customHeight="1">
      <c r="A395" s="5"/>
      <c r="B395" s="5"/>
      <c r="C395" s="520"/>
      <c r="D395" s="520"/>
      <c r="E395" s="520"/>
      <c r="F395" s="67"/>
      <c r="G395" s="21"/>
      <c r="I395" s="5"/>
      <c r="J395" s="5"/>
    </row>
    <row r="396" spans="1:10" s="7" customFormat="1" ht="15.8" customHeight="1">
      <c r="A396" s="5"/>
      <c r="B396" s="5"/>
      <c r="C396" s="520"/>
      <c r="D396" s="520"/>
      <c r="E396" s="520"/>
      <c r="F396" s="67"/>
      <c r="G396" s="21"/>
      <c r="I396" s="5"/>
      <c r="J396" s="5"/>
    </row>
    <row r="397" spans="1:10" s="7" customFormat="1" ht="15.8" customHeight="1">
      <c r="A397" s="5"/>
      <c r="B397" s="5"/>
      <c r="C397" s="520"/>
      <c r="D397" s="520"/>
      <c r="E397" s="520"/>
      <c r="F397" s="67"/>
      <c r="G397" s="21"/>
      <c r="I397" s="5"/>
      <c r="J397" s="5"/>
    </row>
    <row r="398" spans="1:10" s="7" customFormat="1" ht="15.8" customHeight="1">
      <c r="A398" s="5"/>
      <c r="B398" s="5"/>
      <c r="C398" s="520"/>
      <c r="D398" s="520"/>
      <c r="E398" s="520"/>
      <c r="F398" s="67"/>
      <c r="G398" s="21"/>
      <c r="I398" s="5"/>
      <c r="J398" s="5"/>
    </row>
    <row r="399" spans="1:10" s="7" customFormat="1" ht="15.8" customHeight="1">
      <c r="A399" s="5"/>
      <c r="B399" s="5"/>
      <c r="C399" s="520"/>
      <c r="D399" s="520"/>
      <c r="E399" s="520"/>
      <c r="F399" s="67"/>
      <c r="G399" s="21"/>
      <c r="I399" s="5"/>
      <c r="J399" s="5"/>
    </row>
    <row r="400" spans="1:10" s="7" customFormat="1" ht="15.8" customHeight="1">
      <c r="A400" s="5"/>
      <c r="B400" s="5"/>
      <c r="C400" s="520"/>
      <c r="D400" s="520"/>
      <c r="E400" s="520"/>
      <c r="F400" s="67"/>
      <c r="G400" s="21"/>
      <c r="I400" s="5"/>
      <c r="J400" s="5"/>
    </row>
    <row r="401" spans="1:10" s="7" customFormat="1" ht="15.8" customHeight="1">
      <c r="A401" s="5"/>
      <c r="B401" s="5"/>
      <c r="C401" s="520"/>
      <c r="D401" s="520"/>
      <c r="E401" s="520"/>
      <c r="F401" s="67"/>
      <c r="G401" s="21"/>
      <c r="I401" s="5"/>
      <c r="J401" s="5"/>
    </row>
    <row r="402" spans="1:10" s="7" customFormat="1" ht="15.8" customHeight="1">
      <c r="A402" s="5"/>
      <c r="B402" s="5"/>
      <c r="C402" s="520"/>
      <c r="D402" s="520"/>
      <c r="E402" s="520"/>
      <c r="F402" s="67"/>
      <c r="G402" s="21"/>
      <c r="I402" s="5"/>
      <c r="J402" s="5"/>
    </row>
    <row r="403" spans="1:10" s="7" customFormat="1" ht="15.8" customHeight="1">
      <c r="A403" s="5"/>
      <c r="B403" s="5"/>
      <c r="C403" s="520"/>
      <c r="D403" s="520"/>
      <c r="E403" s="520"/>
      <c r="F403" s="67"/>
      <c r="G403" s="21"/>
      <c r="I403" s="5"/>
      <c r="J403" s="5"/>
    </row>
    <row r="404" spans="1:10" s="7" customFormat="1" ht="15.8" customHeight="1">
      <c r="A404" s="5"/>
      <c r="B404" s="5"/>
      <c r="C404" s="520"/>
      <c r="D404" s="520"/>
      <c r="E404" s="520"/>
      <c r="F404" s="67"/>
      <c r="G404" s="21"/>
      <c r="I404" s="5"/>
      <c r="J404" s="5"/>
    </row>
    <row r="405" spans="1:10" s="7" customFormat="1" ht="15.8" customHeight="1">
      <c r="A405" s="5"/>
      <c r="B405" s="5"/>
      <c r="C405" s="520"/>
      <c r="D405" s="520"/>
      <c r="E405" s="520"/>
      <c r="F405" s="67"/>
      <c r="G405" s="21"/>
      <c r="I405" s="5"/>
      <c r="J405" s="5"/>
    </row>
    <row r="406" spans="1:10" s="7" customFormat="1" ht="15.8" customHeight="1">
      <c r="A406" s="5"/>
      <c r="B406" s="5"/>
      <c r="C406" s="520"/>
      <c r="D406" s="520"/>
      <c r="E406" s="520"/>
      <c r="F406" s="67"/>
      <c r="G406" s="21"/>
      <c r="I406" s="5"/>
      <c r="J406" s="5"/>
    </row>
    <row r="407" spans="1:10" s="7" customFormat="1" ht="15.8" customHeight="1">
      <c r="A407" s="5"/>
      <c r="B407" s="5"/>
      <c r="C407" s="520"/>
      <c r="D407" s="520"/>
      <c r="E407" s="520"/>
      <c r="F407" s="67"/>
      <c r="G407" s="21"/>
      <c r="I407" s="5"/>
      <c r="J407" s="5"/>
    </row>
    <row r="408" spans="1:10" s="7" customFormat="1" ht="15.8" customHeight="1">
      <c r="A408" s="5"/>
      <c r="B408" s="5"/>
      <c r="C408" s="520"/>
      <c r="D408" s="520"/>
      <c r="E408" s="520"/>
      <c r="F408" s="67"/>
      <c r="G408" s="21"/>
      <c r="I408" s="5"/>
      <c r="J408" s="5"/>
    </row>
    <row r="409" spans="1:10" s="7" customFormat="1" ht="15.8" customHeight="1">
      <c r="A409" s="5"/>
      <c r="B409" s="5"/>
      <c r="C409" s="520"/>
      <c r="D409" s="520"/>
      <c r="E409" s="520"/>
      <c r="F409" s="67"/>
      <c r="G409" s="21"/>
      <c r="I409" s="5"/>
      <c r="J409" s="5"/>
    </row>
    <row r="410" spans="1:10" s="7" customFormat="1" ht="15.8" customHeight="1">
      <c r="A410" s="5"/>
      <c r="B410" s="5"/>
      <c r="C410" s="520"/>
      <c r="D410" s="520"/>
      <c r="E410" s="520"/>
      <c r="F410" s="67"/>
      <c r="G410" s="21"/>
      <c r="I410" s="5"/>
      <c r="J410" s="5"/>
    </row>
    <row r="411" spans="1:10" s="7" customFormat="1" ht="15.8" customHeight="1">
      <c r="A411" s="5"/>
      <c r="B411" s="5"/>
      <c r="C411" s="520"/>
      <c r="D411" s="520"/>
      <c r="E411" s="520"/>
      <c r="F411" s="67"/>
      <c r="G411" s="21"/>
      <c r="I411" s="5"/>
      <c r="J411" s="5"/>
    </row>
    <row r="412" spans="1:10" s="7" customFormat="1" ht="15.8" customHeight="1">
      <c r="A412" s="5"/>
      <c r="B412" s="5"/>
      <c r="C412" s="520"/>
      <c r="D412" s="520"/>
      <c r="E412" s="520"/>
      <c r="F412" s="67"/>
      <c r="G412" s="21"/>
      <c r="I412" s="5"/>
      <c r="J412" s="5"/>
    </row>
    <row r="413" spans="1:10" s="7" customFormat="1" ht="15.8" customHeight="1">
      <c r="A413" s="5"/>
      <c r="B413" s="5"/>
      <c r="C413" s="520"/>
      <c r="D413" s="520"/>
      <c r="E413" s="520"/>
      <c r="F413" s="67"/>
      <c r="G413" s="21"/>
      <c r="I413" s="5"/>
      <c r="J413" s="5"/>
    </row>
    <row r="414" spans="1:10" s="7" customFormat="1" ht="15.8" customHeight="1">
      <c r="A414" s="5"/>
      <c r="B414" s="5"/>
      <c r="C414" s="520"/>
      <c r="D414" s="520"/>
      <c r="E414" s="520"/>
      <c r="F414" s="67"/>
      <c r="G414" s="21"/>
      <c r="I414" s="5"/>
      <c r="J414" s="5"/>
    </row>
    <row r="415" spans="1:10" s="7" customFormat="1" ht="15.8" customHeight="1">
      <c r="A415" s="5"/>
      <c r="B415" s="5"/>
      <c r="C415" s="520"/>
      <c r="D415" s="520"/>
      <c r="E415" s="520"/>
      <c r="F415" s="67"/>
      <c r="G415" s="21"/>
      <c r="I415" s="5"/>
      <c r="J415" s="5"/>
    </row>
    <row r="416" spans="1:10" s="7" customFormat="1" ht="15.8" customHeight="1">
      <c r="A416" s="5"/>
      <c r="B416" s="5"/>
      <c r="C416" s="520"/>
      <c r="D416" s="520"/>
      <c r="E416" s="520"/>
      <c r="F416" s="67"/>
      <c r="G416" s="21"/>
      <c r="I416" s="5"/>
      <c r="J416" s="5"/>
    </row>
    <row r="417" spans="1:10" s="7" customFormat="1" ht="15.8" customHeight="1">
      <c r="A417" s="5"/>
      <c r="B417" s="5"/>
      <c r="C417" s="520"/>
      <c r="D417" s="520"/>
      <c r="E417" s="520"/>
      <c r="F417" s="67"/>
      <c r="G417" s="21"/>
      <c r="I417" s="5"/>
      <c r="J417" s="5"/>
    </row>
    <row r="418" spans="1:10" s="7" customFormat="1" ht="15.8" customHeight="1">
      <c r="A418" s="5"/>
      <c r="B418" s="5"/>
      <c r="C418" s="520"/>
      <c r="D418" s="520"/>
      <c r="E418" s="520"/>
      <c r="F418" s="67"/>
      <c r="G418" s="21"/>
      <c r="I418" s="5"/>
      <c r="J418" s="5"/>
    </row>
    <row r="419" spans="1:10" s="7" customFormat="1" ht="15.8" customHeight="1">
      <c r="A419" s="5"/>
      <c r="B419" s="5"/>
      <c r="C419" s="520"/>
      <c r="D419" s="520"/>
      <c r="E419" s="520"/>
      <c r="F419" s="67"/>
      <c r="G419" s="21"/>
      <c r="I419" s="5"/>
      <c r="J419" s="5"/>
    </row>
    <row r="420" spans="1:10" s="7" customFormat="1" ht="15.8" customHeight="1">
      <c r="A420" s="5"/>
      <c r="B420" s="5"/>
      <c r="C420" s="520"/>
      <c r="D420" s="520"/>
      <c r="E420" s="520"/>
      <c r="F420" s="67"/>
      <c r="G420" s="21"/>
      <c r="I420" s="5"/>
      <c r="J420" s="5"/>
    </row>
    <row r="421" spans="1:10" s="7" customFormat="1" ht="15.8" customHeight="1">
      <c r="A421" s="5"/>
      <c r="B421" s="5"/>
      <c r="C421" s="520"/>
      <c r="D421" s="520"/>
      <c r="E421" s="520"/>
      <c r="F421" s="67"/>
      <c r="G421" s="21"/>
      <c r="I421" s="5"/>
      <c r="J421" s="5"/>
    </row>
    <row r="422" spans="1:10" s="7" customFormat="1" ht="15.8" customHeight="1">
      <c r="A422" s="5"/>
      <c r="B422" s="5"/>
      <c r="C422" s="520"/>
      <c r="D422" s="520"/>
      <c r="E422" s="520"/>
      <c r="F422" s="67"/>
      <c r="G422" s="21"/>
      <c r="I422" s="5"/>
      <c r="J422" s="5"/>
    </row>
    <row r="423" spans="1:10" s="7" customFormat="1" ht="15.8" customHeight="1">
      <c r="A423" s="5"/>
      <c r="B423" s="5"/>
      <c r="C423" s="520"/>
      <c r="D423" s="520"/>
      <c r="E423" s="520"/>
      <c r="F423" s="67"/>
      <c r="G423" s="21"/>
      <c r="I423" s="5"/>
      <c r="J423" s="5"/>
    </row>
    <row r="424" spans="1:10" s="7" customFormat="1" ht="15.8" customHeight="1">
      <c r="A424" s="5"/>
      <c r="B424" s="5"/>
      <c r="C424" s="520"/>
      <c r="D424" s="520"/>
      <c r="E424" s="520"/>
      <c r="F424" s="67"/>
      <c r="G424" s="21"/>
      <c r="I424" s="5"/>
      <c r="J424" s="5"/>
    </row>
    <row r="425" spans="1:10" s="7" customFormat="1" ht="15.8" customHeight="1">
      <c r="A425" s="5"/>
      <c r="B425" s="5"/>
      <c r="C425" s="520"/>
      <c r="D425" s="520"/>
      <c r="E425" s="520"/>
      <c r="F425" s="67"/>
      <c r="G425" s="21"/>
      <c r="I425" s="5"/>
      <c r="J425" s="5"/>
    </row>
    <row r="426" spans="1:10" s="7" customFormat="1" ht="15.8" customHeight="1">
      <c r="A426" s="5"/>
      <c r="B426" s="5"/>
      <c r="C426" s="520"/>
      <c r="D426" s="520"/>
      <c r="E426" s="520"/>
      <c r="F426" s="67"/>
      <c r="G426" s="21"/>
      <c r="I426" s="5"/>
      <c r="J426" s="5"/>
    </row>
    <row r="427" spans="1:10" s="7" customFormat="1" ht="15.8" customHeight="1">
      <c r="A427" s="5"/>
      <c r="B427" s="5"/>
      <c r="C427" s="520"/>
      <c r="D427" s="520"/>
      <c r="E427" s="520"/>
      <c r="F427" s="67"/>
      <c r="G427" s="21"/>
      <c r="I427" s="5"/>
      <c r="J427" s="5"/>
    </row>
    <row r="428" spans="1:10" s="7" customFormat="1" ht="15.8" customHeight="1">
      <c r="A428" s="5"/>
      <c r="B428" s="5"/>
      <c r="C428" s="520"/>
      <c r="D428" s="520"/>
      <c r="E428" s="520"/>
      <c r="F428" s="67"/>
      <c r="G428" s="21"/>
      <c r="I428" s="5"/>
      <c r="J428" s="5"/>
    </row>
    <row r="429" spans="1:10" s="7" customFormat="1" ht="15.8" customHeight="1">
      <c r="A429" s="5"/>
      <c r="B429" s="5"/>
      <c r="C429" s="520"/>
      <c r="D429" s="520"/>
      <c r="E429" s="520"/>
      <c r="F429" s="67"/>
      <c r="G429" s="21"/>
      <c r="I429" s="5"/>
      <c r="J429" s="5"/>
    </row>
    <row r="430" spans="1:10" s="7" customFormat="1" ht="15.8" customHeight="1">
      <c r="A430" s="5"/>
      <c r="B430" s="5"/>
      <c r="C430" s="520"/>
      <c r="D430" s="520"/>
      <c r="E430" s="520"/>
      <c r="F430" s="67"/>
      <c r="G430" s="21"/>
      <c r="I430" s="5"/>
      <c r="J430" s="5"/>
    </row>
    <row r="431" spans="1:10" s="7" customFormat="1" ht="15.8" customHeight="1">
      <c r="A431" s="5"/>
      <c r="B431" s="5"/>
      <c r="C431" s="520"/>
      <c r="D431" s="520"/>
      <c r="E431" s="520"/>
      <c r="F431" s="67"/>
      <c r="G431" s="21"/>
      <c r="I431" s="5"/>
      <c r="J431" s="5"/>
    </row>
    <row r="432" spans="1:10" s="7" customFormat="1" ht="15.8" customHeight="1">
      <c r="A432" s="5"/>
      <c r="B432" s="5"/>
      <c r="C432" s="520"/>
      <c r="D432" s="520"/>
      <c r="E432" s="520"/>
      <c r="F432" s="67"/>
      <c r="G432" s="21"/>
      <c r="I432" s="5"/>
      <c r="J432" s="5"/>
    </row>
    <row r="433" spans="1:10" s="7" customFormat="1" ht="15.8" customHeight="1">
      <c r="A433" s="5"/>
      <c r="B433" s="5"/>
      <c r="C433" s="520"/>
      <c r="D433" s="520"/>
      <c r="E433" s="520"/>
      <c r="F433" s="67"/>
      <c r="G433" s="21"/>
      <c r="I433" s="5"/>
      <c r="J433" s="5"/>
    </row>
    <row r="434" spans="1:10" s="7" customFormat="1" ht="15.8" customHeight="1">
      <c r="A434" s="5"/>
      <c r="B434" s="5"/>
      <c r="C434" s="520"/>
      <c r="D434" s="520"/>
      <c r="E434" s="520"/>
      <c r="F434" s="67"/>
      <c r="G434" s="21"/>
      <c r="I434" s="5"/>
      <c r="J434" s="5"/>
    </row>
    <row r="435" spans="1:10" s="7" customFormat="1" ht="15.8" customHeight="1">
      <c r="A435" s="5"/>
      <c r="B435" s="5"/>
      <c r="C435" s="520"/>
      <c r="D435" s="520"/>
      <c r="E435" s="520"/>
      <c r="F435" s="67"/>
      <c r="G435" s="21"/>
      <c r="I435" s="5"/>
      <c r="J435" s="5"/>
    </row>
    <row r="436" spans="1:10" s="7" customFormat="1" ht="15.8" customHeight="1">
      <c r="A436" s="5"/>
      <c r="B436" s="5"/>
      <c r="C436" s="520"/>
      <c r="D436" s="520"/>
      <c r="E436" s="520"/>
      <c r="F436" s="67"/>
      <c r="G436" s="21"/>
      <c r="I436" s="5"/>
      <c r="J436" s="5"/>
    </row>
    <row r="437" spans="1:10" s="7" customFormat="1" ht="15.8" customHeight="1">
      <c r="A437" s="5"/>
      <c r="B437" s="5"/>
      <c r="C437" s="520"/>
      <c r="D437" s="520"/>
      <c r="E437" s="520"/>
      <c r="F437" s="67"/>
      <c r="G437" s="21"/>
      <c r="I437" s="5"/>
      <c r="J437" s="5"/>
    </row>
    <row r="438" spans="1:10" s="7" customFormat="1" ht="15.8" customHeight="1">
      <c r="A438" s="5"/>
      <c r="B438" s="5"/>
      <c r="C438" s="520"/>
      <c r="D438" s="520"/>
      <c r="E438" s="520"/>
      <c r="F438" s="67"/>
      <c r="G438" s="21"/>
      <c r="I438" s="5"/>
      <c r="J438" s="5"/>
    </row>
    <row r="439" spans="1:10" s="7" customFormat="1" ht="15.8" customHeight="1">
      <c r="A439" s="5"/>
      <c r="B439" s="5"/>
      <c r="C439" s="520"/>
      <c r="D439" s="520"/>
      <c r="E439" s="520"/>
      <c r="F439" s="67"/>
      <c r="G439" s="21"/>
      <c r="I439" s="5"/>
      <c r="J439" s="5"/>
    </row>
    <row r="440" spans="1:10" s="7" customFormat="1" ht="15.8" customHeight="1">
      <c r="A440" s="5"/>
      <c r="B440" s="5"/>
      <c r="C440" s="520"/>
      <c r="D440" s="520"/>
      <c r="E440" s="520"/>
      <c r="F440" s="67"/>
      <c r="G440" s="21"/>
      <c r="I440" s="5"/>
      <c r="J440" s="5"/>
    </row>
    <row r="441" spans="1:10" s="7" customFormat="1" ht="15.8" customHeight="1">
      <c r="A441" s="5"/>
      <c r="B441" s="5"/>
      <c r="C441" s="520"/>
      <c r="D441" s="520"/>
      <c r="E441" s="520"/>
      <c r="F441" s="67"/>
      <c r="G441" s="21"/>
      <c r="I441" s="5"/>
      <c r="J441" s="5"/>
    </row>
    <row r="442" spans="1:10" s="7" customFormat="1" ht="15.8" customHeight="1">
      <c r="A442" s="5"/>
      <c r="B442" s="5"/>
      <c r="C442" s="520"/>
      <c r="D442" s="520"/>
      <c r="E442" s="520"/>
      <c r="F442" s="67"/>
      <c r="G442" s="21"/>
      <c r="I442" s="5"/>
      <c r="J442" s="5"/>
    </row>
    <row r="443" spans="1:10" s="7" customFormat="1" ht="15.8" customHeight="1">
      <c r="A443" s="5"/>
      <c r="B443" s="5"/>
      <c r="C443" s="520"/>
      <c r="D443" s="520"/>
      <c r="E443" s="520"/>
      <c r="F443" s="67"/>
      <c r="G443" s="21"/>
      <c r="I443" s="5"/>
      <c r="J443" s="5"/>
    </row>
    <row r="444" spans="1:10" s="7" customFormat="1" ht="15.8" customHeight="1">
      <c r="A444" s="5"/>
      <c r="B444" s="5"/>
      <c r="C444" s="520"/>
      <c r="D444" s="520"/>
      <c r="E444" s="520"/>
      <c r="F444" s="67"/>
      <c r="G444" s="21"/>
      <c r="I444" s="5"/>
      <c r="J444" s="5"/>
    </row>
    <row r="445" spans="1:10" s="7" customFormat="1" ht="15.8" customHeight="1">
      <c r="A445" s="5"/>
      <c r="B445" s="5"/>
      <c r="C445" s="520"/>
      <c r="D445" s="520"/>
      <c r="E445" s="520"/>
      <c r="F445" s="67"/>
      <c r="G445" s="21"/>
      <c r="I445" s="5"/>
      <c r="J445" s="5"/>
    </row>
    <row r="446" spans="1:10" s="7" customFormat="1" ht="15.8" customHeight="1">
      <c r="A446" s="5"/>
      <c r="B446" s="5"/>
      <c r="C446" s="520"/>
      <c r="D446" s="520"/>
      <c r="E446" s="520"/>
      <c r="F446" s="67"/>
      <c r="G446" s="21"/>
      <c r="I446" s="5"/>
      <c r="J446" s="5"/>
    </row>
    <row r="447" spans="1:10" s="7" customFormat="1" ht="15.8" customHeight="1">
      <c r="A447" s="5"/>
      <c r="B447" s="5"/>
      <c r="C447" s="520"/>
      <c r="D447" s="520"/>
      <c r="E447" s="520"/>
      <c r="F447" s="67"/>
      <c r="G447" s="21"/>
      <c r="I447" s="5"/>
      <c r="J447" s="5"/>
    </row>
    <row r="448" spans="1:10" s="7" customFormat="1" ht="15.8" customHeight="1">
      <c r="A448" s="5"/>
      <c r="B448" s="5"/>
      <c r="C448" s="520"/>
      <c r="D448" s="520"/>
      <c r="E448" s="520"/>
      <c r="F448" s="67"/>
      <c r="G448" s="21"/>
      <c r="I448" s="5"/>
      <c r="J448" s="5"/>
    </row>
    <row r="449" spans="1:10" s="7" customFormat="1" ht="15.8" customHeight="1">
      <c r="A449" s="5"/>
      <c r="B449" s="5"/>
      <c r="C449" s="520"/>
      <c r="D449" s="520"/>
      <c r="E449" s="520"/>
      <c r="F449" s="67"/>
      <c r="G449" s="21"/>
      <c r="I449" s="5"/>
      <c r="J449" s="5"/>
    </row>
    <row r="450" spans="1:10" s="7" customFormat="1" ht="15.8" customHeight="1">
      <c r="A450" s="5"/>
      <c r="B450" s="5"/>
      <c r="C450" s="520"/>
      <c r="D450" s="520"/>
      <c r="E450" s="520"/>
      <c r="F450" s="67"/>
      <c r="G450" s="21"/>
      <c r="I450" s="5"/>
      <c r="J450" s="5"/>
    </row>
    <row r="451" spans="1:10" s="7" customFormat="1" ht="15.8" customHeight="1">
      <c r="A451" s="5"/>
      <c r="B451" s="5"/>
      <c r="C451" s="520"/>
      <c r="D451" s="520"/>
      <c r="E451" s="520"/>
      <c r="F451" s="67"/>
      <c r="G451" s="21"/>
      <c r="I451" s="5"/>
      <c r="J451" s="5"/>
    </row>
    <row r="452" spans="1:10" s="7" customFormat="1" ht="15.8" customHeight="1">
      <c r="A452" s="5"/>
      <c r="B452" s="5"/>
      <c r="C452" s="520"/>
      <c r="D452" s="520"/>
      <c r="E452" s="520"/>
      <c r="F452" s="67"/>
      <c r="G452" s="21"/>
      <c r="I452" s="5"/>
      <c r="J452" s="5"/>
    </row>
    <row r="453" spans="1:10" s="7" customFormat="1" ht="15.8" customHeight="1">
      <c r="A453" s="5"/>
      <c r="B453" s="5"/>
      <c r="C453" s="520"/>
      <c r="D453" s="520"/>
      <c r="E453" s="520"/>
      <c r="F453" s="67"/>
      <c r="G453" s="21"/>
      <c r="I453" s="5"/>
      <c r="J453" s="5"/>
    </row>
    <row r="454" spans="1:10" s="7" customFormat="1" ht="15.8" customHeight="1">
      <c r="A454" s="5"/>
      <c r="B454" s="5"/>
      <c r="C454" s="520"/>
      <c r="D454" s="520"/>
      <c r="E454" s="520"/>
      <c r="F454" s="67"/>
      <c r="G454" s="21"/>
      <c r="I454" s="5"/>
      <c r="J454" s="5"/>
    </row>
    <row r="455" spans="1:10" s="7" customFormat="1" ht="15.8" customHeight="1">
      <c r="A455" s="5"/>
      <c r="B455" s="5"/>
      <c r="C455" s="520"/>
      <c r="D455" s="520"/>
      <c r="E455" s="520"/>
      <c r="F455" s="67"/>
      <c r="G455" s="21"/>
      <c r="I455" s="5"/>
      <c r="J455" s="5"/>
    </row>
    <row r="456" spans="1:10" s="7" customFormat="1" ht="15.8" customHeight="1">
      <c r="A456" s="5"/>
      <c r="B456" s="5"/>
      <c r="C456" s="520"/>
      <c r="D456" s="520"/>
      <c r="E456" s="520"/>
      <c r="F456" s="67"/>
      <c r="G456" s="21"/>
      <c r="I456" s="5"/>
      <c r="J456" s="5"/>
    </row>
    <row r="457" spans="1:10" s="7" customFormat="1" ht="15.8" customHeight="1">
      <c r="A457" s="5"/>
      <c r="B457" s="5"/>
      <c r="C457" s="520"/>
      <c r="D457" s="520"/>
      <c r="E457" s="520"/>
      <c r="F457" s="67"/>
      <c r="G457" s="21"/>
      <c r="I457" s="5"/>
      <c r="J457" s="5"/>
    </row>
    <row r="458" spans="1:10" s="7" customFormat="1" ht="15.8" customHeight="1">
      <c r="A458" s="5"/>
      <c r="B458" s="5"/>
      <c r="C458" s="520"/>
      <c r="D458" s="520"/>
      <c r="E458" s="520"/>
      <c r="F458" s="67"/>
      <c r="G458" s="21"/>
      <c r="I458" s="5"/>
      <c r="J458" s="5"/>
    </row>
    <row r="459" spans="1:10" s="7" customFormat="1" ht="15.8" customHeight="1">
      <c r="A459" s="5"/>
      <c r="B459" s="5"/>
      <c r="C459" s="520"/>
      <c r="D459" s="520"/>
      <c r="E459" s="520"/>
      <c r="F459" s="67"/>
      <c r="G459" s="21"/>
      <c r="I459" s="5"/>
      <c r="J459" s="5"/>
    </row>
    <row r="460" spans="1:10" s="7" customFormat="1" ht="15.8" customHeight="1">
      <c r="A460" s="5"/>
      <c r="B460" s="5"/>
      <c r="C460" s="520"/>
      <c r="D460" s="520"/>
      <c r="E460" s="520"/>
      <c r="F460" s="67"/>
      <c r="G460" s="21"/>
      <c r="I460" s="5"/>
      <c r="J460" s="5"/>
    </row>
    <row r="461" spans="1:10" s="7" customFormat="1" ht="15.8" customHeight="1">
      <c r="A461" s="5"/>
      <c r="B461" s="5"/>
      <c r="C461" s="520"/>
      <c r="D461" s="520"/>
      <c r="E461" s="520"/>
      <c r="F461" s="67"/>
      <c r="G461" s="21"/>
      <c r="I461" s="5"/>
      <c r="J461" s="5"/>
    </row>
    <row r="462" spans="1:10" s="7" customFormat="1" ht="15.8" customHeight="1">
      <c r="A462" s="5"/>
      <c r="B462" s="5"/>
      <c r="C462" s="520"/>
      <c r="D462" s="520"/>
      <c r="E462" s="520"/>
      <c r="F462" s="67"/>
      <c r="G462" s="21"/>
      <c r="I462" s="5"/>
      <c r="J462" s="5"/>
    </row>
    <row r="463" spans="1:10" s="7" customFormat="1" ht="15.8" customHeight="1">
      <c r="A463" s="5"/>
      <c r="B463" s="5"/>
      <c r="C463" s="520"/>
      <c r="D463" s="520"/>
      <c r="E463" s="520"/>
      <c r="F463" s="67"/>
      <c r="G463" s="21"/>
      <c r="I463" s="5"/>
      <c r="J463" s="5"/>
    </row>
    <row r="464" spans="1:10" s="7" customFormat="1" ht="15.8" customHeight="1">
      <c r="A464" s="5"/>
      <c r="B464" s="5"/>
      <c r="C464" s="520"/>
      <c r="D464" s="520"/>
      <c r="E464" s="520"/>
      <c r="F464" s="67"/>
      <c r="G464" s="21"/>
      <c r="I464" s="5"/>
      <c r="J464" s="5"/>
    </row>
    <row r="465" spans="1:10" s="7" customFormat="1" ht="15.8" customHeight="1">
      <c r="A465" s="5"/>
      <c r="B465" s="5"/>
      <c r="C465" s="520"/>
      <c r="D465" s="520"/>
      <c r="E465" s="520"/>
      <c r="F465" s="67"/>
      <c r="G465" s="21"/>
      <c r="I465" s="5"/>
      <c r="J465" s="5"/>
    </row>
    <row r="466" spans="1:10" s="7" customFormat="1" ht="15.8" customHeight="1">
      <c r="A466" s="5"/>
      <c r="B466" s="5"/>
      <c r="C466" s="520"/>
      <c r="D466" s="520"/>
      <c r="E466" s="520"/>
      <c r="F466" s="67"/>
      <c r="G466" s="21"/>
      <c r="I466" s="5"/>
      <c r="J466" s="5"/>
    </row>
    <row r="467" spans="1:10" s="7" customFormat="1" ht="15.8" customHeight="1">
      <c r="A467" s="5"/>
      <c r="B467" s="5"/>
      <c r="C467" s="520"/>
      <c r="D467" s="520"/>
      <c r="E467" s="520"/>
      <c r="F467" s="67"/>
      <c r="G467" s="21"/>
      <c r="I467" s="5"/>
      <c r="J467" s="5"/>
    </row>
    <row r="468" spans="1:10" s="7" customFormat="1" ht="15.8" customHeight="1">
      <c r="A468" s="5"/>
      <c r="B468" s="5"/>
      <c r="C468" s="520"/>
      <c r="D468" s="520"/>
      <c r="E468" s="520"/>
      <c r="F468" s="67"/>
      <c r="G468" s="21"/>
      <c r="I468" s="5"/>
      <c r="J468" s="5"/>
    </row>
    <row r="469" spans="1:10" s="7" customFormat="1" ht="15.8" customHeight="1">
      <c r="A469" s="5"/>
      <c r="B469" s="5"/>
      <c r="C469" s="520"/>
      <c r="D469" s="520"/>
      <c r="E469" s="520"/>
      <c r="F469" s="67"/>
      <c r="G469" s="21"/>
      <c r="I469" s="5"/>
      <c r="J469" s="5"/>
    </row>
    <row r="470" spans="1:10" s="7" customFormat="1" ht="15.8" customHeight="1">
      <c r="A470" s="5"/>
      <c r="B470" s="5"/>
      <c r="C470" s="520"/>
      <c r="D470" s="520"/>
      <c r="E470" s="520"/>
      <c r="F470" s="67"/>
      <c r="G470" s="21"/>
      <c r="I470" s="5"/>
      <c r="J470" s="5"/>
    </row>
    <row r="471" spans="1:10" s="7" customFormat="1" ht="15.8" customHeight="1">
      <c r="A471" s="5"/>
      <c r="B471" s="5"/>
      <c r="C471" s="520"/>
      <c r="D471" s="520"/>
      <c r="E471" s="520"/>
      <c r="F471" s="67"/>
      <c r="G471" s="21"/>
      <c r="I471" s="5"/>
      <c r="J471" s="5"/>
    </row>
    <row r="472" spans="1:10" s="7" customFormat="1" ht="15.8" customHeight="1">
      <c r="A472" s="5"/>
      <c r="B472" s="5"/>
      <c r="C472" s="520"/>
      <c r="D472" s="520"/>
      <c r="E472" s="520"/>
      <c r="F472" s="67"/>
      <c r="G472" s="21"/>
      <c r="I472" s="5"/>
      <c r="J472" s="5"/>
    </row>
    <row r="473" spans="1:10" s="7" customFormat="1" ht="15.8" customHeight="1">
      <c r="A473" s="5"/>
      <c r="B473" s="5"/>
      <c r="C473" s="520"/>
      <c r="D473" s="520"/>
      <c r="E473" s="520"/>
      <c r="F473" s="67"/>
      <c r="G473" s="21"/>
      <c r="I473" s="5"/>
      <c r="J473" s="5"/>
    </row>
    <row r="474" spans="1:10" s="7" customFormat="1" ht="15.8" customHeight="1">
      <c r="A474" s="5"/>
      <c r="B474" s="5"/>
      <c r="C474" s="520"/>
      <c r="D474" s="520"/>
      <c r="E474" s="520"/>
      <c r="F474" s="67"/>
      <c r="G474" s="21"/>
      <c r="I474" s="5"/>
      <c r="J474" s="5"/>
    </row>
    <row r="475" spans="1:10" s="7" customFormat="1" ht="15.8" customHeight="1">
      <c r="A475" s="5"/>
      <c r="B475" s="5"/>
      <c r="C475" s="520"/>
      <c r="D475" s="520"/>
      <c r="E475" s="520"/>
      <c r="F475" s="67"/>
      <c r="G475" s="21"/>
      <c r="I475" s="5"/>
      <c r="J475" s="5"/>
    </row>
    <row r="476" spans="1:10" s="7" customFormat="1" ht="15.8" customHeight="1">
      <c r="A476" s="5"/>
      <c r="B476" s="5"/>
      <c r="C476" s="520"/>
      <c r="D476" s="520"/>
      <c r="E476" s="520"/>
      <c r="F476" s="67"/>
      <c r="G476" s="21"/>
      <c r="I476" s="5"/>
      <c r="J476" s="5"/>
    </row>
    <row r="477" spans="1:10" s="7" customFormat="1" ht="15.8" customHeight="1">
      <c r="A477" s="5"/>
      <c r="B477" s="5"/>
      <c r="C477" s="520"/>
      <c r="D477" s="520"/>
      <c r="E477" s="520"/>
      <c r="F477" s="67"/>
      <c r="G477" s="21"/>
      <c r="I477" s="5"/>
      <c r="J477" s="5"/>
    </row>
    <row r="478" spans="1:10" s="7" customFormat="1" ht="15.8" customHeight="1">
      <c r="A478" s="5"/>
      <c r="B478" s="5"/>
      <c r="C478" s="520"/>
      <c r="D478" s="520"/>
      <c r="E478" s="520"/>
      <c r="F478" s="67"/>
      <c r="G478" s="21"/>
      <c r="I478" s="5"/>
      <c r="J478" s="5"/>
    </row>
    <row r="479" spans="1:10" s="7" customFormat="1" ht="15.8" customHeight="1">
      <c r="A479" s="5"/>
      <c r="B479" s="5"/>
      <c r="C479" s="520"/>
      <c r="D479" s="520"/>
      <c r="E479" s="520"/>
      <c r="F479" s="67"/>
      <c r="G479" s="21"/>
      <c r="I479" s="5"/>
      <c r="J479" s="5"/>
    </row>
    <row r="480" spans="1:10" s="7" customFormat="1" ht="15.8" customHeight="1">
      <c r="A480" s="5"/>
      <c r="B480" s="5"/>
      <c r="C480" s="520"/>
      <c r="D480" s="520"/>
      <c r="E480" s="520"/>
      <c r="F480" s="67"/>
      <c r="G480" s="21"/>
      <c r="I480" s="5"/>
      <c r="J480" s="5"/>
    </row>
    <row r="481" spans="1:10" s="7" customFormat="1" ht="15.8" customHeight="1">
      <c r="A481" s="5"/>
      <c r="B481" s="5"/>
      <c r="C481" s="520"/>
      <c r="D481" s="520"/>
      <c r="E481" s="520"/>
      <c r="F481" s="67"/>
      <c r="G481" s="21"/>
      <c r="I481" s="5"/>
      <c r="J481" s="5"/>
    </row>
    <row r="482" spans="1:10" s="7" customFormat="1" ht="15.8" customHeight="1">
      <c r="A482" s="5"/>
      <c r="B482" s="5"/>
      <c r="C482" s="520"/>
      <c r="D482" s="520"/>
      <c r="E482" s="520"/>
      <c r="F482" s="67"/>
      <c r="G482" s="21"/>
      <c r="I482" s="5"/>
      <c r="J482" s="5"/>
    </row>
    <row r="483" spans="1:10" s="7" customFormat="1" ht="15.8" customHeight="1">
      <c r="A483" s="5"/>
      <c r="B483" s="5"/>
      <c r="C483" s="520"/>
      <c r="D483" s="520"/>
      <c r="E483" s="520"/>
      <c r="F483" s="67"/>
      <c r="G483" s="21"/>
      <c r="I483" s="5"/>
      <c r="J483" s="5"/>
    </row>
    <row r="484" spans="1:10" s="7" customFormat="1" ht="15.8" customHeight="1">
      <c r="A484" s="5"/>
      <c r="B484" s="5"/>
      <c r="C484" s="520"/>
      <c r="D484" s="520"/>
      <c r="E484" s="520"/>
      <c r="F484" s="67"/>
      <c r="G484" s="21"/>
      <c r="I484" s="5"/>
      <c r="J484" s="5"/>
    </row>
    <row r="485" spans="1:10" s="7" customFormat="1" ht="15.8" customHeight="1">
      <c r="A485" s="5"/>
      <c r="B485" s="5"/>
      <c r="C485" s="520"/>
      <c r="D485" s="520"/>
      <c r="E485" s="520"/>
      <c r="F485" s="67"/>
      <c r="G485" s="21"/>
      <c r="I485" s="5"/>
      <c r="J485" s="5"/>
    </row>
    <row r="486" spans="1:10" s="7" customFormat="1" ht="15.8" customHeight="1">
      <c r="A486" s="5"/>
      <c r="B486" s="5"/>
      <c r="C486" s="520"/>
      <c r="D486" s="520"/>
      <c r="E486" s="520"/>
      <c r="F486" s="67"/>
      <c r="G486" s="21"/>
      <c r="I486" s="5"/>
      <c r="J486" s="5"/>
    </row>
    <row r="487" spans="1:10" s="7" customFormat="1" ht="15.8" customHeight="1">
      <c r="A487" s="5"/>
      <c r="B487" s="5"/>
      <c r="C487" s="520"/>
      <c r="D487" s="520"/>
      <c r="E487" s="520"/>
      <c r="F487" s="67"/>
      <c r="G487" s="21"/>
      <c r="I487" s="5"/>
      <c r="J487" s="5"/>
    </row>
    <row r="488" spans="1:10" s="7" customFormat="1" ht="15.8" customHeight="1">
      <c r="A488" s="5"/>
      <c r="B488" s="5"/>
      <c r="C488" s="520"/>
      <c r="D488" s="520"/>
      <c r="E488" s="520"/>
      <c r="F488" s="67"/>
      <c r="G488" s="21"/>
      <c r="I488" s="5"/>
      <c r="J488" s="5"/>
    </row>
    <row r="489" spans="1:10" s="7" customFormat="1" ht="15.8" customHeight="1">
      <c r="A489" s="5"/>
      <c r="B489" s="5"/>
      <c r="C489" s="520"/>
      <c r="D489" s="520"/>
      <c r="E489" s="520"/>
      <c r="F489" s="67"/>
      <c r="G489" s="21"/>
      <c r="I489" s="5"/>
      <c r="J489" s="5"/>
    </row>
    <row r="490" spans="1:10" s="7" customFormat="1" ht="15.8" customHeight="1">
      <c r="A490" s="5"/>
      <c r="B490" s="5"/>
      <c r="C490" s="520"/>
      <c r="D490" s="520"/>
      <c r="E490" s="520"/>
      <c r="F490" s="67"/>
      <c r="G490" s="21"/>
      <c r="I490" s="5"/>
      <c r="J490" s="5"/>
    </row>
    <row r="491" spans="1:10" s="7" customFormat="1" ht="15.8" customHeight="1">
      <c r="A491" s="5"/>
      <c r="B491" s="5"/>
      <c r="C491" s="520"/>
      <c r="D491" s="520"/>
      <c r="E491" s="520"/>
      <c r="F491" s="67"/>
      <c r="G491" s="21"/>
      <c r="I491" s="5"/>
      <c r="J491" s="5"/>
    </row>
    <row r="492" spans="1:10" s="7" customFormat="1" ht="15.8" customHeight="1">
      <c r="A492" s="5"/>
      <c r="B492" s="5"/>
      <c r="C492" s="520"/>
      <c r="D492" s="520"/>
      <c r="E492" s="520"/>
      <c r="F492" s="67"/>
      <c r="G492" s="21"/>
      <c r="I492" s="5"/>
      <c r="J492" s="5"/>
    </row>
    <row r="493" spans="1:10" s="7" customFormat="1" ht="15.8" customHeight="1">
      <c r="A493" s="5"/>
      <c r="B493" s="5"/>
      <c r="C493" s="520"/>
      <c r="D493" s="520"/>
      <c r="E493" s="520"/>
      <c r="F493" s="67"/>
      <c r="G493" s="21"/>
      <c r="I493" s="5"/>
      <c r="J493" s="5"/>
    </row>
    <row r="494" spans="1:10" s="7" customFormat="1" ht="15.8" customHeight="1">
      <c r="A494" s="5"/>
      <c r="B494" s="5"/>
      <c r="C494" s="520"/>
      <c r="D494" s="520"/>
      <c r="E494" s="520"/>
      <c r="F494" s="67"/>
      <c r="G494" s="21"/>
      <c r="I494" s="5"/>
      <c r="J494" s="5"/>
    </row>
    <row r="495" spans="1:10" s="7" customFormat="1" ht="15.8" customHeight="1">
      <c r="A495" s="5"/>
      <c r="B495" s="5"/>
      <c r="C495" s="520"/>
      <c r="D495" s="520"/>
      <c r="E495" s="520"/>
      <c r="F495" s="67"/>
      <c r="G495" s="21"/>
      <c r="I495" s="5"/>
      <c r="J495" s="5"/>
    </row>
    <row r="496" spans="1:10" s="7" customFormat="1" ht="15.8" customHeight="1">
      <c r="A496" s="5"/>
      <c r="B496" s="5"/>
      <c r="C496" s="520"/>
      <c r="D496" s="520"/>
      <c r="E496" s="520"/>
      <c r="F496" s="67"/>
      <c r="G496" s="21"/>
      <c r="I496" s="5"/>
      <c r="J496" s="5"/>
    </row>
    <row r="497" spans="1:10" s="7" customFormat="1" ht="15.8" customHeight="1">
      <c r="A497" s="5"/>
      <c r="B497" s="5"/>
      <c r="C497" s="520"/>
      <c r="D497" s="520"/>
      <c r="E497" s="520"/>
      <c r="F497" s="67"/>
      <c r="G497" s="21"/>
      <c r="I497" s="5"/>
      <c r="J497" s="5"/>
    </row>
    <row r="498" spans="1:10" s="7" customFormat="1" ht="15.8" customHeight="1">
      <c r="A498" s="5"/>
      <c r="B498" s="5"/>
      <c r="C498" s="520"/>
      <c r="D498" s="520"/>
      <c r="E498" s="520"/>
      <c r="F498" s="67"/>
      <c r="G498" s="21"/>
      <c r="I498" s="5"/>
      <c r="J498" s="5"/>
    </row>
    <row r="499" spans="1:10" s="7" customFormat="1" ht="15.8" customHeight="1">
      <c r="A499" s="5"/>
      <c r="B499" s="5"/>
      <c r="C499" s="520"/>
      <c r="D499" s="520"/>
      <c r="E499" s="520"/>
      <c r="F499" s="67"/>
      <c r="G499" s="21"/>
      <c r="I499" s="5"/>
      <c r="J499" s="5"/>
    </row>
    <row r="500" spans="1:10" s="7" customFormat="1" ht="15.8" customHeight="1">
      <c r="A500" s="5"/>
      <c r="B500" s="5"/>
      <c r="C500" s="520"/>
      <c r="D500" s="520"/>
      <c r="E500" s="520"/>
      <c r="F500" s="67"/>
      <c r="G500" s="21"/>
      <c r="I500" s="5"/>
      <c r="J500" s="5"/>
    </row>
    <row r="501" spans="1:10" s="7" customFormat="1" ht="15.8" customHeight="1">
      <c r="A501" s="5"/>
      <c r="B501" s="5"/>
      <c r="C501" s="520"/>
      <c r="D501" s="520"/>
      <c r="E501" s="520"/>
      <c r="F501" s="67"/>
      <c r="G501" s="21"/>
      <c r="I501" s="5"/>
      <c r="J501" s="5"/>
    </row>
    <row r="502" spans="1:10" s="7" customFormat="1" ht="15.8" customHeight="1">
      <c r="A502" s="5"/>
      <c r="B502" s="5"/>
      <c r="C502" s="520"/>
      <c r="D502" s="520"/>
      <c r="E502" s="520"/>
      <c r="F502" s="67"/>
      <c r="G502" s="21"/>
      <c r="I502" s="5"/>
      <c r="J502" s="5"/>
    </row>
    <row r="503" spans="1:10" s="7" customFormat="1" ht="15.8" customHeight="1">
      <c r="A503" s="5"/>
      <c r="B503" s="5"/>
      <c r="C503" s="520"/>
      <c r="D503" s="520"/>
      <c r="E503" s="520"/>
      <c r="F503" s="67"/>
      <c r="G503" s="21"/>
      <c r="I503" s="5"/>
      <c r="J503" s="5"/>
    </row>
    <row r="504" spans="1:10" s="7" customFormat="1" ht="15.8" customHeight="1">
      <c r="A504" s="5"/>
      <c r="B504" s="5"/>
      <c r="C504" s="520"/>
      <c r="D504" s="520"/>
      <c r="E504" s="520"/>
      <c r="F504" s="67"/>
      <c r="G504" s="21"/>
      <c r="I504" s="5"/>
      <c r="J504" s="5"/>
    </row>
    <row r="505" spans="1:10" s="7" customFormat="1" ht="15.8" customHeight="1">
      <c r="A505" s="5"/>
      <c r="B505" s="5"/>
      <c r="C505" s="520"/>
      <c r="D505" s="520"/>
      <c r="E505" s="520"/>
      <c r="F505" s="67"/>
      <c r="G505" s="21"/>
      <c r="I505" s="5"/>
      <c r="J505" s="5"/>
    </row>
    <row r="506" spans="1:10" s="7" customFormat="1" ht="15.8" customHeight="1">
      <c r="A506" s="5"/>
      <c r="B506" s="5"/>
      <c r="C506" s="520"/>
      <c r="D506" s="520"/>
      <c r="E506" s="520"/>
      <c r="F506" s="67"/>
      <c r="G506" s="21"/>
      <c r="I506" s="5"/>
      <c r="J506" s="5"/>
    </row>
    <row r="507" spans="1:10" s="7" customFormat="1" ht="15.8" customHeight="1">
      <c r="A507" s="5"/>
      <c r="B507" s="5"/>
      <c r="C507" s="520"/>
      <c r="D507" s="520"/>
      <c r="E507" s="520"/>
      <c r="F507" s="67"/>
      <c r="G507" s="21"/>
      <c r="I507" s="5"/>
      <c r="J507" s="5"/>
    </row>
    <row r="508" spans="1:10" s="7" customFormat="1" ht="15.8" customHeight="1">
      <c r="A508" s="5"/>
      <c r="B508" s="5"/>
      <c r="C508" s="520"/>
      <c r="D508" s="520"/>
      <c r="E508" s="520"/>
      <c r="F508" s="67"/>
      <c r="G508" s="21"/>
      <c r="I508" s="5"/>
      <c r="J508" s="5"/>
    </row>
    <row r="509" spans="1:10" s="7" customFormat="1" ht="15.8" customHeight="1">
      <c r="A509" s="5"/>
      <c r="B509" s="5"/>
      <c r="C509" s="520"/>
      <c r="D509" s="520"/>
      <c r="E509" s="520"/>
      <c r="F509" s="67"/>
      <c r="G509" s="21"/>
      <c r="I509" s="5"/>
      <c r="J509" s="5"/>
    </row>
    <row r="510" spans="1:10" s="7" customFormat="1" ht="15.8" customHeight="1">
      <c r="A510" s="5"/>
      <c r="B510" s="5"/>
      <c r="C510" s="520"/>
      <c r="D510" s="520"/>
      <c r="E510" s="520"/>
      <c r="F510" s="67"/>
      <c r="G510" s="21"/>
      <c r="I510" s="5"/>
      <c r="J510" s="5"/>
    </row>
    <row r="511" spans="1:10" s="7" customFormat="1" ht="15.8" customHeight="1">
      <c r="A511" s="5"/>
      <c r="B511" s="5"/>
      <c r="C511" s="520"/>
      <c r="D511" s="520"/>
      <c r="E511" s="520"/>
      <c r="F511" s="67"/>
      <c r="G511" s="21"/>
      <c r="I511" s="5"/>
      <c r="J511" s="5"/>
    </row>
    <row r="512" spans="1:10" s="7" customFormat="1" ht="15.8" customHeight="1">
      <c r="A512" s="5"/>
      <c r="B512" s="5"/>
      <c r="C512" s="520"/>
      <c r="D512" s="520"/>
      <c r="E512" s="520"/>
      <c r="F512" s="67"/>
      <c r="G512" s="21"/>
      <c r="I512" s="5"/>
      <c r="J512" s="5"/>
    </row>
    <row r="513" spans="1:10" s="7" customFormat="1" ht="15.8" customHeight="1">
      <c r="A513" s="5"/>
      <c r="B513" s="5"/>
      <c r="C513" s="520"/>
      <c r="D513" s="520"/>
      <c r="E513" s="520"/>
      <c r="F513" s="67"/>
      <c r="G513" s="21"/>
      <c r="I513" s="5"/>
      <c r="J513" s="5"/>
    </row>
    <row r="514" spans="1:10" s="7" customFormat="1" ht="15.8" customHeight="1">
      <c r="A514" s="5"/>
      <c r="B514" s="5"/>
      <c r="C514" s="520"/>
      <c r="D514" s="520"/>
      <c r="E514" s="520"/>
      <c r="F514" s="67"/>
      <c r="G514" s="21"/>
      <c r="I514" s="5"/>
      <c r="J514" s="5"/>
    </row>
    <row r="515" spans="1:10" s="7" customFormat="1" ht="15.8" customHeight="1">
      <c r="A515" s="5"/>
      <c r="B515" s="5"/>
      <c r="C515" s="520"/>
      <c r="D515" s="520"/>
      <c r="E515" s="520"/>
      <c r="F515" s="67"/>
      <c r="G515" s="21"/>
      <c r="I515" s="5"/>
      <c r="J515" s="5"/>
    </row>
    <row r="516" spans="1:10" s="7" customFormat="1" ht="15.8" customHeight="1">
      <c r="A516" s="5"/>
      <c r="B516" s="5"/>
      <c r="C516" s="520"/>
      <c r="D516" s="520"/>
      <c r="E516" s="520"/>
      <c r="F516" s="67"/>
      <c r="G516" s="21"/>
      <c r="I516" s="5"/>
      <c r="J516" s="5"/>
    </row>
    <row r="517" spans="1:10" s="7" customFormat="1" ht="15.8" customHeight="1">
      <c r="A517" s="5"/>
      <c r="B517" s="5"/>
      <c r="C517" s="520"/>
      <c r="D517" s="520"/>
      <c r="E517" s="520"/>
      <c r="F517" s="67"/>
      <c r="G517" s="21"/>
      <c r="I517" s="5"/>
      <c r="J517" s="5"/>
    </row>
    <row r="518" spans="1:10" s="7" customFormat="1" ht="15.8" customHeight="1">
      <c r="A518" s="5"/>
      <c r="B518" s="5"/>
      <c r="C518" s="520"/>
      <c r="D518" s="520"/>
      <c r="E518" s="520"/>
      <c r="F518" s="67"/>
      <c r="G518" s="21"/>
      <c r="I518" s="5"/>
      <c r="J518" s="5"/>
    </row>
    <row r="519" spans="1:10" s="7" customFormat="1" ht="15.8" customHeight="1">
      <c r="A519" s="5"/>
      <c r="B519" s="5"/>
      <c r="C519" s="520"/>
      <c r="D519" s="520"/>
      <c r="E519" s="520"/>
      <c r="F519" s="67"/>
      <c r="G519" s="21"/>
      <c r="I519" s="5"/>
      <c r="J519" s="5"/>
    </row>
    <row r="520" spans="1:10" s="7" customFormat="1" ht="15.8" customHeight="1">
      <c r="A520" s="5"/>
      <c r="B520" s="5"/>
      <c r="C520" s="520"/>
      <c r="D520" s="520"/>
      <c r="E520" s="520"/>
      <c r="F520" s="67"/>
      <c r="G520" s="21"/>
      <c r="I520" s="5"/>
      <c r="J520" s="5"/>
    </row>
    <row r="521" spans="1:10" s="7" customFormat="1" ht="15.8" customHeight="1">
      <c r="A521" s="5"/>
      <c r="B521" s="5"/>
      <c r="C521" s="520"/>
      <c r="D521" s="520"/>
      <c r="E521" s="520"/>
      <c r="F521" s="67"/>
      <c r="G521" s="21"/>
      <c r="I521" s="5"/>
      <c r="J521" s="5"/>
    </row>
    <row r="522" spans="1:10" s="7" customFormat="1" ht="15.8" customHeight="1">
      <c r="A522" s="5"/>
      <c r="B522" s="5"/>
      <c r="C522" s="520"/>
      <c r="D522" s="520"/>
      <c r="E522" s="520"/>
      <c r="F522" s="67"/>
      <c r="G522" s="21"/>
      <c r="I522" s="5"/>
      <c r="J522" s="5"/>
    </row>
    <row r="523" spans="1:10" s="7" customFormat="1" ht="15.8" customHeight="1">
      <c r="A523" s="5"/>
      <c r="B523" s="5"/>
      <c r="C523" s="520"/>
      <c r="D523" s="520"/>
      <c r="E523" s="520"/>
      <c r="F523" s="67"/>
      <c r="G523" s="21"/>
      <c r="I523" s="5"/>
      <c r="J523" s="5"/>
    </row>
    <row r="524" spans="1:10" s="7" customFormat="1" ht="15.8" customHeight="1">
      <c r="A524" s="5"/>
      <c r="B524" s="5"/>
      <c r="C524" s="520"/>
      <c r="D524" s="520"/>
      <c r="E524" s="520"/>
      <c r="F524" s="67"/>
      <c r="G524" s="21"/>
      <c r="I524" s="5"/>
      <c r="J524" s="5"/>
    </row>
    <row r="525" spans="1:10" s="7" customFormat="1" ht="15.8" customHeight="1">
      <c r="A525" s="5"/>
      <c r="B525" s="5"/>
      <c r="C525" s="520"/>
      <c r="D525" s="520"/>
      <c r="E525" s="520"/>
      <c r="F525" s="67"/>
      <c r="G525" s="21"/>
      <c r="I525" s="5"/>
      <c r="J525" s="5"/>
    </row>
    <row r="526" spans="1:10" s="7" customFormat="1" ht="15.8" customHeight="1">
      <c r="A526" s="5"/>
      <c r="B526" s="5"/>
      <c r="C526" s="520"/>
      <c r="D526" s="520"/>
      <c r="E526" s="520"/>
      <c r="F526" s="67"/>
      <c r="G526" s="21"/>
      <c r="I526" s="5"/>
      <c r="J526" s="5"/>
    </row>
    <row r="527" spans="1:10" s="7" customFormat="1" ht="15.8" customHeight="1">
      <c r="A527" s="5"/>
      <c r="B527" s="5"/>
      <c r="C527" s="520"/>
      <c r="D527" s="520"/>
      <c r="E527" s="520"/>
      <c r="F527" s="67"/>
      <c r="G527" s="21"/>
      <c r="I527" s="5"/>
      <c r="J527" s="5"/>
    </row>
    <row r="528" spans="1:10" s="7" customFormat="1" ht="15.8" customHeight="1">
      <c r="A528" s="5"/>
      <c r="B528" s="5"/>
      <c r="C528" s="520"/>
      <c r="D528" s="520"/>
      <c r="E528" s="520"/>
      <c r="F528" s="67"/>
      <c r="G528" s="21"/>
      <c r="I528" s="5"/>
      <c r="J528" s="5"/>
    </row>
    <row r="529" spans="1:10" s="7" customFormat="1" ht="15.8" customHeight="1">
      <c r="A529" s="5"/>
      <c r="B529" s="5"/>
      <c r="C529" s="520"/>
      <c r="D529" s="520"/>
      <c r="E529" s="520"/>
      <c r="F529" s="67"/>
      <c r="G529" s="21"/>
      <c r="I529" s="5"/>
      <c r="J529" s="5"/>
    </row>
    <row r="530" spans="1:10" s="7" customFormat="1" ht="15.8" customHeight="1">
      <c r="A530" s="5"/>
      <c r="B530" s="5"/>
      <c r="C530" s="520"/>
      <c r="D530" s="520"/>
      <c r="E530" s="520"/>
      <c r="F530" s="67"/>
      <c r="G530" s="21"/>
      <c r="I530" s="5"/>
      <c r="J530" s="5"/>
    </row>
    <row r="531" spans="1:10" s="7" customFormat="1" ht="15.8" customHeight="1">
      <c r="A531" s="5"/>
      <c r="B531" s="5"/>
      <c r="C531" s="520"/>
      <c r="D531" s="520"/>
      <c r="E531" s="520"/>
      <c r="F531" s="67"/>
      <c r="G531" s="21"/>
      <c r="I531" s="5"/>
      <c r="J531" s="5"/>
    </row>
    <row r="532" spans="1:10" s="7" customFormat="1" ht="15.8" customHeight="1">
      <c r="A532" s="5"/>
      <c r="B532" s="5"/>
      <c r="C532" s="520"/>
      <c r="D532" s="520"/>
      <c r="E532" s="520"/>
      <c r="F532" s="67"/>
      <c r="G532" s="21"/>
      <c r="I532" s="5"/>
      <c r="J532" s="5"/>
    </row>
    <row r="533" spans="1:10" s="7" customFormat="1" ht="15.8" customHeight="1">
      <c r="A533" s="5"/>
      <c r="B533" s="5"/>
      <c r="C533" s="520"/>
      <c r="D533" s="520"/>
      <c r="E533" s="520"/>
      <c r="F533" s="67"/>
      <c r="G533" s="21"/>
      <c r="I533" s="5"/>
      <c r="J533" s="5"/>
    </row>
    <row r="534" spans="1:10" s="7" customFormat="1" ht="15.8" customHeight="1">
      <c r="A534" s="5"/>
      <c r="B534" s="5"/>
      <c r="C534" s="520"/>
      <c r="D534" s="520"/>
      <c r="E534" s="520"/>
      <c r="F534" s="67"/>
      <c r="G534" s="21"/>
      <c r="I534" s="5"/>
      <c r="J534" s="5"/>
    </row>
    <row r="535" spans="1:10" s="7" customFormat="1" ht="15.8" customHeight="1">
      <c r="A535" s="5"/>
      <c r="B535" s="5"/>
      <c r="C535" s="520"/>
      <c r="D535" s="520"/>
      <c r="E535" s="520"/>
      <c r="F535" s="67"/>
      <c r="G535" s="21"/>
      <c r="I535" s="5"/>
      <c r="J535" s="5"/>
    </row>
    <row r="536" spans="1:10" s="7" customFormat="1" ht="15.8" customHeight="1">
      <c r="A536" s="5"/>
      <c r="B536" s="5"/>
      <c r="C536" s="520"/>
      <c r="D536" s="520"/>
      <c r="E536" s="520"/>
      <c r="F536" s="67"/>
      <c r="G536" s="21"/>
      <c r="I536" s="5"/>
      <c r="J536" s="5"/>
    </row>
    <row r="537" spans="1:10" s="7" customFormat="1" ht="15.8" customHeight="1">
      <c r="A537" s="5"/>
      <c r="B537" s="5"/>
      <c r="C537" s="520"/>
      <c r="D537" s="520"/>
      <c r="E537" s="520"/>
      <c r="F537" s="67"/>
      <c r="G537" s="21"/>
      <c r="I537" s="5"/>
      <c r="J537" s="5"/>
    </row>
    <row r="538" spans="1:10" s="7" customFormat="1" ht="15.8" customHeight="1">
      <c r="A538" s="5"/>
      <c r="B538" s="5"/>
      <c r="C538" s="520"/>
      <c r="D538" s="520"/>
      <c r="E538" s="520"/>
      <c r="F538" s="67"/>
      <c r="G538" s="21"/>
      <c r="I538" s="5"/>
      <c r="J538" s="5"/>
    </row>
    <row r="539" spans="1:10" s="7" customFormat="1" ht="15.8" customHeight="1">
      <c r="A539" s="5"/>
      <c r="B539" s="5"/>
      <c r="C539" s="520"/>
      <c r="D539" s="520"/>
      <c r="E539" s="520"/>
      <c r="F539" s="67"/>
      <c r="G539" s="21"/>
      <c r="I539" s="5"/>
      <c r="J539" s="5"/>
    </row>
    <row r="540" spans="1:10" s="7" customFormat="1" ht="15.8" customHeight="1">
      <c r="A540" s="5"/>
      <c r="B540" s="5"/>
      <c r="C540" s="520"/>
      <c r="D540" s="520"/>
      <c r="E540" s="520"/>
      <c r="F540" s="67"/>
      <c r="G540" s="21"/>
      <c r="I540" s="5"/>
      <c r="J540" s="5"/>
    </row>
    <row r="541" spans="1:10" s="7" customFormat="1" ht="15.8" customHeight="1">
      <c r="A541" s="5"/>
      <c r="B541" s="5"/>
      <c r="C541" s="520"/>
      <c r="D541" s="520"/>
      <c r="E541" s="520"/>
      <c r="F541" s="67"/>
      <c r="G541" s="21"/>
      <c r="I541" s="5"/>
      <c r="J541" s="5"/>
    </row>
    <row r="542" spans="1:10" s="7" customFormat="1" ht="15.8" customHeight="1">
      <c r="A542" s="5"/>
      <c r="B542" s="5"/>
      <c r="C542" s="520"/>
      <c r="D542" s="520"/>
      <c r="E542" s="520"/>
      <c r="F542" s="67"/>
      <c r="G542" s="21"/>
      <c r="I542" s="5"/>
      <c r="J542" s="5"/>
    </row>
    <row r="543" spans="1:10" s="7" customFormat="1" ht="15.8" customHeight="1">
      <c r="A543" s="5"/>
      <c r="B543" s="5"/>
      <c r="C543" s="520"/>
      <c r="D543" s="520"/>
      <c r="E543" s="520"/>
      <c r="F543" s="67"/>
      <c r="G543" s="21"/>
      <c r="I543" s="5"/>
      <c r="J543" s="5"/>
    </row>
    <row r="544" spans="1:10" s="7" customFormat="1" ht="15.8" customHeight="1">
      <c r="A544" s="5"/>
      <c r="B544" s="5"/>
      <c r="C544" s="520"/>
      <c r="D544" s="520"/>
      <c r="E544" s="520"/>
      <c r="F544" s="67"/>
      <c r="G544" s="21"/>
      <c r="I544" s="5"/>
      <c r="J544" s="5"/>
    </row>
    <row r="545" spans="1:10" s="7" customFormat="1" ht="15.8" customHeight="1">
      <c r="A545" s="5"/>
      <c r="B545" s="5"/>
      <c r="C545" s="520"/>
      <c r="D545" s="520"/>
      <c r="E545" s="520"/>
      <c r="F545" s="67"/>
      <c r="G545" s="21"/>
      <c r="I545" s="5"/>
      <c r="J545" s="5"/>
    </row>
    <row r="546" spans="1:10" s="7" customFormat="1" ht="15.8" customHeight="1">
      <c r="A546" s="5"/>
      <c r="B546" s="5"/>
      <c r="C546" s="520"/>
      <c r="D546" s="520"/>
      <c r="E546" s="520"/>
      <c r="F546" s="67"/>
      <c r="G546" s="21"/>
      <c r="I546" s="5"/>
      <c r="J546" s="5"/>
    </row>
    <row r="547" spans="1:10" s="7" customFormat="1" ht="15.8" customHeight="1">
      <c r="A547" s="5"/>
      <c r="B547" s="5"/>
      <c r="C547" s="520"/>
      <c r="D547" s="520"/>
      <c r="E547" s="520"/>
      <c r="F547" s="67"/>
      <c r="G547" s="21"/>
      <c r="I547" s="5"/>
      <c r="J547" s="5"/>
    </row>
    <row r="548" spans="1:10" s="7" customFormat="1" ht="15.8" customHeight="1">
      <c r="A548" s="5"/>
      <c r="B548" s="5"/>
      <c r="C548" s="520"/>
      <c r="D548" s="520"/>
      <c r="E548" s="520"/>
      <c r="F548" s="67"/>
      <c r="G548" s="21"/>
      <c r="I548" s="5"/>
      <c r="J548" s="5"/>
    </row>
    <row r="549" spans="1:10" s="7" customFormat="1" ht="15.8" customHeight="1">
      <c r="A549" s="5"/>
      <c r="B549" s="5"/>
      <c r="C549" s="520"/>
      <c r="D549" s="520"/>
      <c r="E549" s="520"/>
      <c r="F549" s="67"/>
      <c r="G549" s="21"/>
      <c r="I549" s="5"/>
      <c r="J549" s="5"/>
    </row>
    <row r="550" spans="1:10" s="7" customFormat="1" ht="15.8" customHeight="1">
      <c r="A550" s="5"/>
      <c r="B550" s="5"/>
      <c r="C550" s="520"/>
      <c r="D550" s="520"/>
      <c r="E550" s="520"/>
      <c r="F550" s="67"/>
      <c r="G550" s="21"/>
      <c r="I550" s="5"/>
      <c r="J550" s="5"/>
    </row>
    <row r="551" spans="1:10" s="7" customFormat="1" ht="15.8" customHeight="1">
      <c r="A551" s="5"/>
      <c r="B551" s="5"/>
      <c r="C551" s="520"/>
      <c r="D551" s="520"/>
      <c r="E551" s="520"/>
      <c r="F551" s="67"/>
      <c r="G551" s="21"/>
      <c r="I551" s="5"/>
      <c r="J551" s="5"/>
    </row>
    <row r="552" spans="1:10" s="7" customFormat="1" ht="15.8" customHeight="1">
      <c r="A552" s="5"/>
      <c r="B552" s="5"/>
      <c r="C552" s="520"/>
      <c r="D552" s="520"/>
      <c r="E552" s="520"/>
      <c r="F552" s="67"/>
      <c r="G552" s="21"/>
      <c r="I552" s="5"/>
      <c r="J552" s="5"/>
    </row>
    <row r="553" spans="1:10" s="7" customFormat="1" ht="15.8" customHeight="1">
      <c r="A553" s="5"/>
      <c r="B553" s="5"/>
      <c r="C553" s="520"/>
      <c r="D553" s="520"/>
      <c r="E553" s="520"/>
      <c r="F553" s="67"/>
      <c r="G553" s="21"/>
      <c r="I553" s="5"/>
      <c r="J553" s="5"/>
    </row>
    <row r="554" spans="1:10" s="7" customFormat="1" ht="15.8" customHeight="1">
      <c r="A554" s="5"/>
      <c r="B554" s="5"/>
      <c r="C554" s="520"/>
      <c r="D554" s="520"/>
      <c r="E554" s="520"/>
      <c r="F554" s="67"/>
      <c r="G554" s="21"/>
      <c r="I554" s="5"/>
      <c r="J554" s="5"/>
    </row>
    <row r="555" spans="1:10" s="7" customFormat="1" ht="15.8" customHeight="1">
      <c r="A555" s="5"/>
      <c r="B555" s="5"/>
      <c r="C555" s="520"/>
      <c r="D555" s="520"/>
      <c r="E555" s="520"/>
      <c r="F555" s="67"/>
      <c r="G555" s="21"/>
      <c r="I555" s="5"/>
      <c r="J555" s="5"/>
    </row>
    <row r="556" spans="1:10" s="7" customFormat="1" ht="15.8" customHeight="1">
      <c r="A556" s="5"/>
      <c r="B556" s="5"/>
      <c r="C556" s="520"/>
      <c r="D556" s="520"/>
      <c r="E556" s="520"/>
      <c r="F556" s="67"/>
      <c r="G556" s="21"/>
      <c r="I556" s="5"/>
      <c r="J556" s="5"/>
    </row>
    <row r="557" spans="1:10" s="7" customFormat="1" ht="15.8" customHeight="1">
      <c r="A557" s="5"/>
      <c r="B557" s="5"/>
      <c r="C557" s="520"/>
      <c r="D557" s="520"/>
      <c r="E557" s="520"/>
      <c r="F557" s="67"/>
      <c r="G557" s="21"/>
      <c r="I557" s="5"/>
      <c r="J557" s="5"/>
    </row>
    <row r="558" spans="1:10" s="7" customFormat="1" ht="15.8" customHeight="1">
      <c r="A558" s="5"/>
      <c r="B558" s="5"/>
      <c r="C558" s="520"/>
      <c r="D558" s="520"/>
      <c r="E558" s="520"/>
      <c r="F558" s="67"/>
      <c r="G558" s="21"/>
      <c r="I558" s="5"/>
      <c r="J558" s="5"/>
    </row>
    <row r="559" spans="1:10" s="7" customFormat="1" ht="15.8" customHeight="1">
      <c r="A559" s="5"/>
      <c r="B559" s="5"/>
      <c r="C559" s="520"/>
      <c r="D559" s="520"/>
      <c r="E559" s="520"/>
      <c r="F559" s="67"/>
      <c r="G559" s="21"/>
      <c r="I559" s="5"/>
      <c r="J559" s="5"/>
    </row>
    <row r="560" spans="1:10" s="7" customFormat="1" ht="15.8" customHeight="1">
      <c r="A560" s="5"/>
      <c r="B560" s="5"/>
      <c r="C560" s="520"/>
      <c r="D560" s="520"/>
      <c r="E560" s="520"/>
      <c r="F560" s="67"/>
      <c r="G560" s="21"/>
      <c r="I560" s="5"/>
      <c r="J560" s="5"/>
    </row>
    <row r="561" spans="1:10" s="7" customFormat="1" ht="15.8" customHeight="1">
      <c r="A561" s="5"/>
      <c r="B561" s="5"/>
      <c r="C561" s="520"/>
      <c r="D561" s="520"/>
      <c r="E561" s="520"/>
      <c r="F561" s="67"/>
      <c r="G561" s="21"/>
      <c r="I561" s="5"/>
      <c r="J561" s="5"/>
    </row>
    <row r="562" spans="1:10" s="7" customFormat="1" ht="15.8" customHeight="1">
      <c r="A562" s="5"/>
      <c r="B562" s="5"/>
      <c r="C562" s="520"/>
      <c r="D562" s="520"/>
      <c r="E562" s="520"/>
      <c r="F562" s="67"/>
      <c r="G562" s="21"/>
      <c r="I562" s="5"/>
      <c r="J562" s="5"/>
    </row>
    <row r="563" spans="1:10" s="7" customFormat="1" ht="15.8" customHeight="1">
      <c r="A563" s="5"/>
      <c r="B563" s="5"/>
      <c r="C563" s="520"/>
      <c r="D563" s="520"/>
      <c r="E563" s="520"/>
      <c r="F563" s="67"/>
      <c r="G563" s="21"/>
      <c r="I563" s="5"/>
      <c r="J563" s="5"/>
    </row>
    <row r="564" spans="1:10" s="7" customFormat="1" ht="13.6">
      <c r="A564" s="5"/>
      <c r="B564" s="5"/>
      <c r="C564" s="520"/>
      <c r="D564" s="520"/>
      <c r="E564" s="520"/>
      <c r="F564" s="69"/>
      <c r="G564" s="26"/>
      <c r="I564" s="5"/>
      <c r="J564" s="5"/>
    </row>
    <row r="565" spans="1:10" s="7" customFormat="1" ht="13.6">
      <c r="A565" s="5"/>
      <c r="B565" s="5"/>
      <c r="C565" s="520"/>
      <c r="D565" s="520"/>
      <c r="E565" s="520"/>
      <c r="F565" s="69"/>
      <c r="G565" s="26"/>
      <c r="I565" s="5"/>
      <c r="J565" s="5"/>
    </row>
    <row r="566" spans="1:10" s="7" customFormat="1" ht="13.6">
      <c r="A566" s="5"/>
      <c r="B566" s="5"/>
      <c r="C566" s="520"/>
      <c r="D566" s="520"/>
      <c r="E566" s="520"/>
      <c r="F566" s="69"/>
      <c r="G566" s="26"/>
      <c r="I566" s="5"/>
      <c r="J566" s="5"/>
    </row>
    <row r="567" spans="1:10" s="7" customFormat="1" ht="13.6">
      <c r="A567" s="5"/>
      <c r="B567" s="5"/>
      <c r="C567" s="520"/>
      <c r="D567" s="520"/>
      <c r="E567" s="520"/>
      <c r="F567" s="69"/>
      <c r="G567" s="26"/>
      <c r="I567" s="5"/>
      <c r="J567" s="5"/>
    </row>
    <row r="568" spans="1:10" s="7" customFormat="1" ht="13.6">
      <c r="A568" s="5"/>
      <c r="B568" s="5"/>
      <c r="C568" s="520"/>
      <c r="D568" s="520"/>
      <c r="E568" s="520"/>
      <c r="F568" s="69"/>
      <c r="G568" s="26"/>
      <c r="I568" s="5"/>
      <c r="J568" s="5"/>
    </row>
    <row r="569" spans="1:10" s="7" customFormat="1" ht="13.6">
      <c r="A569" s="5"/>
      <c r="B569" s="5"/>
      <c r="C569" s="520"/>
      <c r="D569" s="520"/>
      <c r="E569" s="520"/>
      <c r="F569" s="69"/>
      <c r="G569" s="26"/>
      <c r="I569" s="5"/>
      <c r="J569" s="5"/>
    </row>
    <row r="570" spans="1:10" s="7" customFormat="1" ht="13.6">
      <c r="A570" s="5"/>
      <c r="B570" s="5"/>
      <c r="C570" s="520"/>
      <c r="D570" s="520"/>
      <c r="E570" s="520"/>
      <c r="F570" s="69"/>
      <c r="G570" s="26"/>
      <c r="I570" s="5"/>
      <c r="J570" s="5"/>
    </row>
    <row r="571" spans="1:10" s="7" customFormat="1" ht="13.6">
      <c r="A571" s="5"/>
      <c r="B571" s="5"/>
      <c r="C571" s="520"/>
      <c r="D571" s="520"/>
      <c r="E571" s="520"/>
      <c r="F571" s="69"/>
      <c r="G571" s="26"/>
      <c r="I571" s="5"/>
      <c r="J571" s="5"/>
    </row>
    <row r="572" spans="1:10" s="7" customFormat="1" ht="13.6">
      <c r="A572" s="5"/>
      <c r="B572" s="5"/>
      <c r="C572" s="520"/>
      <c r="D572" s="520"/>
      <c r="E572" s="520"/>
      <c r="F572" s="69"/>
      <c r="G572" s="26"/>
      <c r="I572" s="5"/>
      <c r="J572" s="5"/>
    </row>
    <row r="573" spans="1:10" s="7" customFormat="1" ht="13.6">
      <c r="A573" s="5"/>
      <c r="B573" s="5"/>
      <c r="C573" s="520"/>
      <c r="D573" s="520"/>
      <c r="E573" s="520"/>
      <c r="F573" s="69"/>
      <c r="G573" s="26"/>
      <c r="I573" s="5"/>
      <c r="J573" s="5"/>
    </row>
    <row r="574" spans="1:10" s="7" customFormat="1" ht="13.6">
      <c r="A574" s="5"/>
      <c r="B574" s="5"/>
      <c r="C574" s="520"/>
      <c r="D574" s="520"/>
      <c r="E574" s="520"/>
      <c r="F574" s="69"/>
      <c r="G574" s="26"/>
      <c r="I574" s="5"/>
      <c r="J574" s="5"/>
    </row>
    <row r="575" spans="1:10" s="7" customFormat="1" ht="13.6">
      <c r="A575" s="5"/>
      <c r="B575" s="5"/>
      <c r="C575" s="520"/>
      <c r="D575" s="520"/>
      <c r="E575" s="520"/>
      <c r="F575" s="69"/>
      <c r="G575" s="26"/>
      <c r="I575" s="5"/>
      <c r="J575" s="5"/>
    </row>
    <row r="576" spans="1:10" s="7" customFormat="1" ht="13.6">
      <c r="A576" s="5"/>
      <c r="B576" s="5"/>
      <c r="C576" s="520"/>
      <c r="D576" s="520"/>
      <c r="E576" s="520"/>
      <c r="F576" s="69"/>
      <c r="G576" s="26"/>
      <c r="I576" s="5"/>
      <c r="J576" s="5"/>
    </row>
    <row r="577" spans="1:10" s="7" customFormat="1" ht="13.6">
      <c r="A577" s="5"/>
      <c r="B577" s="5"/>
      <c r="C577" s="520"/>
      <c r="D577" s="520"/>
      <c r="E577" s="520"/>
      <c r="F577" s="69"/>
      <c r="G577" s="26"/>
      <c r="I577" s="5"/>
      <c r="J577" s="5"/>
    </row>
    <row r="578" spans="1:10" s="7" customFormat="1" ht="13.6">
      <c r="A578" s="5"/>
      <c r="B578" s="5"/>
      <c r="C578" s="520"/>
      <c r="D578" s="520"/>
      <c r="E578" s="520"/>
      <c r="F578" s="69"/>
      <c r="G578" s="26"/>
      <c r="I578" s="5"/>
      <c r="J578" s="5"/>
    </row>
    <row r="579" spans="1:10" s="7" customFormat="1" ht="13.6">
      <c r="A579" s="5"/>
      <c r="B579" s="5"/>
      <c r="C579" s="520"/>
      <c r="D579" s="520"/>
      <c r="E579" s="520"/>
      <c r="F579" s="69"/>
      <c r="G579" s="26"/>
      <c r="I579" s="5"/>
      <c r="J579" s="5"/>
    </row>
    <row r="580" spans="1:10" s="7" customFormat="1" ht="13.6">
      <c r="A580" s="5"/>
      <c r="B580" s="5"/>
      <c r="C580" s="520"/>
      <c r="D580" s="520"/>
      <c r="E580" s="520"/>
      <c r="F580" s="69"/>
      <c r="G580" s="26"/>
      <c r="I580" s="5"/>
      <c r="J580" s="5"/>
    </row>
    <row r="581" spans="1:10" s="7" customFormat="1" ht="13.6">
      <c r="A581" s="5"/>
      <c r="B581" s="5"/>
      <c r="C581" s="520"/>
      <c r="D581" s="520"/>
      <c r="E581" s="520"/>
      <c r="F581" s="69"/>
      <c r="G581" s="26"/>
      <c r="I581" s="5"/>
      <c r="J581" s="5"/>
    </row>
    <row r="582" spans="1:10" s="7" customFormat="1" ht="13.6">
      <c r="A582" s="5"/>
      <c r="B582" s="5"/>
      <c r="C582" s="520"/>
      <c r="D582" s="520"/>
      <c r="E582" s="520"/>
      <c r="F582" s="69"/>
      <c r="G582" s="26"/>
      <c r="I582" s="5"/>
      <c r="J582" s="5"/>
    </row>
    <row r="583" spans="1:10" s="7" customFormat="1" ht="13.6">
      <c r="A583" s="5"/>
      <c r="B583" s="5"/>
      <c r="C583" s="520"/>
      <c r="D583" s="520"/>
      <c r="E583" s="520"/>
      <c r="F583" s="69"/>
      <c r="G583" s="26"/>
      <c r="I583" s="5"/>
      <c r="J583" s="5"/>
    </row>
    <row r="584" spans="1:10" s="7" customFormat="1" ht="13.6">
      <c r="A584" s="5"/>
      <c r="B584" s="5"/>
      <c r="C584" s="520"/>
      <c r="D584" s="520"/>
      <c r="E584" s="520"/>
      <c r="F584" s="69"/>
      <c r="G584" s="26"/>
      <c r="I584" s="5"/>
      <c r="J584" s="5"/>
    </row>
    <row r="585" spans="1:10" s="7" customFormat="1" ht="13.6">
      <c r="A585" s="5"/>
      <c r="B585" s="5"/>
      <c r="C585" s="520"/>
      <c r="D585" s="520"/>
      <c r="E585" s="520"/>
      <c r="F585" s="69"/>
      <c r="G585" s="26"/>
      <c r="I585" s="5"/>
      <c r="J585" s="5"/>
    </row>
    <row r="586" spans="1:10" s="7" customFormat="1" ht="13.6">
      <c r="A586" s="5"/>
      <c r="B586" s="5"/>
      <c r="C586" s="520"/>
      <c r="D586" s="520"/>
      <c r="E586" s="520"/>
      <c r="F586" s="69"/>
      <c r="G586" s="26"/>
      <c r="I586" s="5"/>
      <c r="J586" s="5"/>
    </row>
    <row r="587" spans="1:10" s="7" customFormat="1" ht="13.6">
      <c r="A587" s="5"/>
      <c r="B587" s="5"/>
      <c r="C587" s="520"/>
      <c r="D587" s="520"/>
      <c r="E587" s="520"/>
      <c r="F587" s="69"/>
      <c r="G587" s="26"/>
      <c r="I587" s="5"/>
      <c r="J587" s="5"/>
    </row>
    <row r="588" spans="1:10" s="7" customFormat="1" ht="13.6">
      <c r="A588" s="5"/>
      <c r="B588" s="5"/>
      <c r="C588" s="520"/>
      <c r="D588" s="520"/>
      <c r="E588" s="520"/>
      <c r="F588" s="69"/>
      <c r="G588" s="26"/>
      <c r="I588" s="5"/>
      <c r="J588" s="5"/>
    </row>
    <row r="589" spans="1:10" s="7" customFormat="1" ht="13.6">
      <c r="A589" s="5"/>
      <c r="B589" s="5"/>
      <c r="C589" s="520"/>
      <c r="D589" s="520"/>
      <c r="E589" s="520"/>
      <c r="F589" s="69"/>
      <c r="G589" s="26"/>
      <c r="I589" s="5"/>
      <c r="J589" s="5"/>
    </row>
    <row r="590" spans="1:10" s="7" customFormat="1" ht="13.6">
      <c r="A590" s="5"/>
      <c r="B590" s="5"/>
      <c r="C590" s="520"/>
      <c r="D590" s="520"/>
      <c r="E590" s="520"/>
      <c r="F590" s="69"/>
      <c r="G590" s="26"/>
      <c r="I590" s="5"/>
      <c r="J590" s="5"/>
    </row>
    <row r="591" spans="1:10" s="7" customFormat="1" ht="13.6">
      <c r="A591" s="5"/>
      <c r="B591" s="5"/>
      <c r="C591" s="520"/>
      <c r="D591" s="520"/>
      <c r="E591" s="520"/>
      <c r="F591" s="69"/>
      <c r="G591" s="26"/>
      <c r="I591" s="5"/>
      <c r="J591" s="5"/>
    </row>
    <row r="592" spans="1:10" s="7" customFormat="1" ht="13.6">
      <c r="A592" s="5"/>
      <c r="B592" s="5"/>
      <c r="C592" s="520"/>
      <c r="D592" s="520"/>
      <c r="E592" s="520"/>
      <c r="F592" s="69"/>
      <c r="G592" s="26"/>
      <c r="I592" s="5"/>
      <c r="J592" s="5"/>
    </row>
    <row r="593" spans="1:10" s="7" customFormat="1" ht="13.6">
      <c r="A593" s="5"/>
      <c r="B593" s="5"/>
      <c r="C593" s="520"/>
      <c r="D593" s="520"/>
      <c r="E593" s="520"/>
      <c r="F593" s="69"/>
      <c r="G593" s="26"/>
      <c r="I593" s="5"/>
      <c r="J593" s="5"/>
    </row>
    <row r="594" spans="1:10" s="7" customFormat="1" ht="13.6">
      <c r="A594" s="5"/>
      <c r="B594" s="5"/>
      <c r="C594" s="520"/>
      <c r="D594" s="520"/>
      <c r="E594" s="520"/>
      <c r="F594" s="69"/>
      <c r="G594" s="26"/>
      <c r="I594" s="5"/>
      <c r="J594" s="5"/>
    </row>
    <row r="595" spans="1:10" s="7" customFormat="1" ht="13.6">
      <c r="A595" s="5"/>
      <c r="B595" s="5"/>
      <c r="C595" s="520"/>
      <c r="D595" s="520"/>
      <c r="E595" s="520"/>
      <c r="F595" s="69"/>
      <c r="G595" s="26"/>
      <c r="I595" s="5"/>
      <c r="J595" s="5"/>
    </row>
    <row r="596" spans="1:10" s="7" customFormat="1" ht="13.6">
      <c r="A596" s="5"/>
      <c r="B596" s="5"/>
      <c r="C596" s="520"/>
      <c r="D596" s="520"/>
      <c r="E596" s="520"/>
      <c r="F596" s="69"/>
      <c r="G596" s="26"/>
      <c r="I596" s="5"/>
      <c r="J596" s="5"/>
    </row>
    <row r="597" spans="1:10" s="7" customFormat="1" ht="13.6">
      <c r="A597" s="5"/>
      <c r="B597" s="5"/>
      <c r="C597" s="520"/>
      <c r="D597" s="520"/>
      <c r="E597" s="520"/>
      <c r="F597" s="69"/>
      <c r="G597" s="26"/>
      <c r="I597" s="5"/>
      <c r="J597" s="5"/>
    </row>
    <row r="598" spans="1:10" s="7" customFormat="1" ht="13.6">
      <c r="A598" s="5"/>
      <c r="B598" s="5"/>
      <c r="C598" s="520"/>
      <c r="D598" s="520"/>
      <c r="E598" s="520"/>
      <c r="F598" s="69"/>
      <c r="G598" s="26"/>
      <c r="I598" s="5"/>
      <c r="J598" s="5"/>
    </row>
    <row r="599" spans="1:10" s="7" customFormat="1" ht="13.6">
      <c r="A599" s="5"/>
      <c r="B599" s="5"/>
      <c r="C599" s="520"/>
      <c r="D599" s="520"/>
      <c r="E599" s="520"/>
      <c r="F599" s="69"/>
      <c r="G599" s="26"/>
      <c r="I599" s="5"/>
      <c r="J599" s="5"/>
    </row>
    <row r="600" spans="1:10" s="7" customFormat="1" ht="13.6">
      <c r="A600" s="5"/>
      <c r="B600" s="5"/>
      <c r="C600" s="520"/>
      <c r="D600" s="520"/>
      <c r="E600" s="520"/>
      <c r="F600" s="69"/>
      <c r="G600" s="26"/>
      <c r="I600" s="5"/>
      <c r="J600" s="5"/>
    </row>
    <row r="601" spans="1:10" s="7" customFormat="1" ht="13.6">
      <c r="A601" s="5"/>
      <c r="B601" s="5"/>
      <c r="C601" s="520"/>
      <c r="D601" s="520"/>
      <c r="E601" s="520"/>
      <c r="F601" s="69"/>
      <c r="G601" s="26"/>
      <c r="I601" s="5"/>
      <c r="J601" s="5"/>
    </row>
    <row r="602" spans="1:10" s="7" customFormat="1" ht="13.6">
      <c r="A602" s="5"/>
      <c r="B602" s="5"/>
      <c r="C602" s="520"/>
      <c r="D602" s="520"/>
      <c r="E602" s="520"/>
      <c r="F602" s="69"/>
      <c r="G602" s="26"/>
      <c r="I602" s="5"/>
      <c r="J602" s="5"/>
    </row>
    <row r="603" spans="1:10" s="7" customFormat="1" ht="13.6">
      <c r="A603" s="5"/>
      <c r="B603" s="5"/>
      <c r="C603" s="520"/>
      <c r="D603" s="520"/>
      <c r="E603" s="520"/>
      <c r="F603" s="69"/>
      <c r="G603" s="26"/>
      <c r="I603" s="5"/>
      <c r="J603" s="5"/>
    </row>
    <row r="604" spans="1:10" s="7" customFormat="1" ht="13.6">
      <c r="A604" s="5"/>
      <c r="B604" s="5"/>
      <c r="C604" s="520"/>
      <c r="D604" s="520"/>
      <c r="E604" s="520"/>
      <c r="F604" s="69"/>
      <c r="G604" s="26"/>
      <c r="I604" s="5"/>
      <c r="J604" s="5"/>
    </row>
    <row r="605" spans="1:10" s="7" customFormat="1" ht="13.6">
      <c r="A605" s="5"/>
      <c r="B605" s="5"/>
      <c r="C605" s="520"/>
      <c r="D605" s="520"/>
      <c r="E605" s="520"/>
      <c r="F605" s="69"/>
      <c r="G605" s="26"/>
      <c r="I605" s="5"/>
      <c r="J605" s="5"/>
    </row>
    <row r="606" spans="1:10" s="7" customFormat="1" ht="13.6">
      <c r="A606" s="5"/>
      <c r="B606" s="5"/>
      <c r="C606" s="520"/>
      <c r="D606" s="520"/>
      <c r="E606" s="520"/>
      <c r="F606" s="69"/>
      <c r="G606" s="26"/>
      <c r="I606" s="5"/>
      <c r="J606" s="5"/>
    </row>
    <row r="607" spans="1:10" s="7" customFormat="1" ht="13.6">
      <c r="A607" s="5"/>
      <c r="B607" s="5"/>
      <c r="C607" s="520"/>
      <c r="D607" s="520"/>
      <c r="E607" s="520"/>
      <c r="F607" s="69"/>
      <c r="G607" s="26"/>
      <c r="I607" s="5"/>
      <c r="J607" s="5"/>
    </row>
    <row r="608" spans="1:10" s="7" customFormat="1" ht="13.6">
      <c r="A608" s="5"/>
      <c r="B608" s="5"/>
      <c r="C608" s="520"/>
      <c r="D608" s="520"/>
      <c r="E608" s="520"/>
      <c r="F608" s="69"/>
      <c r="G608" s="26"/>
      <c r="I608" s="5"/>
      <c r="J608" s="5"/>
    </row>
    <row r="609" spans="1:10" s="7" customFormat="1" ht="13.6">
      <c r="A609" s="5"/>
      <c r="B609" s="5"/>
      <c r="C609" s="520"/>
      <c r="D609" s="520"/>
      <c r="E609" s="520"/>
      <c r="F609" s="69"/>
      <c r="G609" s="26"/>
      <c r="I609" s="5"/>
      <c r="J609" s="5"/>
    </row>
    <row r="610" spans="1:10" s="7" customFormat="1" ht="13.6">
      <c r="A610" s="5"/>
      <c r="B610" s="5"/>
      <c r="C610" s="520"/>
      <c r="D610" s="520"/>
      <c r="E610" s="520"/>
      <c r="F610" s="69"/>
      <c r="G610" s="26"/>
      <c r="I610" s="5"/>
      <c r="J610" s="5"/>
    </row>
    <row r="611" spans="1:10" s="7" customFormat="1" ht="13.6">
      <c r="A611" s="5"/>
      <c r="B611" s="5"/>
      <c r="C611" s="520"/>
      <c r="D611" s="520"/>
      <c r="E611" s="520"/>
      <c r="F611" s="69"/>
      <c r="G611" s="26"/>
      <c r="I611" s="5"/>
      <c r="J611" s="5"/>
    </row>
    <row r="612" spans="1:10" s="7" customFormat="1" ht="13.6">
      <c r="A612" s="5"/>
      <c r="B612" s="5"/>
      <c r="C612" s="520"/>
      <c r="D612" s="520"/>
      <c r="E612" s="520"/>
      <c r="F612" s="69"/>
      <c r="G612" s="26"/>
      <c r="I612" s="5"/>
      <c r="J612" s="5"/>
    </row>
    <row r="613" spans="1:10" s="7" customFormat="1" ht="13.6">
      <c r="A613" s="5"/>
      <c r="B613" s="5"/>
      <c r="C613" s="520"/>
      <c r="D613" s="520"/>
      <c r="E613" s="520"/>
      <c r="F613" s="69"/>
      <c r="G613" s="26"/>
      <c r="I613" s="5"/>
      <c r="J613" s="5"/>
    </row>
    <row r="614" spans="1:10" s="7" customFormat="1" ht="13.6">
      <c r="A614" s="5"/>
      <c r="B614" s="5"/>
      <c r="C614" s="520"/>
      <c r="D614" s="520"/>
      <c r="E614" s="520"/>
      <c r="F614" s="69"/>
      <c r="G614" s="26"/>
      <c r="I614" s="5"/>
      <c r="J614" s="5"/>
    </row>
    <row r="615" spans="1:10" s="7" customFormat="1" ht="13.6">
      <c r="A615" s="5"/>
      <c r="B615" s="5"/>
      <c r="C615" s="520"/>
      <c r="D615" s="520"/>
      <c r="E615" s="520"/>
      <c r="F615" s="69"/>
      <c r="G615" s="26"/>
      <c r="I615" s="5"/>
      <c r="J615" s="5"/>
    </row>
    <row r="616" spans="1:10" s="7" customFormat="1" ht="13.6">
      <c r="A616" s="5"/>
      <c r="B616" s="5"/>
      <c r="C616" s="520"/>
      <c r="D616" s="520"/>
      <c r="E616" s="520"/>
      <c r="F616" s="69"/>
      <c r="G616" s="26"/>
      <c r="I616" s="5"/>
      <c r="J616" s="5"/>
    </row>
    <row r="617" spans="1:10" s="7" customFormat="1" ht="13.6">
      <c r="A617" s="5"/>
      <c r="B617" s="5"/>
      <c r="C617" s="520"/>
      <c r="D617" s="520"/>
      <c r="E617" s="520"/>
      <c r="F617" s="69"/>
      <c r="G617" s="26"/>
      <c r="I617" s="5"/>
      <c r="J617" s="5"/>
    </row>
    <row r="618" spans="1:10" s="7" customFormat="1" ht="13.6">
      <c r="A618" s="5"/>
      <c r="B618" s="5"/>
      <c r="C618" s="520"/>
      <c r="D618" s="520"/>
      <c r="E618" s="520"/>
      <c r="F618" s="69"/>
      <c r="G618" s="26"/>
      <c r="I618" s="5"/>
      <c r="J618" s="5"/>
    </row>
    <row r="619" spans="1:10" s="7" customFormat="1" ht="13.6">
      <c r="A619" s="5"/>
      <c r="B619" s="5"/>
      <c r="C619" s="520"/>
      <c r="D619" s="520"/>
      <c r="E619" s="520"/>
      <c r="F619" s="69"/>
      <c r="G619" s="26"/>
      <c r="I619" s="5"/>
      <c r="J619" s="5"/>
    </row>
    <row r="620" spans="1:10" s="7" customFormat="1" ht="13.6">
      <c r="A620" s="5"/>
      <c r="B620" s="5"/>
      <c r="C620" s="520"/>
      <c r="D620" s="520"/>
      <c r="E620" s="520"/>
      <c r="F620" s="69"/>
      <c r="G620" s="26"/>
      <c r="I620" s="5"/>
      <c r="J620" s="5"/>
    </row>
    <row r="621" spans="1:10" s="7" customFormat="1" ht="13.6">
      <c r="A621" s="5"/>
      <c r="B621" s="5"/>
      <c r="C621" s="520"/>
      <c r="D621" s="520"/>
      <c r="E621" s="520"/>
      <c r="F621" s="69"/>
      <c r="G621" s="26"/>
      <c r="I621" s="5"/>
      <c r="J621" s="5"/>
    </row>
    <row r="622" spans="1:10" s="7" customFormat="1" ht="13.6">
      <c r="A622" s="5"/>
      <c r="B622" s="5"/>
      <c r="C622" s="520"/>
      <c r="D622" s="520"/>
      <c r="E622" s="520"/>
      <c r="F622" s="69"/>
      <c r="G622" s="26"/>
      <c r="I622" s="5"/>
      <c r="J622" s="5"/>
    </row>
    <row r="623" spans="1:10" s="7" customFormat="1" ht="13.6">
      <c r="A623" s="5"/>
      <c r="B623" s="5"/>
      <c r="C623" s="520"/>
      <c r="D623" s="520"/>
      <c r="E623" s="520"/>
      <c r="F623" s="69"/>
      <c r="G623" s="26"/>
      <c r="I623" s="5"/>
      <c r="J623" s="5"/>
    </row>
    <row r="624" spans="1:10" s="7" customFormat="1" ht="13.6">
      <c r="A624" s="5"/>
      <c r="B624" s="5"/>
      <c r="C624" s="520"/>
      <c r="D624" s="520"/>
      <c r="E624" s="520"/>
      <c r="F624" s="69"/>
      <c r="G624" s="26"/>
      <c r="I624" s="5"/>
      <c r="J624" s="5"/>
    </row>
    <row r="625" spans="1:10" s="7" customFormat="1" ht="13.6">
      <c r="A625" s="5"/>
      <c r="B625" s="5"/>
      <c r="C625" s="520"/>
      <c r="D625" s="520"/>
      <c r="E625" s="520"/>
      <c r="F625" s="69"/>
      <c r="G625" s="26"/>
      <c r="I625" s="5"/>
      <c r="J625" s="5"/>
    </row>
    <row r="626" spans="1:10" s="7" customFormat="1" ht="13.6">
      <c r="A626" s="5"/>
      <c r="B626" s="5"/>
      <c r="C626" s="520"/>
      <c r="D626" s="520"/>
      <c r="E626" s="520"/>
      <c r="F626" s="69"/>
      <c r="G626" s="26"/>
      <c r="I626" s="5"/>
      <c r="J626" s="5"/>
    </row>
    <row r="627" spans="1:10" s="7" customFormat="1" ht="13.6">
      <c r="A627" s="5"/>
      <c r="B627" s="5"/>
      <c r="C627" s="520"/>
      <c r="D627" s="520"/>
      <c r="E627" s="520"/>
      <c r="F627" s="69"/>
      <c r="G627" s="26"/>
      <c r="I627" s="5"/>
      <c r="J627" s="5"/>
    </row>
    <row r="628" spans="1:10" s="7" customFormat="1" ht="13.6">
      <c r="A628" s="5"/>
      <c r="B628" s="5"/>
      <c r="C628" s="520"/>
      <c r="D628" s="520"/>
      <c r="E628" s="520"/>
      <c r="F628" s="69"/>
      <c r="G628" s="26"/>
      <c r="I628" s="5"/>
      <c r="J628" s="5"/>
    </row>
    <row r="629" spans="1:10" s="7" customFormat="1" ht="13.6">
      <c r="A629" s="5"/>
      <c r="B629" s="5"/>
      <c r="C629" s="520"/>
      <c r="D629" s="520"/>
      <c r="E629" s="520"/>
      <c r="F629" s="69"/>
      <c r="G629" s="26"/>
      <c r="I629" s="5"/>
      <c r="J629" s="5"/>
    </row>
    <row r="630" spans="1:10" s="7" customFormat="1" ht="13.6">
      <c r="A630" s="5"/>
      <c r="B630" s="5"/>
      <c r="C630" s="520"/>
      <c r="D630" s="520"/>
      <c r="E630" s="520"/>
      <c r="F630" s="69"/>
      <c r="G630" s="26"/>
      <c r="I630" s="5"/>
      <c r="J630" s="5"/>
    </row>
    <row r="631" spans="1:10" s="7" customFormat="1" ht="13.6">
      <c r="A631" s="5"/>
      <c r="B631" s="5"/>
      <c r="C631" s="520"/>
      <c r="D631" s="520"/>
      <c r="E631" s="520"/>
      <c r="F631" s="69"/>
      <c r="G631" s="26"/>
      <c r="I631" s="5"/>
      <c r="J631" s="5"/>
    </row>
    <row r="632" spans="1:10" s="7" customFormat="1" ht="13.6">
      <c r="A632" s="5"/>
      <c r="B632" s="5"/>
      <c r="C632" s="520"/>
      <c r="D632" s="520"/>
      <c r="E632" s="520"/>
      <c r="F632" s="69"/>
      <c r="G632" s="26"/>
      <c r="I632" s="5"/>
      <c r="J632" s="5"/>
    </row>
    <row r="633" spans="1:10" s="7" customFormat="1" ht="13.6">
      <c r="A633" s="5"/>
      <c r="B633" s="5"/>
      <c r="C633" s="520"/>
      <c r="D633" s="520"/>
      <c r="E633" s="520"/>
      <c r="F633" s="69"/>
      <c r="G633" s="26"/>
      <c r="I633" s="5"/>
      <c r="J633" s="5"/>
    </row>
    <row r="634" spans="1:10" s="7" customFormat="1" ht="13.6">
      <c r="A634" s="5"/>
      <c r="B634" s="5"/>
      <c r="C634" s="520"/>
      <c r="D634" s="520"/>
      <c r="E634" s="520"/>
      <c r="F634" s="69"/>
      <c r="G634" s="26"/>
      <c r="I634" s="5"/>
      <c r="J634" s="5"/>
    </row>
    <row r="635" spans="1:10" s="7" customFormat="1" ht="13.6">
      <c r="A635" s="5"/>
      <c r="B635" s="5"/>
      <c r="C635" s="520"/>
      <c r="D635" s="520"/>
      <c r="E635" s="520"/>
      <c r="F635" s="69"/>
      <c r="G635" s="26"/>
      <c r="I635" s="5"/>
      <c r="J635" s="5"/>
    </row>
    <row r="636" spans="1:10" s="7" customFormat="1" ht="13.6">
      <c r="A636" s="5"/>
      <c r="B636" s="5"/>
      <c r="C636" s="520"/>
      <c r="D636" s="520"/>
      <c r="E636" s="520"/>
      <c r="F636" s="69"/>
      <c r="G636" s="26"/>
      <c r="I636" s="5"/>
      <c r="J636" s="5"/>
    </row>
    <row r="637" spans="1:10" s="7" customFormat="1" ht="13.6">
      <c r="A637" s="5"/>
      <c r="B637" s="5"/>
      <c r="C637" s="520"/>
      <c r="D637" s="520"/>
      <c r="E637" s="520"/>
      <c r="F637" s="69"/>
      <c r="G637" s="26"/>
      <c r="I637" s="5"/>
      <c r="J637" s="5"/>
    </row>
    <row r="638" spans="1:10" s="7" customFormat="1" ht="13.6">
      <c r="A638" s="5"/>
      <c r="B638" s="5"/>
      <c r="C638" s="520"/>
      <c r="D638" s="520"/>
      <c r="E638" s="520"/>
      <c r="F638" s="69"/>
      <c r="G638" s="26"/>
      <c r="I638" s="5"/>
      <c r="J638" s="5"/>
    </row>
    <row r="639" spans="1:10" s="7" customFormat="1" ht="13.6">
      <c r="A639" s="5"/>
      <c r="B639" s="5"/>
      <c r="C639" s="520"/>
      <c r="D639" s="520"/>
      <c r="E639" s="520"/>
      <c r="F639" s="69"/>
      <c r="G639" s="26"/>
      <c r="I639" s="5"/>
      <c r="J639" s="5"/>
    </row>
    <row r="640" spans="1:10" s="7" customFormat="1" ht="13.6">
      <c r="A640" s="5"/>
      <c r="B640" s="5"/>
      <c r="C640" s="520"/>
      <c r="D640" s="520"/>
      <c r="E640" s="520"/>
      <c r="F640" s="69"/>
      <c r="G640" s="26"/>
      <c r="I640" s="5"/>
      <c r="J640" s="5"/>
    </row>
    <row r="641" spans="1:10" s="7" customFormat="1" ht="13.6">
      <c r="A641" s="5"/>
      <c r="B641" s="5"/>
      <c r="C641" s="520"/>
      <c r="D641" s="520"/>
      <c r="E641" s="520"/>
      <c r="F641" s="69"/>
      <c r="G641" s="26"/>
      <c r="I641" s="5"/>
      <c r="J641" s="5"/>
    </row>
    <row r="642" spans="1:10" s="7" customFormat="1" ht="13.6">
      <c r="A642" s="5"/>
      <c r="B642" s="5"/>
      <c r="C642" s="520"/>
      <c r="D642" s="520"/>
      <c r="E642" s="520"/>
      <c r="F642" s="69"/>
      <c r="G642" s="26"/>
      <c r="I642" s="5"/>
      <c r="J642" s="5"/>
    </row>
    <row r="643" spans="1:10" s="7" customFormat="1" ht="13.6">
      <c r="A643" s="5"/>
      <c r="B643" s="5"/>
      <c r="C643" s="520"/>
      <c r="D643" s="520"/>
      <c r="E643" s="520"/>
      <c r="F643" s="69"/>
      <c r="G643" s="26"/>
      <c r="I643" s="5"/>
      <c r="J643" s="5"/>
    </row>
    <row r="644" spans="1:10" s="7" customFormat="1" ht="13.6">
      <c r="A644" s="5"/>
      <c r="B644" s="5"/>
      <c r="C644" s="520"/>
      <c r="D644" s="520"/>
      <c r="E644" s="520"/>
      <c r="F644" s="69"/>
      <c r="G644" s="26"/>
      <c r="I644" s="5"/>
      <c r="J644" s="5"/>
    </row>
    <row r="645" spans="1:10" s="7" customFormat="1" ht="13.6">
      <c r="A645" s="5"/>
      <c r="B645" s="5"/>
      <c r="C645" s="520"/>
      <c r="D645" s="520"/>
      <c r="E645" s="520"/>
      <c r="F645" s="69"/>
      <c r="G645" s="26"/>
      <c r="I645" s="5"/>
      <c r="J645" s="5"/>
    </row>
    <row r="646" spans="1:10" s="7" customFormat="1" ht="13.6">
      <c r="A646" s="5"/>
      <c r="B646" s="5"/>
      <c r="C646" s="520"/>
      <c r="D646" s="520"/>
      <c r="E646" s="520"/>
      <c r="F646" s="69"/>
      <c r="G646" s="26"/>
      <c r="I646" s="5"/>
      <c r="J646" s="5"/>
    </row>
    <row r="647" spans="1:10" s="7" customFormat="1" ht="13.6">
      <c r="A647" s="5"/>
      <c r="B647" s="5"/>
      <c r="C647" s="520"/>
      <c r="D647" s="520"/>
      <c r="E647" s="520"/>
      <c r="F647" s="69"/>
      <c r="G647" s="26"/>
      <c r="I647" s="5"/>
      <c r="J647" s="5"/>
    </row>
    <row r="648" spans="1:10" s="7" customFormat="1" ht="13.6">
      <c r="A648" s="5"/>
      <c r="B648" s="5"/>
      <c r="C648" s="520"/>
      <c r="D648" s="520"/>
      <c r="E648" s="520"/>
      <c r="F648" s="69"/>
      <c r="G648" s="26"/>
      <c r="I648" s="5"/>
      <c r="J648" s="5"/>
    </row>
    <row r="649" spans="1:10" s="7" customFormat="1" ht="13.6">
      <c r="A649" s="5"/>
      <c r="B649" s="5"/>
      <c r="C649" s="520"/>
      <c r="D649" s="520"/>
      <c r="E649" s="520"/>
      <c r="F649" s="69"/>
      <c r="G649" s="26"/>
      <c r="I649" s="5"/>
      <c r="J649" s="5"/>
    </row>
    <row r="650" spans="1:10" s="7" customFormat="1" ht="13.6">
      <c r="A650" s="5"/>
      <c r="B650" s="5"/>
      <c r="C650" s="520"/>
      <c r="D650" s="520"/>
      <c r="E650" s="520"/>
      <c r="F650" s="69"/>
      <c r="G650" s="26"/>
      <c r="I650" s="5"/>
      <c r="J650" s="5"/>
    </row>
    <row r="651" spans="1:10" s="7" customFormat="1" ht="13.6">
      <c r="A651" s="5"/>
      <c r="B651" s="5"/>
      <c r="C651" s="520"/>
      <c r="D651" s="520"/>
      <c r="E651" s="520"/>
      <c r="F651" s="69"/>
      <c r="G651" s="26"/>
      <c r="I651" s="5"/>
      <c r="J651" s="5"/>
    </row>
    <row r="652" spans="1:10" s="7" customFormat="1" ht="13.6">
      <c r="A652" s="5"/>
      <c r="B652" s="5"/>
      <c r="C652" s="520"/>
      <c r="D652" s="520"/>
      <c r="E652" s="520"/>
      <c r="F652" s="69"/>
      <c r="G652" s="26"/>
      <c r="I652" s="5"/>
      <c r="J652" s="5"/>
    </row>
    <row r="653" spans="1:10" s="7" customFormat="1" ht="13.6">
      <c r="A653" s="5"/>
      <c r="B653" s="5"/>
      <c r="C653" s="520"/>
      <c r="D653" s="520"/>
      <c r="E653" s="520"/>
      <c r="F653" s="69"/>
      <c r="G653" s="26"/>
      <c r="I653" s="5"/>
      <c r="J653" s="5"/>
    </row>
    <row r="654" spans="1:10" s="7" customFormat="1" ht="13.6">
      <c r="A654" s="5"/>
      <c r="B654" s="5"/>
      <c r="C654" s="520"/>
      <c r="D654" s="520"/>
      <c r="E654" s="520"/>
      <c r="F654" s="69"/>
      <c r="G654" s="26"/>
      <c r="I654" s="5"/>
      <c r="J654" s="5"/>
    </row>
    <row r="655" spans="1:10" s="7" customFormat="1" ht="13.6">
      <c r="A655" s="5"/>
      <c r="B655" s="5"/>
      <c r="C655" s="520"/>
      <c r="D655" s="520"/>
      <c r="E655" s="520"/>
      <c r="F655" s="69"/>
      <c r="G655" s="26"/>
      <c r="I655" s="5"/>
      <c r="J655" s="5"/>
    </row>
    <row r="656" spans="1:10" s="7" customFormat="1" ht="13.6">
      <c r="A656" s="5"/>
      <c r="B656" s="5"/>
      <c r="C656" s="520"/>
      <c r="D656" s="520"/>
      <c r="E656" s="520"/>
      <c r="F656" s="69"/>
      <c r="G656" s="26"/>
      <c r="I656" s="5"/>
      <c r="J656" s="5"/>
    </row>
    <row r="657" spans="1:10" s="7" customFormat="1" ht="13.6">
      <c r="A657" s="5"/>
      <c r="B657" s="5"/>
      <c r="C657" s="520"/>
      <c r="D657" s="520"/>
      <c r="E657" s="520"/>
      <c r="F657" s="69"/>
      <c r="G657" s="26"/>
      <c r="I657" s="5"/>
      <c r="J657" s="5"/>
    </row>
    <row r="658" spans="1:10" s="7" customFormat="1" ht="13.6">
      <c r="A658" s="5"/>
      <c r="B658" s="5"/>
      <c r="C658" s="520"/>
      <c r="D658" s="520"/>
      <c r="E658" s="520"/>
      <c r="F658" s="69"/>
      <c r="G658" s="26"/>
      <c r="I658" s="5"/>
      <c r="J658" s="5"/>
    </row>
    <row r="659" spans="1:10" s="7" customFormat="1" ht="13.6">
      <c r="A659" s="5"/>
      <c r="B659" s="5"/>
      <c r="C659" s="520"/>
      <c r="D659" s="520"/>
      <c r="E659" s="520"/>
      <c r="F659" s="69"/>
      <c r="G659" s="26"/>
      <c r="I659" s="5"/>
      <c r="J659" s="5"/>
    </row>
    <row r="660" spans="1:10" s="7" customFormat="1" ht="13.6">
      <c r="A660" s="5"/>
      <c r="B660" s="5"/>
      <c r="C660" s="520"/>
      <c r="D660" s="520"/>
      <c r="E660" s="520"/>
      <c r="F660" s="69"/>
      <c r="G660" s="26"/>
      <c r="I660" s="5"/>
      <c r="J660" s="5"/>
    </row>
    <row r="661" spans="1:10" s="7" customFormat="1" ht="13.6">
      <c r="A661" s="5"/>
      <c r="B661" s="5"/>
      <c r="C661" s="520"/>
      <c r="D661" s="520"/>
      <c r="E661" s="520"/>
      <c r="F661" s="69"/>
      <c r="G661" s="26"/>
      <c r="I661" s="5"/>
      <c r="J661" s="5"/>
    </row>
    <row r="662" spans="1:10" s="7" customFormat="1" ht="13.6">
      <c r="A662" s="5"/>
      <c r="B662" s="5"/>
      <c r="C662" s="520"/>
      <c r="D662" s="520"/>
      <c r="E662" s="520"/>
      <c r="F662" s="69"/>
      <c r="G662" s="26"/>
      <c r="I662" s="5"/>
      <c r="J662" s="5"/>
    </row>
    <row r="663" spans="1:10" s="7" customFormat="1" ht="13.6">
      <c r="A663" s="5"/>
      <c r="B663" s="5"/>
      <c r="C663" s="520"/>
      <c r="D663" s="520"/>
      <c r="E663" s="520"/>
      <c r="F663" s="69"/>
      <c r="G663" s="26"/>
      <c r="I663" s="5"/>
      <c r="J663" s="5"/>
    </row>
    <row r="664" spans="1:10" s="7" customFormat="1" ht="13.6">
      <c r="A664" s="5"/>
      <c r="B664" s="5"/>
      <c r="C664" s="520"/>
      <c r="D664" s="520"/>
      <c r="E664" s="520"/>
      <c r="F664" s="69"/>
      <c r="G664" s="26"/>
      <c r="I664" s="5"/>
      <c r="J664" s="5"/>
    </row>
    <row r="665" spans="1:10" s="7" customFormat="1" ht="13.6">
      <c r="A665" s="5"/>
      <c r="B665" s="5"/>
      <c r="C665" s="520"/>
      <c r="D665" s="520"/>
      <c r="E665" s="520"/>
      <c r="F665" s="69"/>
      <c r="G665" s="26"/>
      <c r="I665" s="5"/>
      <c r="J665" s="5"/>
    </row>
    <row r="666" spans="1:10" s="7" customFormat="1" ht="13.6">
      <c r="A666" s="5"/>
      <c r="B666" s="5"/>
      <c r="C666" s="520"/>
      <c r="D666" s="520"/>
      <c r="E666" s="520"/>
      <c r="F666" s="69"/>
      <c r="G666" s="26"/>
      <c r="I666" s="5"/>
      <c r="J666" s="5"/>
    </row>
    <row r="667" spans="1:10" s="7" customFormat="1" ht="13.6">
      <c r="A667" s="5"/>
      <c r="B667" s="5"/>
      <c r="C667" s="520"/>
      <c r="D667" s="520"/>
      <c r="E667" s="520"/>
      <c r="F667" s="69"/>
      <c r="G667" s="26"/>
      <c r="I667" s="5"/>
      <c r="J667" s="5"/>
    </row>
    <row r="668" spans="1:10" s="7" customFormat="1" ht="13.6">
      <c r="A668" s="5"/>
      <c r="B668" s="5"/>
      <c r="C668" s="520"/>
      <c r="D668" s="520"/>
      <c r="E668" s="520"/>
      <c r="F668" s="69"/>
      <c r="G668" s="26"/>
      <c r="I668" s="5"/>
      <c r="J668" s="5"/>
    </row>
    <row r="669" spans="1:10" s="7" customFormat="1" ht="13.6">
      <c r="A669" s="5"/>
      <c r="B669" s="5"/>
      <c r="C669" s="520"/>
      <c r="D669" s="520"/>
      <c r="E669" s="520"/>
      <c r="F669" s="69"/>
      <c r="G669" s="26"/>
      <c r="I669" s="5"/>
      <c r="J669" s="5"/>
    </row>
    <row r="670" spans="1:10" s="7" customFormat="1" ht="13.6">
      <c r="A670" s="5"/>
      <c r="B670" s="5"/>
      <c r="C670" s="520"/>
      <c r="D670" s="520"/>
      <c r="E670" s="520"/>
      <c r="F670" s="69"/>
      <c r="G670" s="26"/>
      <c r="I670" s="5"/>
      <c r="J670" s="5"/>
    </row>
    <row r="671" spans="1:10" s="7" customFormat="1" ht="13.6">
      <c r="A671" s="5"/>
      <c r="B671" s="5"/>
      <c r="C671" s="520"/>
      <c r="D671" s="520"/>
      <c r="E671" s="520"/>
      <c r="F671" s="69"/>
      <c r="G671" s="26"/>
      <c r="I671" s="5"/>
      <c r="J671" s="5"/>
    </row>
    <row r="672" spans="1:10" s="7" customFormat="1" ht="13.6">
      <c r="A672" s="5"/>
      <c r="B672" s="5"/>
      <c r="C672" s="520"/>
      <c r="D672" s="520"/>
      <c r="E672" s="520"/>
      <c r="F672" s="69"/>
      <c r="G672" s="26"/>
      <c r="I672" s="5"/>
      <c r="J672" s="5"/>
    </row>
    <row r="673" spans="1:10" s="7" customFormat="1" ht="13.6">
      <c r="A673" s="5"/>
      <c r="B673" s="5"/>
      <c r="C673" s="520"/>
      <c r="D673" s="520"/>
      <c r="E673" s="520"/>
      <c r="F673" s="69"/>
      <c r="G673" s="26"/>
      <c r="I673" s="5"/>
      <c r="J673" s="5"/>
    </row>
    <row r="674" spans="1:10" s="7" customFormat="1" ht="13.6">
      <c r="A674" s="5"/>
      <c r="B674" s="5"/>
      <c r="C674" s="520"/>
      <c r="D674" s="520"/>
      <c r="E674" s="520"/>
      <c r="F674" s="69"/>
      <c r="G674" s="26"/>
      <c r="I674" s="5"/>
      <c r="J674" s="5"/>
    </row>
    <row r="675" spans="1:10" s="7" customFormat="1" ht="13.6">
      <c r="A675" s="5"/>
      <c r="B675" s="5"/>
      <c r="C675" s="520"/>
      <c r="D675" s="520"/>
      <c r="E675" s="520"/>
      <c r="F675" s="69"/>
      <c r="G675" s="26"/>
      <c r="I675" s="5"/>
      <c r="J675" s="5"/>
    </row>
    <row r="676" spans="1:10" s="7" customFormat="1" ht="13.6">
      <c r="A676" s="5"/>
      <c r="B676" s="5"/>
      <c r="C676" s="520"/>
      <c r="D676" s="520"/>
      <c r="E676" s="520"/>
      <c r="F676" s="69"/>
      <c r="G676" s="26"/>
      <c r="I676" s="5"/>
      <c r="J676" s="5"/>
    </row>
    <row r="677" spans="1:10" s="7" customFormat="1" ht="13.6">
      <c r="A677" s="5"/>
      <c r="B677" s="5"/>
      <c r="C677" s="520"/>
      <c r="D677" s="520"/>
      <c r="E677" s="520"/>
      <c r="F677" s="69"/>
      <c r="G677" s="26"/>
      <c r="I677" s="5"/>
      <c r="J677" s="5"/>
    </row>
    <row r="678" spans="1:10" s="7" customFormat="1" ht="13.6">
      <c r="A678" s="5"/>
      <c r="B678" s="5"/>
      <c r="C678" s="520"/>
      <c r="D678" s="520"/>
      <c r="E678" s="520"/>
      <c r="F678" s="69"/>
      <c r="G678" s="26"/>
      <c r="I678" s="5"/>
      <c r="J678" s="5"/>
    </row>
    <row r="679" spans="1:10" s="7" customFormat="1" ht="13.6">
      <c r="A679" s="5"/>
      <c r="B679" s="5"/>
      <c r="C679" s="520"/>
      <c r="D679" s="520"/>
      <c r="E679" s="520"/>
      <c r="F679" s="69"/>
      <c r="G679" s="26"/>
      <c r="I679" s="5"/>
      <c r="J679" s="5"/>
    </row>
    <row r="680" spans="1:10" s="7" customFormat="1" ht="13.6">
      <c r="A680" s="5"/>
      <c r="B680" s="5"/>
      <c r="C680" s="520"/>
      <c r="D680" s="520"/>
      <c r="E680" s="520"/>
      <c r="F680" s="69"/>
      <c r="G680" s="26"/>
      <c r="I680" s="5"/>
      <c r="J680" s="5"/>
    </row>
    <row r="681" spans="1:10" s="7" customFormat="1" ht="13.6">
      <c r="A681" s="5"/>
      <c r="B681" s="5"/>
      <c r="C681" s="520"/>
      <c r="D681" s="520"/>
      <c r="E681" s="520"/>
      <c r="F681" s="69"/>
      <c r="G681" s="26"/>
      <c r="I681" s="5"/>
      <c r="J681" s="5"/>
    </row>
    <row r="682" spans="1:10" s="7" customFormat="1" ht="13.6">
      <c r="A682" s="5"/>
      <c r="B682" s="5"/>
      <c r="C682" s="520"/>
      <c r="D682" s="520"/>
      <c r="E682" s="520"/>
      <c r="F682" s="69"/>
      <c r="G682" s="26"/>
      <c r="I682" s="5"/>
      <c r="J682" s="5"/>
    </row>
    <row r="683" spans="1:10" s="7" customFormat="1" ht="13.6">
      <c r="A683" s="5"/>
      <c r="B683" s="5"/>
      <c r="C683" s="520"/>
      <c r="D683" s="520"/>
      <c r="E683" s="520"/>
      <c r="F683" s="69"/>
      <c r="G683" s="26"/>
      <c r="I683" s="5"/>
      <c r="J683" s="5"/>
    </row>
    <row r="684" spans="1:10" s="7" customFormat="1" ht="13.6">
      <c r="A684" s="5"/>
      <c r="B684" s="5"/>
      <c r="C684" s="520"/>
      <c r="D684" s="520"/>
      <c r="E684" s="520"/>
      <c r="F684" s="69"/>
      <c r="G684" s="26"/>
      <c r="I684" s="5"/>
      <c r="J684" s="5"/>
    </row>
    <row r="685" spans="1:10" s="7" customFormat="1" ht="13.6">
      <c r="A685" s="5"/>
      <c r="B685" s="5"/>
      <c r="C685" s="520"/>
      <c r="D685" s="520"/>
      <c r="E685" s="520"/>
      <c r="F685" s="69"/>
      <c r="G685" s="26"/>
      <c r="I685" s="5"/>
      <c r="J685" s="5"/>
    </row>
    <row r="686" spans="1:10" s="7" customFormat="1" ht="13.6">
      <c r="A686" s="5"/>
      <c r="B686" s="5"/>
      <c r="C686" s="520"/>
      <c r="D686" s="520"/>
      <c r="E686" s="520"/>
      <c r="F686" s="69"/>
      <c r="G686" s="26"/>
      <c r="I686" s="5"/>
      <c r="J686" s="5"/>
    </row>
    <row r="687" spans="1:10" s="7" customFormat="1" ht="13.6">
      <c r="A687" s="5"/>
      <c r="B687" s="5"/>
      <c r="C687" s="520"/>
      <c r="D687" s="520"/>
      <c r="E687" s="520"/>
      <c r="F687" s="69"/>
      <c r="G687" s="26"/>
      <c r="I687" s="5"/>
      <c r="J687" s="5"/>
    </row>
    <row r="688" spans="1:10" s="7" customFormat="1" ht="13.6">
      <c r="A688" s="5"/>
      <c r="B688" s="5"/>
      <c r="C688" s="520"/>
      <c r="D688" s="520"/>
      <c r="E688" s="520"/>
      <c r="F688" s="69"/>
      <c r="G688" s="26"/>
      <c r="I688" s="5"/>
      <c r="J688" s="5"/>
    </row>
    <row r="689" spans="1:10" s="7" customFormat="1" ht="13.6">
      <c r="A689" s="5"/>
      <c r="B689" s="5"/>
      <c r="C689" s="520"/>
      <c r="D689" s="520"/>
      <c r="E689" s="520"/>
      <c r="F689" s="69"/>
      <c r="G689" s="26"/>
      <c r="I689" s="5"/>
      <c r="J689" s="5"/>
    </row>
    <row r="690" spans="1:10" s="7" customFormat="1" ht="13.6">
      <c r="A690" s="5"/>
      <c r="B690" s="5"/>
      <c r="C690" s="520"/>
      <c r="D690" s="520"/>
      <c r="E690" s="520"/>
      <c r="F690" s="69"/>
      <c r="G690" s="26"/>
      <c r="I690" s="5"/>
      <c r="J690" s="5"/>
    </row>
    <row r="691" spans="1:10" s="7" customFormat="1" ht="13.6">
      <c r="A691" s="5"/>
      <c r="B691" s="5"/>
      <c r="C691" s="520"/>
      <c r="D691" s="520"/>
      <c r="E691" s="520"/>
      <c r="F691" s="69"/>
      <c r="G691" s="26"/>
      <c r="I691" s="5"/>
      <c r="J691" s="5"/>
    </row>
    <row r="692" spans="1:10" s="7" customFormat="1" ht="13.6">
      <c r="A692" s="5"/>
      <c r="B692" s="5"/>
      <c r="C692" s="520"/>
      <c r="D692" s="520"/>
      <c r="E692" s="520"/>
      <c r="F692" s="69"/>
      <c r="G692" s="26"/>
      <c r="I692" s="5"/>
      <c r="J692" s="5"/>
    </row>
    <row r="693" spans="1:10" s="7" customFormat="1" ht="13.6">
      <c r="A693" s="5"/>
      <c r="B693" s="5"/>
      <c r="C693" s="520"/>
      <c r="D693" s="520"/>
      <c r="E693" s="520"/>
      <c r="F693" s="69"/>
      <c r="G693" s="26"/>
      <c r="I693" s="5"/>
      <c r="J693" s="5"/>
    </row>
    <row r="694" spans="1:10" s="7" customFormat="1" ht="13.6">
      <c r="A694" s="5"/>
      <c r="B694" s="5"/>
      <c r="C694" s="520"/>
      <c r="D694" s="520"/>
      <c r="E694" s="520"/>
      <c r="F694" s="69"/>
      <c r="G694" s="26"/>
      <c r="I694" s="5"/>
      <c r="J694" s="5"/>
    </row>
    <row r="695" spans="1:10" s="7" customFormat="1" ht="13.6">
      <c r="A695" s="5"/>
      <c r="B695" s="5"/>
      <c r="C695" s="520"/>
      <c r="D695" s="520"/>
      <c r="E695" s="520"/>
      <c r="F695" s="69"/>
      <c r="G695" s="26"/>
      <c r="I695" s="5"/>
      <c r="J695" s="5"/>
    </row>
    <row r="696" spans="1:10" s="7" customFormat="1" ht="13.6">
      <c r="A696" s="5"/>
      <c r="B696" s="5"/>
      <c r="C696" s="520"/>
      <c r="D696" s="520"/>
      <c r="E696" s="520"/>
      <c r="F696" s="69"/>
      <c r="G696" s="26"/>
      <c r="I696" s="5"/>
      <c r="J696" s="5"/>
    </row>
    <row r="697" spans="1:10" s="7" customFormat="1" ht="13.6">
      <c r="A697" s="5"/>
      <c r="B697" s="5"/>
      <c r="C697" s="520"/>
      <c r="D697" s="520"/>
      <c r="E697" s="520"/>
      <c r="F697" s="69"/>
      <c r="G697" s="26"/>
      <c r="I697" s="5"/>
      <c r="J697" s="5"/>
    </row>
    <row r="698" spans="1:10" s="7" customFormat="1" ht="13.6">
      <c r="A698" s="5"/>
      <c r="B698" s="5"/>
      <c r="C698" s="520"/>
      <c r="D698" s="520"/>
      <c r="E698" s="520"/>
      <c r="F698" s="69"/>
      <c r="G698" s="26"/>
      <c r="I698" s="5"/>
      <c r="J698" s="5"/>
    </row>
    <row r="699" spans="1:10" s="7" customFormat="1" ht="13.6">
      <c r="A699" s="5"/>
      <c r="B699" s="5"/>
      <c r="C699" s="520"/>
      <c r="D699" s="520"/>
      <c r="E699" s="520"/>
      <c r="F699" s="69"/>
      <c r="G699" s="26"/>
      <c r="I699" s="5"/>
      <c r="J699" s="5"/>
    </row>
    <row r="700" spans="1:10" s="7" customFormat="1" ht="13.6">
      <c r="A700" s="5"/>
      <c r="B700" s="5"/>
      <c r="C700" s="520"/>
      <c r="D700" s="520"/>
      <c r="E700" s="520"/>
      <c r="F700" s="69"/>
      <c r="G700" s="26"/>
      <c r="I700" s="5"/>
      <c r="J700" s="5"/>
    </row>
    <row r="701" spans="1:10" s="7" customFormat="1" ht="13.6">
      <c r="A701" s="5"/>
      <c r="B701" s="5"/>
      <c r="C701" s="520"/>
      <c r="D701" s="520"/>
      <c r="E701" s="520"/>
      <c r="F701" s="69"/>
      <c r="G701" s="26"/>
      <c r="I701" s="5"/>
      <c r="J701" s="5"/>
    </row>
    <row r="702" spans="1:10" s="7" customFormat="1" ht="13.6">
      <c r="A702" s="5"/>
      <c r="B702" s="5"/>
      <c r="C702" s="520"/>
      <c r="D702" s="520"/>
      <c r="E702" s="520"/>
      <c r="F702" s="69"/>
      <c r="G702" s="26"/>
      <c r="I702" s="5"/>
      <c r="J702" s="5"/>
    </row>
  </sheetData>
  <mergeCells count="8">
    <mergeCell ref="A44:A45"/>
    <mergeCell ref="A46:A48"/>
    <mergeCell ref="J83:AU83"/>
    <mergeCell ref="A55:I63"/>
    <mergeCell ref="B73:G73"/>
    <mergeCell ref="K73:M73"/>
    <mergeCell ref="B75:G75"/>
    <mergeCell ref="B76:G76"/>
  </mergeCells>
  <conditionalFormatting sqref="A14">
    <cfRule type="duplicateValues" dxfId="309" priority="10"/>
  </conditionalFormatting>
  <conditionalFormatting sqref="A14">
    <cfRule type="duplicateValues" dxfId="308" priority="9"/>
  </conditionalFormatting>
  <conditionalFormatting sqref="A14">
    <cfRule type="duplicateValues" dxfId="307" priority="8"/>
  </conditionalFormatting>
  <conditionalFormatting sqref="A14">
    <cfRule type="duplicateValues" dxfId="306" priority="7"/>
  </conditionalFormatting>
  <conditionalFormatting sqref="A14">
    <cfRule type="duplicateValues" dxfId="305" priority="6"/>
  </conditionalFormatting>
  <conditionalFormatting sqref="A14">
    <cfRule type="duplicateValues" dxfId="304" priority="5"/>
  </conditionalFormatting>
  <conditionalFormatting sqref="A14">
    <cfRule type="duplicateValues" dxfId="303" priority="4"/>
  </conditionalFormatting>
  <conditionalFormatting sqref="A14">
    <cfRule type="duplicateValues" dxfId="302" priority="3"/>
  </conditionalFormatting>
  <conditionalFormatting sqref="A14">
    <cfRule type="duplicateValues" dxfId="301" priority="2"/>
  </conditionalFormatting>
  <conditionalFormatting sqref="A14">
    <cfRule type="duplicateValues" dxfId="300" priority="1"/>
  </conditionalFormatting>
  <printOptions gridLines="1"/>
  <pageMargins left="0.70866141732283472" right="0.70866141732283472" top="0.74803149606299213" bottom="0.74803149606299213" header="0" footer="0"/>
  <pageSetup paperSize="11" scale="50"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38EAC-0518-43F3-92A9-AE713E4A7225}">
  <sheetPr codeName="Munka12"/>
  <dimension ref="A1:J29"/>
  <sheetViews>
    <sheetView topLeftCell="A19" workbookViewId="0">
      <selection activeCell="E6" sqref="E6"/>
    </sheetView>
  </sheetViews>
  <sheetFormatPr defaultColWidth="7.77734375" defaultRowHeight="21.1"/>
  <cols>
    <col min="1" max="2" width="2.33203125" style="685" customWidth="1"/>
    <col min="3" max="3" width="9" style="689" customWidth="1"/>
    <col min="4" max="4" width="7.88671875" style="689" customWidth="1"/>
    <col min="5" max="5" width="49.6640625" style="689" customWidth="1"/>
    <col min="6" max="6" width="9.33203125" style="691" customWidth="1"/>
    <col min="7" max="7" width="7.77734375" style="685"/>
    <col min="8" max="8" width="49.6640625" style="685" customWidth="1"/>
    <col min="9" max="10" width="2.33203125" style="685" customWidth="1"/>
  </cols>
  <sheetData>
    <row r="1" spans="1:10" s="685" customFormat="1">
      <c r="A1" s="682"/>
      <c r="B1" s="682"/>
      <c r="C1" s="683"/>
      <c r="D1" s="683"/>
      <c r="E1" s="683"/>
      <c r="F1" s="684"/>
      <c r="G1" s="682"/>
      <c r="H1" s="682"/>
      <c r="I1" s="682"/>
      <c r="J1" s="682"/>
    </row>
    <row r="2" spans="1:10">
      <c r="A2" s="682"/>
      <c r="B2" s="686"/>
      <c r="C2" s="687"/>
      <c r="D2" s="687"/>
      <c r="E2" s="687"/>
      <c r="F2" s="688"/>
      <c r="G2" s="686"/>
      <c r="H2" s="686"/>
      <c r="I2" s="686"/>
      <c r="J2" s="682"/>
    </row>
    <row r="3" spans="1:10" ht="41.45">
      <c r="A3" s="682"/>
      <c r="B3" s="686"/>
      <c r="C3" s="1573" t="s">
        <v>5580</v>
      </c>
      <c r="D3" s="1573"/>
      <c r="E3" s="1573"/>
      <c r="F3" s="1573"/>
      <c r="G3" s="1573"/>
      <c r="H3" s="1573"/>
      <c r="I3" s="686"/>
      <c r="J3" s="682"/>
    </row>
    <row r="4" spans="1:10" ht="21.75" thickBot="1">
      <c r="A4" s="682"/>
      <c r="B4" s="686"/>
      <c r="C4" s="687"/>
      <c r="D4" s="687"/>
      <c r="E4" s="687"/>
      <c r="F4" s="688"/>
      <c r="G4" s="686"/>
      <c r="H4" s="686"/>
      <c r="I4" s="686"/>
      <c r="J4" s="682"/>
    </row>
    <row r="5" spans="1:10">
      <c r="A5" s="682"/>
      <c r="B5" s="686"/>
      <c r="C5" s="776" t="s">
        <v>5581</v>
      </c>
      <c r="D5" s="777" t="s">
        <v>5582</v>
      </c>
      <c r="E5" s="778" t="s">
        <v>5583</v>
      </c>
      <c r="F5" s="776" t="s">
        <v>5581</v>
      </c>
      <c r="G5" s="777" t="s">
        <v>5582</v>
      </c>
      <c r="H5" s="778" t="s">
        <v>5583</v>
      </c>
      <c r="I5" s="686"/>
      <c r="J5" s="682"/>
    </row>
    <row r="6" spans="1:10">
      <c r="A6" s="682"/>
      <c r="B6" s="686"/>
      <c r="C6" s="779" t="s">
        <v>880</v>
      </c>
      <c r="D6" s="780">
        <v>0</v>
      </c>
      <c r="E6" s="781" t="s">
        <v>884</v>
      </c>
      <c r="F6" s="779" t="s">
        <v>788</v>
      </c>
      <c r="G6" s="780">
        <v>0</v>
      </c>
      <c r="H6" s="781" t="s">
        <v>885</v>
      </c>
      <c r="I6" s="686"/>
      <c r="J6" s="682"/>
    </row>
    <row r="7" spans="1:10">
      <c r="A7" s="682"/>
      <c r="B7" s="686"/>
      <c r="C7" s="779" t="s">
        <v>599</v>
      </c>
      <c r="D7" s="780">
        <v>0</v>
      </c>
      <c r="E7" s="781" t="s">
        <v>886</v>
      </c>
      <c r="F7" s="779" t="s">
        <v>722</v>
      </c>
      <c r="G7" s="780">
        <v>0</v>
      </c>
      <c r="H7" s="781" t="s">
        <v>887</v>
      </c>
      <c r="I7" s="686"/>
      <c r="J7" s="682"/>
    </row>
    <row r="8" spans="1:10">
      <c r="A8" s="682"/>
      <c r="B8" s="686"/>
      <c r="C8" s="779" t="s">
        <v>595</v>
      </c>
      <c r="D8" s="780">
        <v>0</v>
      </c>
      <c r="E8" s="781" t="s">
        <v>888</v>
      </c>
      <c r="F8" s="779" t="s">
        <v>608</v>
      </c>
      <c r="G8" s="780">
        <v>0</v>
      </c>
      <c r="H8" s="781" t="s">
        <v>889</v>
      </c>
      <c r="I8" s="686"/>
      <c r="J8" s="682"/>
    </row>
    <row r="9" spans="1:10">
      <c r="A9" s="682"/>
      <c r="B9" s="686"/>
      <c r="C9" s="779" t="s">
        <v>604</v>
      </c>
      <c r="D9" s="780">
        <v>0</v>
      </c>
      <c r="E9" s="781" t="s">
        <v>890</v>
      </c>
      <c r="F9" s="779" t="s">
        <v>736</v>
      </c>
      <c r="G9" s="780">
        <v>0</v>
      </c>
      <c r="H9" s="781" t="s">
        <v>891</v>
      </c>
      <c r="I9" s="686"/>
      <c r="J9" s="682"/>
    </row>
    <row r="10" spans="1:10">
      <c r="A10" s="682"/>
      <c r="B10" s="686"/>
      <c r="C10" s="779" t="s">
        <v>856</v>
      </c>
      <c r="D10" s="780">
        <v>0</v>
      </c>
      <c r="E10" s="781" t="s">
        <v>892</v>
      </c>
      <c r="F10" s="779" t="s">
        <v>1447</v>
      </c>
      <c r="G10" s="780">
        <v>0</v>
      </c>
      <c r="H10" s="781" t="s">
        <v>5584</v>
      </c>
      <c r="I10" s="686"/>
      <c r="J10" s="682"/>
    </row>
    <row r="11" spans="1:10">
      <c r="A11" s="682"/>
      <c r="B11" s="686"/>
      <c r="C11" s="779" t="s">
        <v>1751</v>
      </c>
      <c r="D11" s="780">
        <v>0</v>
      </c>
      <c r="E11" s="781" t="s">
        <v>2551</v>
      </c>
      <c r="F11" s="779" t="s">
        <v>642</v>
      </c>
      <c r="G11" s="780">
        <v>0</v>
      </c>
      <c r="H11" s="781" t="s">
        <v>893</v>
      </c>
      <c r="I11" s="686"/>
      <c r="J11" s="682"/>
    </row>
    <row r="12" spans="1:10">
      <c r="A12" s="682"/>
      <c r="B12" s="686"/>
      <c r="C12" s="779" t="s">
        <v>575</v>
      </c>
      <c r="D12" s="780">
        <v>0</v>
      </c>
      <c r="E12" s="781" t="s">
        <v>897</v>
      </c>
      <c r="F12" s="779" t="s">
        <v>690</v>
      </c>
      <c r="G12" s="780">
        <v>0</v>
      </c>
      <c r="H12" s="781" t="s">
        <v>896</v>
      </c>
      <c r="I12" s="686"/>
      <c r="J12" s="682"/>
    </row>
    <row r="13" spans="1:10">
      <c r="A13" s="682"/>
      <c r="B13" s="686"/>
      <c r="C13" s="779" t="s">
        <v>551</v>
      </c>
      <c r="D13" s="780">
        <v>0</v>
      </c>
      <c r="E13" s="781" t="s">
        <v>899</v>
      </c>
      <c r="F13" s="779" t="s">
        <v>528</v>
      </c>
      <c r="G13" s="780">
        <v>0</v>
      </c>
      <c r="H13" s="781" t="s">
        <v>898</v>
      </c>
      <c r="I13" s="686"/>
      <c r="J13" s="682"/>
    </row>
    <row r="14" spans="1:10">
      <c r="A14" s="682"/>
      <c r="B14" s="686"/>
      <c r="C14" s="779" t="s">
        <v>901</v>
      </c>
      <c r="D14" s="780">
        <v>0</v>
      </c>
      <c r="E14" s="781" t="s">
        <v>902</v>
      </c>
      <c r="F14" s="779" t="s">
        <v>476</v>
      </c>
      <c r="G14" s="780">
        <v>0</v>
      </c>
      <c r="H14" s="781" t="s">
        <v>900</v>
      </c>
      <c r="I14" s="686"/>
      <c r="J14" s="682"/>
    </row>
    <row r="15" spans="1:10">
      <c r="A15" s="682"/>
      <c r="B15" s="686"/>
      <c r="C15" s="779" t="s">
        <v>554</v>
      </c>
      <c r="D15" s="780">
        <v>0</v>
      </c>
      <c r="E15" s="781" t="s">
        <v>906</v>
      </c>
      <c r="F15" s="779" t="s">
        <v>527</v>
      </c>
      <c r="G15" s="780">
        <v>0</v>
      </c>
      <c r="H15" s="781" t="s">
        <v>903</v>
      </c>
      <c r="I15" s="686"/>
      <c r="J15" s="682"/>
    </row>
    <row r="16" spans="1:10">
      <c r="A16" s="682"/>
      <c r="B16" s="686"/>
      <c r="C16" s="779" t="s">
        <v>627</v>
      </c>
      <c r="D16" s="780">
        <v>0</v>
      </c>
      <c r="E16" s="781" t="s">
        <v>908</v>
      </c>
      <c r="F16" s="779" t="s">
        <v>778</v>
      </c>
      <c r="G16" s="780">
        <v>0</v>
      </c>
      <c r="H16" s="781" t="s">
        <v>905</v>
      </c>
      <c r="I16" s="686"/>
      <c r="J16" s="682"/>
    </row>
    <row r="17" spans="1:10" ht="42.15">
      <c r="A17" s="682"/>
      <c r="B17" s="686"/>
      <c r="C17" s="779" t="s">
        <v>738</v>
      </c>
      <c r="D17" s="780">
        <v>0</v>
      </c>
      <c r="E17" s="781" t="s">
        <v>911</v>
      </c>
      <c r="F17" s="779" t="s">
        <v>5810</v>
      </c>
      <c r="G17" s="780">
        <v>0</v>
      </c>
      <c r="H17" s="781" t="s">
        <v>907</v>
      </c>
      <c r="I17" s="686"/>
      <c r="J17" s="682"/>
    </row>
    <row r="18" spans="1:10">
      <c r="A18" s="682"/>
      <c r="B18" s="686"/>
      <c r="C18" s="779" t="s">
        <v>731</v>
      </c>
      <c r="D18" s="780">
        <v>0</v>
      </c>
      <c r="E18" s="781" t="s">
        <v>914</v>
      </c>
      <c r="F18" s="779" t="s">
        <v>5811</v>
      </c>
      <c r="G18" s="780">
        <v>0</v>
      </c>
      <c r="H18" s="781" t="s">
        <v>910</v>
      </c>
      <c r="I18" s="686"/>
      <c r="J18" s="682"/>
    </row>
    <row r="19" spans="1:10" ht="21.75" thickBot="1">
      <c r="A19" s="682"/>
      <c r="B19" s="686"/>
      <c r="C19" s="782" t="s">
        <v>912</v>
      </c>
      <c r="D19" s="783">
        <v>0</v>
      </c>
      <c r="E19" s="784" t="s">
        <v>913</v>
      </c>
      <c r="F19" s="782" t="s">
        <v>5585</v>
      </c>
      <c r="G19" s="783">
        <v>0</v>
      </c>
      <c r="H19" s="784" t="s">
        <v>5586</v>
      </c>
      <c r="I19" s="686"/>
      <c r="J19" s="682"/>
    </row>
    <row r="20" spans="1:10">
      <c r="A20" s="682"/>
      <c r="B20" s="682"/>
      <c r="C20" s="683"/>
      <c r="D20" s="683"/>
      <c r="E20" s="683"/>
      <c r="F20" s="684"/>
      <c r="G20" s="682"/>
      <c r="H20" s="682"/>
      <c r="I20" s="682"/>
      <c r="J20" s="682"/>
    </row>
    <row r="21" spans="1:10">
      <c r="C21" s="1574" t="s">
        <v>5913</v>
      </c>
      <c r="D21" s="1574"/>
      <c r="E21" s="1574"/>
      <c r="F21" s="1574"/>
      <c r="G21" s="1574"/>
      <c r="H21" s="1574"/>
    </row>
    <row r="23" spans="1:10" s="1063" customFormat="1">
      <c r="A23" s="708"/>
      <c r="B23" s="708"/>
      <c r="C23" s="706" t="s">
        <v>5902</v>
      </c>
      <c r="D23" s="706"/>
      <c r="E23" s="706" t="s">
        <v>5914</v>
      </c>
      <c r="F23" s="706" t="s">
        <v>5851</v>
      </c>
      <c r="G23" s="708"/>
      <c r="H23" s="781" t="s">
        <v>5919</v>
      </c>
      <c r="I23" s="708"/>
      <c r="J23" s="708"/>
    </row>
    <row r="24" spans="1:10" s="1063" customFormat="1">
      <c r="A24" s="708"/>
      <c r="B24" s="708"/>
      <c r="C24" s="706" t="s">
        <v>5903</v>
      </c>
      <c r="D24" s="706"/>
      <c r="E24" s="706" t="s">
        <v>5915</v>
      </c>
      <c r="F24" s="706" t="s">
        <v>5850</v>
      </c>
      <c r="G24" s="708"/>
      <c r="H24" s="781" t="s">
        <v>5920</v>
      </c>
      <c r="I24" s="708"/>
      <c r="J24" s="708"/>
    </row>
    <row r="25" spans="1:10" s="1063" customFormat="1">
      <c r="A25" s="708"/>
      <c r="B25" s="708"/>
      <c r="C25" s="706" t="s">
        <v>5904</v>
      </c>
      <c r="D25" s="706"/>
      <c r="E25" s="706" t="s">
        <v>5916</v>
      </c>
      <c r="F25" s="706" t="s">
        <v>5918</v>
      </c>
      <c r="G25" s="708"/>
      <c r="H25" s="781" t="s">
        <v>5921</v>
      </c>
      <c r="I25" s="708"/>
      <c r="J25" s="708"/>
    </row>
    <row r="26" spans="1:10" s="1063" customFormat="1" ht="42.15">
      <c r="A26" s="708"/>
      <c r="B26" s="708"/>
      <c r="C26" s="706" t="s">
        <v>5814</v>
      </c>
      <c r="D26" s="706"/>
      <c r="E26" s="706" t="s">
        <v>5917</v>
      </c>
      <c r="F26" s="706" t="s">
        <v>5852</v>
      </c>
      <c r="G26" s="708"/>
      <c r="H26" s="781" t="s">
        <v>5922</v>
      </c>
      <c r="I26" s="708"/>
      <c r="J26" s="708"/>
    </row>
    <row r="27" spans="1:10" s="1063" customFormat="1" ht="22.1" customHeight="1">
      <c r="A27" s="708"/>
      <c r="B27" s="708"/>
      <c r="C27" s="706"/>
      <c r="D27" s="706"/>
      <c r="E27" s="706"/>
      <c r="F27" s="611" t="s">
        <v>5853</v>
      </c>
      <c r="G27" s="708"/>
      <c r="H27" s="781" t="s">
        <v>5923</v>
      </c>
      <c r="I27" s="708"/>
      <c r="J27" s="708"/>
    </row>
    <row r="28" spans="1:10" s="1063" customFormat="1" ht="42.15">
      <c r="A28" s="708"/>
      <c r="B28" s="708"/>
      <c r="C28" s="706" t="s">
        <v>5930</v>
      </c>
      <c r="D28" s="706"/>
      <c r="E28" s="706" t="s">
        <v>5933</v>
      </c>
      <c r="F28" s="611" t="s">
        <v>5854</v>
      </c>
      <c r="G28" s="708"/>
      <c r="H28" s="781" t="s">
        <v>5924</v>
      </c>
      <c r="I28" s="708"/>
      <c r="J28" s="708"/>
    </row>
    <row r="29" spans="1:10" s="1063" customFormat="1">
      <c r="A29" s="708"/>
      <c r="B29" s="708"/>
      <c r="C29" s="706"/>
      <c r="D29" s="706"/>
      <c r="E29" s="706"/>
      <c r="F29" s="706" t="s">
        <v>5849</v>
      </c>
      <c r="G29" s="708"/>
      <c r="H29" s="781" t="s">
        <v>5925</v>
      </c>
      <c r="I29" s="708"/>
      <c r="J29" s="708"/>
    </row>
  </sheetData>
  <mergeCells count="2">
    <mergeCell ref="C3:H3"/>
    <mergeCell ref="C21:H2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071629-6563-4D15-B8BD-447A9CE817AF}">
  <sheetPr codeName="Munka13"/>
  <dimension ref="A1:E62"/>
  <sheetViews>
    <sheetView workbookViewId="0"/>
  </sheetViews>
  <sheetFormatPr defaultColWidth="7.77734375" defaultRowHeight="21.1"/>
  <cols>
    <col min="1" max="2" width="2.33203125" style="685" customWidth="1"/>
    <col min="3" max="3" width="117.109375" style="689" customWidth="1"/>
    <col min="4" max="5" width="2.33203125" style="685" customWidth="1"/>
  </cols>
  <sheetData>
    <row r="1" spans="1:5" ht="14.95" customHeight="1">
      <c r="A1" s="682"/>
      <c r="B1" s="682"/>
      <c r="C1" s="683"/>
      <c r="D1" s="682"/>
      <c r="E1" s="682"/>
    </row>
    <row r="2" spans="1:5" ht="14.95" customHeight="1">
      <c r="A2" s="682"/>
      <c r="B2" s="686"/>
      <c r="C2" s="687"/>
      <c r="D2" s="686"/>
      <c r="E2" s="682"/>
    </row>
    <row r="3" spans="1:5" ht="41.45">
      <c r="A3" s="682"/>
      <c r="B3" s="686"/>
      <c r="C3" s="692" t="s">
        <v>5587</v>
      </c>
      <c r="D3" s="686"/>
      <c r="E3" s="682"/>
    </row>
    <row r="4" spans="1:5" ht="14.95" customHeight="1">
      <c r="A4" s="682"/>
      <c r="B4" s="686"/>
      <c r="C4" s="687"/>
      <c r="D4" s="686"/>
      <c r="E4" s="682"/>
    </row>
    <row r="5" spans="1:5" ht="84.25">
      <c r="A5" s="682"/>
      <c r="B5" s="686"/>
      <c r="C5" s="693" t="s">
        <v>5588</v>
      </c>
      <c r="D5" s="686"/>
      <c r="E5" s="682"/>
    </row>
    <row r="6" spans="1:5" ht="63.2">
      <c r="A6" s="682"/>
      <c r="B6" s="686"/>
      <c r="C6" s="693" t="s">
        <v>5589</v>
      </c>
      <c r="D6" s="686"/>
      <c r="E6" s="682"/>
    </row>
    <row r="7" spans="1:5" ht="126.35">
      <c r="A7" s="682"/>
      <c r="B7" s="686"/>
      <c r="C7" s="693" t="s">
        <v>5590</v>
      </c>
      <c r="D7" s="686"/>
      <c r="E7" s="682"/>
    </row>
    <row r="8" spans="1:5">
      <c r="A8" s="682"/>
      <c r="B8" s="686"/>
      <c r="C8" s="693" t="s">
        <v>5591</v>
      </c>
      <c r="D8" s="686"/>
      <c r="E8" s="682"/>
    </row>
    <row r="9" spans="1:5">
      <c r="A9" s="682"/>
      <c r="B9" s="686"/>
      <c r="C9" s="693" t="s">
        <v>5592</v>
      </c>
      <c r="D9" s="686"/>
      <c r="E9" s="682"/>
    </row>
    <row r="10" spans="1:5">
      <c r="A10" s="682"/>
      <c r="B10" s="686"/>
      <c r="C10" s="693" t="s">
        <v>5593</v>
      </c>
      <c r="D10" s="686"/>
      <c r="E10" s="682"/>
    </row>
    <row r="11" spans="1:5">
      <c r="A11" s="682"/>
      <c r="B11" s="686"/>
      <c r="C11" s="693" t="s">
        <v>5594</v>
      </c>
      <c r="D11" s="686"/>
      <c r="E11" s="682"/>
    </row>
    <row r="12" spans="1:5">
      <c r="A12" s="682"/>
      <c r="B12" s="686"/>
      <c r="C12" s="693" t="s">
        <v>5595</v>
      </c>
      <c r="D12" s="686"/>
      <c r="E12" s="682"/>
    </row>
    <row r="13" spans="1:5">
      <c r="A13" s="682"/>
      <c r="B13" s="686"/>
      <c r="C13" s="693" t="s">
        <v>5596</v>
      </c>
      <c r="D13" s="686"/>
      <c r="E13" s="682"/>
    </row>
    <row r="14" spans="1:5">
      <c r="A14" s="682"/>
      <c r="B14" s="686"/>
      <c r="C14" s="693" t="s">
        <v>5597</v>
      </c>
      <c r="D14" s="686"/>
      <c r="E14" s="682"/>
    </row>
    <row r="15" spans="1:5">
      <c r="A15" s="682"/>
      <c r="B15" s="686"/>
      <c r="C15" s="693" t="s">
        <v>5598</v>
      </c>
      <c r="D15" s="686"/>
      <c r="E15" s="682"/>
    </row>
    <row r="16" spans="1:5">
      <c r="A16" s="682"/>
      <c r="B16" s="686"/>
      <c r="C16" s="693" t="s">
        <v>5599</v>
      </c>
      <c r="D16" s="686"/>
      <c r="E16" s="682"/>
    </row>
    <row r="17" spans="1:5">
      <c r="A17" s="682"/>
      <c r="B17" s="686"/>
      <c r="C17" s="693" t="s">
        <v>5600</v>
      </c>
      <c r="D17" s="686"/>
      <c r="E17" s="682"/>
    </row>
    <row r="18" spans="1:5">
      <c r="A18" s="682"/>
      <c r="B18" s="686"/>
      <c r="C18" s="693" t="s">
        <v>5601</v>
      </c>
      <c r="D18" s="686"/>
      <c r="E18" s="682"/>
    </row>
    <row r="19" spans="1:5" ht="105.3">
      <c r="A19" s="682"/>
      <c r="B19" s="686"/>
      <c r="C19" s="693" t="s">
        <v>5602</v>
      </c>
      <c r="D19" s="686"/>
      <c r="E19" s="682"/>
    </row>
    <row r="20" spans="1:5" ht="231.65">
      <c r="A20" s="682"/>
      <c r="B20" s="686"/>
      <c r="C20" s="693" t="s">
        <v>5603</v>
      </c>
      <c r="D20" s="686"/>
      <c r="E20" s="682"/>
    </row>
    <row r="21" spans="1:5" ht="409.6">
      <c r="A21" s="682"/>
      <c r="B21" s="686"/>
      <c r="C21" s="693" t="s">
        <v>5604</v>
      </c>
      <c r="D21" s="686"/>
      <c r="E21" s="682"/>
    </row>
    <row r="22" spans="1:5" ht="84.25">
      <c r="A22" s="682"/>
      <c r="B22" s="686"/>
      <c r="C22" s="693" t="s">
        <v>5605</v>
      </c>
      <c r="D22" s="686"/>
      <c r="E22" s="682"/>
    </row>
    <row r="23" spans="1:5" ht="42.15">
      <c r="A23" s="682"/>
      <c r="B23" s="686"/>
      <c r="C23" s="693" t="s">
        <v>5606</v>
      </c>
      <c r="D23" s="686"/>
      <c r="E23" s="682"/>
    </row>
    <row r="24" spans="1:5">
      <c r="A24" s="682"/>
      <c r="B24" s="686"/>
      <c r="C24" s="693"/>
      <c r="D24" s="686"/>
      <c r="E24" s="682"/>
    </row>
    <row r="25" spans="1:5">
      <c r="A25" s="682"/>
      <c r="B25" s="686"/>
      <c r="C25" s="693"/>
      <c r="D25" s="686"/>
      <c r="E25" s="682"/>
    </row>
    <row r="26" spans="1:5">
      <c r="A26" s="682"/>
      <c r="B26" s="686"/>
      <c r="C26" s="693"/>
      <c r="D26" s="686"/>
      <c r="E26" s="682"/>
    </row>
    <row r="27" spans="1:5">
      <c r="A27" s="682"/>
      <c r="B27" s="686"/>
      <c r="C27" s="693"/>
      <c r="D27" s="686"/>
      <c r="E27" s="682"/>
    </row>
    <row r="28" spans="1:5" ht="63.2">
      <c r="A28" s="682"/>
      <c r="B28" s="686"/>
      <c r="C28" s="693" t="s">
        <v>5607</v>
      </c>
      <c r="D28" s="686"/>
      <c r="E28" s="682"/>
    </row>
    <row r="29" spans="1:5">
      <c r="A29" s="682"/>
      <c r="B29" s="686"/>
      <c r="C29" s="693" t="s">
        <v>5608</v>
      </c>
      <c r="D29" s="686"/>
      <c r="E29" s="682"/>
    </row>
    <row r="30" spans="1:5">
      <c r="A30" s="682"/>
      <c r="B30" s="686"/>
      <c r="C30" s="693" t="s">
        <v>5609</v>
      </c>
      <c r="D30" s="686"/>
      <c r="E30" s="682"/>
    </row>
    <row r="31" spans="1:5" ht="42.15">
      <c r="A31" s="682"/>
      <c r="B31" s="686"/>
      <c r="C31" s="693" t="s">
        <v>5610</v>
      </c>
      <c r="D31" s="686"/>
      <c r="E31" s="682"/>
    </row>
    <row r="32" spans="1:5" ht="42.15">
      <c r="A32" s="682"/>
      <c r="B32" s="686"/>
      <c r="C32" s="693" t="s">
        <v>5611</v>
      </c>
      <c r="D32" s="686"/>
      <c r="E32" s="682"/>
    </row>
    <row r="33" spans="1:5" ht="42.15">
      <c r="A33" s="682"/>
      <c r="B33" s="686"/>
      <c r="C33" s="693" t="s">
        <v>5612</v>
      </c>
      <c r="D33" s="686"/>
      <c r="E33" s="682"/>
    </row>
    <row r="34" spans="1:5" ht="42.15">
      <c r="A34" s="682"/>
      <c r="B34" s="686"/>
      <c r="C34" s="693" t="s">
        <v>5613</v>
      </c>
      <c r="D34" s="686"/>
      <c r="E34" s="682"/>
    </row>
    <row r="35" spans="1:5" ht="84.25">
      <c r="A35" s="682"/>
      <c r="B35" s="686"/>
      <c r="C35" s="693" t="s">
        <v>5614</v>
      </c>
      <c r="D35" s="686"/>
      <c r="E35" s="682"/>
    </row>
    <row r="36" spans="1:5" ht="63.2">
      <c r="A36" s="682"/>
      <c r="B36" s="686"/>
      <c r="C36" s="693" t="s">
        <v>5615</v>
      </c>
      <c r="D36" s="686"/>
      <c r="E36" s="682"/>
    </row>
    <row r="37" spans="1:5" ht="63.2">
      <c r="A37" s="682"/>
      <c r="B37" s="686"/>
      <c r="C37" s="693" t="s">
        <v>5616</v>
      </c>
      <c r="D37" s="686"/>
      <c r="E37" s="682"/>
    </row>
    <row r="38" spans="1:5" ht="63.2">
      <c r="A38" s="682"/>
      <c r="B38" s="686"/>
      <c r="C38" s="694" t="s">
        <v>5617</v>
      </c>
      <c r="D38" s="686"/>
      <c r="E38" s="682"/>
    </row>
    <row r="39" spans="1:5" ht="63.2">
      <c r="A39" s="682"/>
      <c r="B39" s="686"/>
      <c r="C39" s="694" t="s">
        <v>5618</v>
      </c>
      <c r="D39" s="686"/>
      <c r="E39" s="682"/>
    </row>
    <row r="40" spans="1:5" ht="42.15">
      <c r="A40" s="682"/>
      <c r="B40" s="686"/>
      <c r="C40" s="693" t="s">
        <v>5619</v>
      </c>
      <c r="D40" s="686"/>
      <c r="E40" s="682"/>
    </row>
    <row r="41" spans="1:5" ht="42.15">
      <c r="A41" s="682"/>
      <c r="B41" s="686"/>
      <c r="C41" s="693" t="s">
        <v>5620</v>
      </c>
      <c r="D41" s="686"/>
      <c r="E41" s="682"/>
    </row>
    <row r="42" spans="1:5" ht="63.2">
      <c r="A42" s="682"/>
      <c r="B42" s="686"/>
      <c r="C42" s="693" t="s">
        <v>5621</v>
      </c>
      <c r="D42" s="686"/>
      <c r="E42" s="682"/>
    </row>
    <row r="43" spans="1:5" ht="63.2">
      <c r="A43" s="682"/>
      <c r="B43" s="686"/>
      <c r="C43" s="693" t="s">
        <v>5622</v>
      </c>
      <c r="D43" s="686"/>
      <c r="E43" s="682"/>
    </row>
    <row r="44" spans="1:5">
      <c r="A44" s="682"/>
      <c r="B44" s="686"/>
      <c r="C44" s="693" t="s">
        <v>5623</v>
      </c>
      <c r="D44" s="686"/>
      <c r="E44" s="682"/>
    </row>
    <row r="45" spans="1:5" ht="42.15">
      <c r="A45" s="682"/>
      <c r="B45" s="686"/>
      <c r="C45" s="693" t="s">
        <v>5624</v>
      </c>
      <c r="D45" s="686"/>
      <c r="E45" s="682"/>
    </row>
    <row r="46" spans="1:5" ht="42.15">
      <c r="A46" s="682"/>
      <c r="B46" s="686"/>
      <c r="C46" s="695" t="s">
        <v>5625</v>
      </c>
      <c r="D46" s="686"/>
      <c r="E46" s="682"/>
    </row>
    <row r="47" spans="1:5" ht="42.15">
      <c r="A47" s="682"/>
      <c r="B47" s="686"/>
      <c r="C47" s="695" t="s">
        <v>5626</v>
      </c>
      <c r="D47" s="686"/>
      <c r="E47" s="682"/>
    </row>
    <row r="48" spans="1:5" ht="63.2">
      <c r="A48" s="682"/>
      <c r="B48" s="686"/>
      <c r="C48" s="695" t="s">
        <v>5627</v>
      </c>
      <c r="D48" s="686"/>
      <c r="E48" s="682"/>
    </row>
    <row r="49" spans="1:5" ht="42.15">
      <c r="A49" s="682"/>
      <c r="B49" s="686"/>
      <c r="C49" s="695" t="s">
        <v>5628</v>
      </c>
      <c r="D49" s="686"/>
      <c r="E49" s="682"/>
    </row>
    <row r="50" spans="1:5">
      <c r="A50" s="682"/>
      <c r="B50" s="686"/>
      <c r="C50" s="695" t="s">
        <v>5629</v>
      </c>
      <c r="D50" s="686"/>
      <c r="E50" s="682"/>
    </row>
    <row r="51" spans="1:5" ht="63.2">
      <c r="A51" s="682"/>
      <c r="B51" s="686"/>
      <c r="C51" s="695" t="s">
        <v>5630</v>
      </c>
      <c r="D51" s="686"/>
      <c r="E51" s="682"/>
    </row>
    <row r="52" spans="1:5">
      <c r="A52" s="682"/>
      <c r="B52" s="686"/>
      <c r="C52" s="693" t="s">
        <v>5631</v>
      </c>
      <c r="D52" s="686"/>
      <c r="E52" s="682"/>
    </row>
    <row r="53" spans="1:5">
      <c r="A53" s="682"/>
      <c r="B53" s="686"/>
      <c r="C53" s="693" t="s">
        <v>5632</v>
      </c>
      <c r="D53" s="686"/>
      <c r="E53" s="682"/>
    </row>
    <row r="54" spans="1:5">
      <c r="A54" s="682"/>
      <c r="B54" s="686"/>
      <c r="C54" s="693" t="s">
        <v>5633</v>
      </c>
      <c r="D54" s="686"/>
      <c r="E54" s="682"/>
    </row>
    <row r="55" spans="1:5">
      <c r="A55" s="682"/>
      <c r="B55" s="686"/>
      <c r="C55" s="693" t="s">
        <v>5634</v>
      </c>
      <c r="D55" s="686"/>
      <c r="E55" s="682"/>
    </row>
    <row r="56" spans="1:5">
      <c r="A56" s="682"/>
      <c r="B56" s="686"/>
      <c r="C56" s="693" t="s">
        <v>5635</v>
      </c>
      <c r="D56" s="686"/>
      <c r="E56" s="682"/>
    </row>
    <row r="57" spans="1:5">
      <c r="A57" s="682"/>
      <c r="B57" s="686"/>
      <c r="C57" s="693" t="s">
        <v>5636</v>
      </c>
      <c r="D57" s="686"/>
      <c r="E57" s="682"/>
    </row>
    <row r="58" spans="1:5" ht="42.15">
      <c r="A58" s="682"/>
      <c r="B58" s="686"/>
      <c r="C58" s="693" t="s">
        <v>5637</v>
      </c>
      <c r="D58" s="686"/>
      <c r="E58" s="682"/>
    </row>
    <row r="59" spans="1:5" ht="42.15">
      <c r="A59" s="682"/>
      <c r="B59" s="686"/>
      <c r="C59" s="693" t="s">
        <v>5638</v>
      </c>
      <c r="D59" s="686"/>
      <c r="E59" s="682"/>
    </row>
    <row r="60" spans="1:5">
      <c r="A60" s="682"/>
      <c r="B60" s="686"/>
      <c r="C60" s="693" t="s">
        <v>5639</v>
      </c>
      <c r="D60" s="686"/>
      <c r="E60" s="682"/>
    </row>
    <row r="61" spans="1:5" ht="14.95" customHeight="1">
      <c r="A61" s="682"/>
      <c r="B61" s="686"/>
      <c r="C61" s="687" t="s">
        <v>5640</v>
      </c>
      <c r="D61" s="686"/>
      <c r="E61" s="682"/>
    </row>
    <row r="62" spans="1:5" ht="14.95" customHeight="1">
      <c r="A62" s="682"/>
      <c r="B62" s="682"/>
      <c r="C62" s="683"/>
      <c r="D62" s="682"/>
      <c r="E62" s="682"/>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8D6CD5-50FA-4523-AA2F-9B15AC3B68F7}">
  <sheetPr codeName="Munka9">
    <tabColor theme="8"/>
  </sheetPr>
  <dimension ref="A1:L422"/>
  <sheetViews>
    <sheetView topLeftCell="A21" workbookViewId="0">
      <selection activeCell="C25" sqref="C25"/>
    </sheetView>
  </sheetViews>
  <sheetFormatPr defaultColWidth="7.77734375" defaultRowHeight="21.1"/>
  <cols>
    <col min="1" max="1" width="2.33203125" style="717" customWidth="1"/>
    <col min="2" max="2" width="0.109375" style="717" customWidth="1"/>
    <col min="3" max="3" width="19" style="725" customWidth="1"/>
    <col min="4" max="4" width="47.88671875" style="725" customWidth="1"/>
    <col min="5" max="5" width="29.21875" style="725" customWidth="1"/>
    <col min="6" max="6" width="10" style="748" hidden="1" customWidth="1"/>
    <col min="7" max="7" width="27.77734375" style="738" bestFit="1" customWidth="1"/>
    <col min="8" max="8" width="9.77734375" style="738" customWidth="1"/>
    <col min="9" max="9" width="15" style="738" customWidth="1"/>
    <col min="10" max="11" width="2.33203125" style="717" customWidth="1"/>
    <col min="12" max="16384" width="7.77734375" style="717"/>
  </cols>
  <sheetData>
    <row r="1" spans="1:12">
      <c r="A1" s="713"/>
      <c r="B1" s="713"/>
      <c r="C1" s="714"/>
      <c r="D1" s="714"/>
      <c r="E1" s="714"/>
      <c r="F1" s="715"/>
      <c r="G1" s="716"/>
      <c r="H1" s="716"/>
      <c r="I1" s="716"/>
      <c r="J1" s="713"/>
      <c r="K1" s="713"/>
    </row>
    <row r="2" spans="1:12" ht="41.45">
      <c r="A2" s="713"/>
      <c r="B2" s="713"/>
      <c r="C2" s="1575" t="s">
        <v>5726</v>
      </c>
      <c r="D2" s="1575"/>
      <c r="E2" s="1575"/>
      <c r="F2" s="1576"/>
      <c r="G2" s="1576"/>
      <c r="H2" s="1576"/>
      <c r="I2" s="1576"/>
      <c r="J2" s="713"/>
      <c r="K2" s="713"/>
    </row>
    <row r="3" spans="1:12" ht="58.75" customHeight="1">
      <c r="A3" s="713"/>
      <c r="B3" s="713"/>
      <c r="C3" s="1577" t="s">
        <v>5727</v>
      </c>
      <c r="D3" s="1577"/>
      <c r="E3" s="1577"/>
      <c r="F3" s="1577"/>
      <c r="G3" s="718"/>
      <c r="H3" s="716"/>
      <c r="I3" s="716"/>
      <c r="J3" s="713"/>
      <c r="K3" s="713"/>
    </row>
    <row r="4" spans="1:12" ht="19.7" customHeight="1">
      <c r="A4" s="713"/>
      <c r="B4" s="719"/>
      <c r="C4" s="720"/>
      <c r="D4" s="720"/>
      <c r="E4" s="720"/>
      <c r="F4" s="721"/>
      <c r="G4" s="722"/>
      <c r="H4" s="722"/>
      <c r="I4" s="722"/>
      <c r="J4" s="719"/>
      <c r="K4" s="713"/>
    </row>
    <row r="5" spans="1:12" ht="59.95" customHeight="1">
      <c r="A5" s="713"/>
      <c r="B5" s="719"/>
      <c r="C5" s="723" t="s">
        <v>5728</v>
      </c>
      <c r="D5" s="723" t="s">
        <v>5729</v>
      </c>
      <c r="E5" s="723" t="s">
        <v>5730</v>
      </c>
      <c r="F5" s="723" t="s">
        <v>2358</v>
      </c>
      <c r="G5" s="723" t="s">
        <v>2359</v>
      </c>
      <c r="H5" s="723" t="s">
        <v>2360</v>
      </c>
      <c r="I5" s="723" t="s">
        <v>2361</v>
      </c>
      <c r="J5" s="724"/>
      <c r="K5" s="713"/>
    </row>
    <row r="6" spans="1:12">
      <c r="A6" s="713"/>
      <c r="B6" s="719"/>
      <c r="C6" s="725" t="s">
        <v>1358</v>
      </c>
      <c r="D6" s="726" t="s">
        <v>549</v>
      </c>
      <c r="E6" s="725" t="s">
        <v>550</v>
      </c>
      <c r="F6" s="727">
        <v>0</v>
      </c>
      <c r="G6" s="728"/>
      <c r="H6" s="729" t="s">
        <v>551</v>
      </c>
      <c r="I6" s="729">
        <v>17</v>
      </c>
      <c r="J6" s="719"/>
      <c r="K6" s="713"/>
    </row>
    <row r="7" spans="1:12" ht="42.15">
      <c r="A7" s="713"/>
      <c r="B7" s="719"/>
      <c r="C7" s="725" t="s">
        <v>1360</v>
      </c>
      <c r="D7" s="726" t="s">
        <v>1361</v>
      </c>
      <c r="E7" s="725" t="s">
        <v>559</v>
      </c>
      <c r="F7" s="727">
        <v>0</v>
      </c>
      <c r="G7" s="728"/>
      <c r="H7" s="729" t="s">
        <v>551</v>
      </c>
      <c r="I7" s="729">
        <v>5</v>
      </c>
      <c r="J7" s="719"/>
      <c r="K7" s="713"/>
      <c r="L7" s="730"/>
    </row>
    <row r="8" spans="1:12" ht="22.45">
      <c r="A8" s="713"/>
      <c r="B8" s="719"/>
      <c r="C8" s="731" t="s">
        <v>1359</v>
      </c>
      <c r="D8" s="732" t="s">
        <v>5731</v>
      </c>
      <c r="E8" s="731" t="s">
        <v>553</v>
      </c>
      <c r="F8" s="727">
        <v>0</v>
      </c>
      <c r="G8" s="733"/>
      <c r="H8" s="501" t="s">
        <v>554</v>
      </c>
      <c r="I8" s="501">
        <v>5</v>
      </c>
      <c r="J8" s="719"/>
      <c r="K8" s="713"/>
    </row>
    <row r="9" spans="1:12">
      <c r="A9" s="713"/>
      <c r="B9" s="719"/>
      <c r="C9" s="734" t="s">
        <v>1362</v>
      </c>
      <c r="D9" s="735" t="s">
        <v>558</v>
      </c>
      <c r="E9" s="734" t="s">
        <v>559</v>
      </c>
      <c r="F9" s="727">
        <v>0</v>
      </c>
      <c r="G9" s="736" t="s">
        <v>1363</v>
      </c>
      <c r="H9" s="737" t="s">
        <v>551</v>
      </c>
      <c r="I9" s="737">
        <v>9</v>
      </c>
      <c r="J9" s="719"/>
      <c r="K9" s="713"/>
    </row>
    <row r="10" spans="1:12">
      <c r="A10" s="713"/>
      <c r="B10" s="719"/>
      <c r="C10" s="734" t="s">
        <v>1364</v>
      </c>
      <c r="D10" s="735" t="s">
        <v>1365</v>
      </c>
      <c r="E10" s="734" t="s">
        <v>550</v>
      </c>
      <c r="F10" s="727">
        <v>0</v>
      </c>
      <c r="G10" s="736" t="s">
        <v>1363</v>
      </c>
      <c r="H10" s="737" t="s">
        <v>551</v>
      </c>
      <c r="I10" s="737">
        <v>1</v>
      </c>
      <c r="J10" s="719"/>
      <c r="K10" s="713"/>
    </row>
    <row r="11" spans="1:12">
      <c r="A11" s="713"/>
      <c r="B11" s="719"/>
      <c r="C11" s="734" t="s">
        <v>1366</v>
      </c>
      <c r="D11" s="735" t="s">
        <v>1367</v>
      </c>
      <c r="E11" s="734" t="s">
        <v>550</v>
      </c>
      <c r="F11" s="727">
        <v>0</v>
      </c>
      <c r="G11" s="736" t="s">
        <v>1363</v>
      </c>
      <c r="H11" s="737" t="s">
        <v>551</v>
      </c>
      <c r="I11" s="737">
        <v>1</v>
      </c>
      <c r="J11" s="734"/>
      <c r="K11" s="713"/>
    </row>
    <row r="12" spans="1:12" ht="42.15">
      <c r="A12" s="713"/>
      <c r="B12" s="719"/>
      <c r="C12" s="725" t="s">
        <v>1368</v>
      </c>
      <c r="D12" s="726" t="s">
        <v>561</v>
      </c>
      <c r="E12" s="725" t="s">
        <v>562</v>
      </c>
      <c r="F12" s="727">
        <v>0</v>
      </c>
      <c r="G12" s="728"/>
      <c r="H12" s="729" t="s">
        <v>476</v>
      </c>
      <c r="I12" s="729">
        <v>14</v>
      </c>
      <c r="J12" s="719"/>
      <c r="K12" s="713"/>
    </row>
    <row r="13" spans="1:12">
      <c r="A13" s="713"/>
      <c r="B13" s="719"/>
      <c r="C13" s="725" t="s">
        <v>1369</v>
      </c>
      <c r="D13" s="726" t="s">
        <v>1370</v>
      </c>
      <c r="E13" s="725" t="s">
        <v>559</v>
      </c>
      <c r="F13" s="727">
        <v>0</v>
      </c>
      <c r="G13" s="728"/>
      <c r="H13" s="729" t="s">
        <v>476</v>
      </c>
      <c r="I13" s="729">
        <v>17</v>
      </c>
      <c r="J13" s="719"/>
      <c r="K13" s="713"/>
    </row>
    <row r="14" spans="1:12">
      <c r="A14" s="713"/>
      <c r="B14" s="719"/>
      <c r="C14" s="725" t="s">
        <v>1371</v>
      </c>
      <c r="D14" s="725" t="s">
        <v>1372</v>
      </c>
      <c r="E14" s="725" t="s">
        <v>550</v>
      </c>
      <c r="F14" s="727">
        <v>0</v>
      </c>
      <c r="G14" s="728"/>
      <c r="H14" s="729" t="s">
        <v>551</v>
      </c>
      <c r="I14" s="729">
        <v>1</v>
      </c>
      <c r="J14" s="719"/>
      <c r="K14" s="713"/>
    </row>
    <row r="15" spans="1:12">
      <c r="A15" s="713"/>
      <c r="B15" s="719"/>
      <c r="C15" s="734" t="s">
        <v>1373</v>
      </c>
      <c r="D15" s="735" t="s">
        <v>1374</v>
      </c>
      <c r="E15" s="734" t="s">
        <v>550</v>
      </c>
      <c r="F15" s="727">
        <v>0</v>
      </c>
      <c r="G15" s="736" t="s">
        <v>1363</v>
      </c>
      <c r="H15" s="737" t="s">
        <v>551</v>
      </c>
      <c r="I15" s="737">
        <v>1</v>
      </c>
      <c r="J15" s="719"/>
      <c r="K15" s="713"/>
    </row>
    <row r="16" spans="1:12" ht="43.5">
      <c r="A16" s="713"/>
      <c r="B16" s="719"/>
      <c r="C16" s="725" t="s">
        <v>1375</v>
      </c>
      <c r="D16" s="726" t="s">
        <v>5732</v>
      </c>
      <c r="E16" s="725" t="s">
        <v>553</v>
      </c>
      <c r="F16" s="727">
        <v>0</v>
      </c>
      <c r="G16" s="728"/>
      <c r="H16" s="729" t="s">
        <v>554</v>
      </c>
      <c r="I16" s="729">
        <v>5</v>
      </c>
      <c r="J16" s="719"/>
      <c r="K16" s="713"/>
    </row>
    <row r="17" spans="1:11" ht="43.5">
      <c r="A17" s="713"/>
      <c r="B17" s="719"/>
      <c r="C17" s="725" t="s">
        <v>1375</v>
      </c>
      <c r="D17" s="726" t="s">
        <v>5733</v>
      </c>
      <c r="E17" s="725" t="s">
        <v>553</v>
      </c>
      <c r="F17" s="727">
        <v>0</v>
      </c>
      <c r="G17" s="728"/>
      <c r="H17" s="729" t="s">
        <v>476</v>
      </c>
      <c r="I17" s="729">
        <v>5</v>
      </c>
      <c r="J17" s="719"/>
      <c r="K17" s="713"/>
    </row>
    <row r="18" spans="1:11" ht="42.15">
      <c r="A18" s="713"/>
      <c r="B18" s="719"/>
      <c r="C18" s="725" t="s">
        <v>1378</v>
      </c>
      <c r="D18" s="725" t="s">
        <v>5734</v>
      </c>
      <c r="E18" s="725" t="s">
        <v>567</v>
      </c>
      <c r="F18" s="727">
        <v>0</v>
      </c>
      <c r="G18" s="728"/>
      <c r="H18" s="738" t="s">
        <v>551</v>
      </c>
      <c r="I18" s="729">
        <v>5</v>
      </c>
      <c r="J18" s="719"/>
      <c r="K18" s="713"/>
    </row>
    <row r="19" spans="1:11" ht="42.15">
      <c r="A19" s="713"/>
      <c r="B19" s="719"/>
      <c r="C19" s="734" t="s">
        <v>1380</v>
      </c>
      <c r="D19" s="735" t="s">
        <v>1381</v>
      </c>
      <c r="E19" s="734" t="s">
        <v>550</v>
      </c>
      <c r="F19" s="727">
        <v>0</v>
      </c>
      <c r="G19" s="736" t="s">
        <v>1363</v>
      </c>
      <c r="H19" s="737" t="s">
        <v>551</v>
      </c>
      <c r="I19" s="737">
        <v>1</v>
      </c>
      <c r="J19" s="719"/>
      <c r="K19" s="713"/>
    </row>
    <row r="20" spans="1:11" ht="64.55">
      <c r="A20" s="713"/>
      <c r="B20" s="719"/>
      <c r="C20" s="725" t="s">
        <v>1382</v>
      </c>
      <c r="D20" s="726" t="s">
        <v>5735</v>
      </c>
      <c r="E20" s="725" t="s">
        <v>553</v>
      </c>
      <c r="F20" s="727">
        <v>0</v>
      </c>
      <c r="G20" s="728"/>
      <c r="H20" s="729" t="s">
        <v>554</v>
      </c>
      <c r="I20" s="729">
        <v>5</v>
      </c>
      <c r="J20" s="719"/>
      <c r="K20" s="713"/>
    </row>
    <row r="21" spans="1:11" ht="43.5">
      <c r="A21" s="713"/>
      <c r="B21" s="719"/>
      <c r="C21" s="725" t="s">
        <v>1382</v>
      </c>
      <c r="D21" s="726" t="s">
        <v>5736</v>
      </c>
      <c r="E21" s="725" t="s">
        <v>553</v>
      </c>
      <c r="F21" s="727">
        <v>0</v>
      </c>
      <c r="G21" s="728"/>
      <c r="H21" s="729" t="s">
        <v>476</v>
      </c>
      <c r="I21" s="729">
        <v>5</v>
      </c>
      <c r="J21" s="719"/>
      <c r="K21" s="713"/>
    </row>
    <row r="22" spans="1:11" ht="42.15">
      <c r="A22" s="713"/>
      <c r="B22" s="719"/>
      <c r="C22" s="725" t="s">
        <v>1385</v>
      </c>
      <c r="D22" s="726" t="s">
        <v>570</v>
      </c>
      <c r="E22" s="725" t="s">
        <v>562</v>
      </c>
      <c r="F22" s="727">
        <v>0</v>
      </c>
      <c r="G22" s="728"/>
      <c r="H22" s="729" t="s">
        <v>551</v>
      </c>
      <c r="I22" s="729">
        <v>17</v>
      </c>
      <c r="J22" s="719"/>
      <c r="K22" s="713"/>
    </row>
    <row r="23" spans="1:11">
      <c r="A23" s="713"/>
      <c r="B23" s="719"/>
      <c r="C23" s="725" t="s">
        <v>1386</v>
      </c>
      <c r="D23" s="726" t="s">
        <v>571</v>
      </c>
      <c r="E23" s="725" t="s">
        <v>88</v>
      </c>
      <c r="F23" s="727">
        <v>0</v>
      </c>
      <c r="G23" s="728"/>
      <c r="H23" s="729" t="s">
        <v>551</v>
      </c>
      <c r="I23" s="729">
        <v>17</v>
      </c>
      <c r="J23" s="719"/>
      <c r="K23" s="713"/>
    </row>
    <row r="24" spans="1:11">
      <c r="A24" s="713"/>
      <c r="B24" s="719"/>
      <c r="C24" s="734" t="s">
        <v>1387</v>
      </c>
      <c r="D24" s="735" t="s">
        <v>572</v>
      </c>
      <c r="E24" s="734" t="s">
        <v>559</v>
      </c>
      <c r="F24" s="727">
        <v>0</v>
      </c>
      <c r="G24" s="736" t="s">
        <v>1363</v>
      </c>
      <c r="H24" s="737" t="s">
        <v>551</v>
      </c>
      <c r="I24" s="737">
        <v>17</v>
      </c>
      <c r="J24" s="719"/>
      <c r="K24" s="713"/>
    </row>
    <row r="25" spans="1:11">
      <c r="A25" s="713"/>
      <c r="B25" s="719"/>
      <c r="C25" s="734" t="s">
        <v>1388</v>
      </c>
      <c r="D25" s="735" t="s">
        <v>573</v>
      </c>
      <c r="E25" s="734" t="s">
        <v>559</v>
      </c>
      <c r="F25" s="727">
        <v>0</v>
      </c>
      <c r="G25" s="736" t="s">
        <v>1363</v>
      </c>
      <c r="H25" s="737" t="s">
        <v>551</v>
      </c>
      <c r="I25" s="737">
        <v>17</v>
      </c>
      <c r="J25" s="719"/>
      <c r="K25" s="713"/>
    </row>
    <row r="26" spans="1:11">
      <c r="A26" s="713"/>
      <c r="B26" s="719"/>
      <c r="C26" s="725" t="s">
        <v>75</v>
      </c>
      <c r="D26" s="726" t="s">
        <v>574</v>
      </c>
      <c r="E26" s="725" t="s">
        <v>559</v>
      </c>
      <c r="F26" s="727">
        <v>0</v>
      </c>
      <c r="G26" s="728"/>
      <c r="H26" s="729" t="s">
        <v>575</v>
      </c>
      <c r="I26" s="729">
        <v>17</v>
      </c>
      <c r="J26" s="719"/>
      <c r="K26" s="713"/>
    </row>
    <row r="27" spans="1:11">
      <c r="A27" s="713"/>
      <c r="B27" s="719"/>
      <c r="C27" s="725" t="s">
        <v>576</v>
      </c>
      <c r="D27" s="726" t="s">
        <v>1389</v>
      </c>
      <c r="E27" s="725" t="s">
        <v>103</v>
      </c>
      <c r="F27" s="727">
        <v>0</v>
      </c>
      <c r="G27" s="728"/>
      <c r="H27" s="729" t="s">
        <v>551</v>
      </c>
      <c r="I27" s="729">
        <v>1</v>
      </c>
      <c r="J27" s="719"/>
      <c r="K27" s="713"/>
    </row>
    <row r="28" spans="1:11" ht="42.15">
      <c r="A28" s="713"/>
      <c r="B28" s="719"/>
      <c r="C28" s="725" t="s">
        <v>1390</v>
      </c>
      <c r="D28" s="726" t="s">
        <v>577</v>
      </c>
      <c r="E28" s="725" t="s">
        <v>562</v>
      </c>
      <c r="F28" s="727">
        <v>0</v>
      </c>
      <c r="G28" s="728"/>
      <c r="H28" s="729" t="s">
        <v>551</v>
      </c>
      <c r="I28" s="729">
        <v>17</v>
      </c>
      <c r="J28" s="719"/>
      <c r="K28" s="713"/>
    </row>
    <row r="29" spans="1:11">
      <c r="A29" s="713"/>
      <c r="B29" s="719"/>
      <c r="C29" s="734" t="s">
        <v>1391</v>
      </c>
      <c r="D29" s="735" t="s">
        <v>1392</v>
      </c>
      <c r="E29" s="734" t="s">
        <v>550</v>
      </c>
      <c r="F29" s="727">
        <v>0</v>
      </c>
      <c r="G29" s="736" t="s">
        <v>1363</v>
      </c>
      <c r="H29" s="737" t="s">
        <v>551</v>
      </c>
      <c r="I29" s="737">
        <v>1</v>
      </c>
      <c r="J29" s="719"/>
      <c r="K29" s="713"/>
    </row>
    <row r="30" spans="1:11">
      <c r="A30" s="713"/>
      <c r="B30" s="719"/>
      <c r="C30" s="725" t="s">
        <v>1393</v>
      </c>
      <c r="D30" s="726" t="s">
        <v>76</v>
      </c>
      <c r="E30" s="725" t="s">
        <v>559</v>
      </c>
      <c r="F30" s="727">
        <v>0</v>
      </c>
      <c r="G30" s="728"/>
      <c r="H30" s="729" t="s">
        <v>551</v>
      </c>
      <c r="I30" s="729">
        <v>17</v>
      </c>
      <c r="J30" s="719"/>
      <c r="K30" s="713"/>
    </row>
    <row r="31" spans="1:11" ht="42.15">
      <c r="A31" s="713" t="s">
        <v>5737</v>
      </c>
      <c r="B31" s="719"/>
      <c r="C31" s="725" t="s">
        <v>5574</v>
      </c>
      <c r="D31" s="726" t="s">
        <v>5738</v>
      </c>
      <c r="E31" s="725" t="s">
        <v>567</v>
      </c>
      <c r="F31" s="727">
        <v>0</v>
      </c>
      <c r="G31" s="728"/>
      <c r="H31" s="729" t="s">
        <v>551</v>
      </c>
      <c r="I31" s="729">
        <v>5</v>
      </c>
      <c r="J31" s="719"/>
      <c r="K31" s="713"/>
    </row>
    <row r="32" spans="1:11">
      <c r="A32" s="713"/>
      <c r="B32" s="719"/>
      <c r="C32" s="725" t="s">
        <v>1394</v>
      </c>
      <c r="D32" s="726" t="s">
        <v>578</v>
      </c>
      <c r="E32" s="725" t="s">
        <v>550</v>
      </c>
      <c r="F32" s="727">
        <v>0</v>
      </c>
      <c r="G32" s="728"/>
      <c r="H32" s="729" t="s">
        <v>551</v>
      </c>
      <c r="I32" s="729">
        <v>17</v>
      </c>
      <c r="J32" s="719"/>
      <c r="K32" s="713"/>
    </row>
    <row r="33" spans="1:11">
      <c r="A33" s="713"/>
      <c r="B33" s="719"/>
      <c r="C33" s="734" t="s">
        <v>1395</v>
      </c>
      <c r="D33" s="735" t="s">
        <v>1396</v>
      </c>
      <c r="E33" s="734" t="s">
        <v>550</v>
      </c>
      <c r="F33" s="727">
        <v>0</v>
      </c>
      <c r="G33" s="736" t="s">
        <v>1363</v>
      </c>
      <c r="H33" s="737" t="s">
        <v>551</v>
      </c>
      <c r="I33" s="737">
        <v>1</v>
      </c>
      <c r="J33" s="719"/>
      <c r="K33" s="713"/>
    </row>
    <row r="34" spans="1:11">
      <c r="A34" s="713"/>
      <c r="B34" s="719"/>
      <c r="C34" s="725" t="s">
        <v>1397</v>
      </c>
      <c r="D34" s="726" t="s">
        <v>38</v>
      </c>
      <c r="E34" s="725" t="s">
        <v>550</v>
      </c>
      <c r="F34" s="727">
        <v>0</v>
      </c>
      <c r="G34" s="728"/>
      <c r="H34" s="729" t="s">
        <v>551</v>
      </c>
      <c r="I34" s="729">
        <v>1</v>
      </c>
      <c r="J34" s="719"/>
      <c r="K34" s="713"/>
    </row>
    <row r="35" spans="1:11">
      <c r="A35" s="713"/>
      <c r="B35" s="719"/>
      <c r="C35" s="734" t="s">
        <v>1398</v>
      </c>
      <c r="D35" s="735" t="s">
        <v>580</v>
      </c>
      <c r="E35" s="734" t="s">
        <v>88</v>
      </c>
      <c r="F35" s="727">
        <v>0</v>
      </c>
      <c r="G35" s="736" t="s">
        <v>1363</v>
      </c>
      <c r="H35" s="737" t="s">
        <v>551</v>
      </c>
      <c r="I35" s="737" t="s">
        <v>1399</v>
      </c>
      <c r="J35" s="719"/>
      <c r="K35" s="713"/>
    </row>
    <row r="36" spans="1:11">
      <c r="A36" s="713"/>
      <c r="B36" s="719"/>
      <c r="C36" s="725" t="s">
        <v>1400</v>
      </c>
      <c r="D36" s="726" t="s">
        <v>582</v>
      </c>
      <c r="E36" s="725" t="s">
        <v>88</v>
      </c>
      <c r="F36" s="727">
        <v>0</v>
      </c>
      <c r="G36" s="728"/>
      <c r="H36" s="729" t="s">
        <v>551</v>
      </c>
      <c r="I36" s="739" t="s">
        <v>1399</v>
      </c>
      <c r="J36" s="719"/>
      <c r="K36" s="713"/>
    </row>
    <row r="37" spans="1:11" ht="42.15">
      <c r="A37" s="713"/>
      <c r="B37" s="719"/>
      <c r="C37" s="734" t="s">
        <v>1401</v>
      </c>
      <c r="D37" s="735" t="s">
        <v>223</v>
      </c>
      <c r="E37" s="734" t="s">
        <v>88</v>
      </c>
      <c r="F37" s="727">
        <v>0</v>
      </c>
      <c r="G37" s="736" t="s">
        <v>1363</v>
      </c>
      <c r="H37" s="737" t="s">
        <v>551</v>
      </c>
      <c r="I37" s="737">
        <v>9</v>
      </c>
      <c r="J37" s="719"/>
      <c r="K37" s="713"/>
    </row>
    <row r="38" spans="1:11">
      <c r="A38" s="713"/>
      <c r="B38" s="719"/>
      <c r="C38" s="725" t="s">
        <v>1402</v>
      </c>
      <c r="D38" s="726" t="s">
        <v>583</v>
      </c>
      <c r="E38" s="725" t="s">
        <v>88</v>
      </c>
      <c r="F38" s="727">
        <v>0</v>
      </c>
      <c r="G38" s="728"/>
      <c r="H38" s="729" t="s">
        <v>551</v>
      </c>
      <c r="I38" s="729">
        <v>7</v>
      </c>
      <c r="J38" s="719"/>
      <c r="K38" s="713"/>
    </row>
    <row r="39" spans="1:11">
      <c r="A39" s="713"/>
      <c r="B39" s="719"/>
      <c r="C39" s="725" t="s">
        <v>1403</v>
      </c>
      <c r="D39" s="726" t="s">
        <v>77</v>
      </c>
      <c r="E39" s="725" t="s">
        <v>559</v>
      </c>
      <c r="F39" s="727">
        <v>0</v>
      </c>
      <c r="G39" s="728"/>
      <c r="H39" s="729" t="s">
        <v>551</v>
      </c>
      <c r="I39" s="729">
        <v>17</v>
      </c>
      <c r="J39" s="719"/>
      <c r="K39" s="713"/>
    </row>
    <row r="40" spans="1:11">
      <c r="A40" s="713"/>
      <c r="B40" s="719"/>
      <c r="C40" s="725" t="s">
        <v>1404</v>
      </c>
      <c r="D40" s="726" t="s">
        <v>585</v>
      </c>
      <c r="E40" s="725" t="s">
        <v>586</v>
      </c>
      <c r="F40" s="727">
        <v>0</v>
      </c>
      <c r="G40" s="728"/>
      <c r="H40" s="739" t="s">
        <v>548</v>
      </c>
      <c r="I40" s="739">
        <v>3</v>
      </c>
      <c r="J40" s="719"/>
      <c r="K40" s="713"/>
    </row>
    <row r="41" spans="1:11">
      <c r="A41" s="713"/>
      <c r="B41" s="719"/>
      <c r="C41" s="725" t="s">
        <v>1405</v>
      </c>
      <c r="D41" s="726" t="s">
        <v>224</v>
      </c>
      <c r="E41" s="725" t="s">
        <v>88</v>
      </c>
      <c r="F41" s="727">
        <v>0</v>
      </c>
      <c r="G41" s="728"/>
      <c r="H41" s="729" t="s">
        <v>551</v>
      </c>
      <c r="I41" s="729">
        <v>7</v>
      </c>
      <c r="J41" s="719"/>
      <c r="K41" s="713"/>
    </row>
    <row r="42" spans="1:11">
      <c r="A42" s="713"/>
      <c r="B42" s="719"/>
      <c r="C42" s="725" t="s">
        <v>1406</v>
      </c>
      <c r="D42" s="726" t="s">
        <v>225</v>
      </c>
      <c r="E42" s="725" t="s">
        <v>88</v>
      </c>
      <c r="F42" s="727">
        <v>0</v>
      </c>
      <c r="G42" s="728"/>
      <c r="H42" s="729" t="s">
        <v>551</v>
      </c>
      <c r="I42" s="729">
        <v>7</v>
      </c>
      <c r="J42" s="719"/>
      <c r="K42" s="713"/>
    </row>
    <row r="43" spans="1:11">
      <c r="A43" s="713"/>
      <c r="B43" s="719"/>
      <c r="C43" s="725" t="s">
        <v>1407</v>
      </c>
      <c r="D43" s="726" t="s">
        <v>1408</v>
      </c>
      <c r="E43" s="725" t="s">
        <v>88</v>
      </c>
      <c r="F43" s="727">
        <v>0</v>
      </c>
      <c r="G43" s="728"/>
      <c r="H43" s="729" t="s">
        <v>551</v>
      </c>
      <c r="I43" s="739" t="s">
        <v>664</v>
      </c>
      <c r="J43" s="719"/>
      <c r="K43" s="713"/>
    </row>
    <row r="44" spans="1:11">
      <c r="A44" s="713"/>
      <c r="B44" s="719"/>
      <c r="C44" s="725" t="s">
        <v>1409</v>
      </c>
      <c r="D44" s="726" t="s">
        <v>588</v>
      </c>
      <c r="E44" s="725" t="s">
        <v>88</v>
      </c>
      <c r="F44" s="727">
        <v>0</v>
      </c>
      <c r="G44" s="728"/>
      <c r="H44" s="729" t="s">
        <v>551</v>
      </c>
      <c r="I44" s="729">
        <v>7</v>
      </c>
      <c r="J44" s="719"/>
      <c r="K44" s="713"/>
    </row>
    <row r="45" spans="1:11" ht="42.15">
      <c r="A45" s="713"/>
      <c r="B45" s="719"/>
      <c r="C45" s="725" t="s">
        <v>1410</v>
      </c>
      <c r="D45" s="726" t="s">
        <v>589</v>
      </c>
      <c r="E45" s="725" t="s">
        <v>88</v>
      </c>
      <c r="F45" s="727">
        <v>0</v>
      </c>
      <c r="G45" s="728"/>
      <c r="H45" s="729" t="s">
        <v>551</v>
      </c>
      <c r="I45" s="739" t="s">
        <v>1399</v>
      </c>
      <c r="J45" s="719"/>
      <c r="K45" s="713"/>
    </row>
    <row r="46" spans="1:11">
      <c r="A46" s="713"/>
      <c r="B46" s="719"/>
      <c r="C46" s="725" t="s">
        <v>1127</v>
      </c>
      <c r="D46" s="726" t="s">
        <v>72</v>
      </c>
      <c r="E46" s="725" t="s">
        <v>559</v>
      </c>
      <c r="F46" s="727">
        <v>0</v>
      </c>
      <c r="G46" s="728"/>
      <c r="H46" s="729" t="s">
        <v>551</v>
      </c>
      <c r="I46" s="729">
        <v>5</v>
      </c>
      <c r="J46" s="719"/>
      <c r="K46" s="713"/>
    </row>
    <row r="47" spans="1:11" ht="42.15">
      <c r="A47" s="713"/>
      <c r="B47" s="719"/>
      <c r="C47" s="735" t="s">
        <v>1416</v>
      </c>
      <c r="D47" s="735" t="s">
        <v>590</v>
      </c>
      <c r="E47" s="735" t="s">
        <v>88</v>
      </c>
      <c r="F47" s="727">
        <v>0</v>
      </c>
      <c r="G47" s="737" t="s">
        <v>1363</v>
      </c>
      <c r="H47" s="737" t="s">
        <v>551</v>
      </c>
      <c r="I47" s="737" t="s">
        <v>1399</v>
      </c>
      <c r="J47" s="719"/>
      <c r="K47" s="713"/>
    </row>
    <row r="48" spans="1:11">
      <c r="A48" s="713"/>
      <c r="B48" s="719"/>
      <c r="C48" s="725" t="s">
        <v>1411</v>
      </c>
      <c r="D48" s="726" t="s">
        <v>1412</v>
      </c>
      <c r="E48" s="725" t="s">
        <v>550</v>
      </c>
      <c r="F48" s="727">
        <v>0</v>
      </c>
      <c r="G48" s="728"/>
      <c r="H48" s="729" t="s">
        <v>551</v>
      </c>
      <c r="I48" s="729">
        <v>3</v>
      </c>
      <c r="J48" s="719"/>
      <c r="K48" s="713"/>
    </row>
    <row r="49" spans="1:11">
      <c r="A49" s="713"/>
      <c r="B49" s="719"/>
      <c r="C49" s="734" t="s">
        <v>1417</v>
      </c>
      <c r="D49" s="735" t="s">
        <v>592</v>
      </c>
      <c r="E49" s="734" t="s">
        <v>593</v>
      </c>
      <c r="F49" s="727">
        <v>0</v>
      </c>
      <c r="G49" s="736" t="s">
        <v>1363</v>
      </c>
      <c r="H49" s="737" t="s">
        <v>595</v>
      </c>
      <c r="I49" s="737">
        <v>21</v>
      </c>
      <c r="J49" s="719"/>
      <c r="K49" s="713"/>
    </row>
    <row r="50" spans="1:11">
      <c r="A50" s="713"/>
      <c r="B50" s="719"/>
      <c r="C50" s="725" t="s">
        <v>1413</v>
      </c>
      <c r="D50" s="726" t="s">
        <v>1414</v>
      </c>
      <c r="E50" s="725" t="s">
        <v>559</v>
      </c>
      <c r="F50" s="727">
        <v>0</v>
      </c>
      <c r="G50" s="728"/>
      <c r="H50" s="729" t="s">
        <v>551</v>
      </c>
      <c r="I50" s="729">
        <v>1</v>
      </c>
      <c r="J50" s="719"/>
      <c r="K50" s="713"/>
    </row>
    <row r="51" spans="1:11">
      <c r="A51" s="713"/>
      <c r="B51" s="719"/>
      <c r="C51" s="734" t="s">
        <v>1415</v>
      </c>
      <c r="D51" s="735" t="s">
        <v>596</v>
      </c>
      <c r="E51" s="734" t="s">
        <v>593</v>
      </c>
      <c r="F51" s="727">
        <v>0</v>
      </c>
      <c r="G51" s="736" t="s">
        <v>1363</v>
      </c>
      <c r="H51" s="737" t="s">
        <v>595</v>
      </c>
      <c r="I51" s="740" t="s">
        <v>361</v>
      </c>
      <c r="J51" s="719"/>
      <c r="K51" s="713"/>
    </row>
    <row r="52" spans="1:11">
      <c r="A52" s="713"/>
      <c r="B52" s="719"/>
      <c r="C52" s="734" t="s">
        <v>1418</v>
      </c>
      <c r="D52" s="735" t="s">
        <v>597</v>
      </c>
      <c r="E52" s="734" t="s">
        <v>593</v>
      </c>
      <c r="F52" s="727">
        <v>0</v>
      </c>
      <c r="G52" s="736" t="s">
        <v>1363</v>
      </c>
      <c r="H52" s="737" t="s">
        <v>595</v>
      </c>
      <c r="I52" s="737">
        <v>7</v>
      </c>
      <c r="J52" s="719"/>
      <c r="K52" s="713"/>
    </row>
    <row r="53" spans="1:11" ht="42.15">
      <c r="A53" s="713" t="s">
        <v>5737</v>
      </c>
      <c r="B53" s="719"/>
      <c r="C53" s="725" t="s">
        <v>5578</v>
      </c>
      <c r="D53" s="726" t="s">
        <v>5739</v>
      </c>
      <c r="E53" s="725" t="s">
        <v>553</v>
      </c>
      <c r="F53" s="727">
        <v>0</v>
      </c>
      <c r="G53" s="728"/>
      <c r="H53" s="729" t="s">
        <v>604</v>
      </c>
      <c r="I53" s="729">
        <v>7</v>
      </c>
      <c r="J53" s="719"/>
      <c r="K53" s="713"/>
    </row>
    <row r="54" spans="1:11" ht="42.15">
      <c r="A54" s="713" t="s">
        <v>5737</v>
      </c>
      <c r="B54" s="719"/>
      <c r="C54" s="725" t="s">
        <v>5740</v>
      </c>
      <c r="D54" s="726" t="s">
        <v>5579</v>
      </c>
      <c r="E54" s="725" t="s">
        <v>553</v>
      </c>
      <c r="F54" s="727">
        <v>0</v>
      </c>
      <c r="G54" s="728"/>
      <c r="H54" s="729" t="s">
        <v>604</v>
      </c>
      <c r="I54" s="729">
        <v>17</v>
      </c>
      <c r="J54" s="719"/>
      <c r="K54" s="713"/>
    </row>
    <row r="55" spans="1:11">
      <c r="A55" s="713"/>
      <c r="B55" s="719"/>
      <c r="C55" s="725" t="s">
        <v>1419</v>
      </c>
      <c r="D55" s="726" t="s">
        <v>185</v>
      </c>
      <c r="E55" s="725" t="s">
        <v>550</v>
      </c>
      <c r="F55" s="727">
        <v>0</v>
      </c>
      <c r="G55" s="728"/>
      <c r="H55" s="729" t="s">
        <v>551</v>
      </c>
      <c r="I55" s="729">
        <v>15</v>
      </c>
      <c r="J55" s="719"/>
      <c r="K55" s="713"/>
    </row>
    <row r="56" spans="1:11">
      <c r="A56" s="713"/>
      <c r="B56" s="719"/>
      <c r="C56" s="725" t="s">
        <v>1420</v>
      </c>
      <c r="D56" s="726" t="s">
        <v>186</v>
      </c>
      <c r="E56" s="725" t="s">
        <v>550</v>
      </c>
      <c r="F56" s="727">
        <v>0</v>
      </c>
      <c r="G56" s="728"/>
      <c r="H56" s="729" t="s">
        <v>551</v>
      </c>
      <c r="I56" s="729">
        <v>15</v>
      </c>
      <c r="J56" s="719"/>
      <c r="K56" s="713"/>
    </row>
    <row r="57" spans="1:11">
      <c r="A57" s="713"/>
      <c r="B57" s="719"/>
      <c r="C57" s="725" t="s">
        <v>1421</v>
      </c>
      <c r="D57" s="726" t="s">
        <v>187</v>
      </c>
      <c r="E57" s="725" t="s">
        <v>550</v>
      </c>
      <c r="F57" s="727">
        <v>0</v>
      </c>
      <c r="G57" s="728"/>
      <c r="H57" s="729" t="s">
        <v>551</v>
      </c>
      <c r="I57" s="729">
        <v>15</v>
      </c>
      <c r="J57" s="719"/>
      <c r="K57" s="713"/>
    </row>
    <row r="58" spans="1:11">
      <c r="A58" s="713"/>
      <c r="B58" s="719"/>
      <c r="C58" s="725" t="s">
        <v>598</v>
      </c>
      <c r="D58" s="726" t="s">
        <v>598</v>
      </c>
      <c r="E58" s="725" t="s">
        <v>593</v>
      </c>
      <c r="F58" s="727">
        <v>0</v>
      </c>
      <c r="G58" s="728"/>
      <c r="H58" s="729" t="s">
        <v>599</v>
      </c>
      <c r="I58" s="729">
        <v>1</v>
      </c>
      <c r="J58" s="719"/>
      <c r="K58" s="713"/>
    </row>
    <row r="59" spans="1:11">
      <c r="A59" s="713"/>
      <c r="B59" s="719"/>
      <c r="C59" s="725" t="s">
        <v>1422</v>
      </c>
      <c r="D59" s="726" t="s">
        <v>600</v>
      </c>
      <c r="E59" s="725" t="s">
        <v>88</v>
      </c>
      <c r="F59" s="727">
        <v>0</v>
      </c>
      <c r="G59" s="728"/>
      <c r="H59" s="729" t="s">
        <v>551</v>
      </c>
      <c r="I59" s="729">
        <v>17</v>
      </c>
      <c r="J59" s="719"/>
      <c r="K59" s="713"/>
    </row>
    <row r="60" spans="1:11">
      <c r="A60" s="713"/>
      <c r="B60" s="719"/>
      <c r="C60" s="725" t="s">
        <v>1423</v>
      </c>
      <c r="D60" s="726" t="s">
        <v>222</v>
      </c>
      <c r="E60" s="725" t="s">
        <v>88</v>
      </c>
      <c r="F60" s="727">
        <v>0</v>
      </c>
      <c r="G60" s="728"/>
      <c r="H60" s="729" t="s">
        <v>551</v>
      </c>
      <c r="I60" s="729">
        <v>5</v>
      </c>
      <c r="J60" s="719"/>
      <c r="K60" s="713"/>
    </row>
    <row r="61" spans="1:11">
      <c r="A61" s="713"/>
      <c r="B61" s="719"/>
      <c r="C61" s="725" t="s">
        <v>1424</v>
      </c>
      <c r="D61" s="726" t="s">
        <v>221</v>
      </c>
      <c r="E61" s="725" t="s">
        <v>88</v>
      </c>
      <c r="F61" s="727">
        <v>0</v>
      </c>
      <c r="G61" s="728"/>
      <c r="H61" s="729" t="s">
        <v>551</v>
      </c>
      <c r="I61" s="729">
        <v>5</v>
      </c>
      <c r="J61" s="719"/>
      <c r="K61" s="713"/>
    </row>
    <row r="62" spans="1:11" ht="42.15">
      <c r="A62" s="713"/>
      <c r="B62" s="719"/>
      <c r="C62" s="725" t="s">
        <v>1425</v>
      </c>
      <c r="D62" s="726" t="s">
        <v>601</v>
      </c>
      <c r="E62" s="725" t="s">
        <v>602</v>
      </c>
      <c r="F62" s="727">
        <v>0</v>
      </c>
      <c r="G62" s="728"/>
      <c r="H62" s="729" t="s">
        <v>551</v>
      </c>
      <c r="I62" s="729">
        <v>17</v>
      </c>
      <c r="J62" s="719"/>
      <c r="K62" s="713"/>
    </row>
    <row r="63" spans="1:11" ht="42.15">
      <c r="A63" s="713"/>
      <c r="B63" s="719"/>
      <c r="C63" s="725" t="s">
        <v>1426</v>
      </c>
      <c r="D63" s="726" t="s">
        <v>5741</v>
      </c>
      <c r="E63" s="725" t="s">
        <v>562</v>
      </c>
      <c r="F63" s="727">
        <v>0</v>
      </c>
      <c r="G63" s="728"/>
      <c r="H63" s="729" t="s">
        <v>604</v>
      </c>
      <c r="I63" s="729">
        <v>17</v>
      </c>
      <c r="J63" s="719"/>
      <c r="K63" s="713"/>
    </row>
    <row r="64" spans="1:11">
      <c r="A64" s="713"/>
      <c r="B64" s="719"/>
      <c r="C64" s="725" t="s">
        <v>1428</v>
      </c>
      <c r="D64" s="726" t="s">
        <v>605</v>
      </c>
      <c r="E64" s="725" t="s">
        <v>88</v>
      </c>
      <c r="F64" s="727">
        <v>0</v>
      </c>
      <c r="G64" s="728"/>
      <c r="H64" s="729" t="s">
        <v>551</v>
      </c>
      <c r="I64" s="729">
        <v>5</v>
      </c>
      <c r="J64" s="719"/>
      <c r="K64" s="713"/>
    </row>
    <row r="65" spans="1:11">
      <c r="A65" s="713"/>
      <c r="B65" s="719"/>
      <c r="C65" s="735" t="s">
        <v>1429</v>
      </c>
      <c r="D65" s="735" t="s">
        <v>419</v>
      </c>
      <c r="E65" s="735" t="s">
        <v>88</v>
      </c>
      <c r="F65" s="727">
        <v>0</v>
      </c>
      <c r="G65" s="737" t="s">
        <v>1363</v>
      </c>
      <c r="H65" s="737" t="s">
        <v>551</v>
      </c>
      <c r="I65" s="737">
        <v>5</v>
      </c>
      <c r="J65" s="719"/>
      <c r="K65" s="713"/>
    </row>
    <row r="66" spans="1:11">
      <c r="A66" s="713"/>
      <c r="B66" s="719"/>
      <c r="C66" s="725" t="s">
        <v>1430</v>
      </c>
      <c r="D66" s="726" t="s">
        <v>606</v>
      </c>
      <c r="E66" s="725" t="s">
        <v>607</v>
      </c>
      <c r="F66" s="727">
        <v>0</v>
      </c>
      <c r="G66" s="728"/>
      <c r="H66" s="729" t="s">
        <v>608</v>
      </c>
      <c r="I66" s="739" t="s">
        <v>350</v>
      </c>
      <c r="J66" s="719"/>
      <c r="K66" s="713"/>
    </row>
    <row r="67" spans="1:11" ht="42.15">
      <c r="A67" s="713"/>
      <c r="B67" s="719"/>
      <c r="C67" s="725" t="s">
        <v>1431</v>
      </c>
      <c r="D67" s="726" t="s">
        <v>40</v>
      </c>
      <c r="E67" s="725" t="s">
        <v>562</v>
      </c>
      <c r="F67" s="727">
        <v>0</v>
      </c>
      <c r="G67" s="728"/>
      <c r="H67" s="729" t="s">
        <v>551</v>
      </c>
      <c r="I67" s="729">
        <v>1</v>
      </c>
      <c r="J67" s="719"/>
      <c r="K67" s="713"/>
    </row>
    <row r="68" spans="1:11" ht="43.5">
      <c r="A68" s="713"/>
      <c r="B68" s="719"/>
      <c r="C68" s="725" t="s">
        <v>1432</v>
      </c>
      <c r="D68" s="726" t="s">
        <v>5742</v>
      </c>
      <c r="E68" s="725" t="s">
        <v>567</v>
      </c>
      <c r="F68" s="727">
        <v>0</v>
      </c>
      <c r="G68" s="728"/>
      <c r="H68" s="729" t="s">
        <v>604</v>
      </c>
      <c r="I68" s="729">
        <v>12</v>
      </c>
      <c r="J68" s="719"/>
      <c r="K68" s="713"/>
    </row>
    <row r="69" spans="1:11">
      <c r="A69" s="713"/>
      <c r="B69" s="719"/>
      <c r="C69" s="725" t="s">
        <v>1434</v>
      </c>
      <c r="D69" s="726" t="s">
        <v>115</v>
      </c>
      <c r="E69" s="725" t="s">
        <v>103</v>
      </c>
      <c r="F69" s="727">
        <v>0</v>
      </c>
      <c r="G69" s="728"/>
      <c r="H69" s="729" t="s">
        <v>551</v>
      </c>
      <c r="I69" s="729">
        <v>3</v>
      </c>
      <c r="J69" s="719"/>
      <c r="K69" s="713"/>
    </row>
    <row r="70" spans="1:11">
      <c r="A70" s="713"/>
      <c r="B70" s="719"/>
      <c r="C70" s="734" t="s">
        <v>1435</v>
      </c>
      <c r="D70" s="735" t="s">
        <v>612</v>
      </c>
      <c r="E70" s="734" t="s">
        <v>550</v>
      </c>
      <c r="F70" s="727">
        <v>0</v>
      </c>
      <c r="G70" s="736" t="s">
        <v>1363</v>
      </c>
      <c r="H70" s="736" t="s">
        <v>575</v>
      </c>
      <c r="I70" s="737">
        <v>3</v>
      </c>
      <c r="J70" s="719"/>
      <c r="K70" s="713"/>
    </row>
    <row r="71" spans="1:11">
      <c r="A71" s="713"/>
      <c r="B71" s="719"/>
      <c r="C71" s="725" t="s">
        <v>1436</v>
      </c>
      <c r="D71" s="726" t="s">
        <v>1437</v>
      </c>
      <c r="E71" s="725" t="s">
        <v>559</v>
      </c>
      <c r="F71" s="727">
        <v>0</v>
      </c>
      <c r="G71" s="728"/>
      <c r="H71" s="729" t="s">
        <v>551</v>
      </c>
      <c r="I71" s="729">
        <v>1</v>
      </c>
      <c r="J71" s="719"/>
      <c r="K71" s="713"/>
    </row>
    <row r="72" spans="1:11">
      <c r="A72" s="713"/>
      <c r="B72" s="719"/>
      <c r="C72" s="734" t="s">
        <v>1438</v>
      </c>
      <c r="D72" s="735" t="s">
        <v>1439</v>
      </c>
      <c r="E72" s="734" t="s">
        <v>550</v>
      </c>
      <c r="F72" s="727">
        <v>0</v>
      </c>
      <c r="G72" s="736" t="s">
        <v>1363</v>
      </c>
      <c r="H72" s="737" t="s">
        <v>551</v>
      </c>
      <c r="I72" s="737">
        <v>1</v>
      </c>
      <c r="J72" s="719"/>
      <c r="K72" s="713"/>
    </row>
    <row r="73" spans="1:11">
      <c r="A73" s="713"/>
      <c r="B73" s="719"/>
      <c r="C73" s="734" t="s">
        <v>1440</v>
      </c>
      <c r="D73" s="735" t="s">
        <v>1441</v>
      </c>
      <c r="E73" s="734" t="s">
        <v>550</v>
      </c>
      <c r="F73" s="727">
        <v>0</v>
      </c>
      <c r="G73" s="736" t="s">
        <v>1363</v>
      </c>
      <c r="H73" s="737" t="s">
        <v>551</v>
      </c>
      <c r="I73" s="737">
        <v>1</v>
      </c>
      <c r="J73" s="719"/>
      <c r="K73" s="713"/>
    </row>
    <row r="74" spans="1:11">
      <c r="A74" s="713"/>
      <c r="B74" s="719"/>
      <c r="C74" s="725" t="s">
        <v>1442</v>
      </c>
      <c r="D74" s="726" t="s">
        <v>613</v>
      </c>
      <c r="E74" s="725" t="s">
        <v>103</v>
      </c>
      <c r="F74" s="727">
        <v>0</v>
      </c>
      <c r="G74" s="728"/>
      <c r="H74" s="729" t="s">
        <v>551</v>
      </c>
      <c r="I74" s="729">
        <v>17</v>
      </c>
      <c r="J74" s="719"/>
      <c r="K74" s="713"/>
    </row>
    <row r="75" spans="1:11" ht="42.15">
      <c r="A75" s="713"/>
      <c r="B75" s="719"/>
      <c r="C75" s="725" t="s">
        <v>1443</v>
      </c>
      <c r="D75" s="726" t="s">
        <v>1444</v>
      </c>
      <c r="E75" s="725" t="s">
        <v>602</v>
      </c>
      <c r="F75" s="727">
        <v>0</v>
      </c>
      <c r="G75" s="728"/>
      <c r="H75" s="729" t="s">
        <v>551</v>
      </c>
      <c r="I75" s="729">
        <v>2</v>
      </c>
      <c r="J75" s="719"/>
      <c r="K75" s="713"/>
    </row>
    <row r="76" spans="1:11" ht="42.15">
      <c r="A76" s="713"/>
      <c r="B76" s="719"/>
      <c r="D76" s="726" t="s">
        <v>1448</v>
      </c>
      <c r="E76" s="725" t="s">
        <v>553</v>
      </c>
      <c r="F76" s="727">
        <v>0</v>
      </c>
      <c r="G76" s="728"/>
      <c r="H76" s="729" t="s">
        <v>1447</v>
      </c>
      <c r="I76" s="729">
        <v>1</v>
      </c>
      <c r="J76" s="719"/>
      <c r="K76" s="713"/>
    </row>
    <row r="77" spans="1:11">
      <c r="A77" s="713"/>
      <c r="B77" s="719"/>
      <c r="C77" s="741" t="s">
        <v>1445</v>
      </c>
      <c r="D77" s="726" t="s">
        <v>1446</v>
      </c>
      <c r="E77" s="725" t="s">
        <v>553</v>
      </c>
      <c r="F77" s="727">
        <v>0</v>
      </c>
      <c r="G77" s="728"/>
      <c r="H77" s="729" t="s">
        <v>1447</v>
      </c>
      <c r="I77" s="729">
        <v>1</v>
      </c>
      <c r="J77" s="719"/>
      <c r="K77" s="713"/>
    </row>
    <row r="78" spans="1:11" ht="42.15">
      <c r="A78" s="713"/>
      <c r="B78" s="719"/>
      <c r="C78" s="725" t="s">
        <v>1449</v>
      </c>
      <c r="D78" s="726" t="s">
        <v>614</v>
      </c>
      <c r="E78" s="725" t="s">
        <v>602</v>
      </c>
      <c r="F78" s="727">
        <v>0</v>
      </c>
      <c r="G78" s="728"/>
      <c r="H78" s="729" t="s">
        <v>551</v>
      </c>
      <c r="I78" s="729">
        <v>7</v>
      </c>
      <c r="J78" s="719"/>
      <c r="K78" s="713"/>
    </row>
    <row r="79" spans="1:11" ht="42.15">
      <c r="A79" s="713"/>
      <c r="B79" s="719"/>
      <c r="C79" s="734" t="s">
        <v>5743</v>
      </c>
      <c r="D79" s="735" t="s">
        <v>615</v>
      </c>
      <c r="E79" s="734" t="s">
        <v>602</v>
      </c>
      <c r="F79" s="727">
        <v>0</v>
      </c>
      <c r="G79" s="736" t="s">
        <v>1363</v>
      </c>
      <c r="H79" s="737" t="s">
        <v>551</v>
      </c>
      <c r="I79" s="737">
        <v>14</v>
      </c>
      <c r="J79" s="719"/>
      <c r="K79" s="713"/>
    </row>
    <row r="80" spans="1:11" ht="42.15">
      <c r="A80" s="713"/>
      <c r="B80" s="719"/>
      <c r="C80" s="725" t="s">
        <v>1451</v>
      </c>
      <c r="D80" s="726" t="s">
        <v>616</v>
      </c>
      <c r="E80" s="725" t="s">
        <v>553</v>
      </c>
      <c r="F80" s="727">
        <v>0</v>
      </c>
      <c r="G80" s="728"/>
      <c r="H80" s="729" t="s">
        <v>604</v>
      </c>
      <c r="I80" s="729">
        <v>5</v>
      </c>
      <c r="J80" s="719"/>
      <c r="K80" s="713"/>
    </row>
    <row r="81" spans="1:11" ht="42.15">
      <c r="A81" s="713"/>
      <c r="B81" s="719"/>
      <c r="C81" s="725" t="s">
        <v>1450</v>
      </c>
      <c r="D81" s="726" t="s">
        <v>5744</v>
      </c>
      <c r="E81" s="725" t="s">
        <v>602</v>
      </c>
      <c r="F81" s="727">
        <v>0</v>
      </c>
      <c r="G81" s="728"/>
      <c r="H81" s="729" t="s">
        <v>551</v>
      </c>
      <c r="I81" s="729">
        <v>7</v>
      </c>
      <c r="J81" s="719"/>
      <c r="K81" s="713"/>
    </row>
    <row r="82" spans="1:11">
      <c r="A82" s="713"/>
      <c r="B82" s="719"/>
      <c r="C82" s="725" t="s">
        <v>1452</v>
      </c>
      <c r="D82" s="726" t="s">
        <v>617</v>
      </c>
      <c r="E82" s="725" t="s">
        <v>607</v>
      </c>
      <c r="F82" s="727">
        <v>0</v>
      </c>
      <c r="G82" s="728"/>
      <c r="H82" s="729" t="s">
        <v>608</v>
      </c>
      <c r="I82" s="729">
        <v>3</v>
      </c>
      <c r="J82" s="719"/>
      <c r="K82" s="713"/>
    </row>
    <row r="83" spans="1:11">
      <c r="A83" s="713"/>
      <c r="B83" s="719"/>
      <c r="C83" s="734" t="s">
        <v>1453</v>
      </c>
      <c r="D83" s="735" t="s">
        <v>618</v>
      </c>
      <c r="E83" s="734" t="s">
        <v>607</v>
      </c>
      <c r="F83" s="727">
        <v>0</v>
      </c>
      <c r="G83" s="736" t="s">
        <v>1363</v>
      </c>
      <c r="H83" s="737" t="s">
        <v>608</v>
      </c>
      <c r="I83" s="740" t="s">
        <v>350</v>
      </c>
      <c r="J83" s="719"/>
      <c r="K83" s="713"/>
    </row>
    <row r="84" spans="1:11">
      <c r="A84" s="713"/>
      <c r="B84" s="719"/>
      <c r="C84" s="725" t="s">
        <v>1454</v>
      </c>
      <c r="D84" s="726" t="s">
        <v>619</v>
      </c>
      <c r="E84" s="725" t="s">
        <v>553</v>
      </c>
      <c r="F84" s="727">
        <v>0</v>
      </c>
      <c r="G84" s="728"/>
      <c r="H84" s="729" t="s">
        <v>604</v>
      </c>
      <c r="I84" s="729">
        <v>12</v>
      </c>
      <c r="J84" s="719"/>
      <c r="K84" s="713"/>
    </row>
    <row r="85" spans="1:11">
      <c r="A85" s="713"/>
      <c r="B85" s="719"/>
      <c r="C85" s="725" t="s">
        <v>1455</v>
      </c>
      <c r="D85" s="726" t="s">
        <v>620</v>
      </c>
      <c r="E85" s="725" t="s">
        <v>607</v>
      </c>
      <c r="F85" s="727">
        <v>0</v>
      </c>
      <c r="G85" s="728"/>
      <c r="H85" s="729" t="s">
        <v>608</v>
      </c>
      <c r="I85" s="739" t="s">
        <v>350</v>
      </c>
      <c r="J85" s="719"/>
      <c r="K85" s="713"/>
    </row>
    <row r="86" spans="1:11">
      <c r="A86" s="713"/>
      <c r="B86" s="719"/>
      <c r="C86" s="725" t="s">
        <v>1456</v>
      </c>
      <c r="D86" s="726" t="s">
        <v>621</v>
      </c>
      <c r="E86" s="725" t="s">
        <v>559</v>
      </c>
      <c r="F86" s="727">
        <v>0</v>
      </c>
      <c r="G86" s="728"/>
      <c r="H86" s="729" t="s">
        <v>551</v>
      </c>
      <c r="I86" s="729">
        <v>5</v>
      </c>
      <c r="J86" s="719"/>
      <c r="K86" s="713"/>
    </row>
    <row r="87" spans="1:11" ht="42.15">
      <c r="A87" s="713"/>
      <c r="B87" s="719"/>
      <c r="C87" s="725" t="s">
        <v>1457</v>
      </c>
      <c r="D87" s="726" t="s">
        <v>622</v>
      </c>
      <c r="E87" s="725" t="s">
        <v>562</v>
      </c>
      <c r="F87" s="727">
        <v>0</v>
      </c>
      <c r="G87" s="728"/>
      <c r="H87" s="729" t="s">
        <v>551</v>
      </c>
      <c r="I87" s="729">
        <v>17</v>
      </c>
      <c r="J87" s="719"/>
      <c r="K87" s="713"/>
    </row>
    <row r="88" spans="1:11">
      <c r="A88" s="713"/>
      <c r="B88" s="719"/>
      <c r="C88" s="725" t="s">
        <v>1458</v>
      </c>
      <c r="D88" s="726" t="s">
        <v>226</v>
      </c>
      <c r="E88" s="725" t="s">
        <v>550</v>
      </c>
      <c r="F88" s="727">
        <v>0</v>
      </c>
      <c r="G88" s="728"/>
      <c r="H88" s="729" t="s">
        <v>551</v>
      </c>
      <c r="I88" s="729">
        <v>3</v>
      </c>
      <c r="J88" s="719"/>
      <c r="K88" s="713"/>
    </row>
    <row r="89" spans="1:11">
      <c r="A89" s="713"/>
      <c r="B89" s="719"/>
      <c r="C89" s="725" t="s">
        <v>1459</v>
      </c>
      <c r="D89" s="726" t="s">
        <v>227</v>
      </c>
      <c r="E89" s="725" t="s">
        <v>550</v>
      </c>
      <c r="F89" s="727">
        <v>0</v>
      </c>
      <c r="G89" s="728"/>
      <c r="H89" s="729" t="s">
        <v>551</v>
      </c>
      <c r="I89" s="729">
        <v>3</v>
      </c>
      <c r="J89" s="719"/>
      <c r="K89" s="713"/>
    </row>
    <row r="90" spans="1:11">
      <c r="A90" s="713"/>
      <c r="B90" s="719"/>
      <c r="C90" s="725" t="s">
        <v>1460</v>
      </c>
      <c r="D90" s="726" t="s">
        <v>1461</v>
      </c>
      <c r="E90" s="725" t="s">
        <v>103</v>
      </c>
      <c r="F90" s="727">
        <v>0</v>
      </c>
      <c r="G90" s="728"/>
      <c r="H90" s="729" t="s">
        <v>551</v>
      </c>
      <c r="I90" s="729">
        <v>5</v>
      </c>
      <c r="J90" s="719"/>
      <c r="K90" s="713"/>
    </row>
    <row r="91" spans="1:11">
      <c r="A91" s="713"/>
      <c r="B91" s="719"/>
      <c r="C91" s="725" t="s">
        <v>1462</v>
      </c>
      <c r="D91" s="726" t="s">
        <v>1463</v>
      </c>
      <c r="E91" s="725" t="s">
        <v>103</v>
      </c>
      <c r="F91" s="727">
        <v>0</v>
      </c>
      <c r="G91" s="728"/>
      <c r="H91" s="729" t="s">
        <v>551</v>
      </c>
      <c r="I91" s="729">
        <v>3</v>
      </c>
      <c r="J91" s="719"/>
      <c r="K91" s="713"/>
    </row>
    <row r="92" spans="1:11">
      <c r="A92" s="713"/>
      <c r="B92" s="719"/>
      <c r="C92" s="725" t="s">
        <v>1464</v>
      </c>
      <c r="D92" s="726" t="s">
        <v>1465</v>
      </c>
      <c r="E92" s="725" t="s">
        <v>103</v>
      </c>
      <c r="F92" s="727">
        <v>0</v>
      </c>
      <c r="G92" s="728"/>
      <c r="H92" s="729" t="s">
        <v>551</v>
      </c>
      <c r="I92" s="729">
        <v>3</v>
      </c>
      <c r="J92" s="719"/>
      <c r="K92" s="713"/>
    </row>
    <row r="93" spans="1:11">
      <c r="A93" s="713"/>
      <c r="B93" s="719"/>
      <c r="C93" s="734" t="s">
        <v>1466</v>
      </c>
      <c r="D93" s="735" t="s">
        <v>623</v>
      </c>
      <c r="E93" s="734" t="s">
        <v>103</v>
      </c>
      <c r="F93" s="727">
        <v>0</v>
      </c>
      <c r="G93" s="736" t="s">
        <v>1363</v>
      </c>
      <c r="H93" s="737" t="s">
        <v>551</v>
      </c>
      <c r="I93" s="737">
        <v>17</v>
      </c>
      <c r="J93" s="719"/>
      <c r="K93" s="713"/>
    </row>
    <row r="94" spans="1:11" ht="42.15">
      <c r="A94" s="713" t="s">
        <v>5745</v>
      </c>
      <c r="B94" s="719"/>
      <c r="C94" s="734" t="s">
        <v>1467</v>
      </c>
      <c r="D94" s="735" t="s">
        <v>624</v>
      </c>
      <c r="E94" s="734" t="s">
        <v>553</v>
      </c>
      <c r="F94" s="727">
        <v>0</v>
      </c>
      <c r="G94" s="736" t="s">
        <v>1363</v>
      </c>
      <c r="H94" s="737" t="s">
        <v>604</v>
      </c>
      <c r="I94" s="737">
        <v>12</v>
      </c>
      <c r="J94" s="719"/>
      <c r="K94" s="713"/>
    </row>
    <row r="95" spans="1:11">
      <c r="A95" s="713"/>
      <c r="B95" s="719"/>
      <c r="C95" s="725" t="s">
        <v>1468</v>
      </c>
      <c r="D95" s="726" t="s">
        <v>625</v>
      </c>
      <c r="E95" s="725" t="s">
        <v>88</v>
      </c>
      <c r="F95" s="727">
        <v>0</v>
      </c>
      <c r="G95" s="728"/>
      <c r="H95" s="729" t="s">
        <v>551</v>
      </c>
      <c r="I95" s="729">
        <v>5</v>
      </c>
      <c r="J95" s="719"/>
      <c r="K95" s="713"/>
    </row>
    <row r="96" spans="1:11">
      <c r="A96" s="713"/>
      <c r="B96" s="719"/>
      <c r="C96" s="725" t="s">
        <v>102</v>
      </c>
      <c r="D96" s="726" t="s">
        <v>1469</v>
      </c>
      <c r="E96" s="725" t="s">
        <v>103</v>
      </c>
      <c r="F96" s="727">
        <v>0</v>
      </c>
      <c r="G96" s="728"/>
      <c r="H96" s="729" t="s">
        <v>551</v>
      </c>
      <c r="I96" s="729">
        <v>3</v>
      </c>
      <c r="J96" s="719"/>
      <c r="K96" s="713"/>
    </row>
    <row r="97" spans="1:11" ht="44.85">
      <c r="A97" s="713"/>
      <c r="B97" s="719"/>
      <c r="C97" s="725" t="s">
        <v>1470</v>
      </c>
      <c r="D97" s="726" t="s">
        <v>5746</v>
      </c>
      <c r="E97" s="725" t="s">
        <v>88</v>
      </c>
      <c r="F97" s="727">
        <v>0</v>
      </c>
      <c r="G97" s="728"/>
      <c r="H97" s="729" t="s">
        <v>627</v>
      </c>
      <c r="I97" s="729">
        <v>7</v>
      </c>
      <c r="J97" s="719"/>
      <c r="K97" s="713"/>
    </row>
    <row r="98" spans="1:11" ht="22.45">
      <c r="A98" s="713"/>
      <c r="B98" s="719"/>
      <c r="C98" s="725" t="s">
        <v>1472</v>
      </c>
      <c r="D98" s="726" t="s">
        <v>5747</v>
      </c>
      <c r="E98" s="725" t="s">
        <v>88</v>
      </c>
      <c r="F98" s="727">
        <v>0</v>
      </c>
      <c r="G98" s="728"/>
      <c r="H98" s="729" t="s">
        <v>627</v>
      </c>
      <c r="I98" s="729">
        <v>7</v>
      </c>
      <c r="J98" s="719"/>
      <c r="K98" s="713"/>
    </row>
    <row r="99" spans="1:11">
      <c r="A99" s="713"/>
      <c r="B99" s="719"/>
      <c r="C99" s="725" t="s">
        <v>1474</v>
      </c>
      <c r="D99" s="726" t="s">
        <v>629</v>
      </c>
      <c r="E99" s="725" t="s">
        <v>607</v>
      </c>
      <c r="F99" s="727">
        <v>0</v>
      </c>
      <c r="G99" s="728"/>
      <c r="H99" s="729" t="s">
        <v>608</v>
      </c>
      <c r="I99" s="739" t="s">
        <v>350</v>
      </c>
      <c r="J99" s="719"/>
      <c r="K99" s="713"/>
    </row>
    <row r="100" spans="1:11">
      <c r="A100" s="713"/>
      <c r="B100" s="719"/>
      <c r="C100" s="734" t="s">
        <v>391</v>
      </c>
      <c r="D100" s="735" t="s">
        <v>391</v>
      </c>
      <c r="E100" s="734" t="s">
        <v>88</v>
      </c>
      <c r="F100" s="727">
        <v>0</v>
      </c>
      <c r="G100" s="736" t="s">
        <v>1363</v>
      </c>
      <c r="H100" s="737" t="s">
        <v>551</v>
      </c>
      <c r="I100" s="737">
        <v>21</v>
      </c>
      <c r="J100" s="719"/>
      <c r="K100" s="713"/>
    </row>
    <row r="101" spans="1:11" ht="42.15">
      <c r="A101" s="713"/>
      <c r="B101" s="719"/>
      <c r="C101" s="725" t="s">
        <v>1475</v>
      </c>
      <c r="D101" s="726" t="s">
        <v>630</v>
      </c>
      <c r="E101" s="725" t="s">
        <v>602</v>
      </c>
      <c r="F101" s="727">
        <v>0</v>
      </c>
      <c r="G101" s="728"/>
      <c r="H101" s="729" t="s">
        <v>551</v>
      </c>
      <c r="I101" s="729">
        <v>5</v>
      </c>
      <c r="J101" s="719"/>
      <c r="K101" s="713"/>
    </row>
    <row r="102" spans="1:11" ht="42.15">
      <c r="A102" s="713"/>
      <c r="B102" s="719"/>
      <c r="C102" s="734" t="s">
        <v>2344</v>
      </c>
      <c r="D102" s="735" t="s">
        <v>631</v>
      </c>
      <c r="E102" s="734" t="s">
        <v>553</v>
      </c>
      <c r="F102" s="727">
        <v>0</v>
      </c>
      <c r="G102" s="736" t="s">
        <v>1363</v>
      </c>
      <c r="H102" s="737" t="s">
        <v>554</v>
      </c>
      <c r="I102" s="737">
        <v>5</v>
      </c>
      <c r="J102" s="719"/>
      <c r="K102" s="713"/>
    </row>
    <row r="103" spans="1:11" ht="42.15">
      <c r="A103" s="713"/>
      <c r="B103" s="719"/>
      <c r="C103" s="725" t="s">
        <v>1477</v>
      </c>
      <c r="D103" s="726" t="s">
        <v>632</v>
      </c>
      <c r="E103" s="725" t="s">
        <v>602</v>
      </c>
      <c r="F103" s="727">
        <v>0</v>
      </c>
      <c r="G103" s="728"/>
      <c r="H103" s="729" t="s">
        <v>551</v>
      </c>
      <c r="I103" s="729">
        <v>5</v>
      </c>
      <c r="J103" s="719"/>
      <c r="K103" s="713"/>
    </row>
    <row r="104" spans="1:11" ht="42.15">
      <c r="A104" s="713" t="s">
        <v>5737</v>
      </c>
      <c r="B104" s="719"/>
      <c r="C104" s="734" t="s">
        <v>1478</v>
      </c>
      <c r="D104" s="735" t="s">
        <v>5748</v>
      </c>
      <c r="E104" s="734" t="s">
        <v>553</v>
      </c>
      <c r="F104" s="727">
        <v>0</v>
      </c>
      <c r="G104" s="736" t="s">
        <v>1363</v>
      </c>
      <c r="H104" s="737" t="s">
        <v>634</v>
      </c>
      <c r="I104" s="737">
        <v>5</v>
      </c>
      <c r="J104" s="719"/>
      <c r="K104" s="713"/>
    </row>
    <row r="105" spans="1:11">
      <c r="A105" s="713"/>
      <c r="B105" s="719"/>
      <c r="C105" s="734" t="s">
        <v>1480</v>
      </c>
      <c r="D105" s="735" t="s">
        <v>635</v>
      </c>
      <c r="E105" s="734" t="s">
        <v>103</v>
      </c>
      <c r="F105" s="727">
        <v>0</v>
      </c>
      <c r="G105" s="736" t="s">
        <v>1363</v>
      </c>
      <c r="H105" s="737" t="s">
        <v>551</v>
      </c>
      <c r="I105" s="737">
        <v>15</v>
      </c>
      <c r="J105" s="719"/>
      <c r="K105" s="713"/>
    </row>
    <row r="106" spans="1:11">
      <c r="A106" s="713"/>
      <c r="B106" s="719"/>
      <c r="C106" s="725" t="s">
        <v>1481</v>
      </c>
      <c r="D106" s="726" t="s">
        <v>1482</v>
      </c>
      <c r="E106" s="725" t="s">
        <v>559</v>
      </c>
      <c r="F106" s="727">
        <v>0</v>
      </c>
      <c r="G106" s="728"/>
      <c r="H106" s="729" t="s">
        <v>551</v>
      </c>
      <c r="I106" s="729">
        <v>1</v>
      </c>
      <c r="J106" s="719"/>
      <c r="K106" s="713"/>
    </row>
    <row r="107" spans="1:11" ht="42.15">
      <c r="A107" s="713"/>
      <c r="B107" s="719"/>
      <c r="C107" s="725" t="s">
        <v>1483</v>
      </c>
      <c r="D107" s="726" t="s">
        <v>1484</v>
      </c>
      <c r="E107" s="725" t="s">
        <v>559</v>
      </c>
      <c r="F107" s="727">
        <v>0</v>
      </c>
      <c r="G107" s="728"/>
      <c r="H107" s="729" t="s">
        <v>551</v>
      </c>
      <c r="I107" s="729">
        <v>3</v>
      </c>
      <c r="J107" s="719"/>
      <c r="K107" s="713"/>
    </row>
    <row r="108" spans="1:11">
      <c r="A108" s="713"/>
      <c r="B108" s="719"/>
      <c r="C108" s="725" t="s">
        <v>1485</v>
      </c>
      <c r="D108" s="726" t="s">
        <v>636</v>
      </c>
      <c r="E108" s="725" t="s">
        <v>550</v>
      </c>
      <c r="F108" s="727">
        <v>0</v>
      </c>
      <c r="G108" s="728"/>
      <c r="H108" s="729" t="s">
        <v>551</v>
      </c>
      <c r="I108" s="729">
        <v>3</v>
      </c>
      <c r="J108" s="719"/>
      <c r="K108" s="713"/>
    </row>
    <row r="109" spans="1:11">
      <c r="A109" s="713"/>
      <c r="B109" s="719"/>
      <c r="C109" s="725" t="s">
        <v>1486</v>
      </c>
      <c r="D109" s="726" t="s">
        <v>637</v>
      </c>
      <c r="E109" s="725" t="s">
        <v>88</v>
      </c>
      <c r="F109" s="727">
        <v>0</v>
      </c>
      <c r="G109" s="728"/>
      <c r="H109" s="729" t="s">
        <v>551</v>
      </c>
      <c r="I109" s="729">
        <v>17</v>
      </c>
      <c r="J109" s="719"/>
      <c r="K109" s="713"/>
    </row>
    <row r="110" spans="1:11">
      <c r="A110" s="713"/>
      <c r="B110" s="719"/>
      <c r="D110" s="726" t="s">
        <v>1487</v>
      </c>
      <c r="E110" s="725" t="s">
        <v>553</v>
      </c>
      <c r="F110" s="727">
        <v>0</v>
      </c>
      <c r="G110" s="728"/>
      <c r="H110" s="729" t="s">
        <v>604</v>
      </c>
      <c r="I110" s="729" t="s">
        <v>1488</v>
      </c>
      <c r="J110" s="719"/>
      <c r="K110" s="713"/>
    </row>
    <row r="111" spans="1:11">
      <c r="A111" s="713"/>
      <c r="B111" s="719"/>
      <c r="C111" s="725" t="s">
        <v>1489</v>
      </c>
      <c r="D111" s="726" t="s">
        <v>297</v>
      </c>
      <c r="E111" s="725" t="s">
        <v>550</v>
      </c>
      <c r="F111" s="727">
        <v>0</v>
      </c>
      <c r="G111" s="728"/>
      <c r="H111" s="729" t="s">
        <v>551</v>
      </c>
      <c r="I111" s="729">
        <v>15</v>
      </c>
      <c r="J111" s="719"/>
      <c r="K111" s="713"/>
    </row>
    <row r="112" spans="1:11" ht="42.15">
      <c r="A112" s="713"/>
      <c r="B112" s="719"/>
      <c r="C112" s="734" t="s">
        <v>1490</v>
      </c>
      <c r="D112" s="735" t="s">
        <v>5749</v>
      </c>
      <c r="E112" s="734" t="s">
        <v>553</v>
      </c>
      <c r="F112" s="727">
        <v>0</v>
      </c>
      <c r="G112" s="736" t="s">
        <v>1363</v>
      </c>
      <c r="H112" s="737" t="s">
        <v>627</v>
      </c>
      <c r="I112" s="737" t="s">
        <v>639</v>
      </c>
      <c r="J112" s="719"/>
      <c r="K112" s="713"/>
    </row>
    <row r="113" spans="1:11">
      <c r="A113" s="713"/>
      <c r="B113" s="719"/>
      <c r="C113" s="725" t="s">
        <v>1492</v>
      </c>
      <c r="D113" s="726" t="s">
        <v>1492</v>
      </c>
      <c r="E113" s="725" t="s">
        <v>550</v>
      </c>
      <c r="F113" s="727">
        <v>0</v>
      </c>
      <c r="G113" s="728"/>
      <c r="H113" s="729" t="s">
        <v>551</v>
      </c>
      <c r="I113" s="729">
        <v>1</v>
      </c>
      <c r="J113" s="719"/>
      <c r="K113" s="713"/>
    </row>
    <row r="114" spans="1:11">
      <c r="A114" s="713"/>
      <c r="B114" s="719"/>
      <c r="C114" s="725" t="s">
        <v>1493</v>
      </c>
      <c r="D114" s="725" t="s">
        <v>509</v>
      </c>
      <c r="E114" s="725" t="s">
        <v>550</v>
      </c>
      <c r="F114" s="727">
        <v>0</v>
      </c>
      <c r="G114" s="728"/>
      <c r="H114" s="729" t="s">
        <v>551</v>
      </c>
      <c r="I114" s="729">
        <v>1</v>
      </c>
      <c r="J114" s="719"/>
      <c r="K114" s="713"/>
    </row>
    <row r="115" spans="1:11" ht="42.15">
      <c r="A115" s="713"/>
      <c r="B115" s="719"/>
      <c r="C115" s="725" t="s">
        <v>1495</v>
      </c>
      <c r="D115" s="726" t="s">
        <v>641</v>
      </c>
      <c r="E115" s="725" t="s">
        <v>602</v>
      </c>
      <c r="F115" s="727">
        <v>0</v>
      </c>
      <c r="G115" s="728"/>
      <c r="H115" s="729" t="s">
        <v>642</v>
      </c>
      <c r="I115" s="729">
        <v>2</v>
      </c>
      <c r="J115" s="719"/>
      <c r="K115" s="713"/>
    </row>
    <row r="116" spans="1:11" ht="42.15">
      <c r="A116" s="713"/>
      <c r="B116" s="719"/>
      <c r="C116" s="725" t="s">
        <v>1496</v>
      </c>
      <c r="D116" s="726" t="s">
        <v>643</v>
      </c>
      <c r="E116" s="725" t="s">
        <v>562</v>
      </c>
      <c r="F116" s="727">
        <v>0</v>
      </c>
      <c r="G116" s="728"/>
      <c r="H116" s="729" t="s">
        <v>551</v>
      </c>
      <c r="I116" s="729">
        <v>17</v>
      </c>
      <c r="J116" s="719"/>
      <c r="K116" s="713"/>
    </row>
    <row r="117" spans="1:11">
      <c r="A117" s="713"/>
      <c r="B117" s="719"/>
      <c r="C117" s="725" t="s">
        <v>1497</v>
      </c>
      <c r="D117" s="726" t="s">
        <v>644</v>
      </c>
      <c r="E117" s="725" t="s">
        <v>550</v>
      </c>
      <c r="F117" s="727">
        <v>0</v>
      </c>
      <c r="G117" s="728"/>
      <c r="H117" s="729" t="s">
        <v>551</v>
      </c>
      <c r="I117" s="729">
        <v>17</v>
      </c>
      <c r="J117" s="719"/>
      <c r="K117" s="713"/>
    </row>
    <row r="118" spans="1:11">
      <c r="A118" s="713"/>
      <c r="B118" s="719"/>
      <c r="C118" s="725" t="s">
        <v>1498</v>
      </c>
      <c r="D118" s="726" t="s">
        <v>1499</v>
      </c>
      <c r="E118" s="725" t="s">
        <v>559</v>
      </c>
      <c r="F118" s="727">
        <v>0</v>
      </c>
      <c r="G118" s="728"/>
      <c r="H118" s="729" t="s">
        <v>551</v>
      </c>
      <c r="I118" s="729">
        <v>2</v>
      </c>
      <c r="J118" s="719"/>
      <c r="K118" s="713"/>
    </row>
    <row r="119" spans="1:11">
      <c r="A119" s="713"/>
      <c r="B119" s="719"/>
      <c r="C119" s="725" t="s">
        <v>1500</v>
      </c>
      <c r="D119" s="726" t="s">
        <v>647</v>
      </c>
      <c r="E119" s="725" t="s">
        <v>553</v>
      </c>
      <c r="F119" s="727">
        <v>0</v>
      </c>
      <c r="G119" s="728"/>
      <c r="H119" s="729" t="s">
        <v>604</v>
      </c>
      <c r="I119" s="729">
        <v>12</v>
      </c>
      <c r="J119" s="719"/>
      <c r="K119" s="713"/>
    </row>
    <row r="120" spans="1:11">
      <c r="A120" s="713"/>
      <c r="B120" s="719"/>
      <c r="C120" s="725" t="s">
        <v>649</v>
      </c>
      <c r="D120" s="726" t="s">
        <v>649</v>
      </c>
      <c r="E120" s="725" t="s">
        <v>550</v>
      </c>
      <c r="F120" s="727">
        <v>0</v>
      </c>
      <c r="G120" s="728"/>
      <c r="H120" s="729" t="s">
        <v>551</v>
      </c>
      <c r="I120" s="729">
        <v>1</v>
      </c>
      <c r="J120" s="719"/>
      <c r="K120" s="713"/>
    </row>
    <row r="121" spans="1:11">
      <c r="A121" s="713"/>
      <c r="B121" s="719"/>
      <c r="C121" s="725" t="s">
        <v>1501</v>
      </c>
      <c r="D121" s="726" t="s">
        <v>650</v>
      </c>
      <c r="E121" s="725" t="s">
        <v>103</v>
      </c>
      <c r="F121" s="727">
        <v>0</v>
      </c>
      <c r="G121" s="728"/>
      <c r="H121" s="729" t="s">
        <v>551</v>
      </c>
      <c r="I121" s="729">
        <v>17</v>
      </c>
      <c r="J121" s="719"/>
      <c r="K121" s="713"/>
    </row>
    <row r="122" spans="1:11" ht="42.15">
      <c r="A122" s="713"/>
      <c r="B122" s="719"/>
      <c r="C122" s="725" t="s">
        <v>1502</v>
      </c>
      <c r="D122" s="726" t="s">
        <v>651</v>
      </c>
      <c r="E122" s="725" t="s">
        <v>602</v>
      </c>
      <c r="F122" s="727">
        <v>0</v>
      </c>
      <c r="G122" s="728"/>
      <c r="H122" s="729" t="s">
        <v>551</v>
      </c>
      <c r="I122" s="729">
        <v>3</v>
      </c>
      <c r="J122" s="719"/>
      <c r="K122" s="713"/>
    </row>
    <row r="123" spans="1:11">
      <c r="A123" s="713"/>
      <c r="B123" s="719"/>
      <c r="C123" s="725" t="s">
        <v>1505</v>
      </c>
      <c r="D123" s="726" t="s">
        <v>652</v>
      </c>
      <c r="E123" s="725" t="s">
        <v>553</v>
      </c>
      <c r="F123" s="727">
        <v>0</v>
      </c>
      <c r="G123" s="728"/>
      <c r="H123" s="729" t="s">
        <v>604</v>
      </c>
      <c r="I123" s="729">
        <v>10</v>
      </c>
      <c r="J123" s="719"/>
      <c r="K123" s="713"/>
    </row>
    <row r="124" spans="1:11" ht="42.15">
      <c r="A124" s="713"/>
      <c r="B124" s="719"/>
      <c r="C124" s="725" t="s">
        <v>1506</v>
      </c>
      <c r="D124" s="726" t="s">
        <v>654</v>
      </c>
      <c r="E124" s="725" t="s">
        <v>567</v>
      </c>
      <c r="F124" s="727">
        <v>0</v>
      </c>
      <c r="G124" s="728"/>
      <c r="H124" s="729" t="s">
        <v>551</v>
      </c>
      <c r="I124" s="729">
        <v>17</v>
      </c>
      <c r="J124" s="719"/>
      <c r="K124" s="713"/>
    </row>
    <row r="125" spans="1:11">
      <c r="A125" s="713"/>
      <c r="B125" s="719"/>
      <c r="C125" s="725" t="s">
        <v>1503</v>
      </c>
      <c r="D125" s="726" t="s">
        <v>1504</v>
      </c>
      <c r="E125" s="725" t="s">
        <v>593</v>
      </c>
      <c r="F125" s="727">
        <v>0</v>
      </c>
      <c r="G125" s="728"/>
      <c r="H125" s="729" t="s">
        <v>599</v>
      </c>
      <c r="I125" s="729">
        <v>1</v>
      </c>
      <c r="J125" s="719"/>
      <c r="K125" s="713"/>
    </row>
    <row r="126" spans="1:11">
      <c r="A126" s="713"/>
      <c r="B126" s="719"/>
      <c r="C126" s="725" t="s">
        <v>1507</v>
      </c>
      <c r="D126" s="726" t="s">
        <v>1508</v>
      </c>
      <c r="E126" s="725" t="s">
        <v>559</v>
      </c>
      <c r="F126" s="727">
        <v>0</v>
      </c>
      <c r="G126" s="728"/>
      <c r="H126" s="729" t="s">
        <v>551</v>
      </c>
      <c r="I126" s="729">
        <v>1</v>
      </c>
      <c r="J126" s="719"/>
      <c r="K126" s="713"/>
    </row>
    <row r="127" spans="1:11">
      <c r="A127" s="713"/>
      <c r="B127" s="719"/>
      <c r="C127" s="725" t="s">
        <v>1509</v>
      </c>
      <c r="D127" s="726" t="s">
        <v>655</v>
      </c>
      <c r="E127" s="725" t="s">
        <v>656</v>
      </c>
      <c r="F127" s="727">
        <v>0</v>
      </c>
      <c r="G127" s="728"/>
      <c r="H127" s="729" t="s">
        <v>551</v>
      </c>
      <c r="I127" s="739" t="s">
        <v>361</v>
      </c>
      <c r="J127" s="719"/>
      <c r="K127" s="713"/>
    </row>
    <row r="128" spans="1:11">
      <c r="A128" s="713"/>
      <c r="B128" s="719"/>
      <c r="C128" s="734" t="s">
        <v>1510</v>
      </c>
      <c r="D128" s="735" t="s">
        <v>657</v>
      </c>
      <c r="E128" s="734" t="s">
        <v>559</v>
      </c>
      <c r="F128" s="727">
        <v>0</v>
      </c>
      <c r="G128" s="736" t="s">
        <v>1363</v>
      </c>
      <c r="H128" s="737" t="s">
        <v>551</v>
      </c>
      <c r="I128" s="737">
        <v>17</v>
      </c>
      <c r="J128" s="719"/>
      <c r="K128" s="713"/>
    </row>
    <row r="129" spans="1:11">
      <c r="A129" s="713"/>
      <c r="B129" s="719"/>
      <c r="C129" s="725" t="s">
        <v>1511</v>
      </c>
      <c r="D129" s="725" t="s">
        <v>658</v>
      </c>
      <c r="E129" s="725" t="s">
        <v>88</v>
      </c>
      <c r="F129" s="727">
        <v>0</v>
      </c>
      <c r="G129" s="728"/>
      <c r="H129" s="729" t="s">
        <v>551</v>
      </c>
      <c r="I129" s="739" t="s">
        <v>1399</v>
      </c>
      <c r="J129" s="719"/>
      <c r="K129" s="713"/>
    </row>
    <row r="130" spans="1:11" ht="42.15">
      <c r="A130" s="713"/>
      <c r="B130" s="719"/>
      <c r="C130" s="725" t="s">
        <v>1512</v>
      </c>
      <c r="D130" s="726" t="s">
        <v>660</v>
      </c>
      <c r="E130" s="725" t="s">
        <v>562</v>
      </c>
      <c r="F130" s="727">
        <v>0</v>
      </c>
      <c r="G130" s="728"/>
      <c r="H130" s="729" t="s">
        <v>551</v>
      </c>
      <c r="I130" s="729">
        <v>17</v>
      </c>
      <c r="J130" s="719"/>
      <c r="K130" s="713"/>
    </row>
    <row r="131" spans="1:11" ht="42.15">
      <c r="A131" s="713"/>
      <c r="B131" s="719"/>
      <c r="C131" s="734" t="s">
        <v>1513</v>
      </c>
      <c r="D131" s="735" t="s">
        <v>661</v>
      </c>
      <c r="E131" s="734" t="s">
        <v>602</v>
      </c>
      <c r="F131" s="727">
        <v>0</v>
      </c>
      <c r="G131" s="736" t="s">
        <v>1363</v>
      </c>
      <c r="H131" s="737" t="s">
        <v>551</v>
      </c>
      <c r="I131" s="737">
        <v>10</v>
      </c>
      <c r="J131" s="719"/>
      <c r="K131" s="713"/>
    </row>
    <row r="132" spans="1:11">
      <c r="A132" s="713"/>
      <c r="B132" s="719"/>
      <c r="C132" s="734" t="s">
        <v>1514</v>
      </c>
      <c r="D132" s="735" t="s">
        <v>663</v>
      </c>
      <c r="E132" s="734" t="s">
        <v>88</v>
      </c>
      <c r="F132" s="727">
        <v>0</v>
      </c>
      <c r="G132" s="736" t="s">
        <v>1363</v>
      </c>
      <c r="H132" s="737" t="s">
        <v>551</v>
      </c>
      <c r="I132" s="737" t="s">
        <v>664</v>
      </c>
      <c r="J132" s="719"/>
      <c r="K132" s="713"/>
    </row>
    <row r="133" spans="1:11">
      <c r="A133" s="713"/>
      <c r="B133" s="719"/>
      <c r="C133" s="725" t="s">
        <v>1515</v>
      </c>
      <c r="D133" s="726" t="s">
        <v>665</v>
      </c>
      <c r="E133" s="725" t="s">
        <v>88</v>
      </c>
      <c r="F133" s="727">
        <v>0</v>
      </c>
      <c r="G133" s="728"/>
      <c r="H133" s="729" t="s">
        <v>551</v>
      </c>
      <c r="I133" s="739" t="s">
        <v>664</v>
      </c>
      <c r="J133" s="719"/>
      <c r="K133" s="713"/>
    </row>
    <row r="134" spans="1:11" ht="42.15">
      <c r="A134" s="713" t="s">
        <v>5737</v>
      </c>
      <c r="B134" s="719"/>
      <c r="C134" s="725" t="s">
        <v>5750</v>
      </c>
      <c r="D134" s="726" t="s">
        <v>5751</v>
      </c>
      <c r="E134" s="725" t="s">
        <v>88</v>
      </c>
      <c r="F134" s="727">
        <v>0</v>
      </c>
      <c r="G134" s="728"/>
      <c r="H134" s="729" t="s">
        <v>551</v>
      </c>
      <c r="I134" s="729">
        <v>5</v>
      </c>
      <c r="J134" s="719"/>
      <c r="K134" s="713"/>
    </row>
    <row r="135" spans="1:11">
      <c r="A135" s="713"/>
      <c r="B135" s="719"/>
      <c r="C135" s="734" t="s">
        <v>1516</v>
      </c>
      <c r="D135" s="735" t="s">
        <v>364</v>
      </c>
      <c r="E135" s="734" t="s">
        <v>550</v>
      </c>
      <c r="F135" s="727">
        <v>0</v>
      </c>
      <c r="G135" s="736" t="s">
        <v>1363</v>
      </c>
      <c r="H135" s="737" t="s">
        <v>551</v>
      </c>
      <c r="I135" s="740">
        <v>1</v>
      </c>
      <c r="J135" s="719"/>
      <c r="K135" s="713"/>
    </row>
    <row r="136" spans="1:11" ht="42.15">
      <c r="A136" s="713"/>
      <c r="B136" s="719"/>
      <c r="C136" s="725" t="s">
        <v>1517</v>
      </c>
      <c r="D136" s="726" t="s">
        <v>666</v>
      </c>
      <c r="E136" s="725" t="s">
        <v>602</v>
      </c>
      <c r="F136" s="727">
        <v>0</v>
      </c>
      <c r="G136" s="728"/>
      <c r="H136" s="729" t="s">
        <v>551</v>
      </c>
      <c r="I136" s="729">
        <v>5</v>
      </c>
      <c r="J136" s="719"/>
      <c r="K136" s="713"/>
    </row>
    <row r="137" spans="1:11">
      <c r="A137" s="713"/>
      <c r="B137" s="719"/>
      <c r="C137" s="725" t="s">
        <v>1518</v>
      </c>
      <c r="D137" s="726" t="s">
        <v>295</v>
      </c>
      <c r="E137" s="725" t="s">
        <v>559</v>
      </c>
      <c r="F137" s="727">
        <v>0</v>
      </c>
      <c r="G137" s="728"/>
      <c r="H137" s="729" t="s">
        <v>551</v>
      </c>
      <c r="I137" s="729">
        <v>15</v>
      </c>
      <c r="J137" s="719"/>
      <c r="K137" s="713"/>
    </row>
    <row r="138" spans="1:11" ht="43.5">
      <c r="A138" s="713"/>
      <c r="B138" s="719"/>
      <c r="C138" s="735" t="s">
        <v>1519</v>
      </c>
      <c r="D138" s="734" t="s">
        <v>5752</v>
      </c>
      <c r="E138" s="735" t="s">
        <v>567</v>
      </c>
      <c r="F138" s="727">
        <v>0</v>
      </c>
      <c r="G138" s="736" t="s">
        <v>1363</v>
      </c>
      <c r="H138" s="737" t="s">
        <v>551</v>
      </c>
      <c r="I138" s="737">
        <v>5</v>
      </c>
      <c r="J138" s="719"/>
      <c r="K138" s="713"/>
    </row>
    <row r="139" spans="1:11" ht="42.15">
      <c r="A139" s="713" t="s">
        <v>5737</v>
      </c>
      <c r="B139" s="719"/>
      <c r="C139" s="725" t="s">
        <v>5753</v>
      </c>
      <c r="D139" s="726" t="s">
        <v>5754</v>
      </c>
      <c r="E139" s="725" t="s">
        <v>593</v>
      </c>
      <c r="F139" s="727">
        <v>0</v>
      </c>
      <c r="G139" s="728"/>
      <c r="H139" s="729" t="s">
        <v>595</v>
      </c>
      <c r="I139" s="729">
        <v>15</v>
      </c>
      <c r="J139" s="719"/>
      <c r="K139" s="713"/>
    </row>
    <row r="140" spans="1:11">
      <c r="A140" s="713"/>
      <c r="B140" s="719"/>
      <c r="C140" s="725" t="s">
        <v>1521</v>
      </c>
      <c r="D140" s="726" t="s">
        <v>667</v>
      </c>
      <c r="E140" s="725" t="s">
        <v>88</v>
      </c>
      <c r="F140" s="727">
        <v>0</v>
      </c>
      <c r="G140" s="728"/>
      <c r="H140" s="729" t="s">
        <v>551</v>
      </c>
      <c r="I140" s="729">
        <v>5</v>
      </c>
      <c r="J140" s="719"/>
      <c r="K140" s="713"/>
    </row>
    <row r="141" spans="1:11">
      <c r="A141" s="713"/>
      <c r="B141" s="719"/>
      <c r="C141" s="725" t="s">
        <v>1522</v>
      </c>
      <c r="D141" s="726" t="s">
        <v>31</v>
      </c>
      <c r="E141" s="725" t="s">
        <v>550</v>
      </c>
      <c r="F141" s="727">
        <v>0</v>
      </c>
      <c r="G141" s="728"/>
      <c r="H141" s="729" t="s">
        <v>551</v>
      </c>
      <c r="I141" s="729">
        <v>1</v>
      </c>
      <c r="J141" s="719"/>
      <c r="K141" s="713"/>
    </row>
    <row r="142" spans="1:11">
      <c r="A142" s="713"/>
      <c r="B142" s="719"/>
      <c r="C142" s="734" t="s">
        <v>1523</v>
      </c>
      <c r="D142" s="735" t="s">
        <v>9</v>
      </c>
      <c r="E142" s="734" t="s">
        <v>593</v>
      </c>
      <c r="F142" s="727">
        <v>0</v>
      </c>
      <c r="G142" s="736" t="s">
        <v>1363</v>
      </c>
      <c r="H142" s="737" t="s">
        <v>599</v>
      </c>
      <c r="I142" s="737">
        <v>1</v>
      </c>
      <c r="J142" s="719"/>
      <c r="K142" s="713"/>
    </row>
    <row r="143" spans="1:11" ht="42.15">
      <c r="A143" s="713"/>
      <c r="B143" s="719"/>
      <c r="C143" s="725" t="s">
        <v>1524</v>
      </c>
      <c r="D143" s="726" t="s">
        <v>41</v>
      </c>
      <c r="E143" s="725" t="s">
        <v>562</v>
      </c>
      <c r="F143" s="727">
        <v>0</v>
      </c>
      <c r="G143" s="728"/>
      <c r="H143" s="729" t="s">
        <v>551</v>
      </c>
      <c r="I143" s="729">
        <v>1</v>
      </c>
      <c r="J143" s="719"/>
      <c r="K143" s="713"/>
    </row>
    <row r="144" spans="1:11">
      <c r="A144" s="713"/>
      <c r="B144" s="719"/>
      <c r="C144" s="725" t="s">
        <v>1525</v>
      </c>
      <c r="D144" s="726" t="s">
        <v>231</v>
      </c>
      <c r="E144" s="725" t="s">
        <v>88</v>
      </c>
      <c r="F144" s="727">
        <v>0</v>
      </c>
      <c r="G144" s="728"/>
      <c r="H144" s="729" t="s">
        <v>551</v>
      </c>
      <c r="I144" s="729">
        <v>7</v>
      </c>
      <c r="J144" s="719"/>
      <c r="K144" s="713"/>
    </row>
    <row r="145" spans="1:11">
      <c r="A145" s="713"/>
      <c r="B145" s="719"/>
      <c r="C145" s="725" t="s">
        <v>1526</v>
      </c>
      <c r="D145" s="726" t="s">
        <v>232</v>
      </c>
      <c r="E145" s="725" t="s">
        <v>88</v>
      </c>
      <c r="F145" s="727">
        <v>0</v>
      </c>
      <c r="G145" s="728"/>
      <c r="H145" s="729" t="s">
        <v>551</v>
      </c>
      <c r="I145" s="729">
        <v>7</v>
      </c>
      <c r="J145" s="719"/>
      <c r="K145" s="713"/>
    </row>
    <row r="146" spans="1:11">
      <c r="A146" s="713"/>
      <c r="B146" s="719"/>
      <c r="C146" s="725" t="s">
        <v>1527</v>
      </c>
      <c r="D146" s="726" t="s">
        <v>1528</v>
      </c>
      <c r="E146" s="725" t="s">
        <v>550</v>
      </c>
      <c r="F146" s="727">
        <v>0</v>
      </c>
      <c r="G146" s="728"/>
      <c r="H146" s="729" t="s">
        <v>551</v>
      </c>
      <c r="I146" s="729">
        <v>1</v>
      </c>
      <c r="J146" s="719"/>
      <c r="K146" s="713"/>
    </row>
    <row r="147" spans="1:11">
      <c r="A147" s="713"/>
      <c r="B147" s="719"/>
      <c r="C147" s="725" t="s">
        <v>1529</v>
      </c>
      <c r="D147" s="726" t="s">
        <v>46</v>
      </c>
      <c r="E147" s="725" t="s">
        <v>550</v>
      </c>
      <c r="F147" s="727">
        <v>0</v>
      </c>
      <c r="G147" s="728"/>
      <c r="H147" s="729" t="s">
        <v>551</v>
      </c>
      <c r="I147" s="729">
        <v>3</v>
      </c>
      <c r="J147" s="719"/>
      <c r="K147" s="713"/>
    </row>
    <row r="148" spans="1:11">
      <c r="A148" s="713"/>
      <c r="B148" s="719"/>
      <c r="C148" s="725" t="s">
        <v>674</v>
      </c>
      <c r="D148" s="726" t="s">
        <v>674</v>
      </c>
      <c r="E148" s="725" t="s">
        <v>559</v>
      </c>
      <c r="F148" s="727">
        <v>0</v>
      </c>
      <c r="G148" s="728"/>
      <c r="H148" s="729" t="s">
        <v>551</v>
      </c>
      <c r="I148" s="729">
        <v>1</v>
      </c>
      <c r="J148" s="719"/>
      <c r="K148" s="713"/>
    </row>
    <row r="149" spans="1:11">
      <c r="A149" s="713"/>
      <c r="B149" s="719"/>
      <c r="C149" s="725" t="s">
        <v>1530</v>
      </c>
      <c r="D149" s="726" t="s">
        <v>1530</v>
      </c>
      <c r="E149" s="725" t="s">
        <v>559</v>
      </c>
      <c r="F149" s="727">
        <v>0</v>
      </c>
      <c r="G149" s="728"/>
      <c r="H149" s="729" t="s">
        <v>551</v>
      </c>
      <c r="I149" s="729">
        <v>1</v>
      </c>
      <c r="J149" s="719"/>
      <c r="K149" s="713"/>
    </row>
    <row r="150" spans="1:11">
      <c r="A150" s="713"/>
      <c r="B150" s="719"/>
      <c r="C150" s="725" t="s">
        <v>1531</v>
      </c>
      <c r="D150" s="726" t="s">
        <v>1531</v>
      </c>
      <c r="E150" s="725" t="s">
        <v>559</v>
      </c>
      <c r="F150" s="727">
        <v>0</v>
      </c>
      <c r="G150" s="728"/>
      <c r="H150" s="729" t="s">
        <v>551</v>
      </c>
      <c r="I150" s="729">
        <v>1</v>
      </c>
      <c r="J150" s="719"/>
      <c r="K150" s="713"/>
    </row>
    <row r="151" spans="1:11">
      <c r="A151" s="713"/>
      <c r="B151" s="719"/>
      <c r="C151" s="725" t="s">
        <v>1532</v>
      </c>
      <c r="D151" s="726" t="s">
        <v>677</v>
      </c>
      <c r="E151" s="725" t="s">
        <v>88</v>
      </c>
      <c r="F151" s="727">
        <v>0</v>
      </c>
      <c r="G151" s="728"/>
      <c r="H151" s="729" t="s">
        <v>551</v>
      </c>
      <c r="I151" s="729">
        <v>17</v>
      </c>
      <c r="J151" s="719"/>
      <c r="K151" s="713"/>
    </row>
    <row r="152" spans="1:11">
      <c r="A152" s="713"/>
      <c r="B152" s="719"/>
      <c r="C152" s="734" t="s">
        <v>681</v>
      </c>
      <c r="D152" s="735" t="s">
        <v>15</v>
      </c>
      <c r="E152" s="734" t="s">
        <v>550</v>
      </c>
      <c r="F152" s="727">
        <v>0</v>
      </c>
      <c r="G152" s="736" t="s">
        <v>1363</v>
      </c>
      <c r="H152" s="737" t="s">
        <v>551</v>
      </c>
      <c r="I152" s="737">
        <v>1</v>
      </c>
      <c r="J152" s="719"/>
      <c r="K152" s="713"/>
    </row>
    <row r="153" spans="1:11">
      <c r="A153" s="713"/>
      <c r="B153" s="719"/>
      <c r="C153" s="725" t="s">
        <v>1533</v>
      </c>
      <c r="D153" s="726" t="s">
        <v>678</v>
      </c>
      <c r="E153" s="725" t="s">
        <v>88</v>
      </c>
      <c r="F153" s="727">
        <v>0</v>
      </c>
      <c r="G153" s="728"/>
      <c r="H153" s="729" t="s">
        <v>551</v>
      </c>
      <c r="I153" s="729">
        <v>17</v>
      </c>
      <c r="J153" s="719"/>
      <c r="K153" s="713"/>
    </row>
    <row r="154" spans="1:11">
      <c r="A154" s="713"/>
      <c r="B154" s="719"/>
      <c r="C154" s="725" t="s">
        <v>1534</v>
      </c>
      <c r="D154" s="725" t="s">
        <v>679</v>
      </c>
      <c r="E154" s="725" t="s">
        <v>553</v>
      </c>
      <c r="F154" s="727">
        <v>0</v>
      </c>
      <c r="G154" s="728"/>
      <c r="H154" s="729" t="s">
        <v>554</v>
      </c>
      <c r="I154" s="729">
        <v>5</v>
      </c>
      <c r="J154" s="719"/>
      <c r="K154" s="713"/>
    </row>
    <row r="155" spans="1:11" ht="42.15">
      <c r="A155" s="713"/>
      <c r="B155" s="719"/>
      <c r="C155" s="725" t="s">
        <v>1535</v>
      </c>
      <c r="D155" s="726" t="s">
        <v>680</v>
      </c>
      <c r="E155" s="725" t="s">
        <v>553</v>
      </c>
      <c r="F155" s="727">
        <v>0</v>
      </c>
      <c r="G155" s="728"/>
      <c r="H155" s="729" t="s">
        <v>554</v>
      </c>
      <c r="I155" s="729">
        <v>5</v>
      </c>
      <c r="J155" s="719"/>
      <c r="K155" s="713"/>
    </row>
    <row r="156" spans="1:11">
      <c r="A156" s="713"/>
      <c r="B156" s="719"/>
      <c r="C156" s="734" t="s">
        <v>1536</v>
      </c>
      <c r="D156" s="735" t="s">
        <v>84</v>
      </c>
      <c r="E156" s="734" t="s">
        <v>559</v>
      </c>
      <c r="F156" s="727">
        <v>0</v>
      </c>
      <c r="G156" s="736" t="s">
        <v>1363</v>
      </c>
      <c r="H156" s="737" t="s">
        <v>551</v>
      </c>
      <c r="I156" s="737">
        <v>17</v>
      </c>
      <c r="J156" s="719"/>
      <c r="K156" s="713"/>
    </row>
    <row r="157" spans="1:11">
      <c r="A157" s="713"/>
      <c r="B157" s="719"/>
      <c r="C157" s="725" t="s">
        <v>1537</v>
      </c>
      <c r="D157" s="726" t="s">
        <v>385</v>
      </c>
      <c r="E157" s="725" t="s">
        <v>593</v>
      </c>
      <c r="F157" s="727">
        <v>0</v>
      </c>
      <c r="G157" s="728"/>
      <c r="H157" s="729" t="s">
        <v>604</v>
      </c>
      <c r="I157" s="729">
        <v>17</v>
      </c>
      <c r="J157" s="719"/>
      <c r="K157" s="713"/>
    </row>
    <row r="158" spans="1:11">
      <c r="A158" s="713"/>
      <c r="B158" s="719"/>
      <c r="C158" s="734" t="s">
        <v>684</v>
      </c>
      <c r="D158" s="735" t="s">
        <v>1538</v>
      </c>
      <c r="E158" s="734" t="s">
        <v>550</v>
      </c>
      <c r="F158" s="727">
        <v>0</v>
      </c>
      <c r="G158" s="736" t="s">
        <v>1363</v>
      </c>
      <c r="H158" s="737" t="s">
        <v>551</v>
      </c>
      <c r="I158" s="737">
        <v>1</v>
      </c>
      <c r="J158" s="719"/>
      <c r="K158" s="713"/>
    </row>
    <row r="159" spans="1:11">
      <c r="A159" s="713"/>
      <c r="B159" s="719"/>
      <c r="C159" s="734" t="s">
        <v>685</v>
      </c>
      <c r="D159" s="735" t="s">
        <v>1539</v>
      </c>
      <c r="E159" s="734" t="s">
        <v>550</v>
      </c>
      <c r="F159" s="727">
        <v>0</v>
      </c>
      <c r="G159" s="736" t="s">
        <v>1363</v>
      </c>
      <c r="H159" s="737" t="s">
        <v>551</v>
      </c>
      <c r="I159" s="737">
        <v>1</v>
      </c>
      <c r="J159" s="719"/>
      <c r="K159" s="713"/>
    </row>
    <row r="160" spans="1:11">
      <c r="A160" s="713"/>
      <c r="B160" s="719"/>
      <c r="C160" s="725" t="s">
        <v>945</v>
      </c>
      <c r="D160" s="726" t="s">
        <v>1542</v>
      </c>
      <c r="E160" s="725" t="s">
        <v>550</v>
      </c>
      <c r="F160" s="727">
        <v>0</v>
      </c>
      <c r="G160" s="728"/>
      <c r="H160" s="729" t="s">
        <v>551</v>
      </c>
      <c r="I160" s="729">
        <v>1</v>
      </c>
      <c r="J160" s="719"/>
      <c r="K160" s="713"/>
    </row>
    <row r="161" spans="1:11" ht="42.15">
      <c r="A161" s="713"/>
      <c r="B161" s="719"/>
      <c r="C161" s="725" t="s">
        <v>1543</v>
      </c>
      <c r="D161" s="726" t="s">
        <v>689</v>
      </c>
      <c r="E161" s="725" t="s">
        <v>602</v>
      </c>
      <c r="F161" s="727">
        <v>0</v>
      </c>
      <c r="G161" s="728"/>
      <c r="H161" s="729" t="s">
        <v>690</v>
      </c>
      <c r="I161" s="729">
        <v>2</v>
      </c>
      <c r="J161" s="719"/>
      <c r="K161" s="713"/>
    </row>
    <row r="162" spans="1:11" ht="42.15">
      <c r="A162" s="713"/>
      <c r="B162" s="719"/>
      <c r="C162" s="734" t="s">
        <v>1544</v>
      </c>
      <c r="D162" s="735" t="s">
        <v>691</v>
      </c>
      <c r="E162" s="734" t="s">
        <v>602</v>
      </c>
      <c r="F162" s="727">
        <v>0</v>
      </c>
      <c r="G162" s="736" t="s">
        <v>1363</v>
      </c>
      <c r="H162" s="737" t="s">
        <v>551</v>
      </c>
      <c r="I162" s="737">
        <v>5</v>
      </c>
      <c r="J162" s="719"/>
      <c r="K162" s="713"/>
    </row>
    <row r="163" spans="1:11">
      <c r="A163" s="713"/>
      <c r="B163" s="719"/>
      <c r="C163" s="725" t="s">
        <v>1545</v>
      </c>
      <c r="D163" s="726" t="s">
        <v>1546</v>
      </c>
      <c r="E163" s="725" t="s">
        <v>550</v>
      </c>
      <c r="F163" s="727">
        <v>0</v>
      </c>
      <c r="G163" s="728"/>
      <c r="H163" s="729" t="s">
        <v>604</v>
      </c>
      <c r="I163" s="729">
        <v>1</v>
      </c>
      <c r="J163" s="719"/>
      <c r="K163" s="713"/>
    </row>
    <row r="164" spans="1:11">
      <c r="A164" s="713"/>
      <c r="B164" s="719"/>
      <c r="C164" s="725" t="s">
        <v>1547</v>
      </c>
      <c r="D164" s="726" t="s">
        <v>693</v>
      </c>
      <c r="E164" s="725" t="s">
        <v>553</v>
      </c>
      <c r="F164" s="727">
        <v>0</v>
      </c>
      <c r="G164" s="728"/>
      <c r="H164" s="729" t="s">
        <v>604</v>
      </c>
      <c r="I164" s="729">
        <v>12</v>
      </c>
      <c r="J164" s="719"/>
      <c r="K164" s="713"/>
    </row>
    <row r="165" spans="1:11" ht="42.15">
      <c r="A165" s="713"/>
      <c r="B165" s="719"/>
      <c r="C165" s="725" t="s">
        <v>1548</v>
      </c>
      <c r="D165" s="726" t="s">
        <v>694</v>
      </c>
      <c r="E165" s="725" t="s">
        <v>602</v>
      </c>
      <c r="F165" s="727">
        <v>0</v>
      </c>
      <c r="G165" s="728"/>
      <c r="H165" s="729" t="s">
        <v>551</v>
      </c>
      <c r="I165" s="729">
        <v>1</v>
      </c>
      <c r="J165" s="719"/>
      <c r="K165" s="713"/>
    </row>
    <row r="166" spans="1:11" ht="42.15">
      <c r="A166" s="713"/>
      <c r="B166" s="719"/>
      <c r="C166" s="725" t="s">
        <v>1549</v>
      </c>
      <c r="D166" s="726" t="s">
        <v>695</v>
      </c>
      <c r="E166" s="725" t="s">
        <v>602</v>
      </c>
      <c r="F166" s="727">
        <v>0</v>
      </c>
      <c r="G166" s="728"/>
      <c r="H166" s="729" t="s">
        <v>551</v>
      </c>
      <c r="I166" s="729">
        <v>3</v>
      </c>
      <c r="J166" s="719"/>
      <c r="K166" s="713"/>
    </row>
    <row r="167" spans="1:11" ht="42.15">
      <c r="A167" s="713"/>
      <c r="B167" s="719"/>
      <c r="C167" s="725" t="s">
        <v>1550</v>
      </c>
      <c r="D167" s="726" t="s">
        <v>696</v>
      </c>
      <c r="E167" s="725" t="s">
        <v>602</v>
      </c>
      <c r="F167" s="727">
        <v>0</v>
      </c>
      <c r="G167" s="728"/>
      <c r="H167" s="729" t="s">
        <v>551</v>
      </c>
      <c r="I167" s="729">
        <v>3</v>
      </c>
      <c r="J167" s="719"/>
      <c r="K167" s="713"/>
    </row>
    <row r="168" spans="1:11" ht="42.15">
      <c r="A168" s="713"/>
      <c r="B168" s="719"/>
      <c r="C168" s="725" t="s">
        <v>1551</v>
      </c>
      <c r="D168" s="725" t="s">
        <v>1552</v>
      </c>
      <c r="E168" s="725" t="s">
        <v>602</v>
      </c>
      <c r="F168" s="727">
        <v>0</v>
      </c>
      <c r="G168" s="728"/>
      <c r="H168" s="729" t="s">
        <v>551</v>
      </c>
      <c r="I168" s="729">
        <v>3</v>
      </c>
      <c r="J168" s="719"/>
      <c r="K168" s="713"/>
    </row>
    <row r="169" spans="1:11" ht="42.15">
      <c r="A169" s="713"/>
      <c r="B169" s="719"/>
      <c r="C169" s="725" t="s">
        <v>1553</v>
      </c>
      <c r="D169" s="725" t="s">
        <v>697</v>
      </c>
      <c r="E169" s="725" t="s">
        <v>602</v>
      </c>
      <c r="F169" s="727">
        <v>0</v>
      </c>
      <c r="G169" s="728"/>
      <c r="H169" s="729" t="s">
        <v>551</v>
      </c>
      <c r="I169" s="729">
        <v>3</v>
      </c>
      <c r="J169" s="719"/>
      <c r="K169" s="713"/>
    </row>
    <row r="170" spans="1:11" ht="42.15">
      <c r="A170" s="713"/>
      <c r="B170" s="719"/>
      <c r="C170" s="725" t="s">
        <v>1554</v>
      </c>
      <c r="D170" s="726" t="s">
        <v>698</v>
      </c>
      <c r="E170" s="725" t="s">
        <v>699</v>
      </c>
      <c r="F170" s="727">
        <v>0</v>
      </c>
      <c r="G170" s="728"/>
      <c r="H170" s="729" t="s">
        <v>604</v>
      </c>
      <c r="I170" s="729">
        <v>12</v>
      </c>
      <c r="J170" s="719"/>
      <c r="K170" s="713"/>
    </row>
    <row r="171" spans="1:11" ht="42.15">
      <c r="A171" s="713"/>
      <c r="B171" s="719"/>
      <c r="C171" s="725" t="s">
        <v>1555</v>
      </c>
      <c r="D171" s="726" t="s">
        <v>700</v>
      </c>
      <c r="E171" s="725" t="s">
        <v>602</v>
      </c>
      <c r="F171" s="727">
        <v>0</v>
      </c>
      <c r="G171" s="728"/>
      <c r="H171" s="729" t="s">
        <v>551</v>
      </c>
      <c r="I171" s="729">
        <v>3</v>
      </c>
      <c r="J171" s="719"/>
      <c r="K171" s="713"/>
    </row>
    <row r="172" spans="1:11">
      <c r="A172" s="713"/>
      <c r="B172" s="719"/>
      <c r="C172" s="725" t="s">
        <v>1556</v>
      </c>
      <c r="D172" s="726" t="s">
        <v>701</v>
      </c>
      <c r="E172" s="725" t="s">
        <v>553</v>
      </c>
      <c r="F172" s="727">
        <v>0</v>
      </c>
      <c r="G172" s="728"/>
      <c r="H172" s="729" t="s">
        <v>604</v>
      </c>
      <c r="I172" s="729">
        <v>12</v>
      </c>
      <c r="J172" s="719"/>
      <c r="K172" s="713"/>
    </row>
    <row r="173" spans="1:11" ht="42.15">
      <c r="A173" s="713" t="s">
        <v>5755</v>
      </c>
      <c r="B173" s="719"/>
      <c r="C173" s="734" t="s">
        <v>1557</v>
      </c>
      <c r="D173" s="735" t="s">
        <v>702</v>
      </c>
      <c r="E173" s="734" t="s">
        <v>602</v>
      </c>
      <c r="F173" s="727">
        <v>0</v>
      </c>
      <c r="G173" s="736" t="s">
        <v>1363</v>
      </c>
      <c r="H173" s="737" t="s">
        <v>551</v>
      </c>
      <c r="I173" s="737">
        <v>10</v>
      </c>
      <c r="J173" s="719"/>
      <c r="K173" s="713"/>
    </row>
    <row r="174" spans="1:11" ht="42.15">
      <c r="A174" s="713"/>
      <c r="B174" s="719"/>
      <c r="C174" s="725" t="s">
        <v>1558</v>
      </c>
      <c r="D174" s="726" t="s">
        <v>703</v>
      </c>
      <c r="E174" s="725" t="s">
        <v>602</v>
      </c>
      <c r="F174" s="727">
        <v>0</v>
      </c>
      <c r="G174" s="728"/>
      <c r="H174" s="729" t="s">
        <v>551</v>
      </c>
      <c r="I174" s="729">
        <v>5</v>
      </c>
      <c r="J174" s="719"/>
      <c r="K174" s="713"/>
    </row>
    <row r="175" spans="1:11">
      <c r="A175" s="713"/>
      <c r="B175" s="719"/>
      <c r="C175" s="742" t="s">
        <v>1559</v>
      </c>
      <c r="D175" s="726" t="s">
        <v>1560</v>
      </c>
      <c r="E175" s="725" t="s">
        <v>553</v>
      </c>
      <c r="F175" s="727">
        <v>0</v>
      </c>
      <c r="G175" s="728"/>
      <c r="H175" s="729" t="s">
        <v>554</v>
      </c>
      <c r="I175" s="729">
        <v>5</v>
      </c>
      <c r="J175" s="719"/>
      <c r="K175" s="713"/>
    </row>
    <row r="176" spans="1:11" ht="42.15">
      <c r="A176" s="713"/>
      <c r="B176" s="719"/>
      <c r="C176" s="725" t="s">
        <v>1561</v>
      </c>
      <c r="D176" s="726" t="s">
        <v>1562</v>
      </c>
      <c r="E176" s="725" t="s">
        <v>602</v>
      </c>
      <c r="F176" s="727">
        <v>0</v>
      </c>
      <c r="G176" s="728"/>
      <c r="H176" s="729" t="s">
        <v>551</v>
      </c>
      <c r="I176" s="729">
        <v>3</v>
      </c>
      <c r="J176" s="719"/>
      <c r="K176" s="713"/>
    </row>
    <row r="177" spans="1:11">
      <c r="A177" s="713"/>
      <c r="B177" s="719"/>
      <c r="C177" s="725" t="s">
        <v>1563</v>
      </c>
      <c r="D177" s="726" t="s">
        <v>705</v>
      </c>
      <c r="E177" s="725" t="s">
        <v>553</v>
      </c>
      <c r="F177" s="727">
        <v>0</v>
      </c>
      <c r="G177" s="728"/>
      <c r="H177" s="729" t="s">
        <v>604</v>
      </c>
      <c r="I177" s="729">
        <v>7</v>
      </c>
      <c r="J177" s="719"/>
      <c r="K177" s="713"/>
    </row>
    <row r="178" spans="1:11" ht="42.15">
      <c r="A178" s="713"/>
      <c r="B178" s="719"/>
      <c r="C178" s="725" t="s">
        <v>1564</v>
      </c>
      <c r="D178" s="726" t="s">
        <v>1565</v>
      </c>
      <c r="E178" s="725" t="s">
        <v>550</v>
      </c>
      <c r="F178" s="727">
        <v>0</v>
      </c>
      <c r="G178" s="728"/>
      <c r="H178" s="729" t="s">
        <v>548</v>
      </c>
      <c r="I178" s="729" t="s">
        <v>548</v>
      </c>
      <c r="J178" s="719"/>
      <c r="K178" s="713"/>
    </row>
    <row r="179" spans="1:11">
      <c r="A179" s="713"/>
      <c r="B179" s="719"/>
      <c r="C179" s="725" t="s">
        <v>1566</v>
      </c>
      <c r="D179" s="726" t="s">
        <v>48</v>
      </c>
      <c r="E179" s="725" t="s">
        <v>550</v>
      </c>
      <c r="F179" s="727">
        <v>0</v>
      </c>
      <c r="G179" s="728"/>
      <c r="H179" s="729" t="s">
        <v>551</v>
      </c>
      <c r="I179" s="729">
        <v>3</v>
      </c>
      <c r="J179" s="719"/>
      <c r="K179" s="713"/>
    </row>
    <row r="180" spans="1:11">
      <c r="A180" s="713"/>
      <c r="B180" s="719"/>
      <c r="C180" s="725" t="s">
        <v>1567</v>
      </c>
      <c r="D180" s="726" t="s">
        <v>949</v>
      </c>
      <c r="E180" s="725" t="s">
        <v>550</v>
      </c>
      <c r="F180" s="727">
        <v>0</v>
      </c>
      <c r="G180" s="728"/>
      <c r="H180" s="729" t="s">
        <v>551</v>
      </c>
      <c r="I180" s="729">
        <v>1</v>
      </c>
      <c r="J180" s="719"/>
      <c r="K180" s="713"/>
    </row>
    <row r="181" spans="1:11">
      <c r="A181" s="713"/>
      <c r="B181" s="719"/>
      <c r="C181" s="725" t="s">
        <v>1568</v>
      </c>
      <c r="D181" s="726" t="s">
        <v>708</v>
      </c>
      <c r="E181" s="725" t="s">
        <v>607</v>
      </c>
      <c r="F181" s="727">
        <v>0</v>
      </c>
      <c r="G181" s="728"/>
      <c r="H181" s="729" t="s">
        <v>608</v>
      </c>
      <c r="I181" s="739" t="s">
        <v>350</v>
      </c>
      <c r="J181" s="719"/>
      <c r="K181" s="713"/>
    </row>
    <row r="182" spans="1:11">
      <c r="A182" s="713"/>
      <c r="B182" s="719"/>
      <c r="C182" s="734" t="s">
        <v>1569</v>
      </c>
      <c r="D182" s="735" t="s">
        <v>27</v>
      </c>
      <c r="E182" s="734" t="s">
        <v>550</v>
      </c>
      <c r="F182" s="727">
        <v>0</v>
      </c>
      <c r="G182" s="736" t="s">
        <v>1363</v>
      </c>
      <c r="H182" s="737" t="s">
        <v>551</v>
      </c>
      <c r="I182" s="737">
        <v>1</v>
      </c>
      <c r="J182" s="719"/>
      <c r="K182" s="713"/>
    </row>
    <row r="183" spans="1:11" ht="43.5">
      <c r="A183" s="713"/>
      <c r="B183" s="719"/>
      <c r="C183" s="734" t="s">
        <v>1570</v>
      </c>
      <c r="D183" s="735" t="s">
        <v>5756</v>
      </c>
      <c r="E183" s="734" t="s">
        <v>553</v>
      </c>
      <c r="F183" s="727">
        <v>0</v>
      </c>
      <c r="G183" s="736" t="s">
        <v>1363</v>
      </c>
      <c r="H183" s="737" t="s">
        <v>554</v>
      </c>
      <c r="I183" s="737">
        <v>5</v>
      </c>
      <c r="J183" s="719"/>
      <c r="K183" s="713"/>
    </row>
    <row r="184" spans="1:11" ht="43.5">
      <c r="A184" s="713"/>
      <c r="B184" s="719"/>
      <c r="C184" s="734" t="s">
        <v>1571</v>
      </c>
      <c r="D184" s="735" t="s">
        <v>5757</v>
      </c>
      <c r="E184" s="734" t="s">
        <v>553</v>
      </c>
      <c r="F184" s="727">
        <v>0</v>
      </c>
      <c r="G184" s="736" t="s">
        <v>1363</v>
      </c>
      <c r="H184" s="737" t="s">
        <v>554</v>
      </c>
      <c r="I184" s="737">
        <v>5</v>
      </c>
      <c r="J184" s="719"/>
      <c r="K184" s="713"/>
    </row>
    <row r="185" spans="1:11" ht="42.15">
      <c r="A185" s="713"/>
      <c r="B185" s="719"/>
      <c r="C185" s="734" t="s">
        <v>1572</v>
      </c>
      <c r="D185" s="735" t="s">
        <v>5758</v>
      </c>
      <c r="E185" s="734" t="s">
        <v>553</v>
      </c>
      <c r="F185" s="727">
        <v>0</v>
      </c>
      <c r="G185" s="736" t="s">
        <v>1363</v>
      </c>
      <c r="H185" s="737" t="s">
        <v>554</v>
      </c>
      <c r="I185" s="737">
        <v>5</v>
      </c>
      <c r="J185" s="719"/>
      <c r="K185" s="713"/>
    </row>
    <row r="186" spans="1:11" ht="42.15">
      <c r="A186" s="713"/>
      <c r="B186" s="719"/>
      <c r="C186" s="734" t="s">
        <v>1573</v>
      </c>
      <c r="D186" s="735" t="s">
        <v>5759</v>
      </c>
      <c r="E186" s="734" t="s">
        <v>553</v>
      </c>
      <c r="F186" s="727">
        <v>0</v>
      </c>
      <c r="G186" s="736" t="s">
        <v>1363</v>
      </c>
      <c r="H186" s="737" t="s">
        <v>788</v>
      </c>
      <c r="I186" s="737">
        <v>30</v>
      </c>
      <c r="J186" s="719"/>
      <c r="K186" s="713"/>
    </row>
    <row r="187" spans="1:11">
      <c r="A187" s="713"/>
      <c r="B187" s="719"/>
      <c r="C187" s="725" t="s">
        <v>1575</v>
      </c>
      <c r="D187" s="726" t="s">
        <v>712</v>
      </c>
      <c r="E187" s="725" t="s">
        <v>607</v>
      </c>
      <c r="F187" s="727">
        <v>0</v>
      </c>
      <c r="G187" s="728"/>
      <c r="H187" s="729" t="s">
        <v>713</v>
      </c>
      <c r="I187" s="729">
        <v>1</v>
      </c>
      <c r="J187" s="719"/>
      <c r="K187" s="713"/>
    </row>
    <row r="188" spans="1:11" ht="42.15">
      <c r="A188" s="713"/>
      <c r="B188" s="719"/>
      <c r="C188" s="725" t="s">
        <v>1576</v>
      </c>
      <c r="D188" s="726" t="s">
        <v>714</v>
      </c>
      <c r="E188" s="725" t="s">
        <v>607</v>
      </c>
      <c r="F188" s="727">
        <v>0</v>
      </c>
      <c r="G188" s="728"/>
      <c r="H188" s="729" t="s">
        <v>715</v>
      </c>
      <c r="I188" s="739" t="s">
        <v>350</v>
      </c>
      <c r="J188" s="719"/>
      <c r="K188" s="713"/>
    </row>
    <row r="189" spans="1:11">
      <c r="A189" s="713"/>
      <c r="B189" s="719"/>
      <c r="C189" s="725" t="s">
        <v>1577</v>
      </c>
      <c r="D189" s="726" t="s">
        <v>716</v>
      </c>
      <c r="E189" s="725" t="s">
        <v>88</v>
      </c>
      <c r="F189" s="727">
        <v>0</v>
      </c>
      <c r="G189" s="728"/>
      <c r="H189" s="729" t="s">
        <v>551</v>
      </c>
      <c r="I189" s="729">
        <v>17</v>
      </c>
      <c r="J189" s="719"/>
      <c r="K189" s="713"/>
    </row>
    <row r="190" spans="1:11">
      <c r="A190" s="713"/>
      <c r="B190" s="719"/>
      <c r="C190" s="725" t="s">
        <v>1578</v>
      </c>
      <c r="D190" s="726" t="s">
        <v>717</v>
      </c>
      <c r="E190" s="725" t="s">
        <v>88</v>
      </c>
      <c r="F190" s="727">
        <v>0</v>
      </c>
      <c r="G190" s="728"/>
      <c r="H190" s="729" t="s">
        <v>551</v>
      </c>
      <c r="I190" s="729">
        <v>17</v>
      </c>
      <c r="J190" s="719"/>
      <c r="K190" s="713"/>
    </row>
    <row r="191" spans="1:11">
      <c r="A191" s="713"/>
      <c r="B191" s="719"/>
      <c r="C191" s="725" t="s">
        <v>1579</v>
      </c>
      <c r="D191" s="726" t="s">
        <v>91</v>
      </c>
      <c r="E191" s="725" t="s">
        <v>88</v>
      </c>
      <c r="F191" s="727">
        <v>0</v>
      </c>
      <c r="G191" s="728"/>
      <c r="H191" s="729" t="s">
        <v>551</v>
      </c>
      <c r="I191" s="729">
        <v>3</v>
      </c>
      <c r="J191" s="719"/>
      <c r="K191" s="713"/>
    </row>
    <row r="192" spans="1:11">
      <c r="A192" s="713"/>
      <c r="B192" s="719"/>
      <c r="C192" s="725" t="s">
        <v>1580</v>
      </c>
      <c r="D192" s="725" t="s">
        <v>718</v>
      </c>
      <c r="E192" s="725" t="s">
        <v>88</v>
      </c>
      <c r="F192" s="727">
        <v>0</v>
      </c>
      <c r="G192" s="728"/>
      <c r="H192" s="729" t="s">
        <v>551</v>
      </c>
      <c r="I192" s="729">
        <v>3</v>
      </c>
      <c r="J192" s="719"/>
      <c r="K192" s="713"/>
    </row>
    <row r="193" spans="1:11">
      <c r="A193" s="713"/>
      <c r="B193" s="719"/>
      <c r="C193" s="725" t="s">
        <v>1581</v>
      </c>
      <c r="D193" s="726" t="s">
        <v>90</v>
      </c>
      <c r="E193" s="725" t="s">
        <v>88</v>
      </c>
      <c r="F193" s="727">
        <v>0</v>
      </c>
      <c r="G193" s="728"/>
      <c r="H193" s="729" t="s">
        <v>551</v>
      </c>
      <c r="I193" s="729">
        <v>3</v>
      </c>
      <c r="J193" s="719"/>
      <c r="K193" s="713"/>
    </row>
    <row r="194" spans="1:11">
      <c r="A194" s="713"/>
      <c r="B194" s="719"/>
      <c r="C194" s="734" t="s">
        <v>1582</v>
      </c>
      <c r="D194" s="735" t="s">
        <v>218</v>
      </c>
      <c r="E194" s="734" t="s">
        <v>88</v>
      </c>
      <c r="F194" s="727">
        <v>0</v>
      </c>
      <c r="G194" s="736" t="s">
        <v>1363</v>
      </c>
      <c r="H194" s="737" t="s">
        <v>551</v>
      </c>
      <c r="I194" s="737">
        <v>17</v>
      </c>
      <c r="J194" s="719"/>
      <c r="K194" s="713"/>
    </row>
    <row r="195" spans="1:11">
      <c r="A195" s="713"/>
      <c r="B195" s="719"/>
      <c r="C195" s="725" t="s">
        <v>1583</v>
      </c>
      <c r="D195" s="726" t="s">
        <v>92</v>
      </c>
      <c r="E195" s="725" t="s">
        <v>88</v>
      </c>
      <c r="F195" s="727">
        <v>0</v>
      </c>
      <c r="G195" s="728"/>
      <c r="H195" s="729" t="s">
        <v>551</v>
      </c>
      <c r="I195" s="729">
        <v>3</v>
      </c>
      <c r="J195" s="719"/>
      <c r="K195" s="713"/>
    </row>
    <row r="196" spans="1:11" ht="42.15">
      <c r="A196" s="713"/>
      <c r="B196" s="719"/>
      <c r="C196" s="734" t="s">
        <v>1584</v>
      </c>
      <c r="D196" s="735" t="s">
        <v>719</v>
      </c>
      <c r="E196" s="734" t="s">
        <v>553</v>
      </c>
      <c r="F196" s="727">
        <v>0</v>
      </c>
      <c r="G196" s="736" t="s">
        <v>1363</v>
      </c>
      <c r="H196" s="737" t="s">
        <v>604</v>
      </c>
      <c r="I196" s="737">
        <v>7</v>
      </c>
      <c r="J196" s="719"/>
      <c r="K196" s="713"/>
    </row>
    <row r="197" spans="1:11">
      <c r="A197" s="713"/>
      <c r="B197" s="719"/>
      <c r="C197" s="725" t="s">
        <v>1585</v>
      </c>
      <c r="D197" s="726" t="s">
        <v>1586</v>
      </c>
      <c r="E197" s="725" t="s">
        <v>88</v>
      </c>
      <c r="F197" s="727">
        <v>0</v>
      </c>
      <c r="G197" s="728"/>
      <c r="H197" s="729" t="s">
        <v>551</v>
      </c>
      <c r="I197" s="729">
        <v>17</v>
      </c>
      <c r="J197" s="719"/>
      <c r="K197" s="713"/>
    </row>
    <row r="198" spans="1:11" ht="42.15">
      <c r="A198" s="713"/>
      <c r="B198" s="719"/>
      <c r="C198" s="725" t="s">
        <v>1587</v>
      </c>
      <c r="D198" s="726" t="s">
        <v>720</v>
      </c>
      <c r="E198" s="725" t="s">
        <v>88</v>
      </c>
      <c r="F198" s="727">
        <v>0</v>
      </c>
      <c r="G198" s="728"/>
      <c r="H198" s="729" t="s">
        <v>551</v>
      </c>
      <c r="I198" s="729">
        <v>15</v>
      </c>
      <c r="J198" s="719"/>
      <c r="K198" s="713"/>
    </row>
    <row r="199" spans="1:11" ht="42.15">
      <c r="A199" s="713"/>
      <c r="B199" s="719"/>
      <c r="C199" s="734" t="s">
        <v>1588</v>
      </c>
      <c r="D199" s="735" t="s">
        <v>721</v>
      </c>
      <c r="E199" s="734" t="s">
        <v>553</v>
      </c>
      <c r="F199" s="727">
        <v>0</v>
      </c>
      <c r="G199" s="736" t="s">
        <v>1363</v>
      </c>
      <c r="H199" s="737" t="s">
        <v>1447</v>
      </c>
      <c r="I199" s="737">
        <v>1</v>
      </c>
      <c r="J199" s="719"/>
      <c r="K199" s="713"/>
    </row>
    <row r="200" spans="1:11" ht="42.15">
      <c r="A200" s="713"/>
      <c r="B200" s="719"/>
      <c r="C200" s="734" t="s">
        <v>1589</v>
      </c>
      <c r="D200" s="734" t="s">
        <v>5760</v>
      </c>
      <c r="E200" s="734" t="s">
        <v>567</v>
      </c>
      <c r="F200" s="727">
        <v>0</v>
      </c>
      <c r="G200" s="736" t="s">
        <v>1363</v>
      </c>
      <c r="H200" s="737" t="s">
        <v>551</v>
      </c>
      <c r="I200" s="737">
        <v>5</v>
      </c>
      <c r="J200" s="719"/>
      <c r="K200" s="713"/>
    </row>
    <row r="201" spans="1:11">
      <c r="A201" s="713"/>
      <c r="B201" s="719"/>
      <c r="C201" s="725" t="s">
        <v>1591</v>
      </c>
      <c r="D201" s="726" t="s">
        <v>301</v>
      </c>
      <c r="E201" s="725" t="s">
        <v>559</v>
      </c>
      <c r="F201" s="727">
        <v>0</v>
      </c>
      <c r="G201" s="728"/>
      <c r="H201" s="729" t="s">
        <v>551</v>
      </c>
      <c r="I201" s="729">
        <v>17</v>
      </c>
      <c r="J201" s="719"/>
      <c r="K201" s="713"/>
    </row>
    <row r="202" spans="1:11">
      <c r="A202" s="713"/>
      <c r="B202" s="719"/>
      <c r="C202" s="725" t="s">
        <v>1592</v>
      </c>
      <c r="D202" s="726" t="s">
        <v>53</v>
      </c>
      <c r="E202" s="725" t="s">
        <v>559</v>
      </c>
      <c r="F202" s="727">
        <v>0</v>
      </c>
      <c r="G202" s="728"/>
      <c r="H202" s="729" t="s">
        <v>551</v>
      </c>
      <c r="I202" s="729">
        <v>1</v>
      </c>
      <c r="J202" s="719"/>
      <c r="K202" s="713"/>
    </row>
    <row r="203" spans="1:11">
      <c r="A203" s="713"/>
      <c r="B203" s="719"/>
      <c r="C203" s="725" t="s">
        <v>1593</v>
      </c>
      <c r="D203" s="726" t="s">
        <v>1594</v>
      </c>
      <c r="E203" s="725" t="s">
        <v>559</v>
      </c>
      <c r="F203" s="727">
        <v>0</v>
      </c>
      <c r="G203" s="728"/>
      <c r="H203" s="729" t="s">
        <v>551</v>
      </c>
      <c r="I203" s="729">
        <v>1</v>
      </c>
      <c r="J203" s="719"/>
      <c r="K203" s="713"/>
    </row>
    <row r="204" spans="1:11">
      <c r="A204" s="713"/>
      <c r="B204" s="719"/>
      <c r="C204" s="725" t="s">
        <v>1595</v>
      </c>
      <c r="D204" s="726" t="s">
        <v>484</v>
      </c>
      <c r="E204" s="725" t="s">
        <v>559</v>
      </c>
      <c r="F204" s="727">
        <v>0</v>
      </c>
      <c r="G204" s="728"/>
      <c r="H204" s="729" t="s">
        <v>551</v>
      </c>
      <c r="I204" s="729">
        <v>1</v>
      </c>
      <c r="J204" s="719"/>
      <c r="K204" s="713"/>
    </row>
    <row r="205" spans="1:11">
      <c r="A205" s="713"/>
      <c r="B205" s="719"/>
      <c r="C205" s="725" t="s">
        <v>1596</v>
      </c>
      <c r="D205" s="726" t="s">
        <v>1597</v>
      </c>
      <c r="E205" s="725" t="s">
        <v>559</v>
      </c>
      <c r="F205" s="727">
        <v>0</v>
      </c>
      <c r="G205" s="728"/>
      <c r="H205" s="729" t="s">
        <v>551</v>
      </c>
      <c r="I205" s="729">
        <v>1</v>
      </c>
      <c r="J205" s="719"/>
      <c r="K205" s="713"/>
    </row>
    <row r="206" spans="1:11">
      <c r="A206" s="713"/>
      <c r="B206" s="719"/>
      <c r="C206" s="725" t="s">
        <v>1598</v>
      </c>
      <c r="D206" s="726" t="s">
        <v>481</v>
      </c>
      <c r="E206" s="725" t="s">
        <v>559</v>
      </c>
      <c r="F206" s="727">
        <v>0</v>
      </c>
      <c r="G206" s="728"/>
      <c r="H206" s="729" t="s">
        <v>551</v>
      </c>
      <c r="I206" s="729">
        <v>1</v>
      </c>
      <c r="J206" s="719"/>
      <c r="K206" s="713"/>
    </row>
    <row r="207" spans="1:11">
      <c r="A207" s="713"/>
      <c r="B207" s="719"/>
      <c r="C207" s="725" t="s">
        <v>1599</v>
      </c>
      <c r="D207" s="726" t="s">
        <v>482</v>
      </c>
      <c r="E207" s="725" t="s">
        <v>559</v>
      </c>
      <c r="F207" s="727">
        <v>0</v>
      </c>
      <c r="G207" s="728"/>
      <c r="H207" s="729" t="s">
        <v>551</v>
      </c>
      <c r="I207" s="729">
        <v>1</v>
      </c>
      <c r="J207" s="719"/>
      <c r="K207" s="713"/>
    </row>
    <row r="208" spans="1:11">
      <c r="A208" s="713"/>
      <c r="B208" s="719"/>
      <c r="C208" s="725" t="s">
        <v>1600</v>
      </c>
      <c r="D208" s="726" t="s">
        <v>233</v>
      </c>
      <c r="E208" s="725" t="s">
        <v>88</v>
      </c>
      <c r="F208" s="727">
        <v>0</v>
      </c>
      <c r="G208" s="728"/>
      <c r="H208" s="729" t="s">
        <v>551</v>
      </c>
      <c r="I208" s="729">
        <v>7</v>
      </c>
      <c r="J208" s="719"/>
      <c r="K208" s="713"/>
    </row>
    <row r="209" spans="1:11">
      <c r="A209" s="713"/>
      <c r="B209" s="719"/>
      <c r="C209" s="725" t="s">
        <v>1601</v>
      </c>
      <c r="D209" s="726" t="s">
        <v>724</v>
      </c>
      <c r="E209" s="725" t="s">
        <v>559</v>
      </c>
      <c r="F209" s="727">
        <v>0</v>
      </c>
      <c r="G209" s="728"/>
      <c r="H209" s="729" t="s">
        <v>551</v>
      </c>
      <c r="I209" s="729">
        <v>17</v>
      </c>
      <c r="J209" s="719"/>
      <c r="K209" s="713"/>
    </row>
    <row r="210" spans="1:11" ht="42.15">
      <c r="A210" s="713"/>
      <c r="B210" s="719"/>
      <c r="C210" s="725" t="s">
        <v>1602</v>
      </c>
      <c r="D210" s="726" t="s">
        <v>725</v>
      </c>
      <c r="E210" s="725" t="s">
        <v>562</v>
      </c>
      <c r="F210" s="727">
        <v>0</v>
      </c>
      <c r="G210" s="728"/>
      <c r="H210" s="729" t="s">
        <v>551</v>
      </c>
      <c r="I210" s="729">
        <v>14</v>
      </c>
      <c r="J210" s="719"/>
      <c r="K210" s="713"/>
    </row>
    <row r="211" spans="1:11" ht="42.15">
      <c r="A211" s="713"/>
      <c r="B211" s="719"/>
      <c r="C211" s="725" t="s">
        <v>1603</v>
      </c>
      <c r="D211" s="726" t="s">
        <v>726</v>
      </c>
      <c r="E211" s="725" t="s">
        <v>562</v>
      </c>
      <c r="F211" s="727">
        <v>0</v>
      </c>
      <c r="G211" s="728"/>
      <c r="H211" s="729" t="s">
        <v>476</v>
      </c>
      <c r="I211" s="729">
        <v>17</v>
      </c>
      <c r="J211" s="719"/>
      <c r="K211" s="713"/>
    </row>
    <row r="212" spans="1:11" ht="42.15">
      <c r="A212" s="713"/>
      <c r="B212" s="719"/>
      <c r="C212" s="725" t="s">
        <v>1604</v>
      </c>
      <c r="D212" s="726" t="s">
        <v>727</v>
      </c>
      <c r="E212" s="725" t="s">
        <v>562</v>
      </c>
      <c r="F212" s="727">
        <v>0</v>
      </c>
      <c r="G212" s="728"/>
      <c r="H212" s="729" t="s">
        <v>551</v>
      </c>
      <c r="I212" s="729">
        <v>17</v>
      </c>
      <c r="J212" s="719"/>
      <c r="K212" s="713"/>
    </row>
    <row r="213" spans="1:11">
      <c r="A213" s="713"/>
      <c r="B213" s="719"/>
      <c r="C213" s="734" t="s">
        <v>1605</v>
      </c>
      <c r="D213" s="735" t="s">
        <v>728</v>
      </c>
      <c r="E213" s="734" t="s">
        <v>103</v>
      </c>
      <c r="F213" s="727">
        <v>0</v>
      </c>
      <c r="G213" s="736" t="s">
        <v>1363</v>
      </c>
      <c r="H213" s="737" t="s">
        <v>551</v>
      </c>
      <c r="I213" s="737">
        <v>17</v>
      </c>
      <c r="J213" s="719"/>
      <c r="K213" s="713"/>
    </row>
    <row r="214" spans="1:11">
      <c r="A214" s="713"/>
      <c r="B214" s="719"/>
      <c r="C214" s="734" t="s">
        <v>1606</v>
      </c>
      <c r="D214" s="735" t="s">
        <v>1332</v>
      </c>
      <c r="E214" s="734" t="s">
        <v>550</v>
      </c>
      <c r="F214" s="727">
        <v>0</v>
      </c>
      <c r="G214" s="736" t="s">
        <v>1363</v>
      </c>
      <c r="H214" s="737" t="s">
        <v>551</v>
      </c>
      <c r="I214" s="737">
        <v>1</v>
      </c>
      <c r="J214" s="719"/>
      <c r="K214" s="713"/>
    </row>
    <row r="215" spans="1:11">
      <c r="A215" s="713"/>
      <c r="B215" s="719"/>
      <c r="C215" s="734" t="s">
        <v>1607</v>
      </c>
      <c r="D215" s="735" t="s">
        <v>22</v>
      </c>
      <c r="E215" s="734" t="s">
        <v>550</v>
      </c>
      <c r="F215" s="727">
        <v>0</v>
      </c>
      <c r="G215" s="736" t="s">
        <v>1363</v>
      </c>
      <c r="H215" s="737" t="s">
        <v>551</v>
      </c>
      <c r="I215" s="737">
        <v>1</v>
      </c>
      <c r="J215" s="719"/>
      <c r="K215" s="713"/>
    </row>
    <row r="216" spans="1:11">
      <c r="A216" s="713"/>
      <c r="B216" s="719"/>
      <c r="C216" s="734" t="s">
        <v>1608</v>
      </c>
      <c r="D216" s="735" t="s">
        <v>19</v>
      </c>
      <c r="E216" s="734" t="s">
        <v>550</v>
      </c>
      <c r="F216" s="727">
        <v>0</v>
      </c>
      <c r="G216" s="736" t="s">
        <v>1363</v>
      </c>
      <c r="H216" s="737" t="s">
        <v>551</v>
      </c>
      <c r="I216" s="737">
        <v>1</v>
      </c>
      <c r="J216" s="719"/>
      <c r="K216" s="713"/>
    </row>
    <row r="217" spans="1:11" ht="42.15">
      <c r="A217" s="713"/>
      <c r="B217" s="719"/>
      <c r="C217" s="725" t="s">
        <v>1609</v>
      </c>
      <c r="D217" s="726" t="s">
        <v>729</v>
      </c>
      <c r="E217" s="725" t="s">
        <v>559</v>
      </c>
      <c r="F217" s="727">
        <v>0</v>
      </c>
      <c r="G217" s="728"/>
      <c r="H217" s="729" t="s">
        <v>575</v>
      </c>
      <c r="I217" s="729">
        <v>17</v>
      </c>
      <c r="J217" s="719"/>
      <c r="K217" s="713"/>
    </row>
    <row r="218" spans="1:11" ht="42.15">
      <c r="A218" s="713" t="s">
        <v>5737</v>
      </c>
      <c r="B218" s="719"/>
      <c r="C218" s="725" t="s">
        <v>1610</v>
      </c>
      <c r="D218" s="726" t="s">
        <v>730</v>
      </c>
      <c r="E218" s="725" t="s">
        <v>559</v>
      </c>
      <c r="F218" s="727">
        <v>0</v>
      </c>
      <c r="G218" s="728"/>
      <c r="H218" s="729" t="s">
        <v>731</v>
      </c>
      <c r="I218" s="729">
        <v>17</v>
      </c>
      <c r="J218" s="719"/>
      <c r="K218" s="713"/>
    </row>
    <row r="219" spans="1:11">
      <c r="A219" s="713"/>
      <c r="B219" s="719"/>
      <c r="C219" s="734" t="s">
        <v>1611</v>
      </c>
      <c r="D219" s="735" t="s">
        <v>1612</v>
      </c>
      <c r="E219" s="734" t="s">
        <v>550</v>
      </c>
      <c r="F219" s="727">
        <v>0</v>
      </c>
      <c r="G219" s="736" t="s">
        <v>1363</v>
      </c>
      <c r="H219" s="737" t="s">
        <v>551</v>
      </c>
      <c r="I219" s="737">
        <v>1</v>
      </c>
      <c r="J219" s="719"/>
      <c r="K219" s="713"/>
    </row>
    <row r="220" spans="1:11">
      <c r="A220" s="713"/>
      <c r="B220" s="719"/>
      <c r="C220" s="734" t="s">
        <v>1613</v>
      </c>
      <c r="D220" s="735" t="s">
        <v>32</v>
      </c>
      <c r="E220" s="734" t="s">
        <v>550</v>
      </c>
      <c r="F220" s="727">
        <v>0</v>
      </c>
      <c r="G220" s="736" t="s">
        <v>1363</v>
      </c>
      <c r="H220" s="737" t="s">
        <v>551</v>
      </c>
      <c r="I220" s="737">
        <v>1</v>
      </c>
      <c r="J220" s="719"/>
      <c r="K220" s="713"/>
    </row>
    <row r="221" spans="1:11">
      <c r="A221" s="713"/>
      <c r="B221" s="719"/>
      <c r="C221" s="725" t="s">
        <v>1614</v>
      </c>
      <c r="D221" s="726" t="s">
        <v>732</v>
      </c>
      <c r="E221" s="725" t="s">
        <v>550</v>
      </c>
      <c r="F221" s="727">
        <v>0</v>
      </c>
      <c r="G221" s="728"/>
      <c r="H221" s="729" t="s">
        <v>551</v>
      </c>
      <c r="I221" s="729">
        <v>1</v>
      </c>
      <c r="J221" s="719"/>
      <c r="K221" s="713"/>
    </row>
    <row r="222" spans="1:11" ht="42.15">
      <c r="A222" s="713"/>
      <c r="B222" s="719"/>
      <c r="C222" s="734" t="s">
        <v>1615</v>
      </c>
      <c r="D222" s="734" t="s">
        <v>1616</v>
      </c>
      <c r="E222" s="734" t="s">
        <v>567</v>
      </c>
      <c r="F222" s="727">
        <v>0</v>
      </c>
      <c r="G222" s="736" t="s">
        <v>1363</v>
      </c>
      <c r="H222" s="737" t="s">
        <v>551</v>
      </c>
      <c r="I222" s="737">
        <v>5</v>
      </c>
      <c r="J222" s="719"/>
      <c r="K222" s="713"/>
    </row>
    <row r="223" spans="1:11" ht="42.15">
      <c r="A223" s="713"/>
      <c r="B223" s="719"/>
      <c r="C223" s="725" t="s">
        <v>2345</v>
      </c>
      <c r="D223" s="726" t="s">
        <v>5761</v>
      </c>
      <c r="E223" s="725" t="s">
        <v>699</v>
      </c>
      <c r="F223" s="727">
        <v>0</v>
      </c>
      <c r="G223" s="728"/>
      <c r="H223" s="729" t="s">
        <v>1447</v>
      </c>
      <c r="I223" s="729">
        <v>3</v>
      </c>
      <c r="J223" s="719"/>
      <c r="K223" s="713"/>
    </row>
    <row r="224" spans="1:11" ht="22.45">
      <c r="A224" s="713"/>
      <c r="B224" s="719"/>
      <c r="C224" s="725" t="s">
        <v>1617</v>
      </c>
      <c r="D224" s="726" t="s">
        <v>5762</v>
      </c>
      <c r="E224" s="725" t="s">
        <v>553</v>
      </c>
      <c r="F224" s="727">
        <v>0</v>
      </c>
      <c r="G224" s="728"/>
      <c r="H224" s="729" t="s">
        <v>1447</v>
      </c>
      <c r="I224" s="729">
        <v>1</v>
      </c>
      <c r="J224" s="719"/>
      <c r="K224" s="713"/>
    </row>
    <row r="225" spans="1:11">
      <c r="A225" s="713"/>
      <c r="B225" s="719"/>
      <c r="C225" s="725" t="s">
        <v>1619</v>
      </c>
      <c r="D225" s="726" t="s">
        <v>735</v>
      </c>
      <c r="E225" s="725" t="s">
        <v>607</v>
      </c>
      <c r="F225" s="727">
        <v>0</v>
      </c>
      <c r="G225" s="728"/>
      <c r="H225" s="729" t="s">
        <v>736</v>
      </c>
      <c r="I225" s="739" t="s">
        <v>350</v>
      </c>
      <c r="J225" s="719"/>
      <c r="K225" s="713"/>
    </row>
    <row r="226" spans="1:11">
      <c r="A226" s="713"/>
      <c r="B226" s="719"/>
      <c r="C226" s="734" t="s">
        <v>1620</v>
      </c>
      <c r="D226" s="735" t="s">
        <v>737</v>
      </c>
      <c r="E226" s="734" t="s">
        <v>607</v>
      </c>
      <c r="F226" s="727">
        <v>0</v>
      </c>
      <c r="G226" s="736" t="s">
        <v>1363</v>
      </c>
      <c r="H226" s="737" t="s">
        <v>738</v>
      </c>
      <c r="I226" s="737">
        <v>21</v>
      </c>
      <c r="J226" s="719"/>
      <c r="K226" s="713"/>
    </row>
    <row r="227" spans="1:11">
      <c r="A227" s="713"/>
      <c r="B227" s="719"/>
      <c r="C227" s="725" t="s">
        <v>1621</v>
      </c>
      <c r="D227" s="726" t="s">
        <v>2346</v>
      </c>
      <c r="E227" s="725" t="s">
        <v>550</v>
      </c>
      <c r="F227" s="727">
        <v>0</v>
      </c>
      <c r="G227" s="728"/>
      <c r="H227" s="729" t="s">
        <v>551</v>
      </c>
      <c r="I227" s="729">
        <v>1</v>
      </c>
      <c r="J227" s="719"/>
      <c r="K227" s="713"/>
    </row>
    <row r="228" spans="1:11" ht="42.15">
      <c r="A228" s="713"/>
      <c r="B228" s="719"/>
      <c r="C228" s="734" t="s">
        <v>1622</v>
      </c>
      <c r="D228" s="735" t="s">
        <v>739</v>
      </c>
      <c r="E228" s="734" t="s">
        <v>553</v>
      </c>
      <c r="F228" s="727">
        <v>0</v>
      </c>
      <c r="G228" s="736" t="s">
        <v>1363</v>
      </c>
      <c r="H228" s="737" t="s">
        <v>740</v>
      </c>
      <c r="I228" s="737">
        <v>7</v>
      </c>
      <c r="J228" s="719"/>
      <c r="K228" s="713"/>
    </row>
    <row r="229" spans="1:11">
      <c r="A229" s="713"/>
      <c r="B229" s="719"/>
      <c r="C229" s="734" t="s">
        <v>1623</v>
      </c>
      <c r="D229" s="735" t="s">
        <v>1624</v>
      </c>
      <c r="E229" s="734" t="s">
        <v>550</v>
      </c>
      <c r="F229" s="727">
        <v>0</v>
      </c>
      <c r="G229" s="736" t="s">
        <v>1363</v>
      </c>
      <c r="H229" s="737" t="s">
        <v>551</v>
      </c>
      <c r="I229" s="737">
        <v>1</v>
      </c>
      <c r="J229" s="719"/>
      <c r="K229" s="713"/>
    </row>
    <row r="230" spans="1:11">
      <c r="A230" s="713"/>
      <c r="B230" s="719"/>
      <c r="C230" s="734" t="s">
        <v>1625</v>
      </c>
      <c r="D230" s="735" t="s">
        <v>1626</v>
      </c>
      <c r="E230" s="734" t="s">
        <v>550</v>
      </c>
      <c r="F230" s="727">
        <v>0</v>
      </c>
      <c r="G230" s="736" t="s">
        <v>1363</v>
      </c>
      <c r="H230" s="737" t="s">
        <v>551</v>
      </c>
      <c r="I230" s="737">
        <v>1</v>
      </c>
      <c r="J230" s="719"/>
      <c r="K230" s="713"/>
    </row>
    <row r="231" spans="1:11">
      <c r="A231" s="713"/>
      <c r="B231" s="719"/>
      <c r="C231" s="734" t="s">
        <v>1627</v>
      </c>
      <c r="D231" s="735" t="s">
        <v>741</v>
      </c>
      <c r="E231" s="734" t="s">
        <v>742</v>
      </c>
      <c r="F231" s="727">
        <v>0</v>
      </c>
      <c r="G231" s="736" t="s">
        <v>1363</v>
      </c>
      <c r="H231" s="737" t="s">
        <v>551</v>
      </c>
      <c r="I231" s="737">
        <v>17</v>
      </c>
      <c r="J231" s="719"/>
      <c r="K231" s="713"/>
    </row>
    <row r="232" spans="1:11">
      <c r="A232" s="713"/>
      <c r="B232" s="719"/>
      <c r="C232" s="734" t="s">
        <v>508</v>
      </c>
      <c r="D232" s="735" t="s">
        <v>508</v>
      </c>
      <c r="E232" s="734" t="s">
        <v>550</v>
      </c>
      <c r="F232" s="727">
        <v>0</v>
      </c>
      <c r="G232" s="736" t="s">
        <v>1363</v>
      </c>
      <c r="H232" s="737" t="s">
        <v>551</v>
      </c>
      <c r="I232" s="737">
        <v>1</v>
      </c>
      <c r="J232" s="719"/>
      <c r="K232" s="713"/>
    </row>
    <row r="233" spans="1:11">
      <c r="A233" s="713"/>
      <c r="B233" s="719"/>
      <c r="C233" s="725" t="s">
        <v>948</v>
      </c>
      <c r="D233" s="726" t="s">
        <v>1628</v>
      </c>
      <c r="E233" s="725" t="s">
        <v>550</v>
      </c>
      <c r="F233" s="727">
        <v>0</v>
      </c>
      <c r="G233" s="728"/>
      <c r="H233" s="729" t="s">
        <v>551</v>
      </c>
      <c r="I233" s="729">
        <v>1</v>
      </c>
      <c r="J233" s="719"/>
      <c r="K233" s="713"/>
    </row>
    <row r="234" spans="1:11" ht="42.15">
      <c r="A234" s="713"/>
      <c r="B234" s="719"/>
      <c r="C234" s="725" t="s">
        <v>1629</v>
      </c>
      <c r="D234" s="726" t="s">
        <v>743</v>
      </c>
      <c r="E234" s="725" t="s">
        <v>602</v>
      </c>
      <c r="F234" s="727">
        <v>0</v>
      </c>
      <c r="G234" s="728"/>
      <c r="H234" s="729" t="s">
        <v>476</v>
      </c>
      <c r="I234" s="739" t="s">
        <v>587</v>
      </c>
      <c r="J234" s="719"/>
      <c r="K234" s="713"/>
    </row>
    <row r="235" spans="1:11" ht="42.15">
      <c r="A235" s="713"/>
      <c r="B235" s="719"/>
      <c r="C235" s="725" t="s">
        <v>1630</v>
      </c>
      <c r="D235" s="726" t="s">
        <v>744</v>
      </c>
      <c r="E235" s="725" t="s">
        <v>602</v>
      </c>
      <c r="F235" s="727">
        <v>0</v>
      </c>
      <c r="G235" s="728"/>
      <c r="H235" s="729" t="s">
        <v>551</v>
      </c>
      <c r="I235" s="729">
        <v>17</v>
      </c>
      <c r="J235" s="719"/>
      <c r="K235" s="713"/>
    </row>
    <row r="236" spans="1:11" ht="42.15">
      <c r="A236" s="713"/>
      <c r="B236" s="719"/>
      <c r="C236" s="725" t="s">
        <v>1631</v>
      </c>
      <c r="D236" s="726" t="s">
        <v>745</v>
      </c>
      <c r="E236" s="725" t="s">
        <v>602</v>
      </c>
      <c r="F236" s="727">
        <v>0</v>
      </c>
      <c r="G236" s="728"/>
      <c r="H236" s="729" t="s">
        <v>551</v>
      </c>
      <c r="I236" s="729">
        <v>17</v>
      </c>
      <c r="J236" s="719"/>
      <c r="K236" s="713"/>
    </row>
    <row r="237" spans="1:11">
      <c r="A237" s="713"/>
      <c r="B237" s="719"/>
      <c r="C237" s="725" t="s">
        <v>1632</v>
      </c>
      <c r="D237" s="726" t="s">
        <v>196</v>
      </c>
      <c r="E237" s="725" t="s">
        <v>559</v>
      </c>
      <c r="F237" s="727">
        <v>0</v>
      </c>
      <c r="G237" s="728"/>
      <c r="H237" s="729" t="s">
        <v>551</v>
      </c>
      <c r="I237" s="729">
        <v>15</v>
      </c>
      <c r="J237" s="719"/>
      <c r="K237" s="713"/>
    </row>
    <row r="238" spans="1:11">
      <c r="A238" s="713"/>
      <c r="B238" s="719"/>
      <c r="C238" s="725" t="s">
        <v>746</v>
      </c>
      <c r="D238" s="726" t="s">
        <v>746</v>
      </c>
      <c r="E238" s="725" t="s">
        <v>559</v>
      </c>
      <c r="F238" s="727">
        <v>0</v>
      </c>
      <c r="G238" s="728"/>
      <c r="H238" s="729" t="s">
        <v>551</v>
      </c>
      <c r="I238" s="729">
        <v>1</v>
      </c>
      <c r="J238" s="719"/>
      <c r="K238" s="713"/>
    </row>
    <row r="239" spans="1:11" ht="43.5">
      <c r="A239" s="713" t="s">
        <v>5745</v>
      </c>
      <c r="B239" s="719"/>
      <c r="C239" s="734" t="s">
        <v>1633</v>
      </c>
      <c r="D239" s="735" t="s">
        <v>5763</v>
      </c>
      <c r="E239" s="734" t="s">
        <v>567</v>
      </c>
      <c r="F239" s="727">
        <v>0</v>
      </c>
      <c r="G239" s="736" t="s">
        <v>1363</v>
      </c>
      <c r="H239" s="737" t="s">
        <v>687</v>
      </c>
      <c r="I239" s="737">
        <v>10</v>
      </c>
      <c r="J239" s="719"/>
      <c r="K239" s="713"/>
    </row>
    <row r="240" spans="1:11">
      <c r="A240" s="713"/>
      <c r="B240" s="719"/>
      <c r="C240" s="725" t="s">
        <v>1635</v>
      </c>
      <c r="D240" s="726" t="s">
        <v>39</v>
      </c>
      <c r="E240" s="725" t="s">
        <v>550</v>
      </c>
      <c r="F240" s="727">
        <v>0</v>
      </c>
      <c r="G240" s="728"/>
      <c r="H240" s="729" t="s">
        <v>551</v>
      </c>
      <c r="I240" s="729">
        <v>1</v>
      </c>
      <c r="J240" s="719"/>
      <c r="K240" s="713"/>
    </row>
    <row r="241" spans="1:11">
      <c r="A241" s="713"/>
      <c r="B241" s="719"/>
      <c r="C241" s="734" t="s">
        <v>1636</v>
      </c>
      <c r="D241" s="735" t="s">
        <v>198</v>
      </c>
      <c r="E241" s="734" t="s">
        <v>550</v>
      </c>
      <c r="F241" s="727">
        <v>0</v>
      </c>
      <c r="G241" s="736" t="s">
        <v>1363</v>
      </c>
      <c r="H241" s="737" t="s">
        <v>551</v>
      </c>
      <c r="I241" s="737">
        <v>15</v>
      </c>
      <c r="J241" s="719"/>
      <c r="K241" s="713"/>
    </row>
    <row r="242" spans="1:11">
      <c r="A242" s="713"/>
      <c r="B242" s="719"/>
      <c r="C242" s="734" t="s">
        <v>1637</v>
      </c>
      <c r="D242" s="735" t="s">
        <v>411</v>
      </c>
      <c r="E242" s="734" t="s">
        <v>550</v>
      </c>
      <c r="F242" s="727">
        <v>0</v>
      </c>
      <c r="G242" s="736" t="s">
        <v>1363</v>
      </c>
      <c r="H242" s="737" t="s">
        <v>551</v>
      </c>
      <c r="I242" s="737">
        <v>5</v>
      </c>
      <c r="J242" s="719"/>
      <c r="K242" s="713"/>
    </row>
    <row r="243" spans="1:11">
      <c r="A243" s="713"/>
      <c r="B243" s="719"/>
      <c r="C243" s="734" t="s">
        <v>1638</v>
      </c>
      <c r="D243" s="734" t="s">
        <v>748</v>
      </c>
      <c r="E243" s="734" t="s">
        <v>656</v>
      </c>
      <c r="F243" s="727">
        <v>0</v>
      </c>
      <c r="G243" s="736" t="s">
        <v>1363</v>
      </c>
      <c r="H243" s="737" t="s">
        <v>551</v>
      </c>
      <c r="I243" s="737">
        <v>3</v>
      </c>
      <c r="J243" s="719"/>
      <c r="K243" s="713"/>
    </row>
    <row r="244" spans="1:11" ht="42.15">
      <c r="A244" s="713"/>
      <c r="B244" s="719"/>
      <c r="C244" s="725" t="s">
        <v>1639</v>
      </c>
      <c r="D244" s="726" t="s">
        <v>5764</v>
      </c>
      <c r="E244" s="725" t="s">
        <v>567</v>
      </c>
      <c r="F244" s="727">
        <v>0</v>
      </c>
      <c r="G244" s="728"/>
      <c r="H244" s="729" t="s">
        <v>750</v>
      </c>
      <c r="I244" s="729">
        <v>10</v>
      </c>
      <c r="J244" s="719"/>
      <c r="K244" s="713"/>
    </row>
    <row r="245" spans="1:11" ht="42.15">
      <c r="A245" s="713"/>
      <c r="B245" s="719"/>
      <c r="C245" s="725" t="s">
        <v>1641</v>
      </c>
      <c r="D245" s="726" t="s">
        <v>5765</v>
      </c>
      <c r="E245" s="725" t="s">
        <v>567</v>
      </c>
      <c r="F245" s="727">
        <v>0</v>
      </c>
      <c r="G245" s="728"/>
      <c r="H245" s="729" t="s">
        <v>750</v>
      </c>
      <c r="I245" s="729">
        <v>10</v>
      </c>
      <c r="J245" s="719"/>
      <c r="K245" s="713"/>
    </row>
    <row r="246" spans="1:11" ht="42.15">
      <c r="A246" s="713"/>
      <c r="B246" s="719"/>
      <c r="C246" s="735" t="s">
        <v>1643</v>
      </c>
      <c r="D246" s="735" t="s">
        <v>5766</v>
      </c>
      <c r="E246" s="735" t="s">
        <v>567</v>
      </c>
      <c r="F246" s="727">
        <v>0</v>
      </c>
      <c r="G246" s="737" t="s">
        <v>1363</v>
      </c>
      <c r="H246" s="737" t="s">
        <v>750</v>
      </c>
      <c r="I246" s="737">
        <v>10</v>
      </c>
      <c r="J246" s="719"/>
      <c r="K246" s="713"/>
    </row>
    <row r="247" spans="1:11" ht="43.5">
      <c r="A247" s="713"/>
      <c r="B247" s="719"/>
      <c r="C247" s="725" t="s">
        <v>1645</v>
      </c>
      <c r="D247" s="726" t="s">
        <v>5767</v>
      </c>
      <c r="E247" s="725" t="s">
        <v>567</v>
      </c>
      <c r="F247" s="727">
        <v>0</v>
      </c>
      <c r="G247" s="728"/>
      <c r="H247" s="729" t="s">
        <v>750</v>
      </c>
      <c r="I247" s="729">
        <v>10</v>
      </c>
      <c r="J247" s="719"/>
      <c r="K247" s="713"/>
    </row>
    <row r="248" spans="1:11">
      <c r="A248" s="713"/>
      <c r="B248" s="719"/>
      <c r="C248" s="725" t="s">
        <v>1647</v>
      </c>
      <c r="D248" s="726" t="s">
        <v>753</v>
      </c>
      <c r="E248" s="725" t="s">
        <v>593</v>
      </c>
      <c r="F248" s="727">
        <v>0</v>
      </c>
      <c r="G248" s="728"/>
      <c r="H248" s="729" t="s">
        <v>595</v>
      </c>
      <c r="I248" s="729">
        <v>15</v>
      </c>
      <c r="J248" s="719"/>
      <c r="K248" s="713"/>
    </row>
    <row r="249" spans="1:11" ht="42.15">
      <c r="A249" s="713"/>
      <c r="B249" s="719"/>
      <c r="C249" s="734" t="s">
        <v>1648</v>
      </c>
      <c r="D249" s="734" t="s">
        <v>754</v>
      </c>
      <c r="E249" s="734" t="s">
        <v>602</v>
      </c>
      <c r="F249" s="727">
        <v>0</v>
      </c>
      <c r="G249" s="736" t="s">
        <v>1363</v>
      </c>
      <c r="H249" s="737" t="s">
        <v>554</v>
      </c>
      <c r="I249" s="743" t="s">
        <v>664</v>
      </c>
      <c r="J249" s="719"/>
      <c r="K249" s="713"/>
    </row>
    <row r="250" spans="1:11">
      <c r="A250" s="713"/>
      <c r="B250" s="719"/>
      <c r="C250" s="725" t="s">
        <v>1650</v>
      </c>
      <c r="D250" s="726" t="s">
        <v>24</v>
      </c>
      <c r="E250" s="725" t="s">
        <v>550</v>
      </c>
      <c r="F250" s="727">
        <v>0</v>
      </c>
      <c r="G250" s="728"/>
      <c r="H250" s="729" t="s">
        <v>551</v>
      </c>
      <c r="I250" s="729">
        <v>1</v>
      </c>
      <c r="J250" s="719"/>
      <c r="K250" s="713"/>
    </row>
    <row r="251" spans="1:11">
      <c r="A251" s="713"/>
      <c r="B251" s="719"/>
      <c r="C251" s="725" t="s">
        <v>1651</v>
      </c>
      <c r="D251" s="726" t="s">
        <v>1652</v>
      </c>
      <c r="E251" s="725" t="s">
        <v>550</v>
      </c>
      <c r="F251" s="727">
        <v>0</v>
      </c>
      <c r="G251" s="728"/>
      <c r="H251" s="729" t="s">
        <v>901</v>
      </c>
      <c r="I251" s="729">
        <v>1</v>
      </c>
      <c r="J251" s="719"/>
      <c r="K251" s="713"/>
    </row>
    <row r="252" spans="1:11" ht="42.15">
      <c r="A252" s="713"/>
      <c r="B252" s="719"/>
      <c r="C252" s="734" t="s">
        <v>1653</v>
      </c>
      <c r="D252" s="734" t="s">
        <v>756</v>
      </c>
      <c r="E252" s="734" t="s">
        <v>602</v>
      </c>
      <c r="F252" s="727">
        <v>0</v>
      </c>
      <c r="G252" s="736" t="s">
        <v>1363</v>
      </c>
      <c r="H252" s="737" t="s">
        <v>554</v>
      </c>
      <c r="I252" s="743" t="s">
        <v>664</v>
      </c>
      <c r="J252" s="719"/>
      <c r="K252" s="713"/>
    </row>
    <row r="253" spans="1:11">
      <c r="A253" s="713"/>
      <c r="B253" s="719"/>
      <c r="C253" s="725" t="s">
        <v>1654</v>
      </c>
      <c r="D253" s="726" t="s">
        <v>757</v>
      </c>
      <c r="E253" s="725" t="s">
        <v>88</v>
      </c>
      <c r="F253" s="727">
        <v>0</v>
      </c>
      <c r="G253" s="728"/>
      <c r="H253" s="729" t="s">
        <v>551</v>
      </c>
      <c r="I253" s="729">
        <v>17</v>
      </c>
      <c r="J253" s="719"/>
      <c r="K253" s="713"/>
    </row>
    <row r="254" spans="1:11" ht="43.5">
      <c r="A254" s="713"/>
      <c r="B254" s="719"/>
      <c r="C254" s="734" t="s">
        <v>1655</v>
      </c>
      <c r="D254" s="735" t="s">
        <v>5768</v>
      </c>
      <c r="E254" s="734" t="s">
        <v>759</v>
      </c>
      <c r="F254" s="727">
        <v>0</v>
      </c>
      <c r="G254" s="736" t="s">
        <v>1363</v>
      </c>
      <c r="H254" s="737" t="s">
        <v>750</v>
      </c>
      <c r="I254" s="737">
        <v>10</v>
      </c>
      <c r="J254" s="719"/>
      <c r="K254" s="713"/>
    </row>
    <row r="255" spans="1:11" ht="22.45">
      <c r="A255" s="713"/>
      <c r="B255" s="719"/>
      <c r="C255" s="734" t="s">
        <v>1657</v>
      </c>
      <c r="D255" s="735" t="s">
        <v>5769</v>
      </c>
      <c r="E255" s="734" t="s">
        <v>559</v>
      </c>
      <c r="F255" s="727">
        <v>0</v>
      </c>
      <c r="G255" s="736" t="s">
        <v>1363</v>
      </c>
      <c r="H255" s="737" t="s">
        <v>575</v>
      </c>
      <c r="I255" s="737">
        <v>17</v>
      </c>
      <c r="J255" s="719"/>
      <c r="K255" s="713"/>
    </row>
    <row r="256" spans="1:11" ht="42.15">
      <c r="A256" s="713"/>
      <c r="B256" s="719"/>
      <c r="C256" s="725" t="s">
        <v>1659</v>
      </c>
      <c r="D256" s="726" t="s">
        <v>5770</v>
      </c>
      <c r="E256" s="725" t="s">
        <v>567</v>
      </c>
      <c r="F256" s="727">
        <v>0</v>
      </c>
      <c r="G256" s="728"/>
      <c r="H256" s="729" t="s">
        <v>551</v>
      </c>
      <c r="I256" s="729">
        <v>12</v>
      </c>
      <c r="J256" s="719"/>
      <c r="K256" s="713"/>
    </row>
    <row r="257" spans="1:11" ht="42.15">
      <c r="A257" s="713"/>
      <c r="B257" s="719"/>
      <c r="C257" s="725" t="s">
        <v>1661</v>
      </c>
      <c r="D257" s="726" t="s">
        <v>5771</v>
      </c>
      <c r="E257" s="725" t="s">
        <v>567</v>
      </c>
      <c r="F257" s="727">
        <v>0</v>
      </c>
      <c r="G257" s="728"/>
      <c r="H257" s="729" t="s">
        <v>551</v>
      </c>
      <c r="I257" s="729">
        <v>12</v>
      </c>
      <c r="J257" s="719"/>
      <c r="K257" s="713"/>
    </row>
    <row r="258" spans="1:11" ht="42.15">
      <c r="A258" s="713"/>
      <c r="B258" s="719"/>
      <c r="C258" s="725" t="s">
        <v>1663</v>
      </c>
      <c r="D258" s="726" t="s">
        <v>5772</v>
      </c>
      <c r="E258" s="725" t="s">
        <v>567</v>
      </c>
      <c r="F258" s="727">
        <v>0</v>
      </c>
      <c r="G258" s="728"/>
      <c r="H258" s="729" t="s">
        <v>551</v>
      </c>
      <c r="I258" s="729">
        <v>12</v>
      </c>
      <c r="J258" s="719"/>
      <c r="K258" s="713"/>
    </row>
    <row r="259" spans="1:11" ht="42.15">
      <c r="A259" s="713"/>
      <c r="B259" s="719"/>
      <c r="C259" s="725" t="s">
        <v>1665</v>
      </c>
      <c r="D259" s="726" t="s">
        <v>5773</v>
      </c>
      <c r="E259" s="725" t="s">
        <v>567</v>
      </c>
      <c r="F259" s="727">
        <v>0</v>
      </c>
      <c r="G259" s="728"/>
      <c r="H259" s="729" t="s">
        <v>551</v>
      </c>
      <c r="I259" s="729">
        <v>12</v>
      </c>
      <c r="J259" s="719"/>
      <c r="K259" s="713"/>
    </row>
    <row r="260" spans="1:11" ht="42.15">
      <c r="A260" s="713"/>
      <c r="B260" s="719"/>
      <c r="C260" s="725" t="s">
        <v>1667</v>
      </c>
      <c r="D260" s="726" t="s">
        <v>5774</v>
      </c>
      <c r="E260" s="725" t="s">
        <v>567</v>
      </c>
      <c r="F260" s="727">
        <v>0</v>
      </c>
      <c r="G260" s="728"/>
      <c r="H260" s="729" t="s">
        <v>551</v>
      </c>
      <c r="I260" s="729">
        <v>12</v>
      </c>
      <c r="J260" s="719"/>
      <c r="K260" s="713"/>
    </row>
    <row r="261" spans="1:11" ht="42.15">
      <c r="A261" s="713"/>
      <c r="B261" s="719"/>
      <c r="C261" s="725" t="s">
        <v>1669</v>
      </c>
      <c r="D261" s="726" t="s">
        <v>5775</v>
      </c>
      <c r="E261" s="725" t="s">
        <v>567</v>
      </c>
      <c r="F261" s="727">
        <v>0</v>
      </c>
      <c r="G261" s="728"/>
      <c r="H261" s="729" t="s">
        <v>551</v>
      </c>
      <c r="I261" s="729">
        <v>12</v>
      </c>
      <c r="J261" s="719"/>
      <c r="K261" s="713"/>
    </row>
    <row r="262" spans="1:11" ht="42.15">
      <c r="A262" s="713"/>
      <c r="B262" s="719"/>
      <c r="C262" s="734" t="s">
        <v>1671</v>
      </c>
      <c r="D262" s="735" t="s">
        <v>769</v>
      </c>
      <c r="E262" s="734" t="s">
        <v>567</v>
      </c>
      <c r="F262" s="727">
        <v>0</v>
      </c>
      <c r="G262" s="736" t="s">
        <v>1363</v>
      </c>
      <c r="H262" s="737" t="s">
        <v>551</v>
      </c>
      <c r="I262" s="737">
        <v>5</v>
      </c>
      <c r="J262" s="719"/>
      <c r="K262" s="713"/>
    </row>
    <row r="263" spans="1:11" ht="42.15">
      <c r="A263" s="713"/>
      <c r="B263" s="719"/>
      <c r="C263" s="725" t="s">
        <v>1672</v>
      </c>
      <c r="D263" s="726" t="s">
        <v>5776</v>
      </c>
      <c r="E263" s="725" t="s">
        <v>567</v>
      </c>
      <c r="F263" s="727">
        <v>0</v>
      </c>
      <c r="G263" s="728"/>
      <c r="H263" s="729" t="s">
        <v>551</v>
      </c>
      <c r="I263" s="729">
        <v>12</v>
      </c>
      <c r="J263" s="719"/>
      <c r="K263" s="713"/>
    </row>
    <row r="264" spans="1:11" ht="42.15">
      <c r="A264" s="713" t="s">
        <v>5737</v>
      </c>
      <c r="B264" s="719"/>
      <c r="C264" s="725" t="s">
        <v>5777</v>
      </c>
      <c r="D264" s="726" t="s">
        <v>5778</v>
      </c>
      <c r="E264" s="725" t="s">
        <v>567</v>
      </c>
      <c r="F264" s="727">
        <v>0</v>
      </c>
      <c r="G264" s="728"/>
      <c r="H264" s="729" t="s">
        <v>551</v>
      </c>
      <c r="I264" s="729">
        <v>12</v>
      </c>
      <c r="J264" s="719"/>
      <c r="K264" s="713"/>
    </row>
    <row r="265" spans="1:11" ht="42.15">
      <c r="A265" s="713"/>
      <c r="B265" s="719"/>
      <c r="C265" s="725" t="s">
        <v>1674</v>
      </c>
      <c r="D265" s="726" t="s">
        <v>5779</v>
      </c>
      <c r="E265" s="725" t="s">
        <v>567</v>
      </c>
      <c r="F265" s="727">
        <v>0</v>
      </c>
      <c r="G265" s="728"/>
      <c r="H265" s="729" t="s">
        <v>551</v>
      </c>
      <c r="I265" s="729">
        <v>12</v>
      </c>
      <c r="J265" s="719"/>
      <c r="K265" s="713"/>
    </row>
    <row r="266" spans="1:11" ht="42.15">
      <c r="A266" s="713"/>
      <c r="B266" s="719"/>
      <c r="C266" s="725" t="s">
        <v>1676</v>
      </c>
      <c r="D266" s="726" t="s">
        <v>5780</v>
      </c>
      <c r="E266" s="725" t="s">
        <v>567</v>
      </c>
      <c r="F266" s="727">
        <v>0</v>
      </c>
      <c r="G266" s="728"/>
      <c r="H266" s="729" t="s">
        <v>551</v>
      </c>
      <c r="I266" s="729">
        <v>12</v>
      </c>
      <c r="J266" s="719"/>
      <c r="K266" s="713"/>
    </row>
    <row r="267" spans="1:11" ht="42.15">
      <c r="A267" s="713"/>
      <c r="B267" s="719"/>
      <c r="C267" s="725" t="s">
        <v>1678</v>
      </c>
      <c r="D267" s="726" t="s">
        <v>5781</v>
      </c>
      <c r="E267" s="725" t="s">
        <v>567</v>
      </c>
      <c r="F267" s="727">
        <v>0</v>
      </c>
      <c r="G267" s="728"/>
      <c r="H267" s="729" t="s">
        <v>551</v>
      </c>
      <c r="I267" s="729">
        <v>12</v>
      </c>
      <c r="J267" s="719"/>
      <c r="K267" s="713"/>
    </row>
    <row r="268" spans="1:11" ht="42.15">
      <c r="A268" s="713"/>
      <c r="B268" s="719"/>
      <c r="C268" s="725" t="s">
        <v>2347</v>
      </c>
      <c r="D268" s="726" t="s">
        <v>2348</v>
      </c>
      <c r="E268" s="725" t="s">
        <v>699</v>
      </c>
      <c r="F268" s="727">
        <v>0</v>
      </c>
      <c r="G268" s="728"/>
      <c r="H268" s="729" t="s">
        <v>1447</v>
      </c>
      <c r="I268" s="729">
        <v>3</v>
      </c>
      <c r="J268" s="719"/>
      <c r="K268" s="713"/>
    </row>
    <row r="269" spans="1:11" ht="42.15">
      <c r="A269" s="713"/>
      <c r="B269" s="719"/>
      <c r="C269" s="725" t="s">
        <v>1680</v>
      </c>
      <c r="D269" s="726" t="s">
        <v>774</v>
      </c>
      <c r="E269" s="725" t="s">
        <v>602</v>
      </c>
      <c r="F269" s="727">
        <v>0</v>
      </c>
      <c r="G269" s="728"/>
      <c r="H269" s="729" t="s">
        <v>551</v>
      </c>
      <c r="I269" s="729">
        <v>17</v>
      </c>
      <c r="J269" s="719"/>
      <c r="K269" s="713"/>
    </row>
    <row r="270" spans="1:11">
      <c r="A270" s="713"/>
      <c r="B270" s="719"/>
      <c r="C270" s="725" t="s">
        <v>1681</v>
      </c>
      <c r="D270" s="726" t="s">
        <v>775</v>
      </c>
      <c r="E270" s="725" t="s">
        <v>607</v>
      </c>
      <c r="F270" s="727">
        <v>0</v>
      </c>
      <c r="G270" s="728"/>
      <c r="H270" s="729" t="s">
        <v>608</v>
      </c>
      <c r="I270" s="739" t="s">
        <v>350</v>
      </c>
      <c r="J270" s="719"/>
      <c r="K270" s="713"/>
    </row>
    <row r="271" spans="1:11">
      <c r="A271" s="713"/>
      <c r="B271" s="719"/>
      <c r="C271" s="725" t="s">
        <v>1682</v>
      </c>
      <c r="D271" s="726" t="s">
        <v>776</v>
      </c>
      <c r="E271" s="725" t="s">
        <v>607</v>
      </c>
      <c r="F271" s="727">
        <v>0</v>
      </c>
      <c r="G271" s="728"/>
      <c r="H271" s="729" t="s">
        <v>608</v>
      </c>
      <c r="I271" s="739" t="s">
        <v>350</v>
      </c>
      <c r="J271" s="719"/>
      <c r="K271" s="713"/>
    </row>
    <row r="272" spans="1:11">
      <c r="A272" s="713"/>
      <c r="B272" s="719"/>
      <c r="C272" s="725" t="s">
        <v>1683</v>
      </c>
      <c r="D272" s="726" t="s">
        <v>777</v>
      </c>
      <c r="E272" s="725" t="s">
        <v>553</v>
      </c>
      <c r="F272" s="727">
        <v>0</v>
      </c>
      <c r="G272" s="728"/>
      <c r="H272" s="729" t="s">
        <v>778</v>
      </c>
      <c r="I272" s="729">
        <v>3</v>
      </c>
      <c r="J272" s="719"/>
      <c r="K272" s="713"/>
    </row>
    <row r="273" spans="1:11">
      <c r="A273" s="713"/>
      <c r="B273" s="719"/>
      <c r="C273" s="725" t="s">
        <v>1684</v>
      </c>
      <c r="D273" s="726" t="s">
        <v>779</v>
      </c>
      <c r="E273" s="725" t="s">
        <v>553</v>
      </c>
      <c r="F273" s="727">
        <v>0</v>
      </c>
      <c r="G273" s="728"/>
      <c r="H273" s="729" t="s">
        <v>778</v>
      </c>
      <c r="I273" s="729">
        <v>3</v>
      </c>
      <c r="J273" s="719"/>
      <c r="K273" s="713"/>
    </row>
    <row r="274" spans="1:11" ht="42.15">
      <c r="A274" s="713"/>
      <c r="B274" s="719"/>
      <c r="C274" s="725" t="s">
        <v>1685</v>
      </c>
      <c r="D274" s="726" t="s">
        <v>780</v>
      </c>
      <c r="E274" s="725" t="s">
        <v>553</v>
      </c>
      <c r="F274" s="727">
        <v>0</v>
      </c>
      <c r="G274" s="728"/>
      <c r="H274" s="729" t="s">
        <v>604</v>
      </c>
      <c r="I274" s="729">
        <v>7</v>
      </c>
      <c r="J274" s="719"/>
      <c r="K274" s="713"/>
    </row>
    <row r="275" spans="1:11" ht="42.15">
      <c r="A275" s="713"/>
      <c r="B275" s="719"/>
      <c r="C275" s="725" t="s">
        <v>1686</v>
      </c>
      <c r="D275" s="726" t="s">
        <v>781</v>
      </c>
      <c r="E275" s="725" t="s">
        <v>602</v>
      </c>
      <c r="F275" s="727">
        <v>0</v>
      </c>
      <c r="G275" s="728"/>
      <c r="H275" s="738" t="s">
        <v>551</v>
      </c>
      <c r="I275" s="729">
        <v>5</v>
      </c>
      <c r="J275" s="719"/>
      <c r="K275" s="713"/>
    </row>
    <row r="276" spans="1:11">
      <c r="A276" s="713"/>
      <c r="B276" s="719"/>
      <c r="C276" s="742" t="s">
        <v>1687</v>
      </c>
      <c r="D276" s="726" t="s">
        <v>1688</v>
      </c>
      <c r="E276" s="725" t="s">
        <v>553</v>
      </c>
      <c r="F276" s="727">
        <v>0</v>
      </c>
      <c r="G276" s="728"/>
      <c r="H276" s="729" t="s">
        <v>554</v>
      </c>
      <c r="I276" s="729">
        <v>5</v>
      </c>
      <c r="J276" s="719"/>
      <c r="K276" s="713"/>
    </row>
    <row r="277" spans="1:11">
      <c r="A277" s="713"/>
      <c r="B277" s="719"/>
      <c r="C277" s="725" t="s">
        <v>5782</v>
      </c>
      <c r="D277" s="726" t="s">
        <v>5783</v>
      </c>
      <c r="E277" s="725" t="s">
        <v>607</v>
      </c>
      <c r="F277" s="727">
        <v>0</v>
      </c>
      <c r="G277" s="728"/>
      <c r="H277" s="729" t="s">
        <v>5585</v>
      </c>
      <c r="I277" s="729">
        <v>5</v>
      </c>
      <c r="J277" s="719"/>
      <c r="K277" s="713"/>
    </row>
    <row r="278" spans="1:11">
      <c r="A278" s="713"/>
      <c r="B278" s="719"/>
      <c r="C278" s="744" t="s">
        <v>1689</v>
      </c>
      <c r="D278" s="726" t="s">
        <v>1690</v>
      </c>
      <c r="E278" s="725" t="s">
        <v>553</v>
      </c>
      <c r="F278" s="727">
        <v>0</v>
      </c>
      <c r="G278" s="728"/>
      <c r="H278" s="729" t="s">
        <v>554</v>
      </c>
      <c r="I278" s="729">
        <v>5</v>
      </c>
      <c r="J278" s="719"/>
      <c r="K278" s="713"/>
    </row>
    <row r="279" spans="1:11" ht="42.15">
      <c r="A279" s="713"/>
      <c r="B279" s="719"/>
      <c r="C279" s="725" t="s">
        <v>1691</v>
      </c>
      <c r="D279" s="726" t="s">
        <v>782</v>
      </c>
      <c r="E279" s="725" t="s">
        <v>602</v>
      </c>
      <c r="F279" s="727">
        <v>0</v>
      </c>
      <c r="G279" s="728"/>
      <c r="H279" s="729" t="s">
        <v>551</v>
      </c>
      <c r="I279" s="729">
        <v>5</v>
      </c>
      <c r="J279" s="719"/>
      <c r="K279" s="713"/>
    </row>
    <row r="280" spans="1:11" ht="42.15">
      <c r="A280" s="713"/>
      <c r="B280" s="719"/>
      <c r="C280" s="725" t="s">
        <v>1692</v>
      </c>
      <c r="D280" s="726" t="s">
        <v>783</v>
      </c>
      <c r="E280" s="725" t="s">
        <v>88</v>
      </c>
      <c r="F280" s="727">
        <v>0</v>
      </c>
      <c r="G280" s="728"/>
      <c r="H280" s="729" t="s">
        <v>551</v>
      </c>
      <c r="I280" s="729">
        <v>17</v>
      </c>
      <c r="J280" s="719"/>
      <c r="K280" s="713"/>
    </row>
    <row r="281" spans="1:11">
      <c r="A281" s="713"/>
      <c r="B281" s="719"/>
      <c r="C281" s="734" t="s">
        <v>1693</v>
      </c>
      <c r="D281" s="735" t="s">
        <v>21</v>
      </c>
      <c r="E281" s="734" t="s">
        <v>550</v>
      </c>
      <c r="F281" s="727">
        <v>0</v>
      </c>
      <c r="G281" s="736" t="s">
        <v>1363</v>
      </c>
      <c r="H281" s="737" t="s">
        <v>551</v>
      </c>
      <c r="I281" s="737">
        <v>1</v>
      </c>
      <c r="J281" s="719"/>
      <c r="K281" s="713"/>
    </row>
    <row r="282" spans="1:11" ht="42.15">
      <c r="A282" s="713"/>
      <c r="B282" s="719"/>
      <c r="C282" s="725" t="s">
        <v>1694</v>
      </c>
      <c r="D282" s="726" t="s">
        <v>784</v>
      </c>
      <c r="E282" s="725" t="s">
        <v>553</v>
      </c>
      <c r="F282" s="727">
        <v>0</v>
      </c>
      <c r="G282" s="728"/>
      <c r="H282" s="729" t="s">
        <v>554</v>
      </c>
      <c r="I282" s="729">
        <v>5</v>
      </c>
      <c r="J282" s="719"/>
      <c r="K282" s="713"/>
    </row>
    <row r="283" spans="1:11" ht="42.15">
      <c r="A283" s="713" t="s">
        <v>5737</v>
      </c>
      <c r="B283" s="719"/>
      <c r="C283" s="725" t="s">
        <v>1695</v>
      </c>
      <c r="D283" s="726" t="s">
        <v>5784</v>
      </c>
      <c r="E283" s="725" t="s">
        <v>553</v>
      </c>
      <c r="F283" s="727">
        <v>0</v>
      </c>
      <c r="G283" s="728"/>
      <c r="H283" s="729" t="s">
        <v>634</v>
      </c>
      <c r="I283" s="729">
        <v>5</v>
      </c>
      <c r="J283" s="719"/>
      <c r="K283" s="713"/>
    </row>
    <row r="284" spans="1:11" ht="22.45">
      <c r="A284" s="713"/>
      <c r="B284" s="719"/>
      <c r="C284" s="725" t="s">
        <v>1697</v>
      </c>
      <c r="D284" s="726" t="s">
        <v>5785</v>
      </c>
      <c r="E284" s="725" t="s">
        <v>787</v>
      </c>
      <c r="F284" s="727">
        <v>0</v>
      </c>
      <c r="G284" s="728"/>
      <c r="H284" s="729" t="s">
        <v>788</v>
      </c>
      <c r="I284" s="729">
        <v>14</v>
      </c>
      <c r="J284" s="719"/>
      <c r="K284" s="713"/>
    </row>
    <row r="285" spans="1:11" ht="22.45">
      <c r="A285" s="713"/>
      <c r="B285" s="719"/>
      <c r="C285" s="725" t="s">
        <v>1699</v>
      </c>
      <c r="D285" s="726" t="s">
        <v>5786</v>
      </c>
      <c r="E285" s="725" t="s">
        <v>88</v>
      </c>
      <c r="F285" s="727">
        <v>0</v>
      </c>
      <c r="G285" s="728"/>
      <c r="H285" s="729" t="s">
        <v>627</v>
      </c>
      <c r="I285" s="729">
        <v>5</v>
      </c>
      <c r="J285" s="719"/>
      <c r="K285" s="713"/>
    </row>
    <row r="286" spans="1:11">
      <c r="A286" s="713"/>
      <c r="B286" s="719"/>
      <c r="C286" s="725" t="s">
        <v>1701</v>
      </c>
      <c r="D286" s="726" t="s">
        <v>790</v>
      </c>
      <c r="E286" s="725" t="s">
        <v>550</v>
      </c>
      <c r="F286" s="727">
        <v>0</v>
      </c>
      <c r="G286" s="728"/>
      <c r="H286" s="729" t="s">
        <v>551</v>
      </c>
      <c r="I286" s="729">
        <v>1</v>
      </c>
      <c r="J286" s="719"/>
      <c r="K286" s="713"/>
    </row>
    <row r="287" spans="1:11">
      <c r="A287" s="713"/>
      <c r="B287" s="719"/>
      <c r="C287" s="734" t="s">
        <v>1702</v>
      </c>
      <c r="D287" s="735" t="s">
        <v>791</v>
      </c>
      <c r="E287" s="734" t="s">
        <v>559</v>
      </c>
      <c r="F287" s="727">
        <v>0</v>
      </c>
      <c r="G287" s="736" t="s">
        <v>1363</v>
      </c>
      <c r="H287" s="737" t="s">
        <v>551</v>
      </c>
      <c r="I287" s="737">
        <v>17</v>
      </c>
      <c r="J287" s="719"/>
      <c r="K287" s="713"/>
    </row>
    <row r="288" spans="1:11">
      <c r="A288" s="713"/>
      <c r="B288" s="719"/>
      <c r="C288" s="725" t="s">
        <v>792</v>
      </c>
      <c r="D288" s="726" t="s">
        <v>1703</v>
      </c>
      <c r="E288" s="725" t="s">
        <v>103</v>
      </c>
      <c r="F288" s="727">
        <v>0</v>
      </c>
      <c r="G288" s="728"/>
      <c r="H288" s="729" t="s">
        <v>551</v>
      </c>
      <c r="I288" s="729">
        <v>7</v>
      </c>
      <c r="J288" s="719"/>
      <c r="K288" s="713"/>
    </row>
    <row r="289" spans="1:11">
      <c r="A289" s="713"/>
      <c r="B289" s="719"/>
      <c r="C289" s="725" t="s">
        <v>1704</v>
      </c>
      <c r="D289" s="726" t="s">
        <v>793</v>
      </c>
      <c r="E289" s="725" t="s">
        <v>550</v>
      </c>
      <c r="F289" s="727">
        <v>0</v>
      </c>
      <c r="G289" s="728"/>
      <c r="H289" s="729" t="s">
        <v>551</v>
      </c>
      <c r="I289" s="729">
        <v>3</v>
      </c>
      <c r="J289" s="719"/>
      <c r="K289" s="713"/>
    </row>
    <row r="290" spans="1:11" ht="42.15">
      <c r="A290" s="713"/>
      <c r="B290" s="719"/>
      <c r="C290" s="734" t="s">
        <v>1705</v>
      </c>
      <c r="D290" s="735" t="s">
        <v>5787</v>
      </c>
      <c r="E290" s="734" t="s">
        <v>567</v>
      </c>
      <c r="F290" s="727">
        <v>0</v>
      </c>
      <c r="G290" s="736" t="s">
        <v>1363</v>
      </c>
      <c r="H290" s="737" t="s">
        <v>551</v>
      </c>
      <c r="I290" s="737">
        <v>5</v>
      </c>
      <c r="J290" s="719"/>
      <c r="K290" s="713"/>
    </row>
    <row r="291" spans="1:11" ht="42.15">
      <c r="A291" s="713" t="s">
        <v>5737</v>
      </c>
      <c r="B291" s="719"/>
      <c r="C291" s="725" t="s">
        <v>1707</v>
      </c>
      <c r="D291" s="726" t="s">
        <v>799</v>
      </c>
      <c r="E291" s="725" t="s">
        <v>607</v>
      </c>
      <c r="F291" s="727">
        <v>0</v>
      </c>
      <c r="G291" s="728"/>
      <c r="H291" s="729" t="s">
        <v>736</v>
      </c>
      <c r="I291" s="739" t="s">
        <v>350</v>
      </c>
      <c r="J291" s="719"/>
      <c r="K291" s="713"/>
    </row>
    <row r="292" spans="1:11" ht="43.5">
      <c r="A292" s="713"/>
      <c r="B292" s="719"/>
      <c r="C292" s="734" t="s">
        <v>1708</v>
      </c>
      <c r="D292" s="735" t="s">
        <v>5788</v>
      </c>
      <c r="E292" s="734" t="s">
        <v>88</v>
      </c>
      <c r="F292" s="727">
        <v>0</v>
      </c>
      <c r="G292" s="736" t="s">
        <v>1363</v>
      </c>
      <c r="H292" s="737" t="s">
        <v>551</v>
      </c>
      <c r="I292" s="737">
        <v>17</v>
      </c>
      <c r="J292" s="719"/>
      <c r="K292" s="713"/>
    </row>
    <row r="293" spans="1:11" ht="42.15">
      <c r="A293" s="713"/>
      <c r="B293" s="719"/>
      <c r="C293" s="734" t="s">
        <v>1710</v>
      </c>
      <c r="D293" s="735" t="s">
        <v>5789</v>
      </c>
      <c r="E293" s="734" t="s">
        <v>553</v>
      </c>
      <c r="F293" s="727">
        <v>0</v>
      </c>
      <c r="G293" s="736" t="s">
        <v>1363</v>
      </c>
      <c r="H293" s="737" t="s">
        <v>778</v>
      </c>
      <c r="I293" s="737">
        <v>7</v>
      </c>
      <c r="J293" s="719"/>
      <c r="K293" s="713"/>
    </row>
    <row r="294" spans="1:11" ht="42.15">
      <c r="A294" s="713"/>
      <c r="B294" s="719"/>
      <c r="C294" s="725" t="s">
        <v>1712</v>
      </c>
      <c r="D294" s="726" t="s">
        <v>1713</v>
      </c>
      <c r="E294" s="725" t="s">
        <v>553</v>
      </c>
      <c r="F294" s="727">
        <v>0</v>
      </c>
      <c r="G294" s="728"/>
      <c r="H294" s="729" t="s">
        <v>778</v>
      </c>
      <c r="I294" s="729">
        <v>5</v>
      </c>
      <c r="J294" s="719"/>
      <c r="K294" s="713"/>
    </row>
    <row r="295" spans="1:11">
      <c r="A295" s="713"/>
      <c r="B295" s="719"/>
      <c r="C295" s="725" t="s">
        <v>1714</v>
      </c>
      <c r="D295" s="726" t="s">
        <v>802</v>
      </c>
      <c r="E295" s="725" t="s">
        <v>607</v>
      </c>
      <c r="F295" s="727">
        <v>0</v>
      </c>
      <c r="G295" s="728"/>
      <c r="H295" s="729" t="s">
        <v>608</v>
      </c>
      <c r="I295" s="739" t="s">
        <v>350</v>
      </c>
      <c r="J295" s="719"/>
      <c r="K295" s="713"/>
    </row>
    <row r="296" spans="1:11">
      <c r="A296" s="713"/>
      <c r="B296" s="719"/>
      <c r="C296" s="734" t="s">
        <v>1715</v>
      </c>
      <c r="D296" s="735" t="s">
        <v>803</v>
      </c>
      <c r="E296" s="734" t="s">
        <v>550</v>
      </c>
      <c r="F296" s="727">
        <v>0</v>
      </c>
      <c r="G296" s="736" t="s">
        <v>1363</v>
      </c>
      <c r="H296" s="736" t="s">
        <v>575</v>
      </c>
      <c r="I296" s="737">
        <v>3</v>
      </c>
      <c r="J296" s="719"/>
      <c r="K296" s="713"/>
    </row>
    <row r="297" spans="1:11">
      <c r="A297" s="713"/>
      <c r="B297" s="719"/>
      <c r="C297" s="734" t="s">
        <v>1716</v>
      </c>
      <c r="D297" s="735" t="s">
        <v>25</v>
      </c>
      <c r="E297" s="734" t="s">
        <v>550</v>
      </c>
      <c r="F297" s="727">
        <v>0</v>
      </c>
      <c r="G297" s="736" t="s">
        <v>1363</v>
      </c>
      <c r="H297" s="737" t="s">
        <v>551</v>
      </c>
      <c r="I297" s="737">
        <v>1</v>
      </c>
      <c r="J297" s="719"/>
      <c r="K297" s="713"/>
    </row>
    <row r="298" spans="1:11">
      <c r="A298" s="713"/>
      <c r="B298" s="719"/>
      <c r="C298" s="725" t="s">
        <v>1717</v>
      </c>
      <c r="D298" s="726" t="s">
        <v>506</v>
      </c>
      <c r="E298" s="725" t="s">
        <v>559</v>
      </c>
      <c r="F298" s="727">
        <v>0</v>
      </c>
      <c r="G298" s="728"/>
      <c r="H298" s="729" t="s">
        <v>551</v>
      </c>
      <c r="I298" s="729">
        <v>1</v>
      </c>
      <c r="J298" s="719"/>
      <c r="K298" s="713"/>
    </row>
    <row r="299" spans="1:11">
      <c r="A299" s="713"/>
      <c r="B299" s="719"/>
      <c r="C299" s="725" t="s">
        <v>1718</v>
      </c>
      <c r="D299" s="726" t="s">
        <v>424</v>
      </c>
      <c r="E299" s="725" t="s">
        <v>553</v>
      </c>
      <c r="F299" s="727">
        <v>0</v>
      </c>
      <c r="G299" s="728"/>
      <c r="H299" s="729" t="s">
        <v>604</v>
      </c>
      <c r="I299" s="729">
        <v>17</v>
      </c>
      <c r="J299" s="719"/>
      <c r="K299" s="713"/>
    </row>
    <row r="300" spans="1:11">
      <c r="A300" s="713"/>
      <c r="B300" s="719"/>
      <c r="C300" s="725" t="s">
        <v>1719</v>
      </c>
      <c r="D300" s="725" t="s">
        <v>804</v>
      </c>
      <c r="E300" s="725" t="s">
        <v>550</v>
      </c>
      <c r="F300" s="727">
        <v>0</v>
      </c>
      <c r="G300" s="728"/>
      <c r="H300" s="729" t="s">
        <v>690</v>
      </c>
      <c r="I300" s="729">
        <v>17</v>
      </c>
      <c r="J300" s="719"/>
      <c r="K300" s="713"/>
    </row>
    <row r="301" spans="1:11">
      <c r="A301" s="713"/>
      <c r="B301" s="719"/>
      <c r="C301" s="734" t="s">
        <v>1720</v>
      </c>
      <c r="D301" s="735" t="s">
        <v>805</v>
      </c>
      <c r="E301" s="734" t="s">
        <v>550</v>
      </c>
      <c r="F301" s="727">
        <v>0</v>
      </c>
      <c r="G301" s="736" t="s">
        <v>1363</v>
      </c>
      <c r="H301" s="737" t="s">
        <v>551</v>
      </c>
      <c r="I301" s="737">
        <v>17</v>
      </c>
      <c r="J301" s="719"/>
      <c r="K301" s="713"/>
    </row>
    <row r="302" spans="1:11">
      <c r="A302" s="713"/>
      <c r="B302" s="719"/>
      <c r="C302" s="725" t="s">
        <v>1721</v>
      </c>
      <c r="D302" s="726" t="s">
        <v>806</v>
      </c>
      <c r="E302" s="725" t="s">
        <v>88</v>
      </c>
      <c r="F302" s="727">
        <v>0</v>
      </c>
      <c r="G302" s="728"/>
      <c r="H302" s="729" t="s">
        <v>551</v>
      </c>
      <c r="I302" s="729">
        <v>17</v>
      </c>
      <c r="J302" s="719"/>
      <c r="K302" s="713"/>
    </row>
    <row r="303" spans="1:11">
      <c r="A303" s="713"/>
      <c r="B303" s="719"/>
      <c r="C303" s="725" t="s">
        <v>1722</v>
      </c>
      <c r="D303" s="726" t="s">
        <v>61</v>
      </c>
      <c r="E303" s="725" t="s">
        <v>559</v>
      </c>
      <c r="F303" s="727">
        <v>0</v>
      </c>
      <c r="G303" s="728"/>
      <c r="H303" s="729" t="s">
        <v>551</v>
      </c>
      <c r="I303" s="729">
        <v>5</v>
      </c>
      <c r="J303" s="719"/>
      <c r="K303" s="713"/>
    </row>
    <row r="304" spans="1:11" ht="42.15">
      <c r="A304" s="713"/>
      <c r="B304" s="719"/>
      <c r="C304" s="725" t="s">
        <v>1723</v>
      </c>
      <c r="D304" s="726" t="s">
        <v>807</v>
      </c>
      <c r="E304" s="725" t="s">
        <v>602</v>
      </c>
      <c r="F304" s="727">
        <v>0</v>
      </c>
      <c r="G304" s="728"/>
      <c r="H304" s="729" t="s">
        <v>551</v>
      </c>
      <c r="I304" s="729">
        <v>5</v>
      </c>
      <c r="J304" s="719"/>
      <c r="K304" s="713"/>
    </row>
    <row r="305" spans="1:11" ht="42.15">
      <c r="A305" s="713" t="s">
        <v>5737</v>
      </c>
      <c r="B305" s="719"/>
      <c r="C305" s="734" t="s">
        <v>5790</v>
      </c>
      <c r="D305" s="735" t="s">
        <v>5791</v>
      </c>
      <c r="E305" s="734" t="s">
        <v>602</v>
      </c>
      <c r="F305" s="727">
        <v>0</v>
      </c>
      <c r="G305" s="736" t="s">
        <v>1363</v>
      </c>
      <c r="H305" s="737" t="s">
        <v>551</v>
      </c>
      <c r="I305" s="737">
        <v>5</v>
      </c>
      <c r="J305" s="719"/>
      <c r="K305" s="713"/>
    </row>
    <row r="306" spans="1:11" ht="43.5">
      <c r="A306" s="713"/>
      <c r="B306" s="719"/>
      <c r="C306" s="725" t="s">
        <v>1724</v>
      </c>
      <c r="D306" s="726" t="s">
        <v>5792</v>
      </c>
      <c r="E306" s="725" t="s">
        <v>759</v>
      </c>
      <c r="F306" s="727">
        <v>0</v>
      </c>
      <c r="G306" s="728"/>
      <c r="H306" s="729" t="s">
        <v>788</v>
      </c>
      <c r="I306" s="729">
        <v>17</v>
      </c>
      <c r="J306" s="719"/>
      <c r="K306" s="713"/>
    </row>
    <row r="307" spans="1:11">
      <c r="A307" s="713"/>
      <c r="B307" s="719"/>
      <c r="C307" s="725" t="s">
        <v>1725</v>
      </c>
      <c r="D307" s="726" t="s">
        <v>809</v>
      </c>
      <c r="E307" s="725" t="s">
        <v>550</v>
      </c>
      <c r="F307" s="727">
        <v>0</v>
      </c>
      <c r="G307" s="728"/>
      <c r="H307" s="729" t="s">
        <v>551</v>
      </c>
      <c r="I307" s="729">
        <v>1</v>
      </c>
      <c r="J307" s="719"/>
      <c r="K307" s="713"/>
    </row>
    <row r="308" spans="1:11">
      <c r="A308" s="713"/>
      <c r="B308" s="719"/>
      <c r="C308" s="725" t="s">
        <v>1481</v>
      </c>
      <c r="D308" s="726" t="s">
        <v>65</v>
      </c>
      <c r="E308" s="725" t="s">
        <v>559</v>
      </c>
      <c r="F308" s="727">
        <v>0</v>
      </c>
      <c r="G308" s="728"/>
      <c r="H308" s="729" t="s">
        <v>551</v>
      </c>
      <c r="I308" s="729">
        <v>1</v>
      </c>
      <c r="J308" s="719"/>
      <c r="K308" s="713"/>
    </row>
    <row r="309" spans="1:11">
      <c r="A309" s="713"/>
      <c r="B309" s="719"/>
      <c r="C309" s="725" t="s">
        <v>1726</v>
      </c>
      <c r="D309" s="726" t="s">
        <v>66</v>
      </c>
      <c r="E309" s="725" t="s">
        <v>559</v>
      </c>
      <c r="F309" s="727">
        <v>0</v>
      </c>
      <c r="G309" s="728"/>
      <c r="H309" s="729" t="s">
        <v>551</v>
      </c>
      <c r="I309" s="729">
        <v>1</v>
      </c>
      <c r="J309" s="719"/>
      <c r="K309" s="713"/>
    </row>
    <row r="310" spans="1:11">
      <c r="A310" s="713"/>
      <c r="B310" s="719"/>
      <c r="C310" s="734" t="s">
        <v>1727</v>
      </c>
      <c r="D310" s="735" t="s">
        <v>810</v>
      </c>
      <c r="E310" s="734" t="s">
        <v>593</v>
      </c>
      <c r="F310" s="727">
        <v>0</v>
      </c>
      <c r="G310" s="736" t="s">
        <v>1363</v>
      </c>
      <c r="H310" s="737" t="s">
        <v>595</v>
      </c>
      <c r="I310" s="737">
        <v>10</v>
      </c>
      <c r="J310" s="719"/>
      <c r="K310" s="713"/>
    </row>
    <row r="311" spans="1:11">
      <c r="A311" s="713"/>
      <c r="B311" s="719"/>
      <c r="C311" s="725" t="s">
        <v>778</v>
      </c>
      <c r="D311" s="726" t="s">
        <v>811</v>
      </c>
      <c r="E311" s="725" t="s">
        <v>593</v>
      </c>
      <c r="F311" s="727">
        <v>0</v>
      </c>
      <c r="G311" s="728"/>
      <c r="H311" s="729" t="s">
        <v>595</v>
      </c>
      <c r="I311" s="729">
        <v>15</v>
      </c>
      <c r="J311" s="719"/>
      <c r="K311" s="713"/>
    </row>
    <row r="312" spans="1:11">
      <c r="A312" s="713"/>
      <c r="B312" s="719"/>
      <c r="C312" s="725" t="s">
        <v>1728</v>
      </c>
      <c r="D312" s="726" t="s">
        <v>812</v>
      </c>
      <c r="E312" s="725" t="s">
        <v>88</v>
      </c>
      <c r="F312" s="727">
        <v>0</v>
      </c>
      <c r="G312" s="728"/>
      <c r="H312" s="729" t="s">
        <v>551</v>
      </c>
      <c r="I312" s="729">
        <v>7</v>
      </c>
      <c r="J312" s="719"/>
      <c r="K312" s="713"/>
    </row>
    <row r="313" spans="1:11">
      <c r="A313" s="713"/>
      <c r="B313" s="719"/>
      <c r="C313" s="734" t="s">
        <v>946</v>
      </c>
      <c r="D313" s="735" t="s">
        <v>2349</v>
      </c>
      <c r="E313" s="734" t="s">
        <v>593</v>
      </c>
      <c r="F313" s="727">
        <v>0</v>
      </c>
      <c r="G313" s="736" t="s">
        <v>1363</v>
      </c>
      <c r="H313" s="737" t="s">
        <v>599</v>
      </c>
      <c r="I313" s="737">
        <v>1</v>
      </c>
      <c r="J313" s="719"/>
      <c r="K313" s="713"/>
    </row>
    <row r="314" spans="1:11">
      <c r="A314" s="713"/>
      <c r="B314" s="719"/>
      <c r="C314" s="725" t="s">
        <v>1729</v>
      </c>
      <c r="D314" s="726" t="s">
        <v>1730</v>
      </c>
      <c r="E314" s="725" t="s">
        <v>103</v>
      </c>
      <c r="F314" s="727">
        <v>0</v>
      </c>
      <c r="G314" s="728"/>
      <c r="H314" s="729" t="s">
        <v>551</v>
      </c>
      <c r="I314" s="729">
        <v>1</v>
      </c>
      <c r="J314" s="719"/>
      <c r="K314" s="713"/>
    </row>
    <row r="315" spans="1:11">
      <c r="A315" s="713"/>
      <c r="B315" s="719"/>
      <c r="C315" s="725" t="s">
        <v>1731</v>
      </c>
      <c r="D315" s="726" t="s">
        <v>2350</v>
      </c>
      <c r="E315" s="725" t="s">
        <v>103</v>
      </c>
      <c r="F315" s="727">
        <v>0</v>
      </c>
      <c r="G315" s="728"/>
      <c r="H315" s="729" t="s">
        <v>551</v>
      </c>
      <c r="I315" s="729">
        <v>1</v>
      </c>
      <c r="J315" s="719"/>
      <c r="K315" s="713"/>
    </row>
    <row r="316" spans="1:11">
      <c r="A316" s="713"/>
      <c r="B316" s="719"/>
      <c r="C316" s="725" t="s">
        <v>1732</v>
      </c>
      <c r="D316" s="726" t="s">
        <v>814</v>
      </c>
      <c r="E316" s="725" t="s">
        <v>607</v>
      </c>
      <c r="F316" s="727">
        <v>0</v>
      </c>
      <c r="G316" s="728"/>
      <c r="H316" s="729" t="s">
        <v>736</v>
      </c>
      <c r="I316" s="739" t="s">
        <v>350</v>
      </c>
      <c r="J316" s="719"/>
      <c r="K316" s="713"/>
    </row>
    <row r="317" spans="1:11" ht="22.45">
      <c r="A317" s="713"/>
      <c r="B317" s="719"/>
      <c r="C317" s="725" t="s">
        <v>1733</v>
      </c>
      <c r="D317" s="726" t="s">
        <v>5793</v>
      </c>
      <c r="E317" s="725" t="s">
        <v>759</v>
      </c>
      <c r="F317" s="727">
        <v>0</v>
      </c>
      <c r="G317" s="728"/>
      <c r="H317" s="729" t="s">
        <v>551</v>
      </c>
      <c r="I317" s="729">
        <v>17</v>
      </c>
      <c r="J317" s="719"/>
      <c r="K317" s="713"/>
    </row>
    <row r="318" spans="1:11">
      <c r="A318" s="713"/>
      <c r="B318" s="719"/>
      <c r="C318" s="725" t="s">
        <v>1735</v>
      </c>
      <c r="D318" s="726" t="s">
        <v>78</v>
      </c>
      <c r="E318" s="725" t="s">
        <v>559</v>
      </c>
      <c r="F318" s="727">
        <v>0</v>
      </c>
      <c r="G318" s="728"/>
      <c r="H318" s="729" t="s">
        <v>575</v>
      </c>
      <c r="I318" s="729">
        <v>17</v>
      </c>
      <c r="J318" s="719"/>
      <c r="K318" s="713"/>
    </row>
    <row r="319" spans="1:11">
      <c r="A319" s="713"/>
      <c r="B319" s="719"/>
      <c r="C319" s="725" t="s">
        <v>1736</v>
      </c>
      <c r="D319" s="726" t="s">
        <v>817</v>
      </c>
      <c r="E319" s="725" t="s">
        <v>559</v>
      </c>
      <c r="F319" s="727">
        <v>0</v>
      </c>
      <c r="G319" s="728"/>
      <c r="H319" s="729" t="s">
        <v>551</v>
      </c>
      <c r="I319" s="729">
        <v>15</v>
      </c>
      <c r="J319" s="719"/>
      <c r="K319" s="713"/>
    </row>
    <row r="320" spans="1:11" ht="42.15">
      <c r="A320" s="713"/>
      <c r="B320" s="719"/>
      <c r="C320" s="725" t="s">
        <v>1737</v>
      </c>
      <c r="D320" s="726" t="s">
        <v>818</v>
      </c>
      <c r="E320" s="725" t="s">
        <v>562</v>
      </c>
      <c r="F320" s="727">
        <v>0</v>
      </c>
      <c r="G320" s="728"/>
      <c r="H320" s="729" t="s">
        <v>551</v>
      </c>
      <c r="I320" s="729">
        <v>10</v>
      </c>
      <c r="J320" s="719"/>
      <c r="K320" s="713"/>
    </row>
    <row r="321" spans="1:11">
      <c r="A321" s="713"/>
      <c r="B321" s="719"/>
      <c r="C321" s="725" t="s">
        <v>2351</v>
      </c>
      <c r="D321" s="726" t="s">
        <v>2352</v>
      </c>
      <c r="E321" s="725" t="s">
        <v>88</v>
      </c>
      <c r="F321" s="727">
        <v>0</v>
      </c>
      <c r="G321" s="728"/>
      <c r="H321" s="729" t="s">
        <v>551</v>
      </c>
      <c r="I321" s="729">
        <v>1</v>
      </c>
      <c r="J321" s="719"/>
      <c r="K321" s="713"/>
    </row>
    <row r="322" spans="1:11">
      <c r="A322" s="713"/>
      <c r="B322" s="719"/>
      <c r="C322" s="725" t="s">
        <v>688</v>
      </c>
      <c r="D322" s="726" t="s">
        <v>1738</v>
      </c>
      <c r="E322" s="725" t="s">
        <v>103</v>
      </c>
      <c r="F322" s="727">
        <v>0</v>
      </c>
      <c r="G322" s="728"/>
      <c r="H322" s="729" t="s">
        <v>551</v>
      </c>
      <c r="I322" s="729">
        <v>7</v>
      </c>
      <c r="J322" s="719"/>
      <c r="K322" s="713"/>
    </row>
    <row r="323" spans="1:11" ht="42.15">
      <c r="A323" s="713"/>
      <c r="B323" s="719"/>
      <c r="C323" s="725" t="s">
        <v>1739</v>
      </c>
      <c r="D323" s="726" t="s">
        <v>365</v>
      </c>
      <c r="E323" s="725" t="s">
        <v>602</v>
      </c>
      <c r="F323" s="727">
        <v>0</v>
      </c>
      <c r="G323" s="728"/>
      <c r="H323" s="729" t="s">
        <v>551</v>
      </c>
      <c r="I323" s="729">
        <v>5</v>
      </c>
      <c r="J323" s="719"/>
      <c r="K323" s="713"/>
    </row>
    <row r="324" spans="1:11" ht="42.15">
      <c r="A324" s="713"/>
      <c r="B324" s="719"/>
      <c r="C324" s="725" t="s">
        <v>1740</v>
      </c>
      <c r="D324" s="726" t="s">
        <v>820</v>
      </c>
      <c r="E324" s="725" t="s">
        <v>602</v>
      </c>
      <c r="F324" s="727">
        <v>0</v>
      </c>
      <c r="G324" s="728"/>
      <c r="H324" s="729" t="s">
        <v>551</v>
      </c>
      <c r="I324" s="729">
        <v>5</v>
      </c>
      <c r="J324" s="719"/>
      <c r="K324" s="713"/>
    </row>
    <row r="325" spans="1:11">
      <c r="A325" s="713"/>
      <c r="B325" s="719"/>
      <c r="C325" s="725" t="s">
        <v>1741</v>
      </c>
      <c r="D325" s="726" t="s">
        <v>821</v>
      </c>
      <c r="E325" s="725" t="s">
        <v>103</v>
      </c>
      <c r="F325" s="727">
        <v>0</v>
      </c>
      <c r="G325" s="728"/>
      <c r="H325" s="729" t="s">
        <v>551</v>
      </c>
      <c r="I325" s="729">
        <v>17</v>
      </c>
      <c r="J325" s="719"/>
      <c r="K325" s="713"/>
    </row>
    <row r="326" spans="1:11">
      <c r="A326" s="713"/>
      <c r="B326" s="719"/>
      <c r="C326" s="725" t="s">
        <v>1742</v>
      </c>
      <c r="D326" s="726" t="s">
        <v>822</v>
      </c>
      <c r="E326" s="725" t="s">
        <v>607</v>
      </c>
      <c r="F326" s="727">
        <v>0</v>
      </c>
      <c r="G326" s="728"/>
      <c r="H326" s="729" t="s">
        <v>608</v>
      </c>
      <c r="I326" s="739" t="s">
        <v>350</v>
      </c>
      <c r="J326" s="745"/>
      <c r="K326" s="713"/>
    </row>
    <row r="327" spans="1:11">
      <c r="A327" s="713"/>
      <c r="B327" s="719"/>
      <c r="C327" s="725" t="s">
        <v>1743</v>
      </c>
      <c r="D327" s="726" t="s">
        <v>1744</v>
      </c>
      <c r="E327" s="725" t="s">
        <v>553</v>
      </c>
      <c r="F327" s="727">
        <v>0</v>
      </c>
      <c r="G327" s="728"/>
      <c r="H327" s="729" t="s">
        <v>1447</v>
      </c>
      <c r="I327" s="729">
        <v>1</v>
      </c>
      <c r="J327" s="719"/>
      <c r="K327" s="713"/>
    </row>
    <row r="328" spans="1:11" ht="42.15">
      <c r="A328" s="713"/>
      <c r="B328" s="719"/>
      <c r="C328" s="725" t="s">
        <v>1745</v>
      </c>
      <c r="D328" s="732" t="s">
        <v>1746</v>
      </c>
      <c r="E328" s="725" t="s">
        <v>602</v>
      </c>
      <c r="F328" s="727">
        <v>0</v>
      </c>
      <c r="G328" s="728"/>
      <c r="H328" s="729" t="s">
        <v>551</v>
      </c>
      <c r="I328" s="739" t="s">
        <v>1747</v>
      </c>
      <c r="J328" s="719"/>
      <c r="K328" s="713"/>
    </row>
    <row r="329" spans="1:11">
      <c r="A329" s="713"/>
      <c r="B329" s="719"/>
      <c r="C329" s="725" t="s">
        <v>1748</v>
      </c>
      <c r="D329" s="726" t="s">
        <v>823</v>
      </c>
      <c r="E329" s="725" t="s">
        <v>607</v>
      </c>
      <c r="F329" s="727">
        <v>0</v>
      </c>
      <c r="G329" s="728"/>
      <c r="H329" s="729" t="s">
        <v>608</v>
      </c>
      <c r="I329" s="739" t="s">
        <v>824</v>
      </c>
      <c r="J329" s="719"/>
      <c r="K329" s="713"/>
    </row>
    <row r="330" spans="1:11" ht="42.15">
      <c r="A330" s="713"/>
      <c r="B330" s="719"/>
      <c r="C330" s="734" t="s">
        <v>1749</v>
      </c>
      <c r="D330" s="734" t="s">
        <v>1750</v>
      </c>
      <c r="E330" s="734" t="s">
        <v>553</v>
      </c>
      <c r="F330" s="727">
        <v>0</v>
      </c>
      <c r="G330" s="736" t="s">
        <v>1363</v>
      </c>
      <c r="H330" s="736" t="s">
        <v>1751</v>
      </c>
      <c r="I330" s="746" t="s">
        <v>581</v>
      </c>
      <c r="J330" s="719"/>
      <c r="K330" s="713"/>
    </row>
    <row r="331" spans="1:11">
      <c r="A331" s="713"/>
      <c r="B331" s="719"/>
      <c r="C331" s="725" t="s">
        <v>71</v>
      </c>
      <c r="D331" s="726" t="s">
        <v>71</v>
      </c>
      <c r="E331" s="725" t="s">
        <v>559</v>
      </c>
      <c r="F331" s="727">
        <v>0</v>
      </c>
      <c r="G331" s="728"/>
      <c r="H331" s="729" t="s">
        <v>551</v>
      </c>
      <c r="I331" s="729">
        <v>1</v>
      </c>
      <c r="J331" s="719"/>
      <c r="K331" s="713"/>
    </row>
    <row r="332" spans="1:11" ht="42.15">
      <c r="A332" s="713"/>
      <c r="B332" s="719"/>
      <c r="D332" s="735" t="s">
        <v>2353</v>
      </c>
      <c r="E332" s="735" t="s">
        <v>553</v>
      </c>
      <c r="F332" s="727">
        <v>0</v>
      </c>
      <c r="G332" s="737" t="s">
        <v>1363</v>
      </c>
      <c r="H332" s="737" t="s">
        <v>604</v>
      </c>
      <c r="I332" s="737">
        <v>8</v>
      </c>
      <c r="J332" s="719"/>
      <c r="K332" s="713"/>
    </row>
    <row r="333" spans="1:11">
      <c r="A333" s="713"/>
      <c r="B333" s="719"/>
      <c r="C333" s="725" t="s">
        <v>1752</v>
      </c>
      <c r="D333" s="726" t="s">
        <v>184</v>
      </c>
      <c r="E333" s="725" t="s">
        <v>88</v>
      </c>
      <c r="F333" s="727">
        <v>0</v>
      </c>
      <c r="G333" s="728"/>
      <c r="H333" s="729" t="s">
        <v>551</v>
      </c>
      <c r="I333" s="729">
        <v>17</v>
      </c>
      <c r="J333" s="719"/>
      <c r="K333" s="713"/>
    </row>
    <row r="334" spans="1:11" ht="43.5">
      <c r="A334" s="713"/>
      <c r="B334" s="719"/>
      <c r="C334" s="734" t="s">
        <v>1753</v>
      </c>
      <c r="D334" s="735" t="s">
        <v>5794</v>
      </c>
      <c r="E334" s="734" t="s">
        <v>602</v>
      </c>
      <c r="F334" s="727">
        <v>0</v>
      </c>
      <c r="G334" s="736" t="s">
        <v>1363</v>
      </c>
      <c r="H334" s="737" t="s">
        <v>554</v>
      </c>
      <c r="I334" s="736">
        <v>5</v>
      </c>
      <c r="J334" s="719"/>
      <c r="K334" s="713"/>
    </row>
    <row r="335" spans="1:11">
      <c r="A335" s="713"/>
      <c r="B335" s="719"/>
      <c r="C335" s="725" t="s">
        <v>1755</v>
      </c>
      <c r="D335" s="726" t="s">
        <v>826</v>
      </c>
      <c r="E335" s="725" t="s">
        <v>586</v>
      </c>
      <c r="F335" s="727">
        <v>0</v>
      </c>
      <c r="G335" s="728"/>
      <c r="H335" s="739" t="s">
        <v>548</v>
      </c>
      <c r="I335" s="739" t="s">
        <v>548</v>
      </c>
      <c r="J335" s="719"/>
      <c r="K335" s="713"/>
    </row>
    <row r="336" spans="1:11" ht="42.15">
      <c r="A336" s="713"/>
      <c r="B336" s="719"/>
      <c r="C336" s="734" t="s">
        <v>1756</v>
      </c>
      <c r="D336" s="735" t="s">
        <v>827</v>
      </c>
      <c r="E336" s="734" t="s">
        <v>602</v>
      </c>
      <c r="F336" s="727">
        <v>0</v>
      </c>
      <c r="G336" s="736" t="s">
        <v>1363</v>
      </c>
      <c r="H336" s="737" t="s">
        <v>642</v>
      </c>
      <c r="I336" s="737">
        <v>2</v>
      </c>
      <c r="J336" s="719"/>
      <c r="K336" s="713"/>
    </row>
    <row r="337" spans="1:11">
      <c r="A337" s="713"/>
      <c r="B337" s="719"/>
      <c r="C337" s="725" t="s">
        <v>1757</v>
      </c>
      <c r="D337" s="726" t="s">
        <v>828</v>
      </c>
      <c r="E337" s="725" t="s">
        <v>88</v>
      </c>
      <c r="F337" s="727">
        <v>0</v>
      </c>
      <c r="G337" s="728"/>
      <c r="H337" s="729" t="s">
        <v>690</v>
      </c>
      <c r="I337" s="729">
        <v>5</v>
      </c>
      <c r="J337" s="719"/>
      <c r="K337" s="713"/>
    </row>
    <row r="338" spans="1:11" ht="42.15">
      <c r="A338" s="713"/>
      <c r="B338" s="719"/>
      <c r="C338" s="725" t="s">
        <v>1758</v>
      </c>
      <c r="D338" s="726" t="s">
        <v>5795</v>
      </c>
      <c r="E338" s="725" t="s">
        <v>602</v>
      </c>
      <c r="F338" s="727">
        <v>0</v>
      </c>
      <c r="G338" s="728"/>
      <c r="H338" s="729" t="s">
        <v>642</v>
      </c>
      <c r="I338" s="739" t="s">
        <v>587</v>
      </c>
      <c r="J338" s="719"/>
      <c r="K338" s="713"/>
    </row>
    <row r="339" spans="1:11">
      <c r="A339" s="713"/>
      <c r="B339" s="719"/>
      <c r="C339" s="734" t="s">
        <v>1760</v>
      </c>
      <c r="D339" s="735" t="s">
        <v>830</v>
      </c>
      <c r="E339" s="734" t="s">
        <v>550</v>
      </c>
      <c r="F339" s="727">
        <v>0</v>
      </c>
      <c r="G339" s="736" t="s">
        <v>1363</v>
      </c>
      <c r="H339" s="737" t="s">
        <v>690</v>
      </c>
      <c r="I339" s="737">
        <v>2</v>
      </c>
      <c r="J339" s="719"/>
      <c r="K339" s="713"/>
    </row>
    <row r="340" spans="1:11">
      <c r="A340" s="713"/>
      <c r="B340" s="719"/>
      <c r="C340" s="725" t="s">
        <v>1761</v>
      </c>
      <c r="D340" s="726" t="s">
        <v>831</v>
      </c>
      <c r="E340" s="725" t="s">
        <v>103</v>
      </c>
      <c r="F340" s="727">
        <v>0</v>
      </c>
      <c r="G340" s="728"/>
      <c r="H340" s="738" t="s">
        <v>690</v>
      </c>
      <c r="I340" s="739">
        <v>7</v>
      </c>
      <c r="J340" s="719"/>
      <c r="K340" s="713"/>
    </row>
    <row r="341" spans="1:11" ht="22.45">
      <c r="A341" s="713"/>
      <c r="B341" s="719"/>
      <c r="C341" s="734" t="s">
        <v>1762</v>
      </c>
      <c r="D341" s="735" t="s">
        <v>5796</v>
      </c>
      <c r="E341" s="734" t="s">
        <v>169</v>
      </c>
      <c r="F341" s="727">
        <v>0</v>
      </c>
      <c r="G341" s="736" t="s">
        <v>1363</v>
      </c>
      <c r="H341" s="737" t="s">
        <v>690</v>
      </c>
      <c r="I341" s="737">
        <v>30</v>
      </c>
      <c r="J341" s="719"/>
      <c r="K341" s="713"/>
    </row>
    <row r="342" spans="1:11" ht="42.15">
      <c r="A342" s="713"/>
      <c r="B342" s="719"/>
      <c r="C342" s="725" t="s">
        <v>1764</v>
      </c>
      <c r="D342" s="726" t="s">
        <v>832</v>
      </c>
      <c r="E342" s="725" t="s">
        <v>602</v>
      </c>
      <c r="F342" s="727">
        <v>0</v>
      </c>
      <c r="G342" s="728"/>
      <c r="H342" s="729" t="s">
        <v>642</v>
      </c>
      <c r="I342" s="739" t="s">
        <v>587</v>
      </c>
      <c r="J342" s="719"/>
      <c r="K342" s="713"/>
    </row>
    <row r="343" spans="1:11" ht="42.15">
      <c r="A343" s="713"/>
      <c r="B343" s="719"/>
      <c r="C343" s="725" t="s">
        <v>1765</v>
      </c>
      <c r="D343" s="726" t="s">
        <v>833</v>
      </c>
      <c r="E343" s="725" t="s">
        <v>602</v>
      </c>
      <c r="F343" s="727">
        <v>0</v>
      </c>
      <c r="G343" s="728"/>
      <c r="H343" s="729" t="s">
        <v>642</v>
      </c>
      <c r="I343" s="729">
        <v>2</v>
      </c>
      <c r="J343" s="719"/>
      <c r="K343" s="713"/>
    </row>
    <row r="344" spans="1:11">
      <c r="A344" s="713"/>
      <c r="B344" s="719"/>
      <c r="C344" s="725" t="s">
        <v>1766</v>
      </c>
      <c r="D344" s="726" t="s">
        <v>1767</v>
      </c>
      <c r="E344" s="725" t="s">
        <v>169</v>
      </c>
      <c r="F344" s="727">
        <v>0</v>
      </c>
      <c r="G344" s="728"/>
      <c r="H344" s="729" t="s">
        <v>690</v>
      </c>
      <c r="I344" s="729">
        <v>17</v>
      </c>
      <c r="J344" s="719"/>
      <c r="K344" s="713"/>
    </row>
    <row r="345" spans="1:11" ht="42.15">
      <c r="A345" s="713"/>
      <c r="B345" s="719"/>
      <c r="C345" s="725" t="s">
        <v>1768</v>
      </c>
      <c r="D345" s="726" t="s">
        <v>834</v>
      </c>
      <c r="E345" s="725" t="s">
        <v>607</v>
      </c>
      <c r="F345" s="727">
        <v>0</v>
      </c>
      <c r="G345" s="728"/>
      <c r="H345" s="729" t="s">
        <v>642</v>
      </c>
      <c r="I345" s="739" t="s">
        <v>350</v>
      </c>
      <c r="J345" s="719"/>
      <c r="K345" s="713"/>
    </row>
    <row r="346" spans="1:11" ht="42.15">
      <c r="A346" s="713"/>
      <c r="B346" s="719"/>
      <c r="C346" s="725" t="s">
        <v>1769</v>
      </c>
      <c r="D346" s="725" t="s">
        <v>203</v>
      </c>
      <c r="E346" s="725" t="s">
        <v>562</v>
      </c>
      <c r="F346" s="727">
        <v>0</v>
      </c>
      <c r="G346" s="728"/>
      <c r="H346" s="729" t="s">
        <v>551</v>
      </c>
      <c r="I346" s="729">
        <v>14</v>
      </c>
      <c r="J346" s="719"/>
      <c r="K346" s="713"/>
    </row>
    <row r="347" spans="1:11" ht="42.15">
      <c r="A347" s="713"/>
      <c r="B347" s="719"/>
      <c r="C347" s="725" t="s">
        <v>1770</v>
      </c>
      <c r="D347" s="726" t="s">
        <v>835</v>
      </c>
      <c r="E347" s="725" t="s">
        <v>602</v>
      </c>
      <c r="F347" s="727">
        <v>0</v>
      </c>
      <c r="G347" s="728"/>
      <c r="H347" s="729" t="s">
        <v>551</v>
      </c>
      <c r="I347" s="729">
        <v>5</v>
      </c>
      <c r="J347" s="719"/>
      <c r="K347" s="713"/>
    </row>
    <row r="348" spans="1:11">
      <c r="A348" s="713"/>
      <c r="B348" s="719"/>
      <c r="C348" s="734" t="s">
        <v>1771</v>
      </c>
      <c r="D348" s="735" t="s">
        <v>296</v>
      </c>
      <c r="E348" s="734" t="s">
        <v>550</v>
      </c>
      <c r="F348" s="727">
        <v>0</v>
      </c>
      <c r="G348" s="736" t="s">
        <v>1363</v>
      </c>
      <c r="H348" s="737" t="s">
        <v>551</v>
      </c>
      <c r="I348" s="737">
        <v>15</v>
      </c>
      <c r="J348" s="719"/>
      <c r="K348" s="713"/>
    </row>
    <row r="349" spans="1:11" ht="63.2">
      <c r="A349" s="713"/>
      <c r="B349" s="719"/>
      <c r="C349" s="725" t="s">
        <v>1772</v>
      </c>
      <c r="D349" s="726" t="s">
        <v>236</v>
      </c>
      <c r="E349" s="725" t="s">
        <v>88</v>
      </c>
      <c r="F349" s="727">
        <v>0</v>
      </c>
      <c r="G349" s="728"/>
      <c r="H349" s="729" t="s">
        <v>551</v>
      </c>
      <c r="I349" s="729">
        <v>5</v>
      </c>
      <c r="J349" s="719"/>
      <c r="K349" s="713"/>
    </row>
    <row r="350" spans="1:11">
      <c r="A350" s="713"/>
      <c r="B350" s="719"/>
      <c r="C350" s="725" t="s">
        <v>1773</v>
      </c>
      <c r="D350" s="726" t="s">
        <v>836</v>
      </c>
      <c r="E350" s="725" t="s">
        <v>88</v>
      </c>
      <c r="F350" s="727">
        <v>0</v>
      </c>
      <c r="G350" s="728"/>
      <c r="H350" s="729" t="s">
        <v>551</v>
      </c>
      <c r="I350" s="739" t="s">
        <v>664</v>
      </c>
      <c r="J350" s="719"/>
      <c r="K350" s="713"/>
    </row>
    <row r="351" spans="1:11" ht="42.15">
      <c r="A351" s="713"/>
      <c r="B351" s="719"/>
      <c r="C351" s="734" t="s">
        <v>1775</v>
      </c>
      <c r="D351" s="734" t="s">
        <v>1776</v>
      </c>
      <c r="E351" s="734" t="s">
        <v>567</v>
      </c>
      <c r="F351" s="727">
        <v>0</v>
      </c>
      <c r="G351" s="736" t="s">
        <v>1363</v>
      </c>
      <c r="H351" s="736" t="s">
        <v>551</v>
      </c>
      <c r="I351" s="736">
        <v>3</v>
      </c>
      <c r="J351" s="719"/>
      <c r="K351" s="713"/>
    </row>
    <row r="352" spans="1:11" ht="63.2">
      <c r="A352" s="713"/>
      <c r="B352" s="719"/>
      <c r="C352" s="734" t="s">
        <v>1777</v>
      </c>
      <c r="D352" s="734" t="s">
        <v>5797</v>
      </c>
      <c r="E352" s="734" t="s">
        <v>567</v>
      </c>
      <c r="F352" s="727">
        <v>0</v>
      </c>
      <c r="G352" s="736" t="s">
        <v>1363</v>
      </c>
      <c r="H352" s="737" t="s">
        <v>551</v>
      </c>
      <c r="I352" s="746" t="s">
        <v>407</v>
      </c>
      <c r="J352" s="719"/>
      <c r="K352" s="713"/>
    </row>
    <row r="353" spans="1:11" ht="22.45">
      <c r="A353" s="713"/>
      <c r="B353" s="719"/>
      <c r="C353" s="734" t="s">
        <v>1779</v>
      </c>
      <c r="D353" s="735" t="s">
        <v>5798</v>
      </c>
      <c r="E353" s="734" t="s">
        <v>88</v>
      </c>
      <c r="F353" s="727">
        <v>0</v>
      </c>
      <c r="G353" s="736" t="s">
        <v>1363</v>
      </c>
      <c r="H353" s="737" t="s">
        <v>627</v>
      </c>
      <c r="I353" s="737">
        <v>7</v>
      </c>
      <c r="J353" s="719"/>
      <c r="K353" s="713"/>
    </row>
    <row r="354" spans="1:11" ht="42.15">
      <c r="A354" s="713"/>
      <c r="B354" s="719"/>
      <c r="C354" s="734" t="s">
        <v>1780</v>
      </c>
      <c r="D354" s="735" t="s">
        <v>5799</v>
      </c>
      <c r="E354" s="734" t="s">
        <v>567</v>
      </c>
      <c r="F354" s="727">
        <v>0</v>
      </c>
      <c r="G354" s="736" t="s">
        <v>1363</v>
      </c>
      <c r="H354" s="737" t="s">
        <v>551</v>
      </c>
      <c r="I354" s="737">
        <v>5</v>
      </c>
      <c r="J354" s="719"/>
      <c r="K354" s="713"/>
    </row>
    <row r="355" spans="1:11">
      <c r="A355" s="713"/>
      <c r="B355" s="719"/>
      <c r="C355" s="734" t="s">
        <v>1782</v>
      </c>
      <c r="D355" s="735" t="s">
        <v>2355</v>
      </c>
      <c r="E355" s="734" t="s">
        <v>550</v>
      </c>
      <c r="F355" s="727">
        <v>0</v>
      </c>
      <c r="G355" s="736" t="s">
        <v>1363</v>
      </c>
      <c r="H355" s="737" t="s">
        <v>476</v>
      </c>
      <c r="I355" s="737">
        <v>1</v>
      </c>
      <c r="J355" s="719"/>
      <c r="K355" s="713"/>
    </row>
    <row r="356" spans="1:11">
      <c r="A356" s="713"/>
      <c r="B356" s="719"/>
      <c r="C356" s="725" t="s">
        <v>1783</v>
      </c>
      <c r="D356" s="726" t="s">
        <v>1784</v>
      </c>
      <c r="E356" s="725" t="s">
        <v>559</v>
      </c>
      <c r="F356" s="727">
        <v>0</v>
      </c>
      <c r="G356" s="728"/>
      <c r="H356" s="729" t="s">
        <v>551</v>
      </c>
      <c r="I356" s="729">
        <v>1</v>
      </c>
      <c r="J356" s="719"/>
      <c r="K356" s="713"/>
    </row>
    <row r="357" spans="1:11" ht="22.45">
      <c r="A357" s="713"/>
      <c r="B357" s="719"/>
      <c r="C357" s="725" t="s">
        <v>1785</v>
      </c>
      <c r="D357" s="726" t="s">
        <v>5800</v>
      </c>
      <c r="E357" s="725" t="s">
        <v>88</v>
      </c>
      <c r="F357" s="727">
        <v>0</v>
      </c>
      <c r="G357" s="728"/>
      <c r="H357" s="729" t="s">
        <v>627</v>
      </c>
      <c r="I357" s="729">
        <v>5</v>
      </c>
      <c r="J357" s="719"/>
      <c r="K357" s="713"/>
    </row>
    <row r="358" spans="1:11">
      <c r="A358" s="713"/>
      <c r="B358" s="719"/>
      <c r="C358" s="734" t="s">
        <v>1787</v>
      </c>
      <c r="D358" s="735" t="s">
        <v>841</v>
      </c>
      <c r="E358" s="734" t="s">
        <v>593</v>
      </c>
      <c r="F358" s="727">
        <v>0</v>
      </c>
      <c r="G358" s="736" t="s">
        <v>1363</v>
      </c>
      <c r="H358" s="737" t="s">
        <v>599</v>
      </c>
      <c r="I358" s="737">
        <v>1</v>
      </c>
      <c r="J358" s="719"/>
      <c r="K358" s="713"/>
    </row>
    <row r="359" spans="1:11" ht="42.15">
      <c r="A359" s="713"/>
      <c r="B359" s="719"/>
      <c r="C359" s="747" t="s">
        <v>1788</v>
      </c>
      <c r="D359" s="726" t="s">
        <v>1789</v>
      </c>
      <c r="E359" s="725" t="s">
        <v>553</v>
      </c>
      <c r="F359" s="727">
        <v>0</v>
      </c>
      <c r="G359" s="728"/>
      <c r="H359" s="729" t="s">
        <v>604</v>
      </c>
      <c r="I359" s="729">
        <v>7</v>
      </c>
      <c r="J359" s="719"/>
      <c r="K359" s="713"/>
    </row>
    <row r="360" spans="1:11">
      <c r="A360" s="713"/>
      <c r="B360" s="719"/>
      <c r="C360" s="725" t="s">
        <v>1790</v>
      </c>
      <c r="D360" s="726" t="s">
        <v>1791</v>
      </c>
      <c r="E360" s="725" t="s">
        <v>103</v>
      </c>
      <c r="F360" s="727">
        <v>0</v>
      </c>
      <c r="G360" s="728"/>
      <c r="H360" s="729" t="s">
        <v>551</v>
      </c>
      <c r="I360" s="729">
        <v>5</v>
      </c>
      <c r="J360" s="719"/>
      <c r="K360" s="713"/>
    </row>
    <row r="361" spans="1:11">
      <c r="A361" s="713"/>
      <c r="B361" s="719"/>
      <c r="C361" s="725" t="s">
        <v>1792</v>
      </c>
      <c r="D361" s="726" t="s">
        <v>2356</v>
      </c>
      <c r="E361" s="725" t="s">
        <v>559</v>
      </c>
      <c r="F361" s="727">
        <v>0</v>
      </c>
      <c r="G361" s="728"/>
      <c r="H361" s="729" t="s">
        <v>551</v>
      </c>
      <c r="I361" s="729">
        <v>1</v>
      </c>
      <c r="J361" s="719"/>
      <c r="K361" s="713"/>
    </row>
    <row r="362" spans="1:11" ht="22.45">
      <c r="A362" s="713"/>
      <c r="B362" s="719"/>
      <c r="C362" s="725" t="s">
        <v>1793</v>
      </c>
      <c r="D362" s="726" t="s">
        <v>5801</v>
      </c>
      <c r="E362" s="725" t="s">
        <v>759</v>
      </c>
      <c r="F362" s="727">
        <v>0</v>
      </c>
      <c r="G362" s="728"/>
      <c r="H362" s="729" t="s">
        <v>750</v>
      </c>
      <c r="I362" s="729">
        <v>10</v>
      </c>
      <c r="J362" s="719"/>
      <c r="K362" s="713"/>
    </row>
    <row r="363" spans="1:11">
      <c r="A363" s="713"/>
      <c r="B363" s="719"/>
      <c r="C363" s="725" t="s">
        <v>1795</v>
      </c>
      <c r="D363" s="726" t="s">
        <v>1796</v>
      </c>
      <c r="E363" s="725" t="s">
        <v>88</v>
      </c>
      <c r="F363" s="727">
        <v>0</v>
      </c>
      <c r="G363" s="728"/>
      <c r="H363" s="729" t="s">
        <v>551</v>
      </c>
      <c r="I363" s="729">
        <v>17</v>
      </c>
      <c r="J363" s="719"/>
      <c r="K363" s="713"/>
    </row>
    <row r="364" spans="1:11" ht="42.15">
      <c r="A364" s="713" t="s">
        <v>5737</v>
      </c>
      <c r="B364" s="719"/>
      <c r="C364" s="725" t="s">
        <v>5802</v>
      </c>
      <c r="D364" s="726" t="s">
        <v>5803</v>
      </c>
      <c r="E364" s="725" t="s">
        <v>699</v>
      </c>
      <c r="F364" s="727">
        <v>0</v>
      </c>
      <c r="G364" s="728"/>
      <c r="H364" s="729" t="s">
        <v>551</v>
      </c>
      <c r="I364" s="739" t="s">
        <v>406</v>
      </c>
      <c r="J364" s="719"/>
      <c r="K364" s="713"/>
    </row>
    <row r="365" spans="1:11" ht="42.15">
      <c r="A365" s="713"/>
      <c r="B365" s="719"/>
      <c r="C365" s="725" t="s">
        <v>1797</v>
      </c>
      <c r="D365" s="726" t="s">
        <v>5804</v>
      </c>
      <c r="E365" s="725" t="s">
        <v>699</v>
      </c>
      <c r="F365" s="727">
        <v>0</v>
      </c>
      <c r="G365" s="728"/>
      <c r="H365" s="729" t="s">
        <v>551</v>
      </c>
      <c r="I365" s="729">
        <v>7</v>
      </c>
      <c r="J365" s="719"/>
      <c r="K365" s="713"/>
    </row>
    <row r="366" spans="1:11">
      <c r="A366" s="713"/>
      <c r="B366" s="719"/>
      <c r="C366" s="725" t="s">
        <v>1799</v>
      </c>
      <c r="D366" s="726" t="s">
        <v>844</v>
      </c>
      <c r="E366" s="725" t="s">
        <v>607</v>
      </c>
      <c r="F366" s="727">
        <v>0</v>
      </c>
      <c r="G366" s="728"/>
      <c r="H366" s="729" t="s">
        <v>608</v>
      </c>
      <c r="I366" s="739" t="s">
        <v>350</v>
      </c>
      <c r="J366" s="719"/>
      <c r="K366" s="713"/>
    </row>
    <row r="367" spans="1:11">
      <c r="A367" s="713"/>
      <c r="B367" s="719"/>
      <c r="C367" s="725" t="s">
        <v>1800</v>
      </c>
      <c r="D367" s="726" t="s">
        <v>1801</v>
      </c>
      <c r="E367" s="725" t="s">
        <v>559</v>
      </c>
      <c r="F367" s="727">
        <v>0</v>
      </c>
      <c r="G367" s="728"/>
      <c r="H367" s="729" t="s">
        <v>551</v>
      </c>
      <c r="I367" s="729">
        <v>1</v>
      </c>
      <c r="J367" s="719"/>
      <c r="K367" s="713"/>
    </row>
    <row r="368" spans="1:11">
      <c r="A368" s="713"/>
      <c r="B368" s="719"/>
      <c r="C368" s="725" t="s">
        <v>1802</v>
      </c>
      <c r="D368" s="726" t="s">
        <v>846</v>
      </c>
      <c r="E368" s="725" t="s">
        <v>559</v>
      </c>
      <c r="F368" s="727">
        <v>0</v>
      </c>
      <c r="G368" s="728"/>
      <c r="H368" s="729" t="s">
        <v>551</v>
      </c>
      <c r="I368" s="729">
        <v>1</v>
      </c>
      <c r="J368" s="719"/>
      <c r="K368" s="713"/>
    </row>
    <row r="369" spans="1:11" ht="42.15">
      <c r="A369" s="713"/>
      <c r="B369" s="719"/>
      <c r="C369" s="725" t="s">
        <v>1803</v>
      </c>
      <c r="D369" s="726" t="s">
        <v>5805</v>
      </c>
      <c r="E369" s="725" t="s">
        <v>562</v>
      </c>
      <c r="F369" s="727">
        <v>0</v>
      </c>
      <c r="G369" s="728"/>
      <c r="H369" s="729" t="s">
        <v>848</v>
      </c>
      <c r="I369" s="729">
        <v>17</v>
      </c>
      <c r="J369" s="719"/>
      <c r="K369" s="713"/>
    </row>
    <row r="370" spans="1:11" ht="42.15">
      <c r="A370" s="713"/>
      <c r="B370" s="719"/>
      <c r="C370" s="725" t="s">
        <v>1805</v>
      </c>
      <c r="D370" s="726" t="s">
        <v>849</v>
      </c>
      <c r="E370" s="725" t="s">
        <v>602</v>
      </c>
      <c r="F370" s="727">
        <v>0</v>
      </c>
      <c r="G370" s="728"/>
      <c r="H370" s="729" t="s">
        <v>551</v>
      </c>
      <c r="I370" s="729">
        <v>3</v>
      </c>
      <c r="J370" s="719"/>
      <c r="K370" s="713"/>
    </row>
    <row r="371" spans="1:11" ht="42.15">
      <c r="A371" s="713"/>
      <c r="B371" s="719"/>
      <c r="C371" s="725" t="s">
        <v>1806</v>
      </c>
      <c r="D371" s="726" t="s">
        <v>850</v>
      </c>
      <c r="E371" s="725" t="s">
        <v>103</v>
      </c>
      <c r="F371" s="727">
        <v>0</v>
      </c>
      <c r="G371" s="728"/>
      <c r="H371" s="729" t="s">
        <v>551</v>
      </c>
      <c r="I371" s="729">
        <v>17</v>
      </c>
      <c r="J371" s="719"/>
      <c r="K371" s="713"/>
    </row>
    <row r="372" spans="1:11">
      <c r="A372" s="713"/>
      <c r="B372" s="719"/>
      <c r="C372" s="725" t="s">
        <v>1807</v>
      </c>
      <c r="D372" s="726" t="s">
        <v>30</v>
      </c>
      <c r="E372" s="725" t="s">
        <v>550</v>
      </c>
      <c r="F372" s="727">
        <v>0</v>
      </c>
      <c r="G372" s="728"/>
      <c r="H372" s="729" t="s">
        <v>551</v>
      </c>
      <c r="I372" s="729">
        <v>1</v>
      </c>
      <c r="J372" s="719"/>
      <c r="K372" s="713"/>
    </row>
    <row r="373" spans="1:11">
      <c r="A373" s="713"/>
      <c r="B373" s="719"/>
      <c r="C373" s="725" t="s">
        <v>1808</v>
      </c>
      <c r="D373" s="726" t="s">
        <v>1809</v>
      </c>
      <c r="E373" s="725" t="s">
        <v>550</v>
      </c>
      <c r="F373" s="727">
        <v>0</v>
      </c>
      <c r="G373" s="728"/>
      <c r="H373" s="729" t="s">
        <v>551</v>
      </c>
      <c r="I373" s="729">
        <v>1</v>
      </c>
      <c r="J373" s="719"/>
      <c r="K373" s="713"/>
    </row>
    <row r="374" spans="1:11" ht="42.15">
      <c r="A374" s="713"/>
      <c r="B374" s="719"/>
      <c r="C374" s="734" t="s">
        <v>1810</v>
      </c>
      <c r="D374" s="734" t="s">
        <v>1811</v>
      </c>
      <c r="E374" s="734" t="s">
        <v>602</v>
      </c>
      <c r="F374" s="727">
        <v>0</v>
      </c>
      <c r="G374" s="736" t="s">
        <v>1363</v>
      </c>
      <c r="H374" s="737" t="s">
        <v>554</v>
      </c>
      <c r="I374" s="736">
        <v>5</v>
      </c>
      <c r="J374" s="719"/>
      <c r="K374" s="713"/>
    </row>
    <row r="375" spans="1:11" ht="42.15">
      <c r="A375" s="713"/>
      <c r="B375" s="719"/>
      <c r="C375" s="734" t="s">
        <v>1812</v>
      </c>
      <c r="D375" s="734" t="s">
        <v>216</v>
      </c>
      <c r="E375" s="734" t="s">
        <v>602</v>
      </c>
      <c r="F375" s="727">
        <v>0</v>
      </c>
      <c r="G375" s="736" t="s">
        <v>1363</v>
      </c>
      <c r="H375" s="737" t="s">
        <v>554</v>
      </c>
      <c r="I375" s="736">
        <v>5</v>
      </c>
      <c r="J375" s="719"/>
      <c r="K375" s="713"/>
    </row>
    <row r="376" spans="1:11">
      <c r="A376" s="713"/>
      <c r="B376" s="719"/>
      <c r="C376" s="734" t="s">
        <v>1813</v>
      </c>
      <c r="D376" s="735" t="s">
        <v>505</v>
      </c>
      <c r="E376" s="734" t="s">
        <v>550</v>
      </c>
      <c r="F376" s="727">
        <v>0</v>
      </c>
      <c r="G376" s="736" t="s">
        <v>1363</v>
      </c>
      <c r="H376" s="737" t="s">
        <v>551</v>
      </c>
      <c r="I376" s="737">
        <v>1</v>
      </c>
      <c r="J376" s="719"/>
      <c r="K376" s="713"/>
    </row>
    <row r="377" spans="1:11" ht="42.15">
      <c r="A377" s="713"/>
      <c r="B377" s="719"/>
      <c r="C377" s="725" t="s">
        <v>1814</v>
      </c>
      <c r="D377" s="726" t="s">
        <v>101</v>
      </c>
      <c r="E377" s="725" t="s">
        <v>567</v>
      </c>
      <c r="F377" s="727">
        <v>0</v>
      </c>
      <c r="G377" s="728"/>
      <c r="H377" s="729" t="s">
        <v>551</v>
      </c>
      <c r="I377" s="729">
        <v>17</v>
      </c>
      <c r="J377" s="719"/>
      <c r="K377" s="713"/>
    </row>
    <row r="378" spans="1:11">
      <c r="A378" s="713"/>
      <c r="B378" s="719"/>
      <c r="C378" s="725" t="s">
        <v>1815</v>
      </c>
      <c r="D378" s="726" t="s">
        <v>1816</v>
      </c>
      <c r="E378" s="725" t="s">
        <v>550</v>
      </c>
      <c r="F378" s="727">
        <v>0</v>
      </c>
      <c r="G378" s="728"/>
      <c r="H378" s="729" t="s">
        <v>551</v>
      </c>
      <c r="I378" s="729">
        <v>1</v>
      </c>
      <c r="J378" s="719"/>
      <c r="K378" s="713"/>
    </row>
    <row r="379" spans="1:11">
      <c r="A379" s="713"/>
      <c r="B379" s="719"/>
      <c r="C379" s="725" t="s">
        <v>54</v>
      </c>
      <c r="D379" s="726" t="s">
        <v>54</v>
      </c>
      <c r="E379" s="725" t="s">
        <v>559</v>
      </c>
      <c r="F379" s="727">
        <v>0</v>
      </c>
      <c r="G379" s="728"/>
      <c r="H379" s="729" t="s">
        <v>551</v>
      </c>
      <c r="I379" s="729">
        <v>1</v>
      </c>
      <c r="J379" s="719"/>
      <c r="K379" s="713"/>
    </row>
    <row r="380" spans="1:11">
      <c r="A380" s="713"/>
      <c r="B380" s="719"/>
      <c r="C380" s="725" t="s">
        <v>1817</v>
      </c>
      <c r="D380" s="726" t="s">
        <v>853</v>
      </c>
      <c r="E380" s="725" t="s">
        <v>559</v>
      </c>
      <c r="F380" s="727">
        <v>0</v>
      </c>
      <c r="G380" s="728"/>
      <c r="H380" s="729" t="s">
        <v>551</v>
      </c>
      <c r="I380" s="729">
        <v>3</v>
      </c>
      <c r="J380" s="719"/>
      <c r="K380" s="713"/>
    </row>
    <row r="381" spans="1:11">
      <c r="A381" s="713"/>
      <c r="B381" s="719"/>
      <c r="C381" s="725" t="s">
        <v>1818</v>
      </c>
      <c r="D381" s="726" t="s">
        <v>854</v>
      </c>
      <c r="E381" s="725" t="s">
        <v>855</v>
      </c>
      <c r="F381" s="727">
        <v>0</v>
      </c>
      <c r="G381" s="728"/>
      <c r="H381" s="729" t="s">
        <v>856</v>
      </c>
      <c r="I381" s="729">
        <v>1</v>
      </c>
      <c r="J381" s="719"/>
      <c r="K381" s="713"/>
    </row>
    <row r="382" spans="1:11" ht="42.15">
      <c r="A382" s="713"/>
      <c r="B382" s="719"/>
      <c r="C382" s="725" t="s">
        <v>1819</v>
      </c>
      <c r="D382" s="726" t="s">
        <v>2357</v>
      </c>
      <c r="E382" s="725" t="s">
        <v>553</v>
      </c>
      <c r="F382" s="727">
        <v>0</v>
      </c>
      <c r="G382" s="728"/>
      <c r="H382" s="729" t="s">
        <v>554</v>
      </c>
      <c r="I382" s="729">
        <v>5</v>
      </c>
      <c r="J382" s="719"/>
      <c r="K382" s="713"/>
    </row>
    <row r="383" spans="1:11" ht="42.15">
      <c r="A383" s="713"/>
      <c r="B383" s="719"/>
      <c r="C383" s="734" t="s">
        <v>1820</v>
      </c>
      <c r="D383" s="735" t="s">
        <v>857</v>
      </c>
      <c r="E383" s="734" t="s">
        <v>553</v>
      </c>
      <c r="F383" s="727">
        <v>0</v>
      </c>
      <c r="G383" s="736" t="s">
        <v>1363</v>
      </c>
      <c r="H383" s="737" t="s">
        <v>604</v>
      </c>
      <c r="I383" s="737">
        <v>7</v>
      </c>
      <c r="J383" s="719"/>
      <c r="K383" s="713"/>
    </row>
    <row r="384" spans="1:11">
      <c r="A384" s="713"/>
      <c r="B384" s="719"/>
      <c r="C384" s="725" t="s">
        <v>1821</v>
      </c>
      <c r="D384" s="726" t="s">
        <v>858</v>
      </c>
      <c r="E384" s="725" t="s">
        <v>742</v>
      </c>
      <c r="F384" s="727">
        <v>0</v>
      </c>
      <c r="G384" s="728"/>
      <c r="H384" s="729" t="s">
        <v>551</v>
      </c>
      <c r="I384" s="739" t="s">
        <v>361</v>
      </c>
      <c r="J384" s="719"/>
      <c r="K384" s="713"/>
    </row>
    <row r="385" spans="1:11" ht="42.15">
      <c r="A385" s="713"/>
      <c r="B385" s="719"/>
      <c r="C385" s="725" t="s">
        <v>1822</v>
      </c>
      <c r="D385" s="726" t="s">
        <v>859</v>
      </c>
      <c r="E385" s="725" t="s">
        <v>602</v>
      </c>
      <c r="F385" s="727">
        <v>0</v>
      </c>
      <c r="G385" s="728"/>
      <c r="H385" s="729" t="s">
        <v>551</v>
      </c>
      <c r="I385" s="729">
        <v>5</v>
      </c>
      <c r="J385" s="719"/>
      <c r="K385" s="713"/>
    </row>
    <row r="386" spans="1:11" ht="42.15">
      <c r="A386" s="713"/>
      <c r="B386" s="719"/>
      <c r="C386" s="725" t="s">
        <v>1823</v>
      </c>
      <c r="D386" s="726" t="s">
        <v>860</v>
      </c>
      <c r="E386" s="725" t="s">
        <v>602</v>
      </c>
      <c r="F386" s="727">
        <v>0</v>
      </c>
      <c r="G386" s="728"/>
      <c r="H386" s="729" t="s">
        <v>551</v>
      </c>
      <c r="I386" s="729">
        <v>5</v>
      </c>
      <c r="J386" s="719"/>
      <c r="K386" s="713"/>
    </row>
    <row r="387" spans="1:11">
      <c r="A387" s="713"/>
      <c r="B387" s="719"/>
      <c r="C387" s="725" t="s">
        <v>1824</v>
      </c>
      <c r="D387" s="726" t="s">
        <v>861</v>
      </c>
      <c r="E387" s="725" t="s">
        <v>550</v>
      </c>
      <c r="F387" s="727">
        <v>0</v>
      </c>
      <c r="G387" s="728"/>
      <c r="H387" s="729" t="s">
        <v>551</v>
      </c>
      <c r="I387" s="729">
        <v>1</v>
      </c>
      <c r="J387" s="719"/>
      <c r="K387" s="713"/>
    </row>
    <row r="388" spans="1:11" ht="63.2">
      <c r="A388" s="713"/>
      <c r="B388" s="719"/>
      <c r="C388" s="725" t="s">
        <v>1825</v>
      </c>
      <c r="D388" s="726" t="s">
        <v>862</v>
      </c>
      <c r="E388" s="725" t="s">
        <v>553</v>
      </c>
      <c r="F388" s="727">
        <v>0</v>
      </c>
      <c r="G388" s="728"/>
      <c r="H388" s="729" t="s">
        <v>604</v>
      </c>
      <c r="I388" s="729">
        <v>12</v>
      </c>
      <c r="J388" s="719"/>
      <c r="K388" s="713"/>
    </row>
    <row r="389" spans="1:11">
      <c r="A389" s="713"/>
      <c r="B389" s="719"/>
      <c r="C389" s="734" t="s">
        <v>1826</v>
      </c>
      <c r="D389" s="735" t="s">
        <v>1827</v>
      </c>
      <c r="E389" s="734" t="s">
        <v>550</v>
      </c>
      <c r="F389" s="727">
        <v>0</v>
      </c>
      <c r="G389" s="736" t="s">
        <v>1363</v>
      </c>
      <c r="H389" s="737" t="s">
        <v>551</v>
      </c>
      <c r="I389" s="737">
        <v>1</v>
      </c>
      <c r="J389" s="719"/>
      <c r="K389" s="713"/>
    </row>
    <row r="390" spans="1:11">
      <c r="A390" s="713"/>
      <c r="B390" s="719"/>
      <c r="C390" s="734" t="s">
        <v>1828</v>
      </c>
      <c r="D390" s="735" t="s">
        <v>1829</v>
      </c>
      <c r="E390" s="734" t="s">
        <v>550</v>
      </c>
      <c r="F390" s="727">
        <v>0</v>
      </c>
      <c r="G390" s="736" t="s">
        <v>1363</v>
      </c>
      <c r="H390" s="737" t="s">
        <v>551</v>
      </c>
      <c r="I390" s="737">
        <v>1</v>
      </c>
      <c r="J390" s="719"/>
      <c r="K390" s="713"/>
    </row>
    <row r="391" spans="1:11">
      <c r="A391" s="713"/>
      <c r="B391" s="719"/>
      <c r="C391" s="725" t="s">
        <v>1830</v>
      </c>
      <c r="D391" s="726" t="s">
        <v>118</v>
      </c>
      <c r="E391" s="725" t="s">
        <v>855</v>
      </c>
      <c r="F391" s="727">
        <v>0</v>
      </c>
      <c r="G391" s="728"/>
      <c r="H391" s="729" t="s">
        <v>856</v>
      </c>
      <c r="I391" s="729">
        <v>2</v>
      </c>
      <c r="J391" s="719"/>
      <c r="K391" s="713"/>
    </row>
    <row r="392" spans="1:11">
      <c r="A392" s="713"/>
      <c r="B392" s="719"/>
      <c r="C392" s="725" t="s">
        <v>527</v>
      </c>
      <c r="D392" s="725" t="s">
        <v>1831</v>
      </c>
      <c r="E392" s="725" t="s">
        <v>593</v>
      </c>
      <c r="F392" s="727">
        <v>0</v>
      </c>
      <c r="G392" s="728"/>
      <c r="H392" s="729" t="s">
        <v>604</v>
      </c>
      <c r="I392" s="729">
        <v>1</v>
      </c>
      <c r="J392" s="719"/>
      <c r="K392" s="713"/>
    </row>
    <row r="393" spans="1:11">
      <c r="A393" s="713"/>
      <c r="B393" s="719"/>
      <c r="C393" s="725" t="s">
        <v>1832</v>
      </c>
      <c r="D393" s="726" t="s">
        <v>863</v>
      </c>
      <c r="E393" s="725" t="s">
        <v>593</v>
      </c>
      <c r="F393" s="727">
        <v>0</v>
      </c>
      <c r="G393" s="728"/>
      <c r="H393" s="729" t="s">
        <v>604</v>
      </c>
      <c r="I393" s="729">
        <v>1</v>
      </c>
      <c r="J393" s="719"/>
      <c r="K393" s="713"/>
    </row>
    <row r="394" spans="1:11">
      <c r="A394" s="713"/>
      <c r="B394" s="719"/>
      <c r="C394" s="725" t="s">
        <v>1833</v>
      </c>
      <c r="D394" s="726" t="s">
        <v>1834</v>
      </c>
      <c r="E394" s="725" t="s">
        <v>593</v>
      </c>
      <c r="F394" s="727">
        <v>0</v>
      </c>
      <c r="G394" s="728"/>
      <c r="H394" s="729" t="s">
        <v>599</v>
      </c>
      <c r="I394" s="729">
        <v>1</v>
      </c>
      <c r="J394" s="719"/>
      <c r="K394" s="713"/>
    </row>
    <row r="395" spans="1:11">
      <c r="A395" s="713"/>
      <c r="B395" s="719"/>
      <c r="C395" s="734" t="s">
        <v>1835</v>
      </c>
      <c r="D395" s="735" t="s">
        <v>864</v>
      </c>
      <c r="E395" s="734" t="s">
        <v>550</v>
      </c>
      <c r="F395" s="727">
        <v>0</v>
      </c>
      <c r="G395" s="736" t="s">
        <v>1363</v>
      </c>
      <c r="H395" s="737" t="s">
        <v>527</v>
      </c>
      <c r="I395" s="737">
        <v>19</v>
      </c>
      <c r="J395" s="719"/>
      <c r="K395" s="713"/>
    </row>
    <row r="396" spans="1:11">
      <c r="A396" s="713"/>
      <c r="B396" s="719"/>
      <c r="C396" s="725" t="s">
        <v>1836</v>
      </c>
      <c r="D396" s="726" t="s">
        <v>129</v>
      </c>
      <c r="E396" s="725" t="s">
        <v>550</v>
      </c>
      <c r="F396" s="727">
        <v>0</v>
      </c>
      <c r="G396" s="728"/>
      <c r="H396" s="729" t="s">
        <v>476</v>
      </c>
      <c r="I396" s="729">
        <v>1</v>
      </c>
      <c r="J396" s="719"/>
      <c r="K396" s="713"/>
    </row>
    <row r="397" spans="1:11">
      <c r="A397" s="713"/>
      <c r="B397" s="719"/>
      <c r="C397" s="725" t="s">
        <v>1837</v>
      </c>
      <c r="D397" s="726" t="s">
        <v>867</v>
      </c>
      <c r="E397" s="725" t="s">
        <v>868</v>
      </c>
      <c r="F397" s="727">
        <v>0</v>
      </c>
      <c r="G397" s="728"/>
      <c r="H397" s="729" t="s">
        <v>476</v>
      </c>
      <c r="I397" s="729">
        <v>17</v>
      </c>
      <c r="J397" s="719"/>
      <c r="K397" s="713"/>
    </row>
    <row r="398" spans="1:11" ht="22.45">
      <c r="A398" s="713"/>
      <c r="B398" s="719"/>
      <c r="C398" s="725" t="s">
        <v>1838</v>
      </c>
      <c r="D398" s="726" t="s">
        <v>5806</v>
      </c>
      <c r="E398" s="725" t="s">
        <v>550</v>
      </c>
      <c r="F398" s="727">
        <v>0</v>
      </c>
      <c r="G398" s="728"/>
      <c r="H398" s="729" t="s">
        <v>476</v>
      </c>
      <c r="I398" s="729">
        <v>1</v>
      </c>
      <c r="J398" s="719"/>
      <c r="K398" s="713"/>
    </row>
    <row r="399" spans="1:11">
      <c r="A399" s="713"/>
      <c r="B399" s="719"/>
      <c r="C399" s="734" t="s">
        <v>1839</v>
      </c>
      <c r="D399" s="735" t="s">
        <v>1840</v>
      </c>
      <c r="E399" s="734" t="s">
        <v>550</v>
      </c>
      <c r="F399" s="727">
        <v>0</v>
      </c>
      <c r="G399" s="736" t="s">
        <v>1363</v>
      </c>
      <c r="H399" s="737" t="s">
        <v>476</v>
      </c>
      <c r="I399" s="737">
        <v>1</v>
      </c>
      <c r="J399" s="719"/>
      <c r="K399" s="713"/>
    </row>
    <row r="400" spans="1:11">
      <c r="A400" s="713"/>
      <c r="B400" s="719"/>
      <c r="C400" s="725" t="s">
        <v>1841</v>
      </c>
      <c r="D400" s="726" t="s">
        <v>870</v>
      </c>
      <c r="E400" s="725" t="s">
        <v>550</v>
      </c>
      <c r="F400" s="727">
        <v>0</v>
      </c>
      <c r="G400" s="728"/>
      <c r="H400" s="729" t="s">
        <v>476</v>
      </c>
      <c r="I400" s="729">
        <v>1</v>
      </c>
      <c r="J400" s="719"/>
      <c r="K400" s="713"/>
    </row>
    <row r="401" spans="1:11">
      <c r="A401" s="713"/>
      <c r="B401" s="719"/>
      <c r="C401" s="734" t="s">
        <v>1842</v>
      </c>
      <c r="D401" s="735" t="s">
        <v>871</v>
      </c>
      <c r="E401" s="734" t="s">
        <v>550</v>
      </c>
      <c r="F401" s="727">
        <v>0</v>
      </c>
      <c r="G401" s="736" t="s">
        <v>1363</v>
      </c>
      <c r="H401" s="737" t="s">
        <v>476</v>
      </c>
      <c r="I401" s="737">
        <v>1</v>
      </c>
      <c r="J401" s="719"/>
      <c r="K401" s="713"/>
    </row>
    <row r="402" spans="1:11" ht="42.15">
      <c r="A402" s="713"/>
      <c r="B402" s="719"/>
      <c r="C402" s="725" t="s">
        <v>1843</v>
      </c>
      <c r="D402" s="726" t="s">
        <v>872</v>
      </c>
      <c r="E402" s="725" t="s">
        <v>562</v>
      </c>
      <c r="F402" s="727">
        <v>0</v>
      </c>
      <c r="G402" s="728"/>
      <c r="H402" s="729" t="s">
        <v>476</v>
      </c>
      <c r="I402" s="729">
        <v>14</v>
      </c>
      <c r="J402" s="719"/>
      <c r="K402" s="713"/>
    </row>
    <row r="403" spans="1:11">
      <c r="A403" s="713"/>
      <c r="B403" s="719"/>
      <c r="C403" s="734" t="s">
        <v>1844</v>
      </c>
      <c r="D403" s="735" t="s">
        <v>128</v>
      </c>
      <c r="E403" s="734" t="s">
        <v>550</v>
      </c>
      <c r="F403" s="727">
        <v>0</v>
      </c>
      <c r="G403" s="736" t="s">
        <v>1363</v>
      </c>
      <c r="H403" s="737" t="s">
        <v>476</v>
      </c>
      <c r="I403" s="737">
        <v>1</v>
      </c>
      <c r="J403" s="719"/>
      <c r="K403" s="713"/>
    </row>
    <row r="404" spans="1:11">
      <c r="A404" s="713"/>
      <c r="B404" s="719"/>
      <c r="C404" s="734" t="s">
        <v>1845</v>
      </c>
      <c r="D404" s="735" t="s">
        <v>873</v>
      </c>
      <c r="E404" s="734" t="s">
        <v>550</v>
      </c>
      <c r="F404" s="727">
        <v>0</v>
      </c>
      <c r="G404" s="736" t="s">
        <v>1363</v>
      </c>
      <c r="H404" s="737" t="s">
        <v>476</v>
      </c>
      <c r="I404" s="737">
        <v>1</v>
      </c>
      <c r="J404" s="719"/>
      <c r="K404" s="713"/>
    </row>
    <row r="405" spans="1:11">
      <c r="A405" s="713"/>
      <c r="B405" s="719"/>
      <c r="C405" s="725" t="s">
        <v>1846</v>
      </c>
      <c r="D405" s="725" t="s">
        <v>874</v>
      </c>
      <c r="E405" s="725" t="s">
        <v>550</v>
      </c>
      <c r="F405" s="727">
        <v>0</v>
      </c>
      <c r="G405" s="728"/>
      <c r="H405" s="729" t="s">
        <v>476</v>
      </c>
      <c r="I405" s="729">
        <v>1</v>
      </c>
      <c r="J405" s="719"/>
      <c r="K405" s="713"/>
    </row>
    <row r="406" spans="1:11">
      <c r="A406" s="713"/>
      <c r="B406" s="719"/>
      <c r="C406" s="734" t="s">
        <v>1847</v>
      </c>
      <c r="D406" s="735" t="s">
        <v>875</v>
      </c>
      <c r="E406" s="734" t="s">
        <v>550</v>
      </c>
      <c r="F406" s="727">
        <v>0</v>
      </c>
      <c r="G406" s="736" t="s">
        <v>1363</v>
      </c>
      <c r="H406" s="737" t="s">
        <v>476</v>
      </c>
      <c r="I406" s="737">
        <v>1</v>
      </c>
      <c r="J406" s="719"/>
      <c r="K406" s="713"/>
    </row>
    <row r="407" spans="1:11">
      <c r="A407" s="713"/>
      <c r="B407" s="719"/>
      <c r="C407" s="734" t="s">
        <v>1848</v>
      </c>
      <c r="D407" s="735" t="s">
        <v>126</v>
      </c>
      <c r="E407" s="734" t="s">
        <v>550</v>
      </c>
      <c r="F407" s="727">
        <v>0</v>
      </c>
      <c r="G407" s="736" t="s">
        <v>1363</v>
      </c>
      <c r="H407" s="737" t="s">
        <v>476</v>
      </c>
      <c r="I407" s="737">
        <v>1</v>
      </c>
      <c r="J407" s="719"/>
      <c r="K407" s="713"/>
    </row>
    <row r="408" spans="1:11">
      <c r="A408" s="713"/>
      <c r="B408" s="719"/>
      <c r="C408" s="725" t="s">
        <v>1849</v>
      </c>
      <c r="D408" s="726" t="s">
        <v>127</v>
      </c>
      <c r="E408" s="725" t="s">
        <v>550</v>
      </c>
      <c r="F408" s="727">
        <v>0</v>
      </c>
      <c r="G408" s="728"/>
      <c r="H408" s="729" t="s">
        <v>476</v>
      </c>
      <c r="I408" s="729">
        <v>1</v>
      </c>
      <c r="J408" s="719"/>
      <c r="K408" s="713"/>
    </row>
    <row r="409" spans="1:11" ht="37.700000000000003" customHeight="1">
      <c r="A409" s="713"/>
      <c r="B409" s="719"/>
      <c r="C409" s="734" t="s">
        <v>1850</v>
      </c>
      <c r="D409" s="735" t="s">
        <v>123</v>
      </c>
      <c r="E409" s="734" t="s">
        <v>550</v>
      </c>
      <c r="F409" s="727">
        <v>0</v>
      </c>
      <c r="G409" s="736" t="s">
        <v>1363</v>
      </c>
      <c r="H409" s="737" t="s">
        <v>476</v>
      </c>
      <c r="I409" s="737">
        <v>1</v>
      </c>
      <c r="J409" s="719"/>
      <c r="K409" s="713"/>
    </row>
    <row r="410" spans="1:11" ht="37.700000000000003" customHeight="1">
      <c r="A410" s="713"/>
      <c r="B410" s="719"/>
      <c r="C410" s="734" t="s">
        <v>1851</v>
      </c>
      <c r="D410" s="735" t="s">
        <v>876</v>
      </c>
      <c r="E410" s="734" t="s">
        <v>550</v>
      </c>
      <c r="F410" s="727">
        <v>0</v>
      </c>
      <c r="G410" s="736" t="s">
        <v>1363</v>
      </c>
      <c r="H410" s="737" t="s">
        <v>476</v>
      </c>
      <c r="I410" s="737">
        <v>1</v>
      </c>
      <c r="J410" s="719"/>
      <c r="K410" s="713"/>
    </row>
    <row r="411" spans="1:11" ht="37.700000000000003" customHeight="1">
      <c r="A411" s="713"/>
      <c r="B411" s="719"/>
      <c r="C411" s="725" t="s">
        <v>1852</v>
      </c>
      <c r="D411" s="726" t="s">
        <v>398</v>
      </c>
      <c r="E411" s="725" t="s">
        <v>868</v>
      </c>
      <c r="F411" s="727">
        <v>0</v>
      </c>
      <c r="G411" s="728"/>
      <c r="H411" s="729" t="s">
        <v>476</v>
      </c>
      <c r="I411" s="729">
        <v>17</v>
      </c>
      <c r="J411" s="719"/>
      <c r="K411" s="713"/>
    </row>
    <row r="412" spans="1:11" ht="37.700000000000003" customHeight="1">
      <c r="A412" s="713"/>
      <c r="B412" s="719"/>
      <c r="C412" s="725" t="s">
        <v>1853</v>
      </c>
      <c r="D412" s="726" t="s">
        <v>399</v>
      </c>
      <c r="E412" s="725" t="s">
        <v>550</v>
      </c>
      <c r="F412" s="727">
        <v>0</v>
      </c>
      <c r="G412" s="728"/>
      <c r="H412" s="729" t="s">
        <v>476</v>
      </c>
      <c r="I412" s="729">
        <v>17</v>
      </c>
      <c r="J412" s="719"/>
      <c r="K412" s="713"/>
    </row>
    <row r="413" spans="1:11" ht="37.700000000000003" customHeight="1">
      <c r="A413" s="713"/>
      <c r="B413" s="719"/>
      <c r="C413" s="725" t="s">
        <v>1854</v>
      </c>
      <c r="D413" s="726" t="s">
        <v>877</v>
      </c>
      <c r="E413" s="725" t="s">
        <v>559</v>
      </c>
      <c r="F413" s="727">
        <v>0</v>
      </c>
      <c r="G413" s="728"/>
      <c r="H413" s="729" t="s">
        <v>1855</v>
      </c>
      <c r="I413" s="729" t="s">
        <v>1856</v>
      </c>
      <c r="J413" s="719"/>
      <c r="K413" s="713"/>
    </row>
    <row r="414" spans="1:11" ht="37.700000000000003" customHeight="1">
      <c r="A414" s="713"/>
      <c r="B414" s="719"/>
      <c r="C414" s="725" t="s">
        <v>1857</v>
      </c>
      <c r="D414" s="726" t="s">
        <v>879</v>
      </c>
      <c r="E414" s="725" t="s">
        <v>607</v>
      </c>
      <c r="F414" s="727">
        <v>0</v>
      </c>
      <c r="G414" s="728"/>
      <c r="H414" s="729" t="s">
        <v>880</v>
      </c>
      <c r="I414" s="739" t="s">
        <v>350</v>
      </c>
      <c r="J414" s="719"/>
      <c r="K414" s="713"/>
    </row>
    <row r="415" spans="1:11" ht="37.700000000000003" customHeight="1">
      <c r="A415" s="713"/>
      <c r="B415" s="719"/>
      <c r="C415" s="725" t="s">
        <v>1858</v>
      </c>
      <c r="D415" s="726" t="s">
        <v>5807</v>
      </c>
      <c r="E415" s="725" t="s">
        <v>562</v>
      </c>
      <c r="F415" s="727">
        <v>0</v>
      </c>
      <c r="G415" s="728"/>
      <c r="H415" s="729" t="s">
        <v>476</v>
      </c>
      <c r="I415" s="729">
        <v>17</v>
      </c>
      <c r="J415" s="719"/>
      <c r="K415" s="713"/>
    </row>
    <row r="416" spans="1:11" ht="37.700000000000003" customHeight="1">
      <c r="A416" s="713"/>
      <c r="B416" s="719"/>
      <c r="C416" s="734" t="s">
        <v>1860</v>
      </c>
      <c r="D416" s="735" t="s">
        <v>882</v>
      </c>
      <c r="E416" s="734" t="s">
        <v>562</v>
      </c>
      <c r="F416" s="727">
        <v>0</v>
      </c>
      <c r="G416" s="736" t="s">
        <v>1363</v>
      </c>
      <c r="H416" s="737" t="s">
        <v>551</v>
      </c>
      <c r="I416" s="737">
        <v>17</v>
      </c>
      <c r="J416" s="719"/>
      <c r="K416" s="713"/>
    </row>
    <row r="417" spans="1:11" ht="37.700000000000003" customHeight="1">
      <c r="A417" s="713" t="s">
        <v>5737</v>
      </c>
      <c r="B417" s="719"/>
      <c r="C417" s="734" t="s">
        <v>5808</v>
      </c>
      <c r="D417" s="735" t="s">
        <v>5809</v>
      </c>
      <c r="E417" s="734" t="s">
        <v>550</v>
      </c>
      <c r="F417" s="727">
        <v>0</v>
      </c>
      <c r="G417" s="736" t="s">
        <v>1363</v>
      </c>
      <c r="H417" s="737" t="s">
        <v>604</v>
      </c>
      <c r="I417" s="737">
        <v>17</v>
      </c>
      <c r="J417" s="719"/>
      <c r="K417" s="713"/>
    </row>
    <row r="418" spans="1:11">
      <c r="A418" s="713"/>
      <c r="B418" s="719"/>
      <c r="C418" s="725" t="s">
        <v>1861</v>
      </c>
      <c r="D418" s="726" t="s">
        <v>1862</v>
      </c>
      <c r="E418" s="725" t="s">
        <v>593</v>
      </c>
      <c r="F418" s="727">
        <v>0</v>
      </c>
      <c r="G418" s="728"/>
      <c r="H418" s="729" t="s">
        <v>604</v>
      </c>
      <c r="I418" s="729">
        <v>1</v>
      </c>
      <c r="J418" s="719"/>
      <c r="K418" s="713"/>
    </row>
    <row r="419" spans="1:11" ht="42.15">
      <c r="A419" s="713"/>
      <c r="B419" s="719"/>
      <c r="C419" s="734"/>
      <c r="D419" s="735" t="s">
        <v>1863</v>
      </c>
      <c r="E419" s="734" t="s">
        <v>553</v>
      </c>
      <c r="F419" s="727">
        <v>0</v>
      </c>
      <c r="G419" s="736" t="s">
        <v>1363</v>
      </c>
      <c r="H419" s="737" t="s">
        <v>604</v>
      </c>
      <c r="I419" s="737">
        <v>12</v>
      </c>
      <c r="J419" s="719"/>
      <c r="K419" s="713"/>
    </row>
    <row r="420" spans="1:11">
      <c r="A420" s="713"/>
      <c r="B420" s="719"/>
      <c r="C420" s="725" t="s">
        <v>1864</v>
      </c>
      <c r="D420" s="726" t="s">
        <v>883</v>
      </c>
      <c r="E420" s="725" t="s">
        <v>88</v>
      </c>
      <c r="F420" s="727">
        <v>0</v>
      </c>
      <c r="G420" s="728"/>
      <c r="H420" s="729" t="s">
        <v>551</v>
      </c>
      <c r="I420" s="729">
        <v>17</v>
      </c>
      <c r="J420" s="719"/>
      <c r="K420" s="713"/>
    </row>
    <row r="421" spans="1:11">
      <c r="A421" s="713"/>
      <c r="B421" s="719"/>
      <c r="C421" s="720"/>
      <c r="D421" s="720"/>
      <c r="E421" s="720"/>
      <c r="F421" s="721"/>
      <c r="G421" s="722"/>
      <c r="H421" s="722"/>
      <c r="I421" s="722"/>
      <c r="J421" s="719"/>
      <c r="K421" s="713"/>
    </row>
    <row r="422" spans="1:11">
      <c r="A422" s="713"/>
      <c r="B422" s="713"/>
      <c r="C422" s="714"/>
      <c r="D422" s="714"/>
      <c r="E422" s="714"/>
      <c r="F422" s="715"/>
      <c r="G422" s="716"/>
      <c r="H422" s="716"/>
      <c r="I422" s="716"/>
      <c r="J422" s="713"/>
      <c r="K422" s="713"/>
    </row>
  </sheetData>
  <mergeCells count="3">
    <mergeCell ref="C2:E2"/>
    <mergeCell ref="F2:I2"/>
    <mergeCell ref="C3:F3"/>
  </mergeCells>
  <conditionalFormatting sqref="D18">
    <cfRule type="duplicateValues" dxfId="299" priority="84"/>
  </conditionalFormatting>
  <conditionalFormatting sqref="D19">
    <cfRule type="duplicateValues" dxfId="298" priority="83"/>
  </conditionalFormatting>
  <conditionalFormatting sqref="D21">
    <cfRule type="duplicateValues" dxfId="297" priority="85"/>
  </conditionalFormatting>
  <conditionalFormatting sqref="D55">
    <cfRule type="duplicateValues" dxfId="296" priority="82"/>
  </conditionalFormatting>
  <conditionalFormatting sqref="D72">
    <cfRule type="duplicateValues" dxfId="295" priority="79"/>
  </conditionalFormatting>
  <conditionalFormatting sqref="D75">
    <cfRule type="duplicateValues" dxfId="294" priority="81"/>
  </conditionalFormatting>
  <conditionalFormatting sqref="D81">
    <cfRule type="duplicateValues" dxfId="293" priority="80"/>
  </conditionalFormatting>
  <conditionalFormatting sqref="D90">
    <cfRule type="duplicateValues" dxfId="292" priority="78"/>
  </conditionalFormatting>
  <conditionalFormatting sqref="D99">
    <cfRule type="duplicateValues" dxfId="291" priority="77"/>
  </conditionalFormatting>
  <conditionalFormatting sqref="D115">
    <cfRule type="duplicateValues" dxfId="290" priority="76"/>
  </conditionalFormatting>
  <conditionalFormatting sqref="D120">
    <cfRule type="duplicateValues" dxfId="289" priority="75"/>
  </conditionalFormatting>
  <conditionalFormatting sqref="D122">
    <cfRule type="duplicateValues" dxfId="288" priority="74"/>
  </conditionalFormatting>
  <conditionalFormatting sqref="D126">
    <cfRule type="duplicateValues" dxfId="287" priority="73"/>
  </conditionalFormatting>
  <conditionalFormatting sqref="D136">
    <cfRule type="duplicateValues" dxfId="286" priority="71"/>
  </conditionalFormatting>
  <conditionalFormatting sqref="D144">
    <cfRule type="duplicateValues" dxfId="285" priority="72"/>
  </conditionalFormatting>
  <conditionalFormatting sqref="D145">
    <cfRule type="duplicateValues" dxfId="284" priority="68"/>
  </conditionalFormatting>
  <conditionalFormatting sqref="D149">
    <cfRule type="duplicateValues" dxfId="283" priority="69"/>
  </conditionalFormatting>
  <conditionalFormatting sqref="D152">
    <cfRule type="duplicateValues" dxfId="282" priority="70"/>
  </conditionalFormatting>
  <conditionalFormatting sqref="D165">
    <cfRule type="duplicateValues" dxfId="281" priority="63"/>
  </conditionalFormatting>
  <conditionalFormatting sqref="D166">
    <cfRule type="duplicateValues" dxfId="280" priority="67"/>
  </conditionalFormatting>
  <conditionalFormatting sqref="D168:D170">
    <cfRule type="duplicateValues" dxfId="279" priority="65"/>
  </conditionalFormatting>
  <conditionalFormatting sqref="D171:D174">
    <cfRule type="duplicateValues" dxfId="278" priority="64"/>
  </conditionalFormatting>
  <conditionalFormatting sqref="D179">
    <cfRule type="duplicateValues" dxfId="277" priority="66"/>
  </conditionalFormatting>
  <conditionalFormatting sqref="D191">
    <cfRule type="duplicateValues" dxfId="276" priority="5"/>
  </conditionalFormatting>
  <conditionalFormatting sqref="D198">
    <cfRule type="duplicateValues" dxfId="275" priority="62"/>
  </conditionalFormatting>
  <conditionalFormatting sqref="D199">
    <cfRule type="duplicateValues" dxfId="274" priority="51"/>
  </conditionalFormatting>
  <conditionalFormatting sqref="D200">
    <cfRule type="duplicateValues" dxfId="273" priority="56"/>
  </conditionalFormatting>
  <conditionalFormatting sqref="D201">
    <cfRule type="duplicateValues" dxfId="272" priority="55"/>
  </conditionalFormatting>
  <conditionalFormatting sqref="D202">
    <cfRule type="duplicateValues" dxfId="271" priority="59"/>
  </conditionalFormatting>
  <conditionalFormatting sqref="D203">
    <cfRule type="duplicateValues" dxfId="270" priority="58"/>
  </conditionalFormatting>
  <conditionalFormatting sqref="D204">
    <cfRule type="duplicateValues" dxfId="269" priority="61"/>
  </conditionalFormatting>
  <conditionalFormatting sqref="D217">
    <cfRule type="duplicateValues" dxfId="268" priority="52"/>
  </conditionalFormatting>
  <conditionalFormatting sqref="D219">
    <cfRule type="duplicateValues" dxfId="267" priority="53"/>
  </conditionalFormatting>
  <conditionalFormatting sqref="D220">
    <cfRule type="duplicateValues" dxfId="266" priority="60"/>
  </conditionalFormatting>
  <conditionalFormatting sqref="D221:D222">
    <cfRule type="duplicateValues" dxfId="265" priority="54"/>
  </conditionalFormatting>
  <conditionalFormatting sqref="D223">
    <cfRule type="duplicateValues" dxfId="264" priority="57"/>
  </conditionalFormatting>
  <conditionalFormatting sqref="D226">
    <cfRule type="duplicateValues" dxfId="263" priority="49"/>
  </conditionalFormatting>
  <conditionalFormatting sqref="D231">
    <cfRule type="duplicateValues" dxfId="262" priority="50"/>
  </conditionalFormatting>
  <conditionalFormatting sqref="D232">
    <cfRule type="duplicateValues" dxfId="261" priority="48"/>
  </conditionalFormatting>
  <conditionalFormatting sqref="D234">
    <cfRule type="duplicateValues" dxfId="260" priority="45"/>
  </conditionalFormatting>
  <conditionalFormatting sqref="D235">
    <cfRule type="duplicateValues" dxfId="259" priority="46"/>
  </conditionalFormatting>
  <conditionalFormatting sqref="D236">
    <cfRule type="duplicateValues" dxfId="258" priority="47"/>
  </conditionalFormatting>
  <conditionalFormatting sqref="D237">
    <cfRule type="duplicateValues" dxfId="257" priority="44"/>
  </conditionalFormatting>
  <conditionalFormatting sqref="D238">
    <cfRule type="duplicateValues" dxfId="256" priority="43"/>
  </conditionalFormatting>
  <conditionalFormatting sqref="D292">
    <cfRule type="duplicateValues" dxfId="255" priority="42"/>
  </conditionalFormatting>
  <conditionalFormatting sqref="D295">
    <cfRule type="duplicateValues" dxfId="254" priority="41"/>
  </conditionalFormatting>
  <conditionalFormatting sqref="D298">
    <cfRule type="duplicateValues" dxfId="253" priority="40"/>
  </conditionalFormatting>
  <conditionalFormatting sqref="D299">
    <cfRule type="duplicateValues" dxfId="252" priority="37"/>
  </conditionalFormatting>
  <conditionalFormatting sqref="D300">
    <cfRule type="duplicateValues" dxfId="251" priority="36"/>
  </conditionalFormatting>
  <conditionalFormatting sqref="D305">
    <cfRule type="duplicateValues" dxfId="250" priority="39"/>
  </conditionalFormatting>
  <conditionalFormatting sqref="D306">
    <cfRule type="duplicateValues" dxfId="249" priority="38"/>
  </conditionalFormatting>
  <conditionalFormatting sqref="D307">
    <cfRule type="duplicateValues" dxfId="248" priority="32"/>
  </conditionalFormatting>
  <conditionalFormatting sqref="D308">
    <cfRule type="duplicateValues" dxfId="247" priority="33"/>
  </conditionalFormatting>
  <conditionalFormatting sqref="D309">
    <cfRule type="duplicateValues" dxfId="246" priority="31"/>
  </conditionalFormatting>
  <conditionalFormatting sqref="D310">
    <cfRule type="duplicateValues" dxfId="245" priority="25"/>
  </conditionalFormatting>
  <conditionalFormatting sqref="D311">
    <cfRule type="duplicateValues" dxfId="244" priority="30"/>
  </conditionalFormatting>
  <conditionalFormatting sqref="D312">
    <cfRule type="duplicateValues" dxfId="243" priority="26"/>
  </conditionalFormatting>
  <conditionalFormatting sqref="D314">
    <cfRule type="duplicateValues" dxfId="242" priority="35"/>
  </conditionalFormatting>
  <conditionalFormatting sqref="D315">
    <cfRule type="duplicateValues" dxfId="241" priority="29"/>
  </conditionalFormatting>
  <conditionalFormatting sqref="D316">
    <cfRule type="duplicateValues" dxfId="240" priority="28"/>
  </conditionalFormatting>
  <conditionalFormatting sqref="D317">
    <cfRule type="duplicateValues" dxfId="239" priority="27"/>
  </conditionalFormatting>
  <conditionalFormatting sqref="D318">
    <cfRule type="duplicateValues" dxfId="238" priority="34"/>
  </conditionalFormatting>
  <conditionalFormatting sqref="D321">
    <cfRule type="duplicateValues" dxfId="237" priority="23"/>
  </conditionalFormatting>
  <conditionalFormatting sqref="D322">
    <cfRule type="duplicateValues" dxfId="236" priority="24"/>
  </conditionalFormatting>
  <conditionalFormatting sqref="D324">
    <cfRule type="duplicateValues" dxfId="235" priority="22"/>
  </conditionalFormatting>
  <conditionalFormatting sqref="D326">
    <cfRule type="duplicateValues" dxfId="234" priority="1"/>
  </conditionalFormatting>
  <conditionalFormatting sqref="D329">
    <cfRule type="duplicateValues" dxfId="233" priority="2"/>
  </conditionalFormatting>
  <conditionalFormatting sqref="D330">
    <cfRule type="duplicateValues" dxfId="232" priority="21"/>
  </conditionalFormatting>
  <conditionalFormatting sqref="D331">
    <cfRule type="duplicateValues" dxfId="231" priority="14"/>
  </conditionalFormatting>
  <conditionalFormatting sqref="D332">
    <cfRule type="duplicateValues" dxfId="230" priority="13"/>
  </conditionalFormatting>
  <conditionalFormatting sqref="D335">
    <cfRule type="duplicateValues" dxfId="229" priority="20"/>
  </conditionalFormatting>
  <conditionalFormatting sqref="D336">
    <cfRule type="duplicateValues" dxfId="228" priority="19"/>
  </conditionalFormatting>
  <conditionalFormatting sqref="D337">
    <cfRule type="duplicateValues" dxfId="227" priority="18"/>
  </conditionalFormatting>
  <conditionalFormatting sqref="D342">
    <cfRule type="duplicateValues" dxfId="226" priority="17"/>
  </conditionalFormatting>
  <conditionalFormatting sqref="D346">
    <cfRule type="duplicateValues" dxfId="225" priority="15"/>
  </conditionalFormatting>
  <conditionalFormatting sqref="D347">
    <cfRule type="duplicateValues" dxfId="224" priority="16"/>
  </conditionalFormatting>
  <conditionalFormatting sqref="D348">
    <cfRule type="duplicateValues" dxfId="223" priority="4"/>
  </conditionalFormatting>
  <conditionalFormatting sqref="D356">
    <cfRule type="duplicateValues" dxfId="222" priority="12"/>
  </conditionalFormatting>
  <conditionalFormatting sqref="D357">
    <cfRule type="duplicateValues" dxfId="221" priority="11"/>
  </conditionalFormatting>
  <conditionalFormatting sqref="D358">
    <cfRule type="duplicateValues" dxfId="220" priority="10"/>
  </conditionalFormatting>
  <conditionalFormatting sqref="D363:D364">
    <cfRule type="duplicateValues" dxfId="219" priority="9"/>
  </conditionalFormatting>
  <conditionalFormatting sqref="D377">
    <cfRule type="duplicateValues" dxfId="218" priority="8"/>
  </conditionalFormatting>
  <conditionalFormatting sqref="D381">
    <cfRule type="duplicateValues" dxfId="217" priority="7"/>
  </conditionalFormatting>
  <conditionalFormatting sqref="D382">
    <cfRule type="duplicateValues" dxfId="216" priority="6"/>
  </conditionalFormatting>
  <conditionalFormatting sqref="D394">
    <cfRule type="duplicateValues" dxfId="215" priority="3"/>
  </conditionalFormatting>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7C4423-BC46-4DE4-8E2F-EDBDA06408CB}">
  <sheetPr codeName="Munka14"/>
  <dimension ref="A1:L17"/>
  <sheetViews>
    <sheetView workbookViewId="0">
      <selection activeCell="D10" sqref="D10"/>
    </sheetView>
  </sheetViews>
  <sheetFormatPr defaultColWidth="7.77734375" defaultRowHeight="21.1"/>
  <cols>
    <col min="1" max="2" width="2.33203125" style="685" customWidth="1"/>
    <col min="3" max="4" width="38.88671875" style="689" customWidth="1"/>
    <col min="5" max="5" width="38.88671875" style="685" customWidth="1"/>
    <col min="6" max="7" width="2.33203125" style="685" customWidth="1"/>
  </cols>
  <sheetData>
    <row r="1" spans="1:12" s="685" customFormat="1">
      <c r="A1" s="682"/>
      <c r="B1" s="682"/>
      <c r="C1" s="683"/>
      <c r="D1" s="683"/>
      <c r="E1" s="682"/>
      <c r="F1" s="682"/>
      <c r="G1" s="682"/>
    </row>
    <row r="2" spans="1:12">
      <c r="A2" s="682"/>
      <c r="B2" s="686"/>
      <c r="C2" s="687"/>
      <c r="D2" s="687"/>
      <c r="E2" s="686"/>
      <c r="F2" s="686"/>
      <c r="G2" s="682"/>
    </row>
    <row r="3" spans="1:12">
      <c r="A3" s="682"/>
      <c r="B3" s="686"/>
      <c r="C3" s="698" t="s">
        <v>5641</v>
      </c>
      <c r="D3" s="698" t="s">
        <v>5642</v>
      </c>
      <c r="E3" s="698" t="s">
        <v>5643</v>
      </c>
      <c r="F3" s="686"/>
      <c r="G3" s="682"/>
    </row>
    <row r="4" spans="1:12">
      <c r="A4" s="682"/>
      <c r="B4" s="686"/>
      <c r="C4" s="687"/>
      <c r="D4" s="687"/>
      <c r="E4" s="686"/>
      <c r="F4" s="686"/>
      <c r="G4" s="682"/>
    </row>
    <row r="5" spans="1:12">
      <c r="A5" s="682"/>
      <c r="B5" s="686"/>
      <c r="C5" s="696" t="s">
        <v>5644</v>
      </c>
      <c r="D5" s="696" t="s">
        <v>5645</v>
      </c>
      <c r="E5" s="696" t="s">
        <v>5646</v>
      </c>
      <c r="F5" s="686"/>
      <c r="G5" s="682"/>
    </row>
    <row r="6" spans="1:12">
      <c r="A6" s="682"/>
      <c r="B6" s="686"/>
      <c r="C6" s="697"/>
      <c r="D6" s="697"/>
      <c r="E6" s="697"/>
      <c r="F6" s="686"/>
      <c r="G6" s="682"/>
    </row>
    <row r="7" spans="1:12">
      <c r="A7" s="682"/>
      <c r="B7" s="686"/>
      <c r="C7" s="1240" t="s">
        <v>5962</v>
      </c>
      <c r="D7" s="1240" t="s">
        <v>5961</v>
      </c>
      <c r="E7" s="1240" t="s">
        <v>5963</v>
      </c>
      <c r="F7" s="686"/>
      <c r="G7" s="682"/>
    </row>
    <row r="8" spans="1:12">
      <c r="A8" s="682"/>
      <c r="B8" s="686"/>
      <c r="C8" s="685"/>
      <c r="D8" s="685"/>
      <c r="E8" s="697"/>
      <c r="F8" s="686"/>
      <c r="G8" s="682"/>
    </row>
    <row r="9" spans="1:12">
      <c r="A9" s="682"/>
      <c r="B9" s="686"/>
      <c r="C9" s="685"/>
      <c r="D9" s="685"/>
      <c r="E9" s="1240" t="s">
        <v>5964</v>
      </c>
      <c r="F9" s="686"/>
      <c r="G9" s="682"/>
    </row>
    <row r="10" spans="1:12">
      <c r="A10" s="682"/>
      <c r="B10" s="686"/>
      <c r="C10" s="687"/>
      <c r="D10" s="687"/>
      <c r="E10" s="686"/>
      <c r="F10" s="686"/>
      <c r="G10" s="682"/>
    </row>
    <row r="11" spans="1:12">
      <c r="A11" s="682"/>
      <c r="B11" s="682"/>
      <c r="C11" s="683"/>
      <c r="D11" s="683"/>
      <c r="E11" s="682"/>
      <c r="F11" s="682"/>
      <c r="G11" s="682"/>
    </row>
    <row r="13" spans="1:12" ht="40.950000000000003" customHeight="1">
      <c r="C13" s="1064" t="s">
        <v>5926</v>
      </c>
      <c r="D13" s="1065" t="s">
        <v>5927</v>
      </c>
      <c r="E13" s="1064"/>
    </row>
    <row r="14" spans="1:12">
      <c r="C14" s="689" t="s">
        <v>5993</v>
      </c>
      <c r="D14" s="1242" t="s">
        <v>5962</v>
      </c>
      <c r="E14" s="1242" t="s">
        <v>5994</v>
      </c>
      <c r="L14" s="70" t="s">
        <v>1269</v>
      </c>
    </row>
    <row r="15" spans="1:12">
      <c r="D15" s="1241" t="s">
        <v>5964</v>
      </c>
    </row>
    <row r="17" spans="3:4">
      <c r="C17" s="689" t="s">
        <v>5995</v>
      </c>
      <c r="D17" s="689" t="s">
        <v>5996</v>
      </c>
    </row>
  </sheetData>
  <hyperlinks>
    <hyperlink ref="D7" r:id="rId1" xr:uid="{EE79E676-D68D-4B20-B643-B6DC91F6F976}"/>
    <hyperlink ref="C7" r:id="rId2" xr:uid="{FAA3A793-6963-410C-A73B-79A19F93D189}"/>
    <hyperlink ref="E7" r:id="rId3" xr:uid="{308B44CB-DD91-4FAA-ABB9-3C3BE56A8E52}"/>
    <hyperlink ref="E9" r:id="rId4" xr:uid="{782CDBD8-6F2A-4182-9918-2B4F347EE790}"/>
    <hyperlink ref="E14" r:id="rId5" xr:uid="{6150D1EB-B71B-43C4-90BF-6D04F7AF4D25}"/>
    <hyperlink ref="D15" r:id="rId6" xr:uid="{7B4546D7-C94A-4735-BABD-0CAE3E3AC2F5}"/>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94C1C2-3654-DC40-81F9-E703D8783FD7}">
  <sheetPr codeName="Munka19"/>
  <dimension ref="A1:I3495"/>
  <sheetViews>
    <sheetView workbookViewId="0">
      <selection activeCell="B20" sqref="B20"/>
    </sheetView>
  </sheetViews>
  <sheetFormatPr defaultColWidth="10.77734375" defaultRowHeight="15.65"/>
  <cols>
    <col min="1" max="1" width="48.21875" style="109" customWidth="1"/>
    <col min="2" max="2" width="30.21875" style="109" customWidth="1"/>
    <col min="3" max="3" width="24.44140625" style="109" customWidth="1"/>
    <col min="4" max="4" width="16.44140625" style="109" customWidth="1"/>
    <col min="5" max="16384" width="10.77734375" style="109"/>
  </cols>
  <sheetData>
    <row r="1" spans="1:9" ht="16.3">
      <c r="A1" s="109" t="s">
        <v>2717</v>
      </c>
      <c r="D1" s="109" t="s">
        <v>5572</v>
      </c>
      <c r="E1" s="109" t="s">
        <v>2768</v>
      </c>
      <c r="H1" s="579" t="s">
        <v>2832</v>
      </c>
      <c r="I1" s="579" t="s">
        <v>2833</v>
      </c>
    </row>
    <row r="2" spans="1:9" ht="16.3">
      <c r="A2" s="109" t="s">
        <v>454</v>
      </c>
      <c r="D2" s="109" t="s">
        <v>2769</v>
      </c>
      <c r="E2" s="109" t="s">
        <v>2733</v>
      </c>
      <c r="H2" s="580">
        <v>2000</v>
      </c>
      <c r="I2" s="581" t="s">
        <v>1929</v>
      </c>
    </row>
    <row r="3" spans="1:9" ht="16.3">
      <c r="A3" s="109" t="s">
        <v>2718</v>
      </c>
      <c r="D3" s="109" t="s">
        <v>2770</v>
      </c>
      <c r="E3" s="109" t="s">
        <v>2418</v>
      </c>
      <c r="H3" s="580">
        <v>2009</v>
      </c>
      <c r="I3" s="581" t="s">
        <v>2834</v>
      </c>
    </row>
    <row r="4" spans="1:9" ht="16.3">
      <c r="A4" s="109" t="s">
        <v>2719</v>
      </c>
      <c r="H4" s="580">
        <v>2011</v>
      </c>
      <c r="I4" s="581" t="s">
        <v>2055</v>
      </c>
    </row>
    <row r="5" spans="1:9" ht="16.3">
      <c r="A5" s="109" t="s">
        <v>2720</v>
      </c>
      <c r="H5" s="580">
        <v>2013</v>
      </c>
      <c r="I5" s="581" t="s">
        <v>2023</v>
      </c>
    </row>
    <row r="6" spans="1:9" ht="16.3">
      <c r="A6" s="109" t="s">
        <v>2772</v>
      </c>
      <c r="H6" s="580">
        <v>2014</v>
      </c>
      <c r="I6" s="581" t="s">
        <v>2137</v>
      </c>
    </row>
    <row r="7" spans="1:9" ht="16.3">
      <c r="A7" s="109" t="s">
        <v>2773</v>
      </c>
      <c r="H7" s="580">
        <v>2015</v>
      </c>
      <c r="I7" s="581" t="s">
        <v>1981</v>
      </c>
    </row>
    <row r="8" spans="1:9" ht="16.3">
      <c r="H8" s="580">
        <v>2016</v>
      </c>
      <c r="I8" s="581" t="s">
        <v>2067</v>
      </c>
    </row>
    <row r="9" spans="1:9" ht="16.3">
      <c r="H9" s="580">
        <v>2017</v>
      </c>
      <c r="I9" s="581" t="s">
        <v>2128</v>
      </c>
    </row>
    <row r="10" spans="1:9" ht="16.3">
      <c r="H10" s="580">
        <v>2021</v>
      </c>
      <c r="I10" s="581" t="s">
        <v>1985</v>
      </c>
    </row>
    <row r="11" spans="1:9" ht="16.3">
      <c r="H11" s="580">
        <v>2022</v>
      </c>
      <c r="I11" s="581" t="s">
        <v>1985</v>
      </c>
    </row>
    <row r="12" spans="1:9" ht="16.3">
      <c r="H12" s="580">
        <v>2023</v>
      </c>
      <c r="I12" s="581" t="s">
        <v>2835</v>
      </c>
    </row>
    <row r="13" spans="1:9" ht="16.3">
      <c r="H13" s="580">
        <v>2024</v>
      </c>
      <c r="I13" s="581" t="s">
        <v>2836</v>
      </c>
    </row>
    <row r="14" spans="1:9" ht="16.3">
      <c r="H14" s="580">
        <v>2025</v>
      </c>
      <c r="I14" s="581" t="s">
        <v>2837</v>
      </c>
    </row>
    <row r="15" spans="1:9" ht="16.3">
      <c r="H15" s="580">
        <v>2026</v>
      </c>
      <c r="I15" s="581" t="s">
        <v>2837</v>
      </c>
    </row>
    <row r="16" spans="1:9" ht="16.3">
      <c r="H16" s="580">
        <v>2027</v>
      </c>
      <c r="I16" s="581" t="s">
        <v>2838</v>
      </c>
    </row>
    <row r="17" spans="1:9" ht="16.3">
      <c r="H17" s="580">
        <v>2028</v>
      </c>
      <c r="I17" s="581" t="s">
        <v>2190</v>
      </c>
    </row>
    <row r="18" spans="1:9" ht="16.3">
      <c r="H18" s="580">
        <v>2030</v>
      </c>
      <c r="I18" s="581" t="s">
        <v>1971</v>
      </c>
    </row>
    <row r="19" spans="1:9" ht="16.3">
      <c r="A19" s="109" t="s">
        <v>2777</v>
      </c>
      <c r="B19" s="109" t="s">
        <v>2778</v>
      </c>
      <c r="C19" s="109" t="s">
        <v>2779</v>
      </c>
      <c r="H19" s="580">
        <v>2038</v>
      </c>
      <c r="I19" s="581" t="s">
        <v>2071</v>
      </c>
    </row>
    <row r="20" spans="1:9" ht="16.3">
      <c r="A20" s="109" t="s">
        <v>2788</v>
      </c>
      <c r="B20" s="109" t="s">
        <v>2415</v>
      </c>
      <c r="C20" s="431">
        <v>3500</v>
      </c>
      <c r="H20" s="580">
        <v>2039</v>
      </c>
      <c r="I20" s="581" t="s">
        <v>2839</v>
      </c>
    </row>
    <row r="21" spans="1:9" ht="16.3">
      <c r="A21" s="109" t="s">
        <v>2789</v>
      </c>
      <c r="B21" s="109" t="s">
        <v>2416</v>
      </c>
      <c r="C21" s="431">
        <v>6000</v>
      </c>
      <c r="H21" s="580">
        <v>2040</v>
      </c>
      <c r="I21" s="581" t="s">
        <v>2000</v>
      </c>
    </row>
    <row r="22" spans="1:9" ht="16.3">
      <c r="A22" s="109" t="s">
        <v>2790</v>
      </c>
      <c r="B22" s="109" t="s">
        <v>2417</v>
      </c>
      <c r="C22" s="431">
        <v>7000</v>
      </c>
      <c r="H22" s="580">
        <v>2045</v>
      </c>
      <c r="I22" s="581" t="s">
        <v>2100</v>
      </c>
    </row>
    <row r="23" spans="1:9" ht="16.3">
      <c r="A23" s="109" t="s">
        <v>2791</v>
      </c>
      <c r="B23" s="109" t="s">
        <v>2809</v>
      </c>
      <c r="C23" s="431">
        <v>2000</v>
      </c>
      <c r="H23" s="580">
        <v>2049</v>
      </c>
      <c r="I23" s="581" t="s">
        <v>2040</v>
      </c>
    </row>
    <row r="24" spans="1:9" ht="16.3">
      <c r="A24" s="109" t="s">
        <v>5928</v>
      </c>
      <c r="B24" s="109" t="s">
        <v>5929</v>
      </c>
      <c r="C24" s="431">
        <v>0</v>
      </c>
      <c r="H24" s="580">
        <v>2051</v>
      </c>
      <c r="I24" s="581" t="s">
        <v>2184</v>
      </c>
    </row>
    <row r="25" spans="1:9" ht="16.3">
      <c r="H25" s="580">
        <v>2053</v>
      </c>
      <c r="I25" s="581" t="s">
        <v>2154</v>
      </c>
    </row>
    <row r="26" spans="1:9" ht="16.3">
      <c r="H26" s="580">
        <v>2060</v>
      </c>
      <c r="I26" s="581" t="s">
        <v>2088</v>
      </c>
    </row>
    <row r="27" spans="1:9" ht="16.3">
      <c r="H27" s="580">
        <v>2063</v>
      </c>
      <c r="I27" s="581" t="s">
        <v>2840</v>
      </c>
    </row>
    <row r="28" spans="1:9" ht="16.3">
      <c r="H28" s="580">
        <v>2064</v>
      </c>
      <c r="I28" s="581" t="s">
        <v>2138</v>
      </c>
    </row>
    <row r="29" spans="1:9" ht="16.3">
      <c r="H29" s="580">
        <v>2065</v>
      </c>
      <c r="I29" s="581" t="s">
        <v>2841</v>
      </c>
    </row>
    <row r="30" spans="1:9" ht="16.3">
      <c r="H30" s="580">
        <v>2066</v>
      </c>
      <c r="I30" s="581" t="s">
        <v>2238</v>
      </c>
    </row>
    <row r="31" spans="1:9" ht="16.3">
      <c r="H31" s="580">
        <v>2066</v>
      </c>
      <c r="I31" s="581" t="s">
        <v>2842</v>
      </c>
    </row>
    <row r="32" spans="1:9" ht="16.3">
      <c r="H32" s="580">
        <v>2067</v>
      </c>
      <c r="I32" s="581" t="s">
        <v>2843</v>
      </c>
    </row>
    <row r="33" spans="8:9" ht="16.3">
      <c r="H33" s="580">
        <v>2071</v>
      </c>
      <c r="I33" s="581" t="s">
        <v>2210</v>
      </c>
    </row>
    <row r="34" spans="8:9" ht="16.3">
      <c r="H34" s="580">
        <v>2072</v>
      </c>
      <c r="I34" s="581" t="s">
        <v>2010</v>
      </c>
    </row>
    <row r="35" spans="8:9" ht="16.3">
      <c r="H35" s="580">
        <v>2073</v>
      </c>
      <c r="I35" s="581" t="s">
        <v>2333</v>
      </c>
    </row>
    <row r="36" spans="8:9" ht="16.3">
      <c r="H36" s="580">
        <v>2074</v>
      </c>
      <c r="I36" s="581" t="s">
        <v>2844</v>
      </c>
    </row>
    <row r="37" spans="8:9" ht="16.3">
      <c r="H37" s="580">
        <v>2080</v>
      </c>
      <c r="I37" s="581" t="s">
        <v>2845</v>
      </c>
    </row>
    <row r="38" spans="8:9" ht="16.3">
      <c r="H38" s="580">
        <v>2081</v>
      </c>
      <c r="I38" s="581" t="s">
        <v>2846</v>
      </c>
    </row>
    <row r="39" spans="8:9" ht="16.3">
      <c r="H39" s="580">
        <v>2083</v>
      </c>
      <c r="I39" s="581" t="s">
        <v>2104</v>
      </c>
    </row>
    <row r="40" spans="8:9" ht="16.3">
      <c r="H40" s="580">
        <v>2084</v>
      </c>
      <c r="I40" s="581" t="s">
        <v>2065</v>
      </c>
    </row>
    <row r="41" spans="8:9" ht="16.3">
      <c r="H41" s="580">
        <v>2085</v>
      </c>
      <c r="I41" s="581" t="s">
        <v>1957</v>
      </c>
    </row>
    <row r="42" spans="8:9" ht="16.3">
      <c r="H42" s="580">
        <v>2086</v>
      </c>
      <c r="I42" s="581" t="s">
        <v>1989</v>
      </c>
    </row>
    <row r="43" spans="8:9" ht="16.3">
      <c r="H43" s="580">
        <v>2089</v>
      </c>
      <c r="I43" s="581" t="s">
        <v>2236</v>
      </c>
    </row>
    <row r="44" spans="8:9" ht="16.3">
      <c r="H44" s="580">
        <v>2090</v>
      </c>
      <c r="I44" s="581" t="s">
        <v>2216</v>
      </c>
    </row>
    <row r="45" spans="8:9" ht="16.3">
      <c r="H45" s="580">
        <v>2091</v>
      </c>
      <c r="I45" s="581" t="s">
        <v>2278</v>
      </c>
    </row>
    <row r="46" spans="8:9" ht="16.3">
      <c r="H46" s="580">
        <v>2092</v>
      </c>
      <c r="I46" s="581" t="s">
        <v>1934</v>
      </c>
    </row>
    <row r="47" spans="8:9" ht="16.3">
      <c r="H47" s="580">
        <v>2093</v>
      </c>
      <c r="I47" s="581" t="s">
        <v>2847</v>
      </c>
    </row>
    <row r="48" spans="8:9" ht="16.3">
      <c r="H48" s="580">
        <v>2094</v>
      </c>
      <c r="I48" s="581" t="s">
        <v>1945</v>
      </c>
    </row>
    <row r="49" spans="8:9" ht="16.3">
      <c r="H49" s="580">
        <v>2095</v>
      </c>
      <c r="I49" s="581" t="s">
        <v>1936</v>
      </c>
    </row>
    <row r="50" spans="8:9" ht="16.3">
      <c r="H50" s="580">
        <v>2096</v>
      </c>
      <c r="I50" s="581" t="s">
        <v>2077</v>
      </c>
    </row>
    <row r="51" spans="8:9" ht="16.3">
      <c r="H51" s="580">
        <v>2097</v>
      </c>
      <c r="I51" s="581" t="s">
        <v>1919</v>
      </c>
    </row>
    <row r="52" spans="8:9" ht="16.3">
      <c r="H52" s="580">
        <v>2098</v>
      </c>
      <c r="I52" s="581" t="s">
        <v>2289</v>
      </c>
    </row>
    <row r="53" spans="8:9" ht="16.3">
      <c r="H53" s="580">
        <v>2099</v>
      </c>
      <c r="I53" s="581" t="s">
        <v>2289</v>
      </c>
    </row>
    <row r="54" spans="8:9" ht="16.3">
      <c r="H54" s="580">
        <v>2100</v>
      </c>
      <c r="I54" s="581" t="s">
        <v>1938</v>
      </c>
    </row>
    <row r="55" spans="8:9" ht="16.3">
      <c r="H55" s="580">
        <v>2111</v>
      </c>
      <c r="I55" s="581" t="s">
        <v>1931</v>
      </c>
    </row>
    <row r="56" spans="8:9" ht="16.3">
      <c r="H56" s="580">
        <v>2112</v>
      </c>
      <c r="I56" s="581" t="s">
        <v>2078</v>
      </c>
    </row>
    <row r="57" spans="8:9" ht="16.3">
      <c r="H57" s="580">
        <v>2113</v>
      </c>
      <c r="I57" s="581" t="s">
        <v>2153</v>
      </c>
    </row>
    <row r="58" spans="8:9" ht="16.3">
      <c r="H58" s="580">
        <v>2114</v>
      </c>
      <c r="I58" s="581" t="s">
        <v>2848</v>
      </c>
    </row>
    <row r="59" spans="8:9" ht="16.3">
      <c r="H59" s="580">
        <v>2115</v>
      </c>
      <c r="I59" s="581" t="s">
        <v>2222</v>
      </c>
    </row>
    <row r="60" spans="8:9" ht="16.3">
      <c r="H60" s="580">
        <v>2116</v>
      </c>
      <c r="I60" s="581" t="s">
        <v>2849</v>
      </c>
    </row>
    <row r="61" spans="8:9" ht="16.3">
      <c r="H61" s="580">
        <v>2117</v>
      </c>
      <c r="I61" s="581" t="s">
        <v>2106</v>
      </c>
    </row>
    <row r="62" spans="8:9" ht="16.3">
      <c r="H62" s="580">
        <v>2118</v>
      </c>
      <c r="I62" s="581" t="s">
        <v>1946</v>
      </c>
    </row>
    <row r="63" spans="8:9" ht="16.3">
      <c r="H63" s="580">
        <v>2119</v>
      </c>
      <c r="I63" s="581" t="s">
        <v>1977</v>
      </c>
    </row>
    <row r="64" spans="8:9" ht="16.3">
      <c r="H64" s="580">
        <v>2120</v>
      </c>
      <c r="I64" s="581" t="s">
        <v>1922</v>
      </c>
    </row>
    <row r="65" spans="8:9" ht="16.3">
      <c r="H65" s="580">
        <v>2131</v>
      </c>
      <c r="I65" s="581" t="s">
        <v>2005</v>
      </c>
    </row>
    <row r="66" spans="8:9" ht="16.3">
      <c r="H66" s="580">
        <v>2132</v>
      </c>
      <c r="I66" s="581" t="s">
        <v>2005</v>
      </c>
    </row>
    <row r="67" spans="8:9" ht="16.3">
      <c r="H67" s="580">
        <v>2133</v>
      </c>
      <c r="I67" s="581" t="s">
        <v>2246</v>
      </c>
    </row>
    <row r="68" spans="8:9" ht="16.3">
      <c r="H68" s="580">
        <v>2134</v>
      </c>
      <c r="I68" s="581" t="s">
        <v>2090</v>
      </c>
    </row>
    <row r="69" spans="8:9" ht="16.3">
      <c r="H69" s="580">
        <v>2135</v>
      </c>
      <c r="I69" s="580" t="s">
        <v>2850</v>
      </c>
    </row>
    <row r="70" spans="8:9" ht="16.3">
      <c r="H70" s="580">
        <v>2141</v>
      </c>
      <c r="I70" s="581" t="s">
        <v>1980</v>
      </c>
    </row>
    <row r="71" spans="8:9" ht="16.3">
      <c r="H71" s="580">
        <v>2142</v>
      </c>
      <c r="I71" s="581" t="s">
        <v>2280</v>
      </c>
    </row>
    <row r="72" spans="8:9" ht="16.3">
      <c r="H72" s="580">
        <v>2143</v>
      </c>
      <c r="I72" s="581" t="s">
        <v>2158</v>
      </c>
    </row>
    <row r="73" spans="8:9" ht="16.3">
      <c r="H73" s="580">
        <v>2144</v>
      </c>
      <c r="I73" s="581" t="s">
        <v>2851</v>
      </c>
    </row>
    <row r="74" spans="8:9" ht="16.3">
      <c r="H74" s="580">
        <v>2145</v>
      </c>
      <c r="I74" s="581" t="s">
        <v>2851</v>
      </c>
    </row>
    <row r="75" spans="8:9" ht="16.3">
      <c r="H75" s="580">
        <v>2146</v>
      </c>
      <c r="I75" s="581" t="s">
        <v>1988</v>
      </c>
    </row>
    <row r="76" spans="8:9" ht="16.3">
      <c r="H76" s="580">
        <v>2151</v>
      </c>
      <c r="I76" s="581" t="s">
        <v>1935</v>
      </c>
    </row>
    <row r="77" spans="8:9" ht="16.3">
      <c r="H77" s="580">
        <v>2161</v>
      </c>
      <c r="I77" s="581" t="s">
        <v>2852</v>
      </c>
    </row>
    <row r="78" spans="8:9" ht="16.3">
      <c r="H78" s="580">
        <v>2162</v>
      </c>
      <c r="I78" s="581" t="s">
        <v>2207</v>
      </c>
    </row>
    <row r="79" spans="8:9" ht="16.3">
      <c r="H79" s="580">
        <v>2163</v>
      </c>
      <c r="I79" s="581" t="s">
        <v>2062</v>
      </c>
    </row>
    <row r="80" spans="8:9" ht="16.3">
      <c r="H80" s="580">
        <v>2164</v>
      </c>
      <c r="I80" s="581" t="s">
        <v>2853</v>
      </c>
    </row>
    <row r="81" spans="8:9" ht="16.3">
      <c r="H81" s="580">
        <v>2165</v>
      </c>
      <c r="I81" s="581" t="s">
        <v>2003</v>
      </c>
    </row>
    <row r="82" spans="8:9" ht="16.3">
      <c r="H82" s="580">
        <v>2166</v>
      </c>
      <c r="I82" s="581" t="s">
        <v>2854</v>
      </c>
    </row>
    <row r="83" spans="8:9" ht="16.3">
      <c r="H83" s="580">
        <v>2167</v>
      </c>
      <c r="I83" s="581" t="s">
        <v>2059</v>
      </c>
    </row>
    <row r="84" spans="8:9" ht="16.3">
      <c r="H84" s="580">
        <v>2170</v>
      </c>
      <c r="I84" s="581" t="s">
        <v>2122</v>
      </c>
    </row>
    <row r="85" spans="8:9" ht="16.3">
      <c r="H85" s="580">
        <v>2173</v>
      </c>
      <c r="I85" s="581" t="s">
        <v>2110</v>
      </c>
    </row>
    <row r="86" spans="8:9" ht="16.3">
      <c r="H86" s="580">
        <v>2174</v>
      </c>
      <c r="I86" s="581" t="s">
        <v>1972</v>
      </c>
    </row>
    <row r="87" spans="8:9" ht="16.3">
      <c r="H87" s="580">
        <v>2175</v>
      </c>
      <c r="I87" s="581" t="s">
        <v>2855</v>
      </c>
    </row>
    <row r="88" spans="8:9" ht="16.3">
      <c r="H88" s="580">
        <v>2176</v>
      </c>
      <c r="I88" s="581" t="s">
        <v>2856</v>
      </c>
    </row>
    <row r="89" spans="8:9" ht="16.3">
      <c r="H89" s="580">
        <v>2177</v>
      </c>
      <c r="I89" s="581" t="s">
        <v>2857</v>
      </c>
    </row>
    <row r="90" spans="8:9" ht="16.3">
      <c r="H90" s="580">
        <v>2181</v>
      </c>
      <c r="I90" s="581" t="s">
        <v>2063</v>
      </c>
    </row>
    <row r="91" spans="8:9" ht="16.3">
      <c r="H91" s="580">
        <v>2182</v>
      </c>
      <c r="I91" s="581" t="s">
        <v>2316</v>
      </c>
    </row>
    <row r="92" spans="8:9" ht="16.3">
      <c r="H92" s="580">
        <v>2183</v>
      </c>
      <c r="I92" s="581" t="s">
        <v>2117</v>
      </c>
    </row>
    <row r="93" spans="8:9" ht="16.3">
      <c r="H93" s="580">
        <v>2184</v>
      </c>
      <c r="I93" s="581" t="s">
        <v>2858</v>
      </c>
    </row>
    <row r="94" spans="8:9" ht="16.3">
      <c r="H94" s="580">
        <v>2185</v>
      </c>
      <c r="I94" s="581" t="s">
        <v>2859</v>
      </c>
    </row>
    <row r="95" spans="8:9" ht="16.3">
      <c r="H95" s="580">
        <v>2191</v>
      </c>
      <c r="I95" s="581" t="s">
        <v>2860</v>
      </c>
    </row>
    <row r="96" spans="8:9" ht="16.3">
      <c r="H96" s="580">
        <v>2192</v>
      </c>
      <c r="I96" s="581" t="s">
        <v>1944</v>
      </c>
    </row>
    <row r="97" spans="8:9" ht="16.3">
      <c r="H97" s="580">
        <v>2193</v>
      </c>
      <c r="I97" s="581" t="s">
        <v>2306</v>
      </c>
    </row>
    <row r="98" spans="8:9" ht="16.3">
      <c r="H98" s="580">
        <v>2194</v>
      </c>
      <c r="I98" s="581" t="s">
        <v>1942</v>
      </c>
    </row>
    <row r="99" spans="8:9" ht="16.3">
      <c r="H99" s="580">
        <v>2200</v>
      </c>
      <c r="I99" s="581" t="s">
        <v>2108</v>
      </c>
    </row>
    <row r="100" spans="8:9" ht="16.3">
      <c r="H100" s="580">
        <v>2209</v>
      </c>
      <c r="I100" s="581" t="s">
        <v>2861</v>
      </c>
    </row>
    <row r="101" spans="8:9" ht="16.3">
      <c r="H101" s="580">
        <v>2211</v>
      </c>
      <c r="I101" s="581" t="s">
        <v>2862</v>
      </c>
    </row>
    <row r="102" spans="8:9" ht="16.3">
      <c r="H102" s="580">
        <v>2212</v>
      </c>
      <c r="I102" s="581" t="s">
        <v>2201</v>
      </c>
    </row>
    <row r="103" spans="8:9" ht="16.3">
      <c r="H103" s="580">
        <v>2213</v>
      </c>
      <c r="I103" s="581" t="s">
        <v>2337</v>
      </c>
    </row>
    <row r="104" spans="8:9" ht="16.3">
      <c r="H104" s="580">
        <v>2214</v>
      </c>
      <c r="I104" s="581" t="s">
        <v>2017</v>
      </c>
    </row>
    <row r="105" spans="8:9" ht="16.3">
      <c r="H105" s="580">
        <v>2215</v>
      </c>
      <c r="I105" s="581" t="s">
        <v>2863</v>
      </c>
    </row>
    <row r="106" spans="8:9" ht="16.3">
      <c r="H106" s="580">
        <v>2216</v>
      </c>
      <c r="I106" s="581" t="s">
        <v>2864</v>
      </c>
    </row>
    <row r="107" spans="8:9" ht="16.3">
      <c r="H107" s="580">
        <v>2217</v>
      </c>
      <c r="I107" s="581" t="s">
        <v>2865</v>
      </c>
    </row>
    <row r="108" spans="8:9" ht="16.3">
      <c r="H108" s="580">
        <v>2220</v>
      </c>
      <c r="I108" s="581" t="s">
        <v>1940</v>
      </c>
    </row>
    <row r="109" spans="8:9" ht="16.3">
      <c r="H109" s="580">
        <v>2225</v>
      </c>
      <c r="I109" s="581" t="s">
        <v>2066</v>
      </c>
    </row>
    <row r="110" spans="8:9" ht="16.3">
      <c r="H110" s="580">
        <v>2230</v>
      </c>
      <c r="I110" s="581" t="s">
        <v>2057</v>
      </c>
    </row>
    <row r="111" spans="8:9" ht="16.3">
      <c r="H111" s="580">
        <v>2233</v>
      </c>
      <c r="I111" s="581" t="s">
        <v>2166</v>
      </c>
    </row>
    <row r="112" spans="8:9" ht="16.3">
      <c r="H112" s="580">
        <v>2234</v>
      </c>
      <c r="I112" s="581" t="s">
        <v>2229</v>
      </c>
    </row>
    <row r="113" spans="8:9" ht="16.3">
      <c r="H113" s="580">
        <v>2235</v>
      </c>
      <c r="I113" s="581" t="s">
        <v>2044</v>
      </c>
    </row>
    <row r="114" spans="8:9" ht="16.3">
      <c r="H114" s="580">
        <v>2241</v>
      </c>
      <c r="I114" s="581" t="s">
        <v>2866</v>
      </c>
    </row>
    <row r="115" spans="8:9" ht="16.3">
      <c r="H115" s="580">
        <v>2243</v>
      </c>
      <c r="I115" s="581" t="s">
        <v>2033</v>
      </c>
    </row>
    <row r="116" spans="8:9" ht="16.3">
      <c r="H116" s="580">
        <v>2244</v>
      </c>
      <c r="I116" s="581" t="s">
        <v>2235</v>
      </c>
    </row>
    <row r="117" spans="8:9" ht="16.3">
      <c r="H117" s="580">
        <v>2251</v>
      </c>
      <c r="I117" s="581" t="s">
        <v>2297</v>
      </c>
    </row>
    <row r="118" spans="8:9" ht="16.3">
      <c r="H118" s="580">
        <v>2252</v>
      </c>
      <c r="I118" s="581" t="s">
        <v>2092</v>
      </c>
    </row>
    <row r="119" spans="8:9" ht="16.3">
      <c r="H119" s="580">
        <v>2253</v>
      </c>
      <c r="I119" s="581" t="s">
        <v>2867</v>
      </c>
    </row>
    <row r="120" spans="8:9" ht="16.3">
      <c r="H120" s="580">
        <v>2254</v>
      </c>
      <c r="I120" s="581" t="s">
        <v>2221</v>
      </c>
    </row>
    <row r="121" spans="8:9" ht="16.3">
      <c r="H121" s="580">
        <v>2255</v>
      </c>
      <c r="I121" s="581" t="s">
        <v>2868</v>
      </c>
    </row>
    <row r="122" spans="8:9" ht="16.3">
      <c r="H122" s="580">
        <v>2300</v>
      </c>
      <c r="I122" s="581" t="s">
        <v>1943</v>
      </c>
    </row>
    <row r="123" spans="8:9" ht="16.3">
      <c r="H123" s="580">
        <v>2309</v>
      </c>
      <c r="I123" s="581" t="s">
        <v>2869</v>
      </c>
    </row>
    <row r="124" spans="8:9" ht="16.3">
      <c r="H124" s="580">
        <v>2310</v>
      </c>
      <c r="I124" s="581" t="s">
        <v>2087</v>
      </c>
    </row>
    <row r="125" spans="8:9" ht="16.3">
      <c r="H125" s="580">
        <v>2314</v>
      </c>
      <c r="I125" s="581" t="s">
        <v>2241</v>
      </c>
    </row>
    <row r="126" spans="8:9" ht="16.3">
      <c r="H126" s="580">
        <v>2315</v>
      </c>
      <c r="I126" s="581" t="s">
        <v>1996</v>
      </c>
    </row>
    <row r="127" spans="8:9" ht="16.3">
      <c r="H127" s="580">
        <v>2316</v>
      </c>
      <c r="I127" s="581" t="s">
        <v>1999</v>
      </c>
    </row>
    <row r="128" spans="8:9" ht="16.3">
      <c r="H128" s="580">
        <v>2317</v>
      </c>
      <c r="I128" s="581" t="s">
        <v>2870</v>
      </c>
    </row>
    <row r="129" spans="8:9" ht="16.3">
      <c r="H129" s="580">
        <v>2318</v>
      </c>
      <c r="I129" s="581" t="s">
        <v>2871</v>
      </c>
    </row>
    <row r="130" spans="8:9" ht="16.3">
      <c r="H130" s="580">
        <v>2319</v>
      </c>
      <c r="I130" s="581" t="s">
        <v>2872</v>
      </c>
    </row>
    <row r="131" spans="8:9" ht="16.3">
      <c r="H131" s="580">
        <v>2321</v>
      </c>
      <c r="I131" s="581" t="s">
        <v>2253</v>
      </c>
    </row>
    <row r="132" spans="8:9" ht="16.3">
      <c r="H132" s="580">
        <v>2322</v>
      </c>
      <c r="I132" s="581" t="s">
        <v>2873</v>
      </c>
    </row>
    <row r="133" spans="8:9" ht="16.3">
      <c r="H133" s="580">
        <v>2330</v>
      </c>
      <c r="I133" s="581" t="s">
        <v>2034</v>
      </c>
    </row>
    <row r="134" spans="8:9" ht="16.3">
      <c r="H134" s="580">
        <v>2335</v>
      </c>
      <c r="I134" s="581" t="s">
        <v>2325</v>
      </c>
    </row>
    <row r="135" spans="8:9" ht="16.3">
      <c r="H135" s="580">
        <v>2336</v>
      </c>
      <c r="I135" s="581" t="s">
        <v>2321</v>
      </c>
    </row>
    <row r="136" spans="8:9" ht="16.3">
      <c r="H136" s="580">
        <v>2337</v>
      </c>
      <c r="I136" s="581" t="s">
        <v>2279</v>
      </c>
    </row>
    <row r="137" spans="8:9" ht="16.3">
      <c r="H137" s="580">
        <v>2338</v>
      </c>
      <c r="I137" s="581" t="s">
        <v>2323</v>
      </c>
    </row>
    <row r="138" spans="8:9" ht="16.3">
      <c r="H138" s="580">
        <v>2339</v>
      </c>
      <c r="I138" s="581" t="s">
        <v>2874</v>
      </c>
    </row>
    <row r="139" spans="8:9" ht="16.3">
      <c r="H139" s="580">
        <v>2340</v>
      </c>
      <c r="I139" s="581" t="s">
        <v>2037</v>
      </c>
    </row>
    <row r="140" spans="8:9" ht="16.3">
      <c r="H140" s="580">
        <v>2344</v>
      </c>
      <c r="I140" s="581" t="s">
        <v>2139</v>
      </c>
    </row>
    <row r="141" spans="8:9" ht="16.3">
      <c r="H141" s="580">
        <v>2345</v>
      </c>
      <c r="I141" s="581" t="s">
        <v>2875</v>
      </c>
    </row>
    <row r="142" spans="8:9" ht="16.3">
      <c r="H142" s="580">
        <v>2347</v>
      </c>
      <c r="I142" s="581" t="s">
        <v>2876</v>
      </c>
    </row>
    <row r="143" spans="8:9" ht="16.3">
      <c r="H143" s="580">
        <v>2351</v>
      </c>
      <c r="I143" s="581" t="s">
        <v>2234</v>
      </c>
    </row>
    <row r="144" spans="8:9" ht="16.3">
      <c r="H144" s="580">
        <v>2360</v>
      </c>
      <c r="I144" s="581" t="s">
        <v>1960</v>
      </c>
    </row>
    <row r="145" spans="8:9" ht="16.3">
      <c r="H145" s="580">
        <v>2363</v>
      </c>
      <c r="I145" s="581" t="s">
        <v>2298</v>
      </c>
    </row>
    <row r="146" spans="8:9" ht="16.3">
      <c r="H146" s="580">
        <v>2364</v>
      </c>
      <c r="I146" s="581" t="s">
        <v>2202</v>
      </c>
    </row>
    <row r="147" spans="8:9" ht="16.3">
      <c r="H147" s="580">
        <v>2365</v>
      </c>
      <c r="I147" s="581" t="s">
        <v>2877</v>
      </c>
    </row>
    <row r="148" spans="8:9" ht="16.3">
      <c r="H148" s="580">
        <v>2366</v>
      </c>
      <c r="I148" s="581" t="s">
        <v>2878</v>
      </c>
    </row>
    <row r="149" spans="8:9" ht="16.3">
      <c r="H149" s="580">
        <v>2367</v>
      </c>
      <c r="I149" s="581" t="s">
        <v>2082</v>
      </c>
    </row>
    <row r="150" spans="8:9" ht="16.3">
      <c r="H150" s="580">
        <v>2370</v>
      </c>
      <c r="I150" s="581" t="s">
        <v>2014</v>
      </c>
    </row>
    <row r="151" spans="8:9" ht="16.3">
      <c r="H151" s="580">
        <v>2371</v>
      </c>
      <c r="I151" s="581" t="s">
        <v>2014</v>
      </c>
    </row>
    <row r="152" spans="8:9" ht="16.3">
      <c r="H152" s="580">
        <v>2373</v>
      </c>
      <c r="I152" s="581" t="s">
        <v>2014</v>
      </c>
    </row>
    <row r="153" spans="8:9" ht="16.3">
      <c r="H153" s="580">
        <v>2375</v>
      </c>
      <c r="I153" s="581" t="s">
        <v>2879</v>
      </c>
    </row>
    <row r="154" spans="8:9" ht="16.3">
      <c r="H154" s="580">
        <v>2376</v>
      </c>
      <c r="I154" s="581" t="s">
        <v>2880</v>
      </c>
    </row>
    <row r="155" spans="8:9" ht="16.3">
      <c r="H155" s="580">
        <v>2377</v>
      </c>
      <c r="I155" s="581" t="s">
        <v>2020</v>
      </c>
    </row>
    <row r="156" spans="8:9" ht="16.3">
      <c r="H156" s="580">
        <v>2378</v>
      </c>
      <c r="I156" s="581" t="s">
        <v>2314</v>
      </c>
    </row>
    <row r="157" spans="8:9" ht="16.3">
      <c r="H157" s="580">
        <v>2381</v>
      </c>
      <c r="I157" s="581" t="s">
        <v>2881</v>
      </c>
    </row>
    <row r="158" spans="8:9" ht="16.3">
      <c r="H158" s="580">
        <v>2400</v>
      </c>
      <c r="I158" s="581" t="s">
        <v>1979</v>
      </c>
    </row>
    <row r="159" spans="8:9" ht="16.3">
      <c r="H159" s="580">
        <v>2407</v>
      </c>
      <c r="I159" s="581" t="s">
        <v>1979</v>
      </c>
    </row>
    <row r="160" spans="8:9" ht="16.3">
      <c r="H160" s="580">
        <v>2421</v>
      </c>
      <c r="I160" s="581" t="s">
        <v>2882</v>
      </c>
    </row>
    <row r="161" spans="8:9" ht="16.3">
      <c r="H161" s="580">
        <v>2422</v>
      </c>
      <c r="I161" s="581" t="s">
        <v>2883</v>
      </c>
    </row>
    <row r="162" spans="8:9" ht="16.3">
      <c r="H162" s="580">
        <v>2423</v>
      </c>
      <c r="I162" s="580" t="s">
        <v>2884</v>
      </c>
    </row>
    <row r="163" spans="8:9" ht="16.3">
      <c r="H163" s="580">
        <v>2424</v>
      </c>
      <c r="I163" s="581" t="s">
        <v>2885</v>
      </c>
    </row>
    <row r="164" spans="8:9" ht="16.3">
      <c r="H164" s="580">
        <v>2425</v>
      </c>
      <c r="I164" s="581" t="s">
        <v>2886</v>
      </c>
    </row>
    <row r="165" spans="8:9" ht="16.3">
      <c r="H165" s="580">
        <v>2426</v>
      </c>
      <c r="I165" s="581" t="s">
        <v>2887</v>
      </c>
    </row>
    <row r="166" spans="8:9" ht="16.3">
      <c r="H166" s="580">
        <v>2427</v>
      </c>
      <c r="I166" s="581" t="s">
        <v>2887</v>
      </c>
    </row>
    <row r="167" spans="8:9" ht="16.3">
      <c r="H167" s="580">
        <v>2428</v>
      </c>
      <c r="I167" s="581" t="s">
        <v>2888</v>
      </c>
    </row>
    <row r="168" spans="8:9" ht="16.3">
      <c r="H168" s="580">
        <v>2431</v>
      </c>
      <c r="I168" s="581" t="s">
        <v>2889</v>
      </c>
    </row>
    <row r="169" spans="8:9" ht="16.3">
      <c r="H169" s="580">
        <v>2432</v>
      </c>
      <c r="I169" s="581" t="s">
        <v>2890</v>
      </c>
    </row>
    <row r="170" spans="8:9" ht="16.3">
      <c r="H170" s="580">
        <v>2433</v>
      </c>
      <c r="I170" s="581" t="s">
        <v>2891</v>
      </c>
    </row>
    <row r="171" spans="8:9" ht="16.3">
      <c r="H171" s="580">
        <v>2434</v>
      </c>
      <c r="I171" s="581" t="s">
        <v>2892</v>
      </c>
    </row>
    <row r="172" spans="8:9" ht="16.3">
      <c r="H172" s="580">
        <v>2435</v>
      </c>
      <c r="I172" s="581" t="s">
        <v>2893</v>
      </c>
    </row>
    <row r="173" spans="8:9" ht="16.3">
      <c r="H173" s="580">
        <v>2440</v>
      </c>
      <c r="I173" s="581" t="s">
        <v>2107</v>
      </c>
    </row>
    <row r="174" spans="8:9" ht="16.3">
      <c r="H174" s="580">
        <v>2451</v>
      </c>
      <c r="I174" s="581" t="s">
        <v>2894</v>
      </c>
    </row>
    <row r="175" spans="8:9" ht="16.3">
      <c r="H175" s="580">
        <v>2453</v>
      </c>
      <c r="I175" s="581" t="s">
        <v>2894</v>
      </c>
    </row>
    <row r="176" spans="8:9" ht="16.3">
      <c r="H176" s="580">
        <v>2454</v>
      </c>
      <c r="I176" s="581" t="s">
        <v>2895</v>
      </c>
    </row>
    <row r="177" spans="8:9" ht="16.3">
      <c r="H177" s="580">
        <v>2455</v>
      </c>
      <c r="I177" s="581" t="s">
        <v>2896</v>
      </c>
    </row>
    <row r="178" spans="8:9" ht="16.3">
      <c r="H178" s="580">
        <v>2456</v>
      </c>
      <c r="I178" s="581" t="s">
        <v>2296</v>
      </c>
    </row>
    <row r="179" spans="8:9" ht="16.3">
      <c r="H179" s="580">
        <v>2457</v>
      </c>
      <c r="I179" s="581" t="s">
        <v>2897</v>
      </c>
    </row>
    <row r="180" spans="8:9" ht="16.3">
      <c r="H180" s="580">
        <v>2458</v>
      </c>
      <c r="I180" s="581" t="s">
        <v>2305</v>
      </c>
    </row>
    <row r="181" spans="8:9" ht="16.3">
      <c r="H181" s="580">
        <v>2459</v>
      </c>
      <c r="I181" s="581" t="s">
        <v>2049</v>
      </c>
    </row>
    <row r="182" spans="8:9" ht="16.3">
      <c r="H182" s="580">
        <v>2461</v>
      </c>
      <c r="I182" s="581" t="s">
        <v>2263</v>
      </c>
    </row>
    <row r="183" spans="8:9" ht="16.3">
      <c r="H183" s="580">
        <v>2462</v>
      </c>
      <c r="I183" s="581" t="s">
        <v>2898</v>
      </c>
    </row>
    <row r="184" spans="8:9" ht="16.3">
      <c r="H184" s="580">
        <v>2463</v>
      </c>
      <c r="I184" s="581" t="s">
        <v>2294</v>
      </c>
    </row>
    <row r="185" spans="8:9" ht="16.3">
      <c r="H185" s="580">
        <v>2464</v>
      </c>
      <c r="I185" s="581" t="s">
        <v>2899</v>
      </c>
    </row>
    <row r="186" spans="8:9" ht="16.3">
      <c r="H186" s="580">
        <v>2465</v>
      </c>
      <c r="I186" s="581" t="s">
        <v>2900</v>
      </c>
    </row>
    <row r="187" spans="8:9" ht="16.3">
      <c r="H187" s="580">
        <v>2471</v>
      </c>
      <c r="I187" s="581" t="s">
        <v>2901</v>
      </c>
    </row>
    <row r="188" spans="8:9" ht="16.3">
      <c r="H188" s="580">
        <v>2472</v>
      </c>
      <c r="I188" s="581" t="s">
        <v>2902</v>
      </c>
    </row>
    <row r="189" spans="8:9" ht="16.3">
      <c r="H189" s="580">
        <v>2473</v>
      </c>
      <c r="I189" s="581" t="s">
        <v>2197</v>
      </c>
    </row>
    <row r="190" spans="8:9" ht="16.3">
      <c r="H190" s="580">
        <v>2475</v>
      </c>
      <c r="I190" s="581" t="s">
        <v>2903</v>
      </c>
    </row>
    <row r="191" spans="8:9" ht="16.3">
      <c r="H191" s="580">
        <v>2476</v>
      </c>
      <c r="I191" s="581" t="s">
        <v>2904</v>
      </c>
    </row>
    <row r="192" spans="8:9" ht="16.3">
      <c r="H192" s="580">
        <v>2477</v>
      </c>
      <c r="I192" s="581" t="s">
        <v>2905</v>
      </c>
    </row>
    <row r="193" spans="8:9" ht="16.3">
      <c r="H193" s="580">
        <v>2481</v>
      </c>
      <c r="I193" s="581" t="s">
        <v>2906</v>
      </c>
    </row>
    <row r="194" spans="8:9" ht="16.3">
      <c r="H194" s="580">
        <v>2483</v>
      </c>
      <c r="I194" s="581" t="s">
        <v>2907</v>
      </c>
    </row>
    <row r="195" spans="8:9" ht="16.3">
      <c r="H195" s="580">
        <v>2484</v>
      </c>
      <c r="I195" s="581" t="s">
        <v>2907</v>
      </c>
    </row>
    <row r="196" spans="8:9" ht="16.3">
      <c r="H196" s="580">
        <v>2485</v>
      </c>
      <c r="I196" s="581" t="s">
        <v>2907</v>
      </c>
    </row>
    <row r="197" spans="8:9" ht="16.3">
      <c r="H197" s="580">
        <v>2490</v>
      </c>
      <c r="I197" s="581" t="s">
        <v>2091</v>
      </c>
    </row>
    <row r="198" spans="8:9" ht="16.3">
      <c r="H198" s="580">
        <v>2500</v>
      </c>
      <c r="I198" s="581" t="s">
        <v>1918</v>
      </c>
    </row>
    <row r="199" spans="8:9" ht="16.3">
      <c r="H199" s="580">
        <v>2508</v>
      </c>
      <c r="I199" s="581" t="s">
        <v>1918</v>
      </c>
    </row>
    <row r="200" spans="8:9" ht="16.3">
      <c r="H200" s="580">
        <v>2509</v>
      </c>
      <c r="I200" s="581" t="s">
        <v>1918</v>
      </c>
    </row>
    <row r="201" spans="8:9" ht="16.3">
      <c r="H201" s="580">
        <v>2510</v>
      </c>
      <c r="I201" s="581" t="s">
        <v>2016</v>
      </c>
    </row>
    <row r="202" spans="8:9" ht="16.3">
      <c r="H202" s="580">
        <v>2517</v>
      </c>
      <c r="I202" s="581" t="s">
        <v>2311</v>
      </c>
    </row>
    <row r="203" spans="8:9" ht="16.3">
      <c r="H203" s="580">
        <v>2518</v>
      </c>
      <c r="I203" s="581" t="s">
        <v>2908</v>
      </c>
    </row>
    <row r="204" spans="8:9" ht="16.3">
      <c r="H204" s="580">
        <v>2519</v>
      </c>
      <c r="I204" s="581" t="s">
        <v>2308</v>
      </c>
    </row>
    <row r="205" spans="8:9" ht="16.3">
      <c r="H205" s="580">
        <v>2521</v>
      </c>
      <c r="I205" s="581" t="s">
        <v>2909</v>
      </c>
    </row>
    <row r="206" spans="8:9" ht="16.3">
      <c r="H206" s="580">
        <v>2522</v>
      </c>
      <c r="I206" s="581" t="s">
        <v>2910</v>
      </c>
    </row>
    <row r="207" spans="8:9" ht="16.3">
      <c r="H207" s="580">
        <v>2523</v>
      </c>
      <c r="I207" s="581" t="s">
        <v>2206</v>
      </c>
    </row>
    <row r="208" spans="8:9" ht="16.3">
      <c r="H208" s="580">
        <v>2524</v>
      </c>
      <c r="I208" s="581" t="s">
        <v>2009</v>
      </c>
    </row>
    <row r="209" spans="8:9" ht="16.3">
      <c r="H209" s="580">
        <v>2525</v>
      </c>
      <c r="I209" s="581" t="s">
        <v>2911</v>
      </c>
    </row>
    <row r="210" spans="8:9" ht="16.3">
      <c r="H210" s="580">
        <v>2526</v>
      </c>
      <c r="I210" s="581" t="s">
        <v>2912</v>
      </c>
    </row>
    <row r="211" spans="8:9" ht="16.3">
      <c r="H211" s="580">
        <v>2527</v>
      </c>
      <c r="I211" s="581" t="s">
        <v>2913</v>
      </c>
    </row>
    <row r="212" spans="8:9" ht="16.3">
      <c r="H212" s="580">
        <v>2528</v>
      </c>
      <c r="I212" s="581" t="s">
        <v>2914</v>
      </c>
    </row>
    <row r="213" spans="8:9" ht="16.3">
      <c r="H213" s="580">
        <v>2529</v>
      </c>
      <c r="I213" s="581" t="s">
        <v>2915</v>
      </c>
    </row>
    <row r="214" spans="8:9" ht="16.3">
      <c r="H214" s="580">
        <v>2531</v>
      </c>
      <c r="I214" s="581" t="s">
        <v>2916</v>
      </c>
    </row>
    <row r="215" spans="8:9" ht="16.3">
      <c r="H215" s="580">
        <v>2532</v>
      </c>
      <c r="I215" s="581" t="s">
        <v>2045</v>
      </c>
    </row>
    <row r="216" spans="8:9" ht="16.3">
      <c r="H216" s="580">
        <v>2533</v>
      </c>
      <c r="I216" s="581" t="s">
        <v>2213</v>
      </c>
    </row>
    <row r="217" spans="8:9" ht="16.3">
      <c r="H217" s="580">
        <v>2534</v>
      </c>
      <c r="I217" s="581" t="s">
        <v>2318</v>
      </c>
    </row>
    <row r="218" spans="8:9" ht="16.3">
      <c r="H218" s="580">
        <v>2535</v>
      </c>
      <c r="I218" s="581" t="s">
        <v>2917</v>
      </c>
    </row>
    <row r="219" spans="8:9" ht="16.3">
      <c r="H219" s="580">
        <v>2536</v>
      </c>
      <c r="I219" s="581" t="s">
        <v>2918</v>
      </c>
    </row>
    <row r="220" spans="8:9" ht="16.3">
      <c r="H220" s="580">
        <v>2541</v>
      </c>
      <c r="I220" s="581" t="s">
        <v>2919</v>
      </c>
    </row>
    <row r="221" spans="8:9" ht="16.3">
      <c r="H221" s="580">
        <v>2543</v>
      </c>
      <c r="I221" s="581" t="s">
        <v>2920</v>
      </c>
    </row>
    <row r="222" spans="8:9" ht="16.3">
      <c r="H222" s="580">
        <v>2544</v>
      </c>
      <c r="I222" s="581" t="s">
        <v>2921</v>
      </c>
    </row>
    <row r="223" spans="8:9" ht="16.3">
      <c r="H223" s="580">
        <v>2545</v>
      </c>
      <c r="I223" s="581" t="s">
        <v>2922</v>
      </c>
    </row>
    <row r="224" spans="8:9" ht="16.3">
      <c r="H224" s="580">
        <v>2600</v>
      </c>
      <c r="I224" s="581" t="s">
        <v>2013</v>
      </c>
    </row>
    <row r="225" spans="8:9" ht="16.3">
      <c r="H225" s="580">
        <v>2610</v>
      </c>
      <c r="I225" s="581" t="s">
        <v>2923</v>
      </c>
    </row>
    <row r="226" spans="8:9" ht="16.3">
      <c r="H226" s="580">
        <v>2610</v>
      </c>
      <c r="I226" s="581" t="s">
        <v>2924</v>
      </c>
    </row>
    <row r="227" spans="8:9" ht="16.3">
      <c r="H227" s="580">
        <v>2611</v>
      </c>
      <c r="I227" s="581" t="s">
        <v>2925</v>
      </c>
    </row>
    <row r="228" spans="8:9" ht="16.3">
      <c r="H228" s="580">
        <v>2612</v>
      </c>
      <c r="I228" s="581" t="s">
        <v>2042</v>
      </c>
    </row>
    <row r="229" spans="8:9" ht="16.3">
      <c r="H229" s="580">
        <v>2613</v>
      </c>
      <c r="I229" s="581" t="s">
        <v>2926</v>
      </c>
    </row>
    <row r="230" spans="8:9" ht="16.3">
      <c r="H230" s="580">
        <v>2614</v>
      </c>
      <c r="I230" s="581" t="s">
        <v>2927</v>
      </c>
    </row>
    <row r="231" spans="8:9" ht="16.3">
      <c r="H231" s="580">
        <v>2615</v>
      </c>
      <c r="I231" s="581" t="s">
        <v>2928</v>
      </c>
    </row>
    <row r="232" spans="8:9" ht="16.3">
      <c r="H232" s="580">
        <v>2616</v>
      </c>
      <c r="I232" s="581" t="s">
        <v>2929</v>
      </c>
    </row>
    <row r="233" spans="8:9" ht="16.3">
      <c r="H233" s="580">
        <v>2617</v>
      </c>
      <c r="I233" s="581" t="s">
        <v>2170</v>
      </c>
    </row>
    <row r="234" spans="8:9" ht="16.3">
      <c r="H234" s="580">
        <v>2618</v>
      </c>
      <c r="I234" s="581" t="s">
        <v>2930</v>
      </c>
    </row>
    <row r="235" spans="8:9" ht="16.3">
      <c r="H235" s="580">
        <v>2619</v>
      </c>
      <c r="I235" s="581" t="s">
        <v>2931</v>
      </c>
    </row>
    <row r="236" spans="8:9" ht="16.3">
      <c r="H236" s="580">
        <v>2621</v>
      </c>
      <c r="I236" s="581" t="s">
        <v>2118</v>
      </c>
    </row>
    <row r="237" spans="8:9" ht="16.3">
      <c r="H237" s="580">
        <v>2623</v>
      </c>
      <c r="I237" s="581" t="s">
        <v>2277</v>
      </c>
    </row>
    <row r="238" spans="8:9" ht="16.3">
      <c r="H238" s="580">
        <v>2624</v>
      </c>
      <c r="I238" s="581" t="s">
        <v>2187</v>
      </c>
    </row>
    <row r="239" spans="8:9" ht="16.3">
      <c r="H239" s="580">
        <v>2625</v>
      </c>
      <c r="I239" s="581" t="s">
        <v>2932</v>
      </c>
    </row>
    <row r="240" spans="8:9" ht="16.3">
      <c r="H240" s="580">
        <v>2626</v>
      </c>
      <c r="I240" s="581" t="s">
        <v>2058</v>
      </c>
    </row>
    <row r="241" spans="8:9" ht="16.3">
      <c r="H241" s="580">
        <v>2627</v>
      </c>
      <c r="I241" s="581" t="s">
        <v>2330</v>
      </c>
    </row>
    <row r="242" spans="8:9" ht="16.3">
      <c r="H242" s="580">
        <v>2628</v>
      </c>
      <c r="I242" s="581" t="s">
        <v>2933</v>
      </c>
    </row>
    <row r="243" spans="8:9" ht="16.3">
      <c r="H243" s="580">
        <v>2629</v>
      </c>
      <c r="I243" s="581" t="s">
        <v>2934</v>
      </c>
    </row>
    <row r="244" spans="8:9" ht="16.3">
      <c r="H244" s="580">
        <v>2631</v>
      </c>
      <c r="I244" s="581" t="s">
        <v>2935</v>
      </c>
    </row>
    <row r="245" spans="8:9" ht="16.3">
      <c r="H245" s="580">
        <v>2632</v>
      </c>
      <c r="I245" s="581" t="s">
        <v>2936</v>
      </c>
    </row>
    <row r="246" spans="8:9" ht="16.3">
      <c r="H246" s="580">
        <v>2633</v>
      </c>
      <c r="I246" s="581" t="s">
        <v>2937</v>
      </c>
    </row>
    <row r="247" spans="8:9" ht="16.3">
      <c r="H247" s="580">
        <v>2634</v>
      </c>
      <c r="I247" s="581" t="s">
        <v>2938</v>
      </c>
    </row>
    <row r="248" spans="8:9" ht="16.3">
      <c r="H248" s="580">
        <v>2635</v>
      </c>
      <c r="I248" s="581" t="s">
        <v>2939</v>
      </c>
    </row>
    <row r="249" spans="8:9" ht="16.3">
      <c r="H249" s="580">
        <v>2636</v>
      </c>
      <c r="I249" s="581" t="s">
        <v>2940</v>
      </c>
    </row>
    <row r="250" spans="8:9" ht="16.3">
      <c r="H250" s="580">
        <v>2637</v>
      </c>
      <c r="I250" s="581" t="s">
        <v>2941</v>
      </c>
    </row>
    <row r="251" spans="8:9" ht="16.3">
      <c r="H251" s="580">
        <v>2638</v>
      </c>
      <c r="I251" s="581" t="s">
        <v>1991</v>
      </c>
    </row>
    <row r="252" spans="8:9" ht="16.3">
      <c r="H252" s="580">
        <v>2639</v>
      </c>
      <c r="I252" s="581" t="s">
        <v>2942</v>
      </c>
    </row>
    <row r="253" spans="8:9" ht="16.3">
      <c r="H253" s="580">
        <v>2640</v>
      </c>
      <c r="I253" s="581" t="s">
        <v>2943</v>
      </c>
    </row>
    <row r="254" spans="8:9" ht="16.3">
      <c r="H254" s="580">
        <v>2641</v>
      </c>
      <c r="I254" s="581" t="s">
        <v>2944</v>
      </c>
    </row>
    <row r="255" spans="8:9" ht="16.3">
      <c r="H255" s="580">
        <v>2642</v>
      </c>
      <c r="I255" s="581" t="s">
        <v>2945</v>
      </c>
    </row>
    <row r="256" spans="8:9" ht="16.3">
      <c r="H256" s="580">
        <v>2643</v>
      </c>
      <c r="I256" s="581" t="s">
        <v>2046</v>
      </c>
    </row>
    <row r="257" spans="8:9" ht="16.3">
      <c r="H257" s="580">
        <v>2644</v>
      </c>
      <c r="I257" s="581" t="s">
        <v>2946</v>
      </c>
    </row>
    <row r="258" spans="8:9" ht="16.3">
      <c r="H258" s="580">
        <v>2645</v>
      </c>
      <c r="I258" s="581" t="s">
        <v>2947</v>
      </c>
    </row>
    <row r="259" spans="8:9" ht="16.3">
      <c r="H259" s="580">
        <v>2646</v>
      </c>
      <c r="I259" s="581" t="s">
        <v>2948</v>
      </c>
    </row>
    <row r="260" spans="8:9" ht="16.3">
      <c r="H260" s="580">
        <v>2647</v>
      </c>
      <c r="I260" s="581" t="s">
        <v>2949</v>
      </c>
    </row>
    <row r="261" spans="8:9" ht="16.3">
      <c r="H261" s="580">
        <v>2648</v>
      </c>
      <c r="I261" s="581" t="s">
        <v>2950</v>
      </c>
    </row>
    <row r="262" spans="8:9" ht="16.3">
      <c r="H262" s="580">
        <v>2649</v>
      </c>
      <c r="I262" s="581" t="s">
        <v>2951</v>
      </c>
    </row>
    <row r="263" spans="8:9" ht="16.3">
      <c r="H263" s="580">
        <v>2651</v>
      </c>
      <c r="I263" s="581" t="s">
        <v>2952</v>
      </c>
    </row>
    <row r="264" spans="8:9" ht="16.3">
      <c r="H264" s="580">
        <v>2652</v>
      </c>
      <c r="I264" s="581" t="s">
        <v>2953</v>
      </c>
    </row>
    <row r="265" spans="8:9" ht="16.3">
      <c r="H265" s="580">
        <v>2653</v>
      </c>
      <c r="I265" s="581" t="s">
        <v>2247</v>
      </c>
    </row>
    <row r="266" spans="8:9" ht="16.3">
      <c r="H266" s="580">
        <v>2654</v>
      </c>
      <c r="I266" s="581" t="s">
        <v>2954</v>
      </c>
    </row>
    <row r="267" spans="8:9" ht="16.3">
      <c r="H267" s="580">
        <v>2655</v>
      </c>
      <c r="I267" s="581" t="s">
        <v>2955</v>
      </c>
    </row>
    <row r="268" spans="8:9" ht="16.3">
      <c r="H268" s="580">
        <v>2655</v>
      </c>
      <c r="I268" s="581" t="s">
        <v>2284</v>
      </c>
    </row>
    <row r="269" spans="8:9" ht="16.3">
      <c r="H269" s="580">
        <v>2655</v>
      </c>
      <c r="I269" s="581" t="s">
        <v>2956</v>
      </c>
    </row>
    <row r="270" spans="8:9" ht="16.3">
      <c r="H270" s="580">
        <v>2656</v>
      </c>
      <c r="I270" s="581" t="s">
        <v>2957</v>
      </c>
    </row>
    <row r="271" spans="8:9" ht="16.3">
      <c r="H271" s="580">
        <v>2657</v>
      </c>
      <c r="I271" s="581" t="s">
        <v>2958</v>
      </c>
    </row>
    <row r="272" spans="8:9" ht="16.3">
      <c r="H272" s="580">
        <v>2658</v>
      </c>
      <c r="I272" s="581" t="s">
        <v>2959</v>
      </c>
    </row>
    <row r="273" spans="8:9" ht="16.3">
      <c r="H273" s="580">
        <v>2658</v>
      </c>
      <c r="I273" s="581" t="s">
        <v>2960</v>
      </c>
    </row>
    <row r="274" spans="8:9" ht="16.3">
      <c r="H274" s="580">
        <v>2659</v>
      </c>
      <c r="I274" s="581" t="s">
        <v>2156</v>
      </c>
    </row>
    <row r="275" spans="8:9" ht="16.3">
      <c r="H275" s="580">
        <v>2660</v>
      </c>
      <c r="I275" s="581" t="s">
        <v>1939</v>
      </c>
    </row>
    <row r="276" spans="8:9" ht="16.3">
      <c r="H276" s="580">
        <v>2660</v>
      </c>
      <c r="I276" s="581" t="s">
        <v>2961</v>
      </c>
    </row>
    <row r="277" spans="8:9" ht="16.3">
      <c r="H277" s="580">
        <v>2668</v>
      </c>
      <c r="I277" s="581" t="s">
        <v>2292</v>
      </c>
    </row>
    <row r="278" spans="8:9" ht="16.3">
      <c r="H278" s="580">
        <v>2669</v>
      </c>
      <c r="I278" s="581" t="s">
        <v>2962</v>
      </c>
    </row>
    <row r="279" spans="8:9" ht="16.3">
      <c r="H279" s="580">
        <v>2671</v>
      </c>
      <c r="I279" s="581" t="s">
        <v>2963</v>
      </c>
    </row>
    <row r="280" spans="8:9" ht="16.3">
      <c r="H280" s="580">
        <v>2672</v>
      </c>
      <c r="I280" s="581" t="s">
        <v>2964</v>
      </c>
    </row>
    <row r="281" spans="8:9" ht="16.3">
      <c r="H281" s="580">
        <v>2673</v>
      </c>
      <c r="I281" s="581" t="s">
        <v>2965</v>
      </c>
    </row>
    <row r="282" spans="8:9" ht="16.3">
      <c r="H282" s="580">
        <v>2674</v>
      </c>
      <c r="I282" s="581" t="s">
        <v>2966</v>
      </c>
    </row>
    <row r="283" spans="8:9" ht="16.3">
      <c r="H283" s="580">
        <v>2675</v>
      </c>
      <c r="I283" s="581" t="s">
        <v>2967</v>
      </c>
    </row>
    <row r="284" spans="8:9" ht="16.3">
      <c r="H284" s="580">
        <v>2676</v>
      </c>
      <c r="I284" s="581" t="s">
        <v>2968</v>
      </c>
    </row>
    <row r="285" spans="8:9" ht="16.3">
      <c r="H285" s="580">
        <v>2677</v>
      </c>
      <c r="I285" s="581" t="s">
        <v>2969</v>
      </c>
    </row>
    <row r="286" spans="8:9" ht="16.3">
      <c r="H286" s="580">
        <v>2678</v>
      </c>
      <c r="I286" s="581" t="s">
        <v>2970</v>
      </c>
    </row>
    <row r="287" spans="8:9" ht="16.3">
      <c r="H287" s="580">
        <v>2681</v>
      </c>
      <c r="I287" s="581" t="s">
        <v>2146</v>
      </c>
    </row>
    <row r="288" spans="8:9" ht="16.3">
      <c r="H288" s="580">
        <v>2682</v>
      </c>
      <c r="I288" s="581" t="s">
        <v>2971</v>
      </c>
    </row>
    <row r="289" spans="8:9" ht="16.3">
      <c r="H289" s="580">
        <v>2683</v>
      </c>
      <c r="I289" s="581" t="s">
        <v>2972</v>
      </c>
    </row>
    <row r="290" spans="8:9" ht="16.3">
      <c r="H290" s="580">
        <v>2685</v>
      </c>
      <c r="I290" s="581" t="s">
        <v>2973</v>
      </c>
    </row>
    <row r="291" spans="8:9" ht="16.3">
      <c r="H291" s="580">
        <v>2686</v>
      </c>
      <c r="I291" s="581" t="s">
        <v>2285</v>
      </c>
    </row>
    <row r="292" spans="8:9" ht="16.3">
      <c r="H292" s="580">
        <v>2687</v>
      </c>
      <c r="I292" s="581" t="s">
        <v>2105</v>
      </c>
    </row>
    <row r="293" spans="8:9" ht="16.3">
      <c r="H293" s="580">
        <v>2688</v>
      </c>
      <c r="I293" s="581" t="s">
        <v>2974</v>
      </c>
    </row>
    <row r="294" spans="8:9" ht="16.3">
      <c r="H294" s="580">
        <v>2691</v>
      </c>
      <c r="I294" s="581" t="s">
        <v>2975</v>
      </c>
    </row>
    <row r="295" spans="8:9" ht="16.3">
      <c r="H295" s="580">
        <v>2692</v>
      </c>
      <c r="I295" s="581" t="s">
        <v>2976</v>
      </c>
    </row>
    <row r="296" spans="8:9" ht="16.3">
      <c r="H296" s="580">
        <v>2693</v>
      </c>
      <c r="I296" s="581" t="s">
        <v>2977</v>
      </c>
    </row>
    <row r="297" spans="8:9" ht="16.3">
      <c r="H297" s="580">
        <v>2694</v>
      </c>
      <c r="I297" s="581" t="s">
        <v>2978</v>
      </c>
    </row>
    <row r="298" spans="8:9" ht="16.3">
      <c r="H298" s="580">
        <v>2694</v>
      </c>
      <c r="I298" s="581" t="s">
        <v>2979</v>
      </c>
    </row>
    <row r="299" spans="8:9" ht="16.3">
      <c r="H299" s="580">
        <v>2694</v>
      </c>
      <c r="I299" s="581" t="s">
        <v>2198</v>
      </c>
    </row>
    <row r="300" spans="8:9" ht="16.3">
      <c r="H300" s="580">
        <v>2696</v>
      </c>
      <c r="I300" s="581" t="s">
        <v>2980</v>
      </c>
    </row>
    <row r="301" spans="8:9" ht="16.3">
      <c r="H301" s="580">
        <v>2697</v>
      </c>
      <c r="I301" s="581" t="s">
        <v>2981</v>
      </c>
    </row>
    <row r="302" spans="8:9" ht="16.3">
      <c r="H302" s="580">
        <v>2698</v>
      </c>
      <c r="I302" s="581" t="s">
        <v>2982</v>
      </c>
    </row>
    <row r="303" spans="8:9" ht="16.3">
      <c r="H303" s="580">
        <v>2699</v>
      </c>
      <c r="I303" s="581" t="s">
        <v>2983</v>
      </c>
    </row>
    <row r="304" spans="8:9" ht="16.3">
      <c r="H304" s="580">
        <v>2700</v>
      </c>
      <c r="I304" s="581" t="s">
        <v>1959</v>
      </c>
    </row>
    <row r="305" spans="8:9" ht="16.3">
      <c r="H305" s="580">
        <v>2711</v>
      </c>
      <c r="I305" s="581" t="s">
        <v>2269</v>
      </c>
    </row>
    <row r="306" spans="8:9" ht="16.3">
      <c r="H306" s="580">
        <v>2712</v>
      </c>
      <c r="I306" s="581" t="s">
        <v>2984</v>
      </c>
    </row>
    <row r="307" spans="8:9" ht="16.3">
      <c r="H307" s="580">
        <v>2713</v>
      </c>
      <c r="I307" s="581" t="s">
        <v>2150</v>
      </c>
    </row>
    <row r="308" spans="8:9" ht="16.3">
      <c r="H308" s="580">
        <v>2721</v>
      </c>
      <c r="I308" s="581" t="s">
        <v>2113</v>
      </c>
    </row>
    <row r="309" spans="8:9" ht="16.3">
      <c r="H309" s="580">
        <v>2723</v>
      </c>
      <c r="I309" s="581" t="s">
        <v>2985</v>
      </c>
    </row>
    <row r="310" spans="8:9" ht="16.3">
      <c r="H310" s="580">
        <v>2724</v>
      </c>
      <c r="I310" s="581" t="s">
        <v>2986</v>
      </c>
    </row>
    <row r="311" spans="8:9" ht="16.3">
      <c r="H311" s="580">
        <v>2730</v>
      </c>
      <c r="I311" s="581" t="s">
        <v>2043</v>
      </c>
    </row>
    <row r="312" spans="8:9" ht="16.3">
      <c r="H312" s="580">
        <v>2735</v>
      </c>
      <c r="I312" s="581" t="s">
        <v>1970</v>
      </c>
    </row>
    <row r="313" spans="8:9" ht="16.3">
      <c r="H313" s="580">
        <v>2736</v>
      </c>
      <c r="I313" s="581" t="s">
        <v>2987</v>
      </c>
    </row>
    <row r="314" spans="8:9" ht="16.3">
      <c r="H314" s="580">
        <v>2737</v>
      </c>
      <c r="I314" s="581" t="s">
        <v>2123</v>
      </c>
    </row>
    <row r="315" spans="8:9" ht="16.3">
      <c r="H315" s="580">
        <v>2738</v>
      </c>
      <c r="I315" s="581" t="s">
        <v>1959</v>
      </c>
    </row>
    <row r="316" spans="8:9" ht="16.3">
      <c r="H316" s="580">
        <v>2740</v>
      </c>
      <c r="I316" s="581" t="s">
        <v>1952</v>
      </c>
    </row>
    <row r="317" spans="8:9" ht="16.3">
      <c r="H317" s="580">
        <v>2745</v>
      </c>
      <c r="I317" s="581" t="s">
        <v>2988</v>
      </c>
    </row>
    <row r="318" spans="8:9" ht="16.3">
      <c r="H318" s="580">
        <v>2746</v>
      </c>
      <c r="I318" s="581" t="s">
        <v>2989</v>
      </c>
    </row>
    <row r="319" spans="8:9" ht="16.3">
      <c r="H319" s="580">
        <v>2747</v>
      </c>
      <c r="I319" s="581" t="s">
        <v>2990</v>
      </c>
    </row>
    <row r="320" spans="8:9" ht="16.3">
      <c r="H320" s="580">
        <v>2750</v>
      </c>
      <c r="I320" s="581" t="s">
        <v>2313</v>
      </c>
    </row>
    <row r="321" spans="8:9" ht="16.3">
      <c r="H321" s="580">
        <v>2755</v>
      </c>
      <c r="I321" s="581" t="s">
        <v>2991</v>
      </c>
    </row>
    <row r="322" spans="8:9" ht="16.3">
      <c r="H322" s="580">
        <v>2760</v>
      </c>
      <c r="I322" s="581" t="s">
        <v>2048</v>
      </c>
    </row>
    <row r="323" spans="8:9" ht="16.3">
      <c r="H323" s="580">
        <v>2764</v>
      </c>
      <c r="I323" s="581" t="s">
        <v>2185</v>
      </c>
    </row>
    <row r="324" spans="8:9" ht="16.3">
      <c r="H324" s="580">
        <v>2765</v>
      </c>
      <c r="I324" s="581" t="s">
        <v>2992</v>
      </c>
    </row>
    <row r="325" spans="8:9" ht="16.3">
      <c r="H325" s="580">
        <v>2766</v>
      </c>
      <c r="I325" s="581" t="s">
        <v>2270</v>
      </c>
    </row>
    <row r="326" spans="8:9" ht="16.3">
      <c r="H326" s="580">
        <v>2767</v>
      </c>
      <c r="I326" s="581" t="s">
        <v>2993</v>
      </c>
    </row>
    <row r="327" spans="8:9" ht="16.3">
      <c r="H327" s="580">
        <v>2768</v>
      </c>
      <c r="I327" s="581" t="s">
        <v>2026</v>
      </c>
    </row>
    <row r="328" spans="8:9" ht="16.3">
      <c r="H328" s="580">
        <v>2769</v>
      </c>
      <c r="I328" s="581" t="s">
        <v>2994</v>
      </c>
    </row>
    <row r="329" spans="8:9" ht="16.3">
      <c r="H329" s="580">
        <v>2800</v>
      </c>
      <c r="I329" s="581" t="s">
        <v>1953</v>
      </c>
    </row>
    <row r="330" spans="8:9" ht="16.3">
      <c r="H330" s="580">
        <v>2821</v>
      </c>
      <c r="I330" s="581" t="s">
        <v>2995</v>
      </c>
    </row>
    <row r="331" spans="8:9" ht="16.3">
      <c r="H331" s="580">
        <v>2822</v>
      </c>
      <c r="I331" s="581" t="s">
        <v>2996</v>
      </c>
    </row>
    <row r="332" spans="8:9" ht="16.3">
      <c r="H332" s="580">
        <v>2823</v>
      </c>
      <c r="I332" s="581" t="s">
        <v>2997</v>
      </c>
    </row>
    <row r="333" spans="8:9" ht="16.3">
      <c r="H333" s="580">
        <v>2824</v>
      </c>
      <c r="I333" s="581" t="s">
        <v>2998</v>
      </c>
    </row>
    <row r="334" spans="8:9" ht="16.3">
      <c r="H334" s="580">
        <v>2831</v>
      </c>
      <c r="I334" s="581" t="s">
        <v>1921</v>
      </c>
    </row>
    <row r="335" spans="8:9" ht="16.3">
      <c r="H335" s="580">
        <v>2832</v>
      </c>
      <c r="I335" s="581" t="s">
        <v>2999</v>
      </c>
    </row>
    <row r="336" spans="8:9" ht="16.3">
      <c r="H336" s="580">
        <v>2833</v>
      </c>
      <c r="I336" s="581" t="s">
        <v>2047</v>
      </c>
    </row>
    <row r="337" spans="8:9" ht="16.3">
      <c r="H337" s="580">
        <v>2834</v>
      </c>
      <c r="I337" s="581" t="s">
        <v>3000</v>
      </c>
    </row>
    <row r="338" spans="8:9" ht="16.3">
      <c r="H338" s="580">
        <v>2835</v>
      </c>
      <c r="I338" s="581" t="s">
        <v>1995</v>
      </c>
    </row>
    <row r="339" spans="8:9" ht="16.3">
      <c r="H339" s="580">
        <v>2836</v>
      </c>
      <c r="I339" s="581" t="s">
        <v>3001</v>
      </c>
    </row>
    <row r="340" spans="8:9" ht="16.3">
      <c r="H340" s="580">
        <v>2837</v>
      </c>
      <c r="I340" s="581" t="s">
        <v>2259</v>
      </c>
    </row>
    <row r="341" spans="8:9" ht="16.3">
      <c r="H341" s="580">
        <v>2840</v>
      </c>
      <c r="I341" s="581" t="s">
        <v>2056</v>
      </c>
    </row>
    <row r="342" spans="8:9" ht="16.3">
      <c r="H342" s="580">
        <v>2851</v>
      </c>
      <c r="I342" s="581" t="s">
        <v>3002</v>
      </c>
    </row>
    <row r="343" spans="8:9" ht="16.3">
      <c r="H343" s="580">
        <v>2852</v>
      </c>
      <c r="I343" s="581" t="s">
        <v>3003</v>
      </c>
    </row>
    <row r="344" spans="8:9" ht="16.3">
      <c r="H344" s="580">
        <v>2853</v>
      </c>
      <c r="I344" s="581" t="s">
        <v>3004</v>
      </c>
    </row>
    <row r="345" spans="8:9" ht="16.3">
      <c r="H345" s="580">
        <v>2854</v>
      </c>
      <c r="I345" s="581" t="s">
        <v>3005</v>
      </c>
    </row>
    <row r="346" spans="8:9" ht="16.3">
      <c r="H346" s="580">
        <v>2855</v>
      </c>
      <c r="I346" s="581" t="s">
        <v>3006</v>
      </c>
    </row>
    <row r="347" spans="8:9" ht="16.3">
      <c r="H347" s="580">
        <v>2856</v>
      </c>
      <c r="I347" s="581" t="s">
        <v>3007</v>
      </c>
    </row>
    <row r="348" spans="8:9" ht="16.3">
      <c r="H348" s="580">
        <v>2858</v>
      </c>
      <c r="I348" s="581" t="s">
        <v>3008</v>
      </c>
    </row>
    <row r="349" spans="8:9" ht="16.3">
      <c r="H349" s="580">
        <v>2859</v>
      </c>
      <c r="I349" s="581" t="s">
        <v>3009</v>
      </c>
    </row>
    <row r="350" spans="8:9" ht="16.3">
      <c r="H350" s="580">
        <v>2861</v>
      </c>
      <c r="I350" s="581" t="s">
        <v>3010</v>
      </c>
    </row>
    <row r="351" spans="8:9" ht="16.3">
      <c r="H351" s="580">
        <v>2862</v>
      </c>
      <c r="I351" s="581" t="s">
        <v>3011</v>
      </c>
    </row>
    <row r="352" spans="8:9" ht="16.3">
      <c r="H352" s="580">
        <v>2870</v>
      </c>
      <c r="I352" s="581" t="s">
        <v>3012</v>
      </c>
    </row>
    <row r="353" spans="8:9" ht="16.3">
      <c r="H353" s="580">
        <v>2879</v>
      </c>
      <c r="I353" s="581" t="s">
        <v>3012</v>
      </c>
    </row>
    <row r="354" spans="8:9" ht="16.3">
      <c r="H354" s="580">
        <v>2881</v>
      </c>
      <c r="I354" s="581" t="s">
        <v>3013</v>
      </c>
    </row>
    <row r="355" spans="8:9" ht="16.3">
      <c r="H355" s="580">
        <v>2882</v>
      </c>
      <c r="I355" s="581" t="s">
        <v>3014</v>
      </c>
    </row>
    <row r="356" spans="8:9" ht="16.3">
      <c r="H356" s="580">
        <v>2883</v>
      </c>
      <c r="I356" s="581" t="s">
        <v>3015</v>
      </c>
    </row>
    <row r="357" spans="8:9" ht="16.3">
      <c r="H357" s="580">
        <v>2884</v>
      </c>
      <c r="I357" s="581" t="s">
        <v>3016</v>
      </c>
    </row>
    <row r="358" spans="8:9" ht="16.3">
      <c r="H358" s="580">
        <v>2885</v>
      </c>
      <c r="I358" s="581" t="s">
        <v>3017</v>
      </c>
    </row>
    <row r="359" spans="8:9" ht="16.3">
      <c r="H359" s="580">
        <v>2886</v>
      </c>
      <c r="I359" s="581" t="s">
        <v>2209</v>
      </c>
    </row>
    <row r="360" spans="8:9" ht="16.3">
      <c r="H360" s="580">
        <v>2887</v>
      </c>
      <c r="I360" s="581" t="s">
        <v>3018</v>
      </c>
    </row>
    <row r="361" spans="8:9" ht="16.3">
      <c r="H361" s="580">
        <v>2888</v>
      </c>
      <c r="I361" s="581" t="s">
        <v>3019</v>
      </c>
    </row>
    <row r="362" spans="8:9" ht="16.3">
      <c r="H362" s="580">
        <v>2889</v>
      </c>
      <c r="I362" s="581" t="s">
        <v>3020</v>
      </c>
    </row>
    <row r="363" spans="8:9" ht="16.3">
      <c r="H363" s="580">
        <v>2890</v>
      </c>
      <c r="I363" s="581" t="s">
        <v>1995</v>
      </c>
    </row>
    <row r="364" spans="8:9" ht="16.3">
      <c r="H364" s="580">
        <v>2896</v>
      </c>
      <c r="I364" s="581" t="s">
        <v>2008</v>
      </c>
    </row>
    <row r="365" spans="8:9" ht="16.3">
      <c r="H365" s="580">
        <v>2897</v>
      </c>
      <c r="I365" s="581" t="s">
        <v>3021</v>
      </c>
    </row>
    <row r="366" spans="8:9" ht="16.3">
      <c r="H366" s="580">
        <v>2898</v>
      </c>
      <c r="I366" s="581" t="s">
        <v>3022</v>
      </c>
    </row>
    <row r="367" spans="8:9" ht="16.3">
      <c r="H367" s="580">
        <v>2899</v>
      </c>
      <c r="I367" s="581" t="s">
        <v>3023</v>
      </c>
    </row>
    <row r="368" spans="8:9" ht="16.3">
      <c r="H368" s="580">
        <v>2900</v>
      </c>
      <c r="I368" s="581" t="s">
        <v>2141</v>
      </c>
    </row>
    <row r="369" spans="8:9" ht="16.3">
      <c r="H369" s="580">
        <v>2903</v>
      </c>
      <c r="I369" s="581" t="s">
        <v>2141</v>
      </c>
    </row>
    <row r="370" spans="8:9" ht="16.3">
      <c r="H370" s="580">
        <v>2911</v>
      </c>
      <c r="I370" s="581" t="s">
        <v>3024</v>
      </c>
    </row>
    <row r="371" spans="8:9" ht="16.3">
      <c r="H371" s="580">
        <v>2921</v>
      </c>
      <c r="I371" s="581" t="s">
        <v>2141</v>
      </c>
    </row>
    <row r="372" spans="8:9" ht="16.3">
      <c r="H372" s="580">
        <v>2931</v>
      </c>
      <c r="I372" s="581" t="s">
        <v>3025</v>
      </c>
    </row>
    <row r="373" spans="8:9" ht="16.3">
      <c r="H373" s="580">
        <v>2941</v>
      </c>
      <c r="I373" s="581" t="s">
        <v>3026</v>
      </c>
    </row>
    <row r="374" spans="8:9" ht="16.3">
      <c r="H374" s="580">
        <v>2942</v>
      </c>
      <c r="I374" s="581" t="s">
        <v>3027</v>
      </c>
    </row>
    <row r="375" spans="8:9" ht="16.3">
      <c r="H375" s="580">
        <v>2943</v>
      </c>
      <c r="I375" s="581" t="s">
        <v>2176</v>
      </c>
    </row>
    <row r="376" spans="8:9" ht="16.3">
      <c r="H376" s="580">
        <v>2943</v>
      </c>
      <c r="I376" s="581" t="s">
        <v>3028</v>
      </c>
    </row>
    <row r="377" spans="8:9" ht="16.3">
      <c r="H377" s="580">
        <v>2944</v>
      </c>
      <c r="I377" s="581" t="s">
        <v>1925</v>
      </c>
    </row>
    <row r="378" spans="8:9" ht="16.3">
      <c r="H378" s="580">
        <v>2945</v>
      </c>
      <c r="I378" s="581" t="s">
        <v>3028</v>
      </c>
    </row>
    <row r="379" spans="8:9" ht="16.3">
      <c r="H379" s="580">
        <v>2946</v>
      </c>
      <c r="I379" s="581" t="s">
        <v>3029</v>
      </c>
    </row>
    <row r="380" spans="8:9" ht="16.3">
      <c r="H380" s="580">
        <v>2947</v>
      </c>
      <c r="I380" s="581" t="s">
        <v>3030</v>
      </c>
    </row>
    <row r="381" spans="8:9" ht="16.3">
      <c r="H381" s="580">
        <v>2948</v>
      </c>
      <c r="I381" s="581" t="s">
        <v>3031</v>
      </c>
    </row>
    <row r="382" spans="8:9" ht="16.3">
      <c r="H382" s="580">
        <v>2949</v>
      </c>
      <c r="I382" s="581" t="s">
        <v>3032</v>
      </c>
    </row>
    <row r="383" spans="8:9" ht="16.3">
      <c r="H383" s="580">
        <v>3000</v>
      </c>
      <c r="I383" s="581" t="s">
        <v>1976</v>
      </c>
    </row>
    <row r="384" spans="8:9" ht="16.3">
      <c r="H384" s="580">
        <v>3009</v>
      </c>
      <c r="I384" s="581" t="s">
        <v>3033</v>
      </c>
    </row>
    <row r="385" spans="8:9" ht="16.3">
      <c r="H385" s="580">
        <v>3011</v>
      </c>
      <c r="I385" s="581" t="s">
        <v>3034</v>
      </c>
    </row>
    <row r="386" spans="8:9" ht="16.3">
      <c r="H386" s="580">
        <v>3012</v>
      </c>
      <c r="I386" s="581" t="s">
        <v>3035</v>
      </c>
    </row>
    <row r="387" spans="8:9" ht="16.3">
      <c r="H387" s="580">
        <v>3013</v>
      </c>
      <c r="I387" s="581" t="s">
        <v>3036</v>
      </c>
    </row>
    <row r="388" spans="8:9" ht="16.3">
      <c r="H388" s="580">
        <v>3014</v>
      </c>
      <c r="I388" s="581" t="s">
        <v>1966</v>
      </c>
    </row>
    <row r="389" spans="8:9" ht="16.3">
      <c r="H389" s="580">
        <v>3015</v>
      </c>
      <c r="I389" s="581" t="s">
        <v>2228</v>
      </c>
    </row>
    <row r="390" spans="8:9" ht="16.3">
      <c r="H390" s="580">
        <v>3016</v>
      </c>
      <c r="I390" s="581" t="s">
        <v>2177</v>
      </c>
    </row>
    <row r="391" spans="8:9" ht="16.3">
      <c r="H391" s="580">
        <v>3021</v>
      </c>
      <c r="I391" s="581" t="s">
        <v>3037</v>
      </c>
    </row>
    <row r="392" spans="8:9" ht="16.3">
      <c r="H392" s="580">
        <v>3022</v>
      </c>
      <c r="I392" s="581" t="s">
        <v>3037</v>
      </c>
    </row>
    <row r="393" spans="8:9" ht="16.3">
      <c r="H393" s="580">
        <v>3023</v>
      </c>
      <c r="I393" s="581" t="s">
        <v>3038</v>
      </c>
    </row>
    <row r="394" spans="8:9" ht="16.3">
      <c r="H394" s="580">
        <v>3024</v>
      </c>
      <c r="I394" s="581" t="s">
        <v>3037</v>
      </c>
    </row>
    <row r="395" spans="8:9" ht="16.3">
      <c r="H395" s="580">
        <v>3031</v>
      </c>
      <c r="I395" s="581" t="s">
        <v>3039</v>
      </c>
    </row>
    <row r="396" spans="8:9" ht="16.3">
      <c r="H396" s="580">
        <v>3032</v>
      </c>
      <c r="I396" s="581" t="s">
        <v>2080</v>
      </c>
    </row>
    <row r="397" spans="8:9" ht="16.3">
      <c r="H397" s="580">
        <v>3033</v>
      </c>
      <c r="I397" s="581" t="s">
        <v>3040</v>
      </c>
    </row>
    <row r="398" spans="8:9" ht="16.3">
      <c r="H398" s="580">
        <v>3034</v>
      </c>
      <c r="I398" s="581" t="s">
        <v>3041</v>
      </c>
    </row>
    <row r="399" spans="8:9" ht="16.3">
      <c r="H399" s="580">
        <v>3035</v>
      </c>
      <c r="I399" s="581" t="s">
        <v>3042</v>
      </c>
    </row>
    <row r="400" spans="8:9" ht="16.3">
      <c r="H400" s="580">
        <v>3036</v>
      </c>
      <c r="I400" s="581" t="s">
        <v>3043</v>
      </c>
    </row>
    <row r="401" spans="8:9" ht="16.3">
      <c r="H401" s="580">
        <v>3041</v>
      </c>
      <c r="I401" s="581" t="s">
        <v>1998</v>
      </c>
    </row>
    <row r="402" spans="8:9" ht="16.3">
      <c r="H402" s="580">
        <v>3042</v>
      </c>
      <c r="I402" s="581" t="s">
        <v>2200</v>
      </c>
    </row>
    <row r="403" spans="8:9" ht="16.3">
      <c r="H403" s="580">
        <v>3043</v>
      </c>
      <c r="I403" s="581" t="s">
        <v>1956</v>
      </c>
    </row>
    <row r="404" spans="8:9" ht="16.3">
      <c r="H404" s="580">
        <v>3044</v>
      </c>
      <c r="I404" s="581" t="s">
        <v>3044</v>
      </c>
    </row>
    <row r="405" spans="8:9" ht="16.3">
      <c r="H405" s="580">
        <v>3045</v>
      </c>
      <c r="I405" s="581" t="s">
        <v>3045</v>
      </c>
    </row>
    <row r="406" spans="8:9" ht="16.3">
      <c r="H406" s="580">
        <v>3046</v>
      </c>
      <c r="I406" s="581" t="s">
        <v>3046</v>
      </c>
    </row>
    <row r="407" spans="8:9" ht="16.3">
      <c r="H407" s="580">
        <v>3047</v>
      </c>
      <c r="I407" s="581" t="s">
        <v>3047</v>
      </c>
    </row>
    <row r="408" spans="8:9" ht="16.3">
      <c r="H408" s="580">
        <v>3051</v>
      </c>
      <c r="I408" s="581" t="s">
        <v>3048</v>
      </c>
    </row>
    <row r="409" spans="8:9" ht="16.3">
      <c r="H409" s="580">
        <v>3052</v>
      </c>
      <c r="I409" s="581" t="s">
        <v>2142</v>
      </c>
    </row>
    <row r="410" spans="8:9" ht="16.3">
      <c r="H410" s="580">
        <v>3053</v>
      </c>
      <c r="I410" s="581" t="s">
        <v>3049</v>
      </c>
    </row>
    <row r="411" spans="8:9" ht="16.3">
      <c r="H411" s="580">
        <v>3053</v>
      </c>
      <c r="I411" s="581" t="s">
        <v>2074</v>
      </c>
    </row>
    <row r="412" spans="8:9" ht="16.3">
      <c r="H412" s="580">
        <v>3060</v>
      </c>
      <c r="I412" s="581" t="s">
        <v>1990</v>
      </c>
    </row>
    <row r="413" spans="8:9" ht="16.3">
      <c r="H413" s="580">
        <v>3063</v>
      </c>
      <c r="I413" s="581" t="s">
        <v>3050</v>
      </c>
    </row>
    <row r="414" spans="8:9" ht="16.3">
      <c r="H414" s="580">
        <v>3064</v>
      </c>
      <c r="I414" s="581" t="s">
        <v>3051</v>
      </c>
    </row>
    <row r="415" spans="8:9" ht="16.3">
      <c r="H415" s="580">
        <v>3065</v>
      </c>
      <c r="I415" s="581" t="s">
        <v>1990</v>
      </c>
    </row>
    <row r="416" spans="8:9" ht="16.3">
      <c r="H416" s="580">
        <v>3066</v>
      </c>
      <c r="I416" s="581" t="s">
        <v>3052</v>
      </c>
    </row>
    <row r="417" spans="8:9" ht="16.3">
      <c r="H417" s="580">
        <v>3066</v>
      </c>
      <c r="I417" s="581" t="s">
        <v>3053</v>
      </c>
    </row>
    <row r="418" spans="8:9" ht="16.3">
      <c r="H418" s="580">
        <v>3066</v>
      </c>
      <c r="I418" s="581" t="s">
        <v>3054</v>
      </c>
    </row>
    <row r="419" spans="8:9" ht="16.3">
      <c r="H419" s="580">
        <v>3067</v>
      </c>
      <c r="I419" s="581" t="s">
        <v>3055</v>
      </c>
    </row>
    <row r="420" spans="8:9" ht="16.3">
      <c r="H420" s="580">
        <v>3067</v>
      </c>
      <c r="I420" s="581" t="s">
        <v>2061</v>
      </c>
    </row>
    <row r="421" spans="8:9" ht="16.3">
      <c r="H421" s="580">
        <v>3068</v>
      </c>
      <c r="I421" s="581" t="s">
        <v>3056</v>
      </c>
    </row>
    <row r="422" spans="8:9" ht="16.3">
      <c r="H422" s="580">
        <v>3069</v>
      </c>
      <c r="I422" s="581" t="s">
        <v>3057</v>
      </c>
    </row>
    <row r="423" spans="8:9" ht="16.3">
      <c r="H423" s="580">
        <v>3070</v>
      </c>
      <c r="I423" s="581" t="s">
        <v>1984</v>
      </c>
    </row>
    <row r="424" spans="8:9" ht="16.3">
      <c r="H424" s="580">
        <v>3073</v>
      </c>
      <c r="I424" s="581" t="s">
        <v>3058</v>
      </c>
    </row>
    <row r="425" spans="8:9" ht="16.3">
      <c r="H425" s="580">
        <v>3074</v>
      </c>
      <c r="I425" s="581" t="s">
        <v>3059</v>
      </c>
    </row>
    <row r="426" spans="8:9" ht="16.3">
      <c r="H426" s="580">
        <v>3075</v>
      </c>
      <c r="I426" s="581" t="s">
        <v>3060</v>
      </c>
    </row>
    <row r="427" spans="8:9" ht="16.3">
      <c r="H427" s="580">
        <v>3075</v>
      </c>
      <c r="I427" s="581" t="s">
        <v>3061</v>
      </c>
    </row>
    <row r="428" spans="8:9" ht="16.3">
      <c r="H428" s="580">
        <v>3075</v>
      </c>
      <c r="I428" s="581" t="s">
        <v>3062</v>
      </c>
    </row>
    <row r="429" spans="8:9" ht="16.3">
      <c r="H429" s="580">
        <v>3077</v>
      </c>
      <c r="I429" s="581" t="s">
        <v>3063</v>
      </c>
    </row>
    <row r="430" spans="8:9" ht="16.3">
      <c r="H430" s="580">
        <v>3078</v>
      </c>
      <c r="I430" s="581" t="s">
        <v>1984</v>
      </c>
    </row>
    <row r="431" spans="8:9" ht="16.3">
      <c r="H431" s="580">
        <v>3082</v>
      </c>
      <c r="I431" s="581" t="s">
        <v>1990</v>
      </c>
    </row>
    <row r="432" spans="8:9" ht="16.3">
      <c r="H432" s="580">
        <v>3100</v>
      </c>
      <c r="I432" s="581" t="s">
        <v>1947</v>
      </c>
    </row>
    <row r="433" spans="8:9" ht="16.3">
      <c r="H433" s="580">
        <v>3102</v>
      </c>
      <c r="I433" s="581" t="s">
        <v>1947</v>
      </c>
    </row>
    <row r="434" spans="8:9" ht="16.3">
      <c r="H434" s="580">
        <v>3104</v>
      </c>
      <c r="I434" s="581" t="s">
        <v>1947</v>
      </c>
    </row>
    <row r="435" spans="8:9" ht="16.3">
      <c r="H435" s="580">
        <v>3109</v>
      </c>
      <c r="I435" s="581" t="s">
        <v>1947</v>
      </c>
    </row>
    <row r="436" spans="8:9" ht="16.3">
      <c r="H436" s="580">
        <v>3121</v>
      </c>
      <c r="I436" s="581" t="s">
        <v>3064</v>
      </c>
    </row>
    <row r="437" spans="8:9" ht="16.3">
      <c r="H437" s="580">
        <v>3123</v>
      </c>
      <c r="I437" s="581" t="s">
        <v>3065</v>
      </c>
    </row>
    <row r="438" spans="8:9" ht="16.3">
      <c r="H438" s="580">
        <v>3124</v>
      </c>
      <c r="I438" s="581" t="s">
        <v>3066</v>
      </c>
    </row>
    <row r="439" spans="8:9" ht="16.3">
      <c r="H439" s="580">
        <v>3125</v>
      </c>
      <c r="I439" s="581" t="s">
        <v>3067</v>
      </c>
    </row>
    <row r="440" spans="8:9" ht="16.3">
      <c r="H440" s="580">
        <v>3126</v>
      </c>
      <c r="I440" s="581" t="s">
        <v>3068</v>
      </c>
    </row>
    <row r="441" spans="8:9" ht="16.3">
      <c r="H441" s="580">
        <v>3127</v>
      </c>
      <c r="I441" s="581" t="s">
        <v>3069</v>
      </c>
    </row>
    <row r="442" spans="8:9" ht="16.3">
      <c r="H442" s="580">
        <v>3128</v>
      </c>
      <c r="I442" s="581" t="s">
        <v>3070</v>
      </c>
    </row>
    <row r="443" spans="8:9" ht="16.3">
      <c r="H443" s="580">
        <v>3129</v>
      </c>
      <c r="I443" s="581" t="s">
        <v>3071</v>
      </c>
    </row>
    <row r="444" spans="8:9" ht="16.3">
      <c r="H444" s="580">
        <v>3129</v>
      </c>
      <c r="I444" s="581" t="s">
        <v>3072</v>
      </c>
    </row>
    <row r="445" spans="8:9" ht="16.3">
      <c r="H445" s="580">
        <v>3131</v>
      </c>
      <c r="I445" s="581" t="s">
        <v>3073</v>
      </c>
    </row>
    <row r="446" spans="8:9" ht="16.3">
      <c r="H446" s="580">
        <v>3132</v>
      </c>
      <c r="I446" s="581" t="s">
        <v>3074</v>
      </c>
    </row>
    <row r="447" spans="8:9" ht="16.3">
      <c r="H447" s="580">
        <v>3133</v>
      </c>
      <c r="I447" s="581" t="s">
        <v>3075</v>
      </c>
    </row>
    <row r="448" spans="8:9" ht="16.3">
      <c r="H448" s="580">
        <v>3134</v>
      </c>
      <c r="I448" s="581" t="s">
        <v>3076</v>
      </c>
    </row>
    <row r="449" spans="8:9" ht="16.3">
      <c r="H449" s="580">
        <v>3135</v>
      </c>
      <c r="I449" s="581" t="s">
        <v>2124</v>
      </c>
    </row>
    <row r="450" spans="8:9" ht="16.3">
      <c r="H450" s="580">
        <v>3136</v>
      </c>
      <c r="I450" s="581" t="s">
        <v>3077</v>
      </c>
    </row>
    <row r="451" spans="8:9" ht="16.3">
      <c r="H451" s="580">
        <v>3137</v>
      </c>
      <c r="I451" s="581" t="s">
        <v>3078</v>
      </c>
    </row>
    <row r="452" spans="8:9" ht="16.3">
      <c r="H452" s="580">
        <v>3138</v>
      </c>
      <c r="I452" s="581" t="s">
        <v>3079</v>
      </c>
    </row>
    <row r="453" spans="8:9" ht="16.3">
      <c r="H453" s="580">
        <v>3141</v>
      </c>
      <c r="I453" s="581" t="s">
        <v>1947</v>
      </c>
    </row>
    <row r="454" spans="8:9" ht="16.3">
      <c r="H454" s="580">
        <v>3142</v>
      </c>
      <c r="I454" s="581" t="s">
        <v>3080</v>
      </c>
    </row>
    <row r="455" spans="8:9" ht="16.3">
      <c r="H455" s="580">
        <v>3143</v>
      </c>
      <c r="I455" s="581" t="s">
        <v>3081</v>
      </c>
    </row>
    <row r="456" spans="8:9" ht="16.3">
      <c r="H456" s="580">
        <v>3144</v>
      </c>
      <c r="I456" s="580" t="s">
        <v>3081</v>
      </c>
    </row>
    <row r="457" spans="8:9" ht="16.3">
      <c r="H457" s="580">
        <v>3145</v>
      </c>
      <c r="I457" s="581" t="s">
        <v>3082</v>
      </c>
    </row>
    <row r="458" spans="8:9" ht="16.3">
      <c r="H458" s="580">
        <v>3146</v>
      </c>
      <c r="I458" s="581" t="s">
        <v>3082</v>
      </c>
    </row>
    <row r="459" spans="8:9" ht="16.3">
      <c r="H459" s="580">
        <v>3147</v>
      </c>
      <c r="I459" s="580" t="s">
        <v>3069</v>
      </c>
    </row>
    <row r="460" spans="8:9" ht="16.3">
      <c r="H460" s="580">
        <v>3151</v>
      </c>
      <c r="I460" s="581" t="s">
        <v>3083</v>
      </c>
    </row>
    <row r="461" spans="8:9" ht="16.3">
      <c r="H461" s="580">
        <v>3152</v>
      </c>
      <c r="I461" s="581" t="s">
        <v>3084</v>
      </c>
    </row>
    <row r="462" spans="8:9" ht="16.3">
      <c r="H462" s="580">
        <v>3153</v>
      </c>
      <c r="I462" s="581" t="s">
        <v>3085</v>
      </c>
    </row>
    <row r="463" spans="8:9" ht="16.3">
      <c r="H463" s="580">
        <v>3154</v>
      </c>
      <c r="I463" s="581" t="s">
        <v>3086</v>
      </c>
    </row>
    <row r="464" spans="8:9" ht="16.3">
      <c r="H464" s="580">
        <v>3155</v>
      </c>
      <c r="I464" s="581" t="s">
        <v>3087</v>
      </c>
    </row>
    <row r="465" spans="8:9" ht="16.3">
      <c r="H465" s="580">
        <v>3161</v>
      </c>
      <c r="I465" s="581" t="s">
        <v>3088</v>
      </c>
    </row>
    <row r="466" spans="8:9" ht="16.3">
      <c r="H466" s="580">
        <v>3162</v>
      </c>
      <c r="I466" s="581" t="s">
        <v>3089</v>
      </c>
    </row>
    <row r="467" spans="8:9" ht="16.3">
      <c r="H467" s="580">
        <v>3163</v>
      </c>
      <c r="I467" s="581" t="s">
        <v>3090</v>
      </c>
    </row>
    <row r="468" spans="8:9" ht="16.3">
      <c r="H468" s="580">
        <v>3163</v>
      </c>
      <c r="I468" s="581" t="s">
        <v>3091</v>
      </c>
    </row>
    <row r="469" spans="8:9" ht="16.3">
      <c r="H469" s="580">
        <v>3165</v>
      </c>
      <c r="I469" s="581" t="s">
        <v>3092</v>
      </c>
    </row>
    <row r="470" spans="8:9" ht="16.3">
      <c r="H470" s="580">
        <v>3170</v>
      </c>
      <c r="I470" s="581" t="s">
        <v>3093</v>
      </c>
    </row>
    <row r="471" spans="8:9" ht="16.3">
      <c r="H471" s="580">
        <v>3175</v>
      </c>
      <c r="I471" s="581" t="s">
        <v>3094</v>
      </c>
    </row>
    <row r="472" spans="8:9" ht="16.3">
      <c r="H472" s="580">
        <v>3176</v>
      </c>
      <c r="I472" s="581" t="s">
        <v>3095</v>
      </c>
    </row>
    <row r="473" spans="8:9" ht="16.3">
      <c r="H473" s="580">
        <v>3177</v>
      </c>
      <c r="I473" s="581" t="s">
        <v>2203</v>
      </c>
    </row>
    <row r="474" spans="8:9" ht="16.3">
      <c r="H474" s="580">
        <v>3178</v>
      </c>
      <c r="I474" s="581" t="s">
        <v>3096</v>
      </c>
    </row>
    <row r="475" spans="8:9" ht="16.3">
      <c r="H475" s="580">
        <v>3179</v>
      </c>
      <c r="I475" s="581" t="s">
        <v>3097</v>
      </c>
    </row>
    <row r="476" spans="8:9" ht="16.3">
      <c r="H476" s="580">
        <v>3181</v>
      </c>
      <c r="I476" s="581" t="s">
        <v>3098</v>
      </c>
    </row>
    <row r="477" spans="8:9" ht="16.3">
      <c r="H477" s="580">
        <v>3182</v>
      </c>
      <c r="I477" s="581" t="s">
        <v>3099</v>
      </c>
    </row>
    <row r="478" spans="8:9" ht="16.3">
      <c r="H478" s="580">
        <v>3183</v>
      </c>
      <c r="I478" s="581" t="s">
        <v>3100</v>
      </c>
    </row>
    <row r="479" spans="8:9" ht="16.3">
      <c r="H479" s="580">
        <v>3184</v>
      </c>
      <c r="I479" s="581" t="s">
        <v>3101</v>
      </c>
    </row>
    <row r="480" spans="8:9" ht="16.3">
      <c r="H480" s="580">
        <v>3185</v>
      </c>
      <c r="I480" s="581" t="s">
        <v>3102</v>
      </c>
    </row>
    <row r="481" spans="8:9" ht="16.3">
      <c r="H481" s="580">
        <v>3186</v>
      </c>
      <c r="I481" s="581" t="s">
        <v>2204</v>
      </c>
    </row>
    <row r="482" spans="8:9" ht="16.3">
      <c r="H482" s="580">
        <v>3187</v>
      </c>
      <c r="I482" s="581" t="s">
        <v>3103</v>
      </c>
    </row>
    <row r="483" spans="8:9" ht="16.3">
      <c r="H483" s="580">
        <v>3188</v>
      </c>
      <c r="I483" s="581" t="s">
        <v>3104</v>
      </c>
    </row>
    <row r="484" spans="8:9" ht="16.3">
      <c r="H484" s="580">
        <v>3200</v>
      </c>
      <c r="I484" s="581" t="s">
        <v>2109</v>
      </c>
    </row>
    <row r="485" spans="8:9" ht="16.3">
      <c r="H485" s="580">
        <v>3211</v>
      </c>
      <c r="I485" s="581" t="s">
        <v>3105</v>
      </c>
    </row>
    <row r="486" spans="8:9" ht="16.3">
      <c r="H486" s="580">
        <v>3212</v>
      </c>
      <c r="I486" s="581" t="s">
        <v>3106</v>
      </c>
    </row>
    <row r="487" spans="8:9" ht="16.3">
      <c r="H487" s="580">
        <v>3213</v>
      </c>
      <c r="I487" s="581" t="s">
        <v>3107</v>
      </c>
    </row>
    <row r="488" spans="8:9" ht="16.3">
      <c r="H488" s="580">
        <v>3214</v>
      </c>
      <c r="I488" s="581" t="s">
        <v>2101</v>
      </c>
    </row>
    <row r="489" spans="8:9" ht="16.3">
      <c r="H489" s="580">
        <v>3221</v>
      </c>
      <c r="I489" s="580" t="s">
        <v>2109</v>
      </c>
    </row>
    <row r="490" spans="8:9" ht="16.3">
      <c r="H490" s="580">
        <v>3231</v>
      </c>
      <c r="I490" s="581" t="s">
        <v>3108</v>
      </c>
    </row>
    <row r="491" spans="8:9" ht="16.3">
      <c r="H491" s="580">
        <v>3232</v>
      </c>
      <c r="I491" s="580" t="s">
        <v>2109</v>
      </c>
    </row>
    <row r="492" spans="8:9" ht="16.3">
      <c r="H492" s="580">
        <v>3233</v>
      </c>
      <c r="I492" s="580" t="s">
        <v>2109</v>
      </c>
    </row>
    <row r="493" spans="8:9" ht="16.3">
      <c r="H493" s="580">
        <v>3234</v>
      </c>
      <c r="I493" s="580" t="s">
        <v>3109</v>
      </c>
    </row>
    <row r="494" spans="8:9" ht="16.3">
      <c r="H494" s="580">
        <v>3235</v>
      </c>
      <c r="I494" s="581" t="s">
        <v>3109</v>
      </c>
    </row>
    <row r="495" spans="8:9" ht="16.3">
      <c r="H495" s="580">
        <v>3240</v>
      </c>
      <c r="I495" s="581" t="s">
        <v>1964</v>
      </c>
    </row>
    <row r="496" spans="8:9" ht="16.3">
      <c r="H496" s="580">
        <v>3242</v>
      </c>
      <c r="I496" s="581" t="s">
        <v>2219</v>
      </c>
    </row>
    <row r="497" spans="8:9" ht="16.3">
      <c r="H497" s="580">
        <v>3243</v>
      </c>
      <c r="I497" s="581" t="s">
        <v>3110</v>
      </c>
    </row>
    <row r="498" spans="8:9" ht="16.3">
      <c r="H498" s="580">
        <v>3245</v>
      </c>
      <c r="I498" s="581" t="s">
        <v>1978</v>
      </c>
    </row>
    <row r="499" spans="8:9" ht="16.3">
      <c r="H499" s="580">
        <v>3246</v>
      </c>
      <c r="I499" s="581" t="s">
        <v>3111</v>
      </c>
    </row>
    <row r="500" spans="8:9" ht="16.3">
      <c r="H500" s="580">
        <v>3247</v>
      </c>
      <c r="I500" s="581" t="s">
        <v>3112</v>
      </c>
    </row>
    <row r="501" spans="8:9" ht="16.3">
      <c r="H501" s="580">
        <v>3248</v>
      </c>
      <c r="I501" s="581" t="s">
        <v>3113</v>
      </c>
    </row>
    <row r="502" spans="8:9" ht="16.3">
      <c r="H502" s="580">
        <v>3250</v>
      </c>
      <c r="I502" s="581" t="s">
        <v>3114</v>
      </c>
    </row>
    <row r="503" spans="8:9" ht="16.3">
      <c r="H503" s="580">
        <v>3252</v>
      </c>
      <c r="I503" s="581" t="s">
        <v>3115</v>
      </c>
    </row>
    <row r="504" spans="8:9" ht="16.3">
      <c r="H504" s="580">
        <v>3253</v>
      </c>
      <c r="I504" s="581" t="s">
        <v>3116</v>
      </c>
    </row>
    <row r="505" spans="8:9" ht="16.3">
      <c r="H505" s="580">
        <v>3254</v>
      </c>
      <c r="I505" s="581" t="s">
        <v>3117</v>
      </c>
    </row>
    <row r="506" spans="8:9" ht="16.3">
      <c r="H506" s="580">
        <v>3255</v>
      </c>
      <c r="I506" s="581" t="s">
        <v>3118</v>
      </c>
    </row>
    <row r="507" spans="8:9" ht="16.3">
      <c r="H507" s="580">
        <v>3256</v>
      </c>
      <c r="I507" s="581" t="s">
        <v>3119</v>
      </c>
    </row>
    <row r="508" spans="8:9" ht="16.3">
      <c r="H508" s="580">
        <v>3257</v>
      </c>
      <c r="I508" s="581" t="s">
        <v>3120</v>
      </c>
    </row>
    <row r="509" spans="8:9" ht="16.3">
      <c r="H509" s="580">
        <v>3258</v>
      </c>
      <c r="I509" s="581" t="s">
        <v>3121</v>
      </c>
    </row>
    <row r="510" spans="8:9" ht="16.3">
      <c r="H510" s="580">
        <v>3259</v>
      </c>
      <c r="I510" s="581" t="s">
        <v>3122</v>
      </c>
    </row>
    <row r="511" spans="8:9" ht="16.3">
      <c r="H511" s="580">
        <v>3261</v>
      </c>
      <c r="I511" s="581" t="s">
        <v>3123</v>
      </c>
    </row>
    <row r="512" spans="8:9" ht="16.3">
      <c r="H512" s="580">
        <v>3261</v>
      </c>
      <c r="I512" s="581" t="s">
        <v>3124</v>
      </c>
    </row>
    <row r="513" spans="8:9" ht="16.3">
      <c r="H513" s="580">
        <v>3262</v>
      </c>
      <c r="I513" s="581" t="s">
        <v>2145</v>
      </c>
    </row>
    <row r="514" spans="8:9" ht="16.3">
      <c r="H514" s="580">
        <v>3263</v>
      </c>
      <c r="I514" s="581" t="s">
        <v>2072</v>
      </c>
    </row>
    <row r="515" spans="8:9" ht="16.3">
      <c r="H515" s="580">
        <v>3264</v>
      </c>
      <c r="I515" s="581" t="s">
        <v>3125</v>
      </c>
    </row>
    <row r="516" spans="8:9" ht="16.3">
      <c r="H516" s="580">
        <v>3265</v>
      </c>
      <c r="I516" s="581" t="s">
        <v>3126</v>
      </c>
    </row>
    <row r="517" spans="8:9" ht="16.3">
      <c r="H517" s="580">
        <v>3271</v>
      </c>
      <c r="I517" s="581" t="s">
        <v>3127</v>
      </c>
    </row>
    <row r="518" spans="8:9" ht="16.3">
      <c r="H518" s="580">
        <v>3272</v>
      </c>
      <c r="I518" s="581" t="s">
        <v>3127</v>
      </c>
    </row>
    <row r="519" spans="8:9" ht="16.3">
      <c r="H519" s="580">
        <v>3273</v>
      </c>
      <c r="I519" s="581" t="s">
        <v>3128</v>
      </c>
    </row>
    <row r="520" spans="8:9" ht="16.3">
      <c r="H520" s="580">
        <v>3274</v>
      </c>
      <c r="I520" s="581" t="s">
        <v>3129</v>
      </c>
    </row>
    <row r="521" spans="8:9" ht="16.3">
      <c r="H521" s="580">
        <v>3275</v>
      </c>
      <c r="I521" s="581" t="s">
        <v>3130</v>
      </c>
    </row>
    <row r="522" spans="8:9" ht="16.3">
      <c r="H522" s="580">
        <v>3281</v>
      </c>
      <c r="I522" s="581" t="s">
        <v>3131</v>
      </c>
    </row>
    <row r="523" spans="8:9" ht="16.3">
      <c r="H523" s="580">
        <v>3282</v>
      </c>
      <c r="I523" s="581" t="s">
        <v>3132</v>
      </c>
    </row>
    <row r="524" spans="8:9" ht="16.3">
      <c r="H524" s="580">
        <v>3283</v>
      </c>
      <c r="I524" s="581" t="s">
        <v>3133</v>
      </c>
    </row>
    <row r="525" spans="8:9" ht="16.3">
      <c r="H525" s="580">
        <v>3284</v>
      </c>
      <c r="I525" s="581" t="s">
        <v>2290</v>
      </c>
    </row>
    <row r="526" spans="8:9" ht="16.3">
      <c r="H526" s="580">
        <v>3291</v>
      </c>
      <c r="I526" s="581" t="s">
        <v>3134</v>
      </c>
    </row>
    <row r="527" spans="8:9" ht="16.3">
      <c r="H527" s="580">
        <v>3292</v>
      </c>
      <c r="I527" s="581" t="s">
        <v>2135</v>
      </c>
    </row>
    <row r="528" spans="8:9" ht="16.3">
      <c r="H528" s="580">
        <v>3293</v>
      </c>
      <c r="I528" s="581" t="s">
        <v>3135</v>
      </c>
    </row>
    <row r="529" spans="8:9" ht="16.3">
      <c r="H529" s="580">
        <v>3294</v>
      </c>
      <c r="I529" s="581" t="s">
        <v>3136</v>
      </c>
    </row>
    <row r="530" spans="8:9" ht="16.3">
      <c r="H530" s="580">
        <v>3295</v>
      </c>
      <c r="I530" s="581" t="s">
        <v>3137</v>
      </c>
    </row>
    <row r="531" spans="8:9" ht="16.3">
      <c r="H531" s="580">
        <v>3296</v>
      </c>
      <c r="I531" s="581" t="s">
        <v>3138</v>
      </c>
    </row>
    <row r="532" spans="8:9" ht="16.3">
      <c r="H532" s="580">
        <v>3300</v>
      </c>
      <c r="I532" s="581" t="s">
        <v>1997</v>
      </c>
    </row>
    <row r="533" spans="8:9" ht="16.3">
      <c r="H533" s="580">
        <v>3304</v>
      </c>
      <c r="I533" s="581" t="s">
        <v>1997</v>
      </c>
    </row>
    <row r="534" spans="8:9" ht="16.3">
      <c r="H534" s="580">
        <v>3321</v>
      </c>
      <c r="I534" s="581" t="s">
        <v>3139</v>
      </c>
    </row>
    <row r="535" spans="8:9" ht="16.3">
      <c r="H535" s="580">
        <v>3322</v>
      </c>
      <c r="I535" s="581" t="s">
        <v>3140</v>
      </c>
    </row>
    <row r="536" spans="8:9" ht="16.3">
      <c r="H536" s="580">
        <v>3323</v>
      </c>
      <c r="I536" s="581" t="s">
        <v>3141</v>
      </c>
    </row>
    <row r="537" spans="8:9" ht="16.3">
      <c r="H537" s="580">
        <v>3324</v>
      </c>
      <c r="I537" s="581" t="s">
        <v>3142</v>
      </c>
    </row>
    <row r="538" spans="8:9" ht="16.3">
      <c r="H538" s="580">
        <v>3325</v>
      </c>
      <c r="I538" s="581" t="s">
        <v>3143</v>
      </c>
    </row>
    <row r="539" spans="8:9" ht="16.3">
      <c r="H539" s="580">
        <v>3326</v>
      </c>
      <c r="I539" s="581" t="s">
        <v>3144</v>
      </c>
    </row>
    <row r="540" spans="8:9" ht="16.3">
      <c r="H540" s="580">
        <v>3327</v>
      </c>
      <c r="I540" s="581" t="s">
        <v>3145</v>
      </c>
    </row>
    <row r="541" spans="8:9" ht="16.3">
      <c r="H541" s="580">
        <v>3328</v>
      </c>
      <c r="I541" s="581" t="s">
        <v>3146</v>
      </c>
    </row>
    <row r="542" spans="8:9" ht="16.3">
      <c r="H542" s="580">
        <v>3331</v>
      </c>
      <c r="I542" s="581" t="s">
        <v>3147</v>
      </c>
    </row>
    <row r="543" spans="8:9" ht="16.3">
      <c r="H543" s="580">
        <v>3332</v>
      </c>
      <c r="I543" s="581" t="s">
        <v>3148</v>
      </c>
    </row>
    <row r="544" spans="8:9" ht="16.3">
      <c r="H544" s="580">
        <v>3333</v>
      </c>
      <c r="I544" s="581" t="s">
        <v>2114</v>
      </c>
    </row>
    <row r="545" spans="8:9" ht="16.3">
      <c r="H545" s="580">
        <v>3334</v>
      </c>
      <c r="I545" s="581" t="s">
        <v>3149</v>
      </c>
    </row>
    <row r="546" spans="8:9" ht="16.3">
      <c r="H546" s="580">
        <v>3335</v>
      </c>
      <c r="I546" s="581" t="s">
        <v>3150</v>
      </c>
    </row>
    <row r="547" spans="8:9" ht="16.3">
      <c r="H547" s="580">
        <v>3336</v>
      </c>
      <c r="I547" s="581" t="s">
        <v>3151</v>
      </c>
    </row>
    <row r="548" spans="8:9" ht="16.3">
      <c r="H548" s="580">
        <v>3337</v>
      </c>
      <c r="I548" s="581" t="s">
        <v>3152</v>
      </c>
    </row>
    <row r="549" spans="8:9" ht="16.3">
      <c r="H549" s="580">
        <v>3341</v>
      </c>
      <c r="I549" s="581" t="s">
        <v>3153</v>
      </c>
    </row>
    <row r="550" spans="8:9" ht="16.3">
      <c r="H550" s="580">
        <v>3341</v>
      </c>
      <c r="I550" s="581" t="s">
        <v>3154</v>
      </c>
    </row>
    <row r="551" spans="8:9" ht="16.3">
      <c r="H551" s="580">
        <v>3343</v>
      </c>
      <c r="I551" s="581" t="s">
        <v>3155</v>
      </c>
    </row>
    <row r="552" spans="8:9" ht="16.3">
      <c r="H552" s="580">
        <v>3344</v>
      </c>
      <c r="I552" s="581" t="s">
        <v>3156</v>
      </c>
    </row>
    <row r="553" spans="8:9" ht="16.3">
      <c r="H553" s="580">
        <v>3345</v>
      </c>
      <c r="I553" s="581" t="s">
        <v>3157</v>
      </c>
    </row>
    <row r="554" spans="8:9" ht="16.3">
      <c r="H554" s="580">
        <v>3346</v>
      </c>
      <c r="I554" s="581" t="s">
        <v>3158</v>
      </c>
    </row>
    <row r="555" spans="8:9" ht="16.3">
      <c r="H555" s="580">
        <v>3346</v>
      </c>
      <c r="I555" s="581" t="s">
        <v>3159</v>
      </c>
    </row>
    <row r="556" spans="8:9" ht="16.3">
      <c r="H556" s="580">
        <v>3347</v>
      </c>
      <c r="I556" s="581" t="s">
        <v>3160</v>
      </c>
    </row>
    <row r="557" spans="8:9" ht="16.3">
      <c r="H557" s="580">
        <v>3348</v>
      </c>
      <c r="I557" s="581" t="s">
        <v>3161</v>
      </c>
    </row>
    <row r="558" spans="8:9" ht="16.3">
      <c r="H558" s="580">
        <v>3349</v>
      </c>
      <c r="I558" s="581" t="s">
        <v>3162</v>
      </c>
    </row>
    <row r="559" spans="8:9" ht="16.3">
      <c r="H559" s="580">
        <v>3350</v>
      </c>
      <c r="I559" s="581" t="s">
        <v>3163</v>
      </c>
    </row>
    <row r="560" spans="8:9" ht="16.3">
      <c r="H560" s="580">
        <v>3351</v>
      </c>
      <c r="I560" s="581" t="s">
        <v>3164</v>
      </c>
    </row>
    <row r="561" spans="8:9" ht="16.3">
      <c r="H561" s="580">
        <v>3352</v>
      </c>
      <c r="I561" s="581" t="s">
        <v>3165</v>
      </c>
    </row>
    <row r="562" spans="8:9" ht="16.3">
      <c r="H562" s="580">
        <v>3353</v>
      </c>
      <c r="I562" s="581" t="s">
        <v>3166</v>
      </c>
    </row>
    <row r="563" spans="8:9" ht="16.3">
      <c r="H563" s="580">
        <v>3354</v>
      </c>
      <c r="I563" s="581" t="s">
        <v>3167</v>
      </c>
    </row>
    <row r="564" spans="8:9" ht="16.3">
      <c r="H564" s="580">
        <v>3355</v>
      </c>
      <c r="I564" s="581" t="s">
        <v>3168</v>
      </c>
    </row>
    <row r="565" spans="8:9" ht="16.3">
      <c r="H565" s="580">
        <v>3356</v>
      </c>
      <c r="I565" s="581" t="s">
        <v>2193</v>
      </c>
    </row>
    <row r="566" spans="8:9" ht="16.3">
      <c r="H566" s="580">
        <v>3357</v>
      </c>
      <c r="I566" s="581" t="s">
        <v>2275</v>
      </c>
    </row>
    <row r="567" spans="8:9" ht="16.3">
      <c r="H567" s="580">
        <v>3358</v>
      </c>
      <c r="I567" s="581" t="s">
        <v>2157</v>
      </c>
    </row>
    <row r="568" spans="8:9" ht="16.3">
      <c r="H568" s="580">
        <v>3359</v>
      </c>
      <c r="I568" s="581" t="s">
        <v>3169</v>
      </c>
    </row>
    <row r="569" spans="8:9" ht="16.3">
      <c r="H569" s="580">
        <v>3360</v>
      </c>
      <c r="I569" s="581" t="s">
        <v>1933</v>
      </c>
    </row>
    <row r="570" spans="8:9" ht="16.3">
      <c r="H570" s="580">
        <v>3368</v>
      </c>
      <c r="I570" s="581" t="s">
        <v>3170</v>
      </c>
    </row>
    <row r="571" spans="8:9" ht="16.3">
      <c r="H571" s="580">
        <v>3369</v>
      </c>
      <c r="I571" s="581" t="s">
        <v>2328</v>
      </c>
    </row>
    <row r="572" spans="8:9" ht="16.3">
      <c r="H572" s="580">
        <v>3371</v>
      </c>
      <c r="I572" s="581" t="s">
        <v>3171</v>
      </c>
    </row>
    <row r="573" spans="8:9" ht="16.3">
      <c r="H573" s="580">
        <v>3372</v>
      </c>
      <c r="I573" s="581" t="s">
        <v>3172</v>
      </c>
    </row>
    <row r="574" spans="8:9" ht="16.3">
      <c r="H574" s="580">
        <v>3373</v>
      </c>
      <c r="I574" s="581" t="s">
        <v>3173</v>
      </c>
    </row>
    <row r="575" spans="8:9" ht="16.3">
      <c r="H575" s="580">
        <v>3374</v>
      </c>
      <c r="I575" s="581" t="s">
        <v>3174</v>
      </c>
    </row>
    <row r="576" spans="8:9" ht="16.3">
      <c r="H576" s="580">
        <v>3375</v>
      </c>
      <c r="I576" s="581" t="s">
        <v>3175</v>
      </c>
    </row>
    <row r="577" spans="8:9" ht="16.3">
      <c r="H577" s="580">
        <v>3377</v>
      </c>
      <c r="I577" s="581" t="s">
        <v>3176</v>
      </c>
    </row>
    <row r="578" spans="8:9" ht="16.3">
      <c r="H578" s="580">
        <v>3378</v>
      </c>
      <c r="I578" s="581" t="s">
        <v>3177</v>
      </c>
    </row>
    <row r="579" spans="8:9" ht="16.3">
      <c r="H579" s="580">
        <v>3379</v>
      </c>
      <c r="I579" s="581" t="s">
        <v>3178</v>
      </c>
    </row>
    <row r="580" spans="8:9" ht="16.3">
      <c r="H580" s="580">
        <v>3381</v>
      </c>
      <c r="I580" s="581" t="s">
        <v>3179</v>
      </c>
    </row>
    <row r="581" spans="8:9" ht="16.3">
      <c r="H581" s="580">
        <v>3382</v>
      </c>
      <c r="I581" s="581" t="s">
        <v>3180</v>
      </c>
    </row>
    <row r="582" spans="8:9" ht="16.3">
      <c r="H582" s="580">
        <v>3383</v>
      </c>
      <c r="I582" s="581" t="s">
        <v>3181</v>
      </c>
    </row>
    <row r="583" spans="8:9" ht="16.3">
      <c r="H583" s="580">
        <v>3384</v>
      </c>
      <c r="I583" s="581" t="s">
        <v>3182</v>
      </c>
    </row>
    <row r="584" spans="8:9" ht="16.3">
      <c r="H584" s="580">
        <v>3385</v>
      </c>
      <c r="I584" s="581" t="s">
        <v>2186</v>
      </c>
    </row>
    <row r="585" spans="8:9" ht="16.3">
      <c r="H585" s="580">
        <v>3386</v>
      </c>
      <c r="I585" s="581" t="s">
        <v>3183</v>
      </c>
    </row>
    <row r="586" spans="8:9" ht="16.3">
      <c r="H586" s="580">
        <v>3387</v>
      </c>
      <c r="I586" s="581" t="s">
        <v>3184</v>
      </c>
    </row>
    <row r="587" spans="8:9" ht="16.3">
      <c r="H587" s="580">
        <v>3388</v>
      </c>
      <c r="I587" s="581" t="s">
        <v>3185</v>
      </c>
    </row>
    <row r="588" spans="8:9" ht="16.3">
      <c r="H588" s="580">
        <v>3390</v>
      </c>
      <c r="I588" s="581" t="s">
        <v>3186</v>
      </c>
    </row>
    <row r="589" spans="8:9" ht="16.3">
      <c r="H589" s="580">
        <v>3394</v>
      </c>
      <c r="I589" s="581" t="s">
        <v>3187</v>
      </c>
    </row>
    <row r="590" spans="8:9" ht="16.3">
      <c r="H590" s="580">
        <v>3395</v>
      </c>
      <c r="I590" s="581" t="s">
        <v>3188</v>
      </c>
    </row>
    <row r="591" spans="8:9" ht="16.3">
      <c r="H591" s="580">
        <v>3396</v>
      </c>
      <c r="I591" s="581" t="s">
        <v>3189</v>
      </c>
    </row>
    <row r="592" spans="8:9" ht="16.3">
      <c r="H592" s="580">
        <v>3397</v>
      </c>
      <c r="I592" s="581" t="s">
        <v>3190</v>
      </c>
    </row>
    <row r="593" spans="8:9" ht="16.3">
      <c r="H593" s="580">
        <v>3398</v>
      </c>
      <c r="I593" s="581" t="s">
        <v>3191</v>
      </c>
    </row>
    <row r="594" spans="8:9" ht="16.3">
      <c r="H594" s="580">
        <v>3399</v>
      </c>
      <c r="I594" s="581" t="s">
        <v>3192</v>
      </c>
    </row>
    <row r="595" spans="8:9" ht="16.3">
      <c r="H595" s="580">
        <v>3400</v>
      </c>
      <c r="I595" s="581" t="s">
        <v>2102</v>
      </c>
    </row>
    <row r="596" spans="8:9" ht="16.3">
      <c r="H596" s="580">
        <v>3411</v>
      </c>
      <c r="I596" s="581" t="s">
        <v>3193</v>
      </c>
    </row>
    <row r="597" spans="8:9" ht="16.3">
      <c r="H597" s="580">
        <v>3412</v>
      </c>
      <c r="I597" s="581" t="s">
        <v>3194</v>
      </c>
    </row>
    <row r="598" spans="8:9" ht="16.3">
      <c r="H598" s="580">
        <v>3413</v>
      </c>
      <c r="I598" s="581" t="s">
        <v>3195</v>
      </c>
    </row>
    <row r="599" spans="8:9" ht="16.3">
      <c r="H599" s="580">
        <v>3414</v>
      </c>
      <c r="I599" s="581" t="s">
        <v>3196</v>
      </c>
    </row>
    <row r="600" spans="8:9" ht="16.3">
      <c r="H600" s="580">
        <v>3416</v>
      </c>
      <c r="I600" s="581" t="s">
        <v>3197</v>
      </c>
    </row>
    <row r="601" spans="8:9" ht="16.3">
      <c r="H601" s="580">
        <v>3417</v>
      </c>
      <c r="I601" s="581" t="s">
        <v>3198</v>
      </c>
    </row>
    <row r="602" spans="8:9" ht="16.3">
      <c r="H602" s="580">
        <v>3418</v>
      </c>
      <c r="I602" s="581" t="s">
        <v>3199</v>
      </c>
    </row>
    <row r="603" spans="8:9" ht="16.3">
      <c r="H603" s="580">
        <v>3421</v>
      </c>
      <c r="I603" s="581" t="s">
        <v>3200</v>
      </c>
    </row>
    <row r="604" spans="8:9" ht="16.3">
      <c r="H604" s="580">
        <v>3422</v>
      </c>
      <c r="I604" s="581" t="s">
        <v>3201</v>
      </c>
    </row>
    <row r="605" spans="8:9" ht="16.3">
      <c r="H605" s="580">
        <v>3423</v>
      </c>
      <c r="I605" s="581" t="s">
        <v>3202</v>
      </c>
    </row>
    <row r="606" spans="8:9" ht="16.3">
      <c r="H606" s="580">
        <v>3424</v>
      </c>
      <c r="I606" s="581" t="s">
        <v>3203</v>
      </c>
    </row>
    <row r="607" spans="8:9" ht="16.3">
      <c r="H607" s="580">
        <v>3425</v>
      </c>
      <c r="I607" s="581" t="s">
        <v>3204</v>
      </c>
    </row>
    <row r="608" spans="8:9" ht="16.3">
      <c r="H608" s="580">
        <v>3426</v>
      </c>
      <c r="I608" s="581" t="s">
        <v>3205</v>
      </c>
    </row>
    <row r="609" spans="8:9" ht="16.3">
      <c r="H609" s="580">
        <v>3431</v>
      </c>
      <c r="I609" s="581" t="s">
        <v>3206</v>
      </c>
    </row>
    <row r="610" spans="8:9" ht="16.3">
      <c r="H610" s="580">
        <v>3432</v>
      </c>
      <c r="I610" s="581" t="s">
        <v>3207</v>
      </c>
    </row>
    <row r="611" spans="8:9" ht="16.3">
      <c r="H611" s="580">
        <v>3433</v>
      </c>
      <c r="I611" s="581" t="s">
        <v>3208</v>
      </c>
    </row>
    <row r="612" spans="8:9" ht="16.3">
      <c r="H612" s="580">
        <v>3434</v>
      </c>
      <c r="I612" s="581" t="s">
        <v>3209</v>
      </c>
    </row>
    <row r="613" spans="8:9" ht="16.3">
      <c r="H613" s="580">
        <v>3441</v>
      </c>
      <c r="I613" s="581" t="s">
        <v>3210</v>
      </c>
    </row>
    <row r="614" spans="8:9" ht="16.3">
      <c r="H614" s="580">
        <v>3442</v>
      </c>
      <c r="I614" s="581" t="s">
        <v>3211</v>
      </c>
    </row>
    <row r="615" spans="8:9" ht="16.3">
      <c r="H615" s="580">
        <v>3443</v>
      </c>
      <c r="I615" s="581" t="s">
        <v>3212</v>
      </c>
    </row>
    <row r="616" spans="8:9" ht="16.3">
      <c r="H616" s="580">
        <v>3444</v>
      </c>
      <c r="I616" s="581" t="s">
        <v>3213</v>
      </c>
    </row>
    <row r="617" spans="8:9" ht="16.3">
      <c r="H617" s="580">
        <v>3450</v>
      </c>
      <c r="I617" s="581" t="s">
        <v>3214</v>
      </c>
    </row>
    <row r="618" spans="8:9" ht="16.3">
      <c r="H618" s="580">
        <v>3458</v>
      </c>
      <c r="I618" s="581" t="s">
        <v>3215</v>
      </c>
    </row>
    <row r="619" spans="8:9" ht="16.3">
      <c r="H619" s="580">
        <v>3459</v>
      </c>
      <c r="I619" s="581" t="s">
        <v>3216</v>
      </c>
    </row>
    <row r="620" spans="8:9" ht="16.3">
      <c r="H620" s="580">
        <v>3461</v>
      </c>
      <c r="I620" s="581" t="s">
        <v>3217</v>
      </c>
    </row>
    <row r="621" spans="8:9" ht="16.3">
      <c r="H621" s="580">
        <v>3462</v>
      </c>
      <c r="I621" s="581" t="s">
        <v>3218</v>
      </c>
    </row>
    <row r="622" spans="8:9" ht="16.3">
      <c r="H622" s="580">
        <v>3463</v>
      </c>
      <c r="I622" s="581" t="s">
        <v>3219</v>
      </c>
    </row>
    <row r="623" spans="8:9" ht="16.3">
      <c r="H623" s="580">
        <v>3464</v>
      </c>
      <c r="I623" s="581" t="s">
        <v>3220</v>
      </c>
    </row>
    <row r="624" spans="8:9" ht="16.3">
      <c r="H624" s="580">
        <v>3465</v>
      </c>
      <c r="I624" s="581" t="s">
        <v>3221</v>
      </c>
    </row>
    <row r="625" spans="8:9" ht="16.3">
      <c r="H625" s="580">
        <v>3466</v>
      </c>
      <c r="I625" s="581" t="s">
        <v>3222</v>
      </c>
    </row>
    <row r="626" spans="8:9" ht="16.3">
      <c r="H626" s="580">
        <v>3467</v>
      </c>
      <c r="I626" s="581" t="s">
        <v>3223</v>
      </c>
    </row>
    <row r="627" spans="8:9" ht="16.3">
      <c r="H627" s="580">
        <v>3500</v>
      </c>
      <c r="I627" s="581" t="s">
        <v>1923</v>
      </c>
    </row>
    <row r="628" spans="8:9" ht="16.3">
      <c r="H628" s="580">
        <v>3551</v>
      </c>
      <c r="I628" s="581" t="s">
        <v>3224</v>
      </c>
    </row>
    <row r="629" spans="8:9" ht="16.3">
      <c r="H629" s="580">
        <v>3552</v>
      </c>
      <c r="I629" s="581" t="s">
        <v>3225</v>
      </c>
    </row>
    <row r="630" spans="8:9" ht="16.3">
      <c r="H630" s="580">
        <v>3553</v>
      </c>
      <c r="I630" s="581" t="s">
        <v>3226</v>
      </c>
    </row>
    <row r="631" spans="8:9" ht="16.3">
      <c r="H631" s="580">
        <v>3554</v>
      </c>
      <c r="I631" s="581" t="s">
        <v>3227</v>
      </c>
    </row>
    <row r="632" spans="8:9" ht="16.3">
      <c r="H632" s="580">
        <v>3555</v>
      </c>
      <c r="I632" s="581" t="s">
        <v>3228</v>
      </c>
    </row>
    <row r="633" spans="8:9" ht="16.3">
      <c r="H633" s="580">
        <v>3556</v>
      </c>
      <c r="I633" s="581" t="s">
        <v>3229</v>
      </c>
    </row>
    <row r="634" spans="8:9" ht="16.3">
      <c r="H634" s="580">
        <v>3557</v>
      </c>
      <c r="I634" s="581" t="s">
        <v>3230</v>
      </c>
    </row>
    <row r="635" spans="8:9" ht="16.3">
      <c r="H635" s="580">
        <v>3559</v>
      </c>
      <c r="I635" s="581" t="s">
        <v>3231</v>
      </c>
    </row>
    <row r="636" spans="8:9" ht="16.3">
      <c r="H636" s="580">
        <v>3561</v>
      </c>
      <c r="I636" s="581" t="s">
        <v>3232</v>
      </c>
    </row>
    <row r="637" spans="8:9" ht="16.3">
      <c r="H637" s="580">
        <v>3562</v>
      </c>
      <c r="I637" s="581" t="s">
        <v>3233</v>
      </c>
    </row>
    <row r="638" spans="8:9" ht="16.3">
      <c r="H638" s="580">
        <v>3563</v>
      </c>
      <c r="I638" s="581" t="s">
        <v>3234</v>
      </c>
    </row>
    <row r="639" spans="8:9" ht="16.3">
      <c r="H639" s="580">
        <v>3564</v>
      </c>
      <c r="I639" s="581" t="s">
        <v>3235</v>
      </c>
    </row>
    <row r="640" spans="8:9" ht="16.3">
      <c r="H640" s="580">
        <v>3565</v>
      </c>
      <c r="I640" s="581" t="s">
        <v>3236</v>
      </c>
    </row>
    <row r="641" spans="8:9" ht="16.3">
      <c r="H641" s="580">
        <v>3571</v>
      </c>
      <c r="I641" s="581" t="s">
        <v>3237</v>
      </c>
    </row>
    <row r="642" spans="8:9" ht="16.3">
      <c r="H642" s="580">
        <v>3572</v>
      </c>
      <c r="I642" s="581" t="s">
        <v>2300</v>
      </c>
    </row>
    <row r="643" spans="8:9" ht="16.3">
      <c r="H643" s="580">
        <v>3573</v>
      </c>
      <c r="I643" s="581" t="s">
        <v>3238</v>
      </c>
    </row>
    <row r="644" spans="8:9" ht="16.3">
      <c r="H644" s="580">
        <v>3574</v>
      </c>
      <c r="I644" s="581" t="s">
        <v>3239</v>
      </c>
    </row>
    <row r="645" spans="8:9" ht="16.3">
      <c r="H645" s="580">
        <v>3575</v>
      </c>
      <c r="I645" s="581" t="s">
        <v>3240</v>
      </c>
    </row>
    <row r="646" spans="8:9" ht="16.3">
      <c r="H646" s="580">
        <v>3576</v>
      </c>
      <c r="I646" s="581" t="s">
        <v>3241</v>
      </c>
    </row>
    <row r="647" spans="8:9" ht="16.3">
      <c r="H647" s="580">
        <v>3577</v>
      </c>
      <c r="I647" s="581" t="s">
        <v>3242</v>
      </c>
    </row>
    <row r="648" spans="8:9" ht="16.3">
      <c r="H648" s="580">
        <v>3578</v>
      </c>
      <c r="I648" s="581" t="s">
        <v>3243</v>
      </c>
    </row>
    <row r="649" spans="8:9" ht="16.3">
      <c r="H649" s="580">
        <v>3578</v>
      </c>
      <c r="I649" s="581" t="s">
        <v>3244</v>
      </c>
    </row>
    <row r="650" spans="8:9" ht="16.3">
      <c r="H650" s="580">
        <v>3579</v>
      </c>
      <c r="I650" s="581" t="s">
        <v>3245</v>
      </c>
    </row>
    <row r="651" spans="8:9" ht="16.3">
      <c r="H651" s="580">
        <v>3580</v>
      </c>
      <c r="I651" s="581" t="s">
        <v>3246</v>
      </c>
    </row>
    <row r="652" spans="8:9" ht="16.3">
      <c r="H652" s="580">
        <v>3586</v>
      </c>
      <c r="I652" s="581" t="s">
        <v>3247</v>
      </c>
    </row>
    <row r="653" spans="8:9" ht="16.3">
      <c r="H653" s="580">
        <v>3587</v>
      </c>
      <c r="I653" s="581" t="s">
        <v>2307</v>
      </c>
    </row>
    <row r="654" spans="8:9" ht="16.3">
      <c r="H654" s="580">
        <v>3588</v>
      </c>
      <c r="I654" s="581" t="s">
        <v>3248</v>
      </c>
    </row>
    <row r="655" spans="8:9" ht="16.3">
      <c r="H655" s="580">
        <v>3589</v>
      </c>
      <c r="I655" s="581" t="s">
        <v>3249</v>
      </c>
    </row>
    <row r="656" spans="8:9" ht="16.3">
      <c r="H656" s="580">
        <v>3591</v>
      </c>
      <c r="I656" s="581" t="s">
        <v>3250</v>
      </c>
    </row>
    <row r="657" spans="8:9" ht="16.3">
      <c r="H657" s="580">
        <v>3592</v>
      </c>
      <c r="I657" s="581" t="s">
        <v>3251</v>
      </c>
    </row>
    <row r="658" spans="8:9" ht="16.3">
      <c r="H658" s="580">
        <v>3593</v>
      </c>
      <c r="I658" s="581" t="s">
        <v>3252</v>
      </c>
    </row>
    <row r="659" spans="8:9" ht="16.3">
      <c r="H659" s="580">
        <v>3594</v>
      </c>
      <c r="I659" s="581" t="s">
        <v>3253</v>
      </c>
    </row>
    <row r="660" spans="8:9" ht="16.3">
      <c r="H660" s="580">
        <v>3595</v>
      </c>
      <c r="I660" s="581" t="s">
        <v>3254</v>
      </c>
    </row>
    <row r="661" spans="8:9" ht="16.3">
      <c r="H661" s="580">
        <v>3596</v>
      </c>
      <c r="I661" s="581" t="s">
        <v>3255</v>
      </c>
    </row>
    <row r="662" spans="8:9" ht="16.3">
      <c r="H662" s="580">
        <v>3597</v>
      </c>
      <c r="I662" s="581" t="s">
        <v>3256</v>
      </c>
    </row>
    <row r="663" spans="8:9" ht="16.3">
      <c r="H663" s="580">
        <v>3598</v>
      </c>
      <c r="I663" s="581" t="s">
        <v>3257</v>
      </c>
    </row>
    <row r="664" spans="8:9" ht="16.3">
      <c r="H664" s="580">
        <v>3599</v>
      </c>
      <c r="I664" s="581" t="s">
        <v>3258</v>
      </c>
    </row>
    <row r="665" spans="8:9" ht="16.3">
      <c r="H665" s="580">
        <v>3600</v>
      </c>
      <c r="I665" s="581" t="s">
        <v>1994</v>
      </c>
    </row>
    <row r="666" spans="8:9" ht="16.3">
      <c r="H666" s="580">
        <v>3604</v>
      </c>
      <c r="I666" s="581" t="s">
        <v>1994</v>
      </c>
    </row>
    <row r="667" spans="8:9" ht="16.3">
      <c r="H667" s="580">
        <v>3608</v>
      </c>
      <c r="I667" s="581" t="s">
        <v>3259</v>
      </c>
    </row>
    <row r="668" spans="8:9" ht="16.3">
      <c r="H668" s="580">
        <v>3621</v>
      </c>
      <c r="I668" s="580" t="s">
        <v>1994</v>
      </c>
    </row>
    <row r="669" spans="8:9" ht="16.3">
      <c r="H669" s="580">
        <v>3622</v>
      </c>
      <c r="I669" s="581" t="s">
        <v>3260</v>
      </c>
    </row>
    <row r="670" spans="8:9" ht="16.3">
      <c r="H670" s="580">
        <v>3623</v>
      </c>
      <c r="I670" s="581" t="s">
        <v>3261</v>
      </c>
    </row>
    <row r="671" spans="8:9" ht="16.3">
      <c r="H671" s="580">
        <v>3625</v>
      </c>
      <c r="I671" s="581" t="s">
        <v>1994</v>
      </c>
    </row>
    <row r="672" spans="8:9" ht="16.3">
      <c r="H672" s="580">
        <v>3626</v>
      </c>
      <c r="I672" s="581" t="s">
        <v>3262</v>
      </c>
    </row>
    <row r="673" spans="8:9" ht="16.3">
      <c r="H673" s="580">
        <v>3627</v>
      </c>
      <c r="I673" s="581" t="s">
        <v>3263</v>
      </c>
    </row>
    <row r="674" spans="8:9" ht="16.3">
      <c r="H674" s="580">
        <v>3627</v>
      </c>
      <c r="I674" s="581" t="s">
        <v>3264</v>
      </c>
    </row>
    <row r="675" spans="8:9" ht="16.3">
      <c r="H675" s="580">
        <v>3630</v>
      </c>
      <c r="I675" s="581" t="s">
        <v>3265</v>
      </c>
    </row>
    <row r="676" spans="8:9" ht="16.3">
      <c r="H676" s="580">
        <v>3635</v>
      </c>
      <c r="I676" s="581" t="s">
        <v>3266</v>
      </c>
    </row>
    <row r="677" spans="8:9" ht="16.3">
      <c r="H677" s="580">
        <v>3636</v>
      </c>
      <c r="I677" s="581" t="s">
        <v>3267</v>
      </c>
    </row>
    <row r="678" spans="8:9" ht="16.3">
      <c r="H678" s="580">
        <v>3636</v>
      </c>
      <c r="I678" s="581" t="s">
        <v>3268</v>
      </c>
    </row>
    <row r="679" spans="8:9" ht="16.3">
      <c r="H679" s="580">
        <v>3641</v>
      </c>
      <c r="I679" s="581" t="s">
        <v>3269</v>
      </c>
    </row>
    <row r="680" spans="8:9" ht="16.3">
      <c r="H680" s="580">
        <v>3642</v>
      </c>
      <c r="I680" s="581" t="s">
        <v>3270</v>
      </c>
    </row>
    <row r="681" spans="8:9" ht="16.3">
      <c r="H681" s="580">
        <v>3643</v>
      </c>
      <c r="I681" s="581" t="s">
        <v>2335</v>
      </c>
    </row>
    <row r="682" spans="8:9" ht="16.3">
      <c r="H682" s="580">
        <v>3644</v>
      </c>
      <c r="I682" s="581" t="s">
        <v>3271</v>
      </c>
    </row>
    <row r="683" spans="8:9" ht="16.3">
      <c r="H683" s="580">
        <v>3645</v>
      </c>
      <c r="I683" s="581" t="s">
        <v>3272</v>
      </c>
    </row>
    <row r="684" spans="8:9" ht="16.3">
      <c r="H684" s="580">
        <v>3646</v>
      </c>
      <c r="I684" s="581" t="s">
        <v>3273</v>
      </c>
    </row>
    <row r="685" spans="8:9" ht="16.3">
      <c r="H685" s="580">
        <v>3647</v>
      </c>
      <c r="I685" s="581" t="s">
        <v>3274</v>
      </c>
    </row>
    <row r="686" spans="8:9" ht="16.3">
      <c r="H686" s="580">
        <v>3648</v>
      </c>
      <c r="I686" s="581" t="s">
        <v>2163</v>
      </c>
    </row>
    <row r="687" spans="8:9" ht="16.3">
      <c r="H687" s="580">
        <v>3648</v>
      </c>
      <c r="I687" s="581" t="s">
        <v>3275</v>
      </c>
    </row>
    <row r="688" spans="8:9" ht="16.3">
      <c r="H688" s="580">
        <v>3648</v>
      </c>
      <c r="I688" s="581" t="s">
        <v>3276</v>
      </c>
    </row>
    <row r="689" spans="8:9" ht="16.3">
      <c r="H689" s="580">
        <v>3651</v>
      </c>
      <c r="I689" s="580" t="s">
        <v>1994</v>
      </c>
    </row>
    <row r="690" spans="8:9" ht="16.3">
      <c r="H690" s="580">
        <v>3652</v>
      </c>
      <c r="I690" s="581" t="s">
        <v>3277</v>
      </c>
    </row>
    <row r="691" spans="8:9" ht="16.3">
      <c r="H691" s="580">
        <v>3653</v>
      </c>
      <c r="I691" s="581" t="s">
        <v>3278</v>
      </c>
    </row>
    <row r="692" spans="8:9" ht="16.3">
      <c r="H692" s="580">
        <v>3654</v>
      </c>
      <c r="I692" s="581" t="s">
        <v>3279</v>
      </c>
    </row>
    <row r="693" spans="8:9" ht="16.3">
      <c r="H693" s="580">
        <v>3655</v>
      </c>
      <c r="I693" s="581" t="s">
        <v>3280</v>
      </c>
    </row>
    <row r="694" spans="8:9" ht="16.3">
      <c r="H694" s="580">
        <v>3656</v>
      </c>
      <c r="I694" s="581" t="s">
        <v>3281</v>
      </c>
    </row>
    <row r="695" spans="8:9" ht="16.3">
      <c r="H695" s="580">
        <v>3656</v>
      </c>
      <c r="I695" s="581" t="s">
        <v>3282</v>
      </c>
    </row>
    <row r="696" spans="8:9" ht="16.3">
      <c r="H696" s="580">
        <v>3657</v>
      </c>
      <c r="I696" s="581" t="s">
        <v>3283</v>
      </c>
    </row>
    <row r="697" spans="8:9" ht="16.3">
      <c r="H697" s="580">
        <v>3658</v>
      </c>
      <c r="I697" s="581" t="s">
        <v>3284</v>
      </c>
    </row>
    <row r="698" spans="8:9" ht="16.3">
      <c r="H698" s="580">
        <v>3659</v>
      </c>
      <c r="I698" s="581" t="s">
        <v>3285</v>
      </c>
    </row>
    <row r="699" spans="8:9" ht="16.3">
      <c r="H699" s="580">
        <v>3661</v>
      </c>
      <c r="I699" s="581" t="s">
        <v>1994</v>
      </c>
    </row>
    <row r="700" spans="8:9" ht="16.3">
      <c r="H700" s="580">
        <v>3662</v>
      </c>
      <c r="I700" s="581" t="s">
        <v>1994</v>
      </c>
    </row>
    <row r="701" spans="8:9" ht="16.3">
      <c r="H701" s="580">
        <v>3663</v>
      </c>
      <c r="I701" s="581" t="s">
        <v>3286</v>
      </c>
    </row>
    <row r="702" spans="8:9" ht="16.3">
      <c r="H702" s="580">
        <v>3664</v>
      </c>
      <c r="I702" s="581" t="s">
        <v>3287</v>
      </c>
    </row>
    <row r="703" spans="8:9" ht="16.3">
      <c r="H703" s="580">
        <v>3671</v>
      </c>
      <c r="I703" s="581" t="s">
        <v>3288</v>
      </c>
    </row>
    <row r="704" spans="8:9" ht="16.3">
      <c r="H704" s="580">
        <v>3672</v>
      </c>
      <c r="I704" s="581" t="s">
        <v>3288</v>
      </c>
    </row>
    <row r="705" spans="8:9" ht="16.3">
      <c r="H705" s="580">
        <v>3700</v>
      </c>
      <c r="I705" s="581" t="s">
        <v>1987</v>
      </c>
    </row>
    <row r="706" spans="8:9" ht="16.3">
      <c r="H706" s="580">
        <v>3704</v>
      </c>
      <c r="I706" s="581" t="s">
        <v>3289</v>
      </c>
    </row>
    <row r="707" spans="8:9" ht="16.3">
      <c r="H707" s="580">
        <v>3711</v>
      </c>
      <c r="I707" s="581" t="s">
        <v>3290</v>
      </c>
    </row>
    <row r="708" spans="8:9" ht="16.3">
      <c r="H708" s="580">
        <v>3712</v>
      </c>
      <c r="I708" s="581" t="s">
        <v>3291</v>
      </c>
    </row>
    <row r="709" spans="8:9" ht="16.3">
      <c r="H709" s="580">
        <v>3712</v>
      </c>
      <c r="I709" s="581" t="s">
        <v>3292</v>
      </c>
    </row>
    <row r="710" spans="8:9" ht="16.3">
      <c r="H710" s="580">
        <v>3713</v>
      </c>
      <c r="I710" s="581" t="s">
        <v>3293</v>
      </c>
    </row>
    <row r="711" spans="8:9" ht="16.3">
      <c r="H711" s="580">
        <v>3714</v>
      </c>
      <c r="I711" s="581" t="s">
        <v>3294</v>
      </c>
    </row>
    <row r="712" spans="8:9" ht="16.3">
      <c r="H712" s="580">
        <v>3715</v>
      </c>
      <c r="I712" s="581" t="s">
        <v>3295</v>
      </c>
    </row>
    <row r="713" spans="8:9" ht="16.3">
      <c r="H713" s="580">
        <v>3716</v>
      </c>
      <c r="I713" s="581" t="s">
        <v>3296</v>
      </c>
    </row>
    <row r="714" spans="8:9" ht="16.3">
      <c r="H714" s="580">
        <v>3716</v>
      </c>
      <c r="I714" s="581" t="s">
        <v>3297</v>
      </c>
    </row>
    <row r="715" spans="8:9" ht="16.3">
      <c r="H715" s="580">
        <v>3717</v>
      </c>
      <c r="I715" s="581" t="s">
        <v>3298</v>
      </c>
    </row>
    <row r="716" spans="8:9" ht="16.3">
      <c r="H716" s="580">
        <v>3718</v>
      </c>
      <c r="I716" s="581" t="s">
        <v>3299</v>
      </c>
    </row>
    <row r="717" spans="8:9" ht="16.3">
      <c r="H717" s="580">
        <v>3720</v>
      </c>
      <c r="I717" s="581" t="s">
        <v>3300</v>
      </c>
    </row>
    <row r="718" spans="8:9" ht="16.3">
      <c r="H718" s="580">
        <v>3720</v>
      </c>
      <c r="I718" s="581" t="s">
        <v>3301</v>
      </c>
    </row>
    <row r="719" spans="8:9" ht="16.3">
      <c r="H719" s="580">
        <v>3721</v>
      </c>
      <c r="I719" s="581" t="s">
        <v>2133</v>
      </c>
    </row>
    <row r="720" spans="8:9" ht="16.3">
      <c r="H720" s="580">
        <v>3721</v>
      </c>
      <c r="I720" s="581" t="s">
        <v>3302</v>
      </c>
    </row>
    <row r="721" spans="8:9" ht="16.3">
      <c r="H721" s="580">
        <v>3721</v>
      </c>
      <c r="I721" s="581" t="s">
        <v>3303</v>
      </c>
    </row>
    <row r="722" spans="8:9" ht="16.3">
      <c r="H722" s="580">
        <v>3722</v>
      </c>
      <c r="I722" s="581" t="s">
        <v>3304</v>
      </c>
    </row>
    <row r="723" spans="8:9" ht="16.3">
      <c r="H723" s="580">
        <v>3723</v>
      </c>
      <c r="I723" s="581" t="s">
        <v>3305</v>
      </c>
    </row>
    <row r="724" spans="8:9" ht="16.3">
      <c r="H724" s="580">
        <v>3724</v>
      </c>
      <c r="I724" s="581" t="s">
        <v>3306</v>
      </c>
    </row>
    <row r="725" spans="8:9" ht="16.3">
      <c r="H725" s="580">
        <v>3724</v>
      </c>
      <c r="I725" s="581" t="s">
        <v>3307</v>
      </c>
    </row>
    <row r="726" spans="8:9" ht="16.3">
      <c r="H726" s="580">
        <v>3725</v>
      </c>
      <c r="I726" s="581" t="s">
        <v>3308</v>
      </c>
    </row>
    <row r="727" spans="8:9" ht="16.3">
      <c r="H727" s="580">
        <v>3726</v>
      </c>
      <c r="I727" s="581" t="s">
        <v>3309</v>
      </c>
    </row>
    <row r="728" spans="8:9" ht="16.3">
      <c r="H728" s="580">
        <v>3726</v>
      </c>
      <c r="I728" s="581" t="s">
        <v>3310</v>
      </c>
    </row>
    <row r="729" spans="8:9" ht="16.3">
      <c r="H729" s="580">
        <v>3726</v>
      </c>
      <c r="I729" s="581" t="s">
        <v>3311</v>
      </c>
    </row>
    <row r="730" spans="8:9" ht="16.3">
      <c r="H730" s="580">
        <v>3728</v>
      </c>
      <c r="I730" s="581" t="s">
        <v>3312</v>
      </c>
    </row>
    <row r="731" spans="8:9" ht="16.3">
      <c r="H731" s="580">
        <v>3728</v>
      </c>
      <c r="I731" s="581" t="s">
        <v>3313</v>
      </c>
    </row>
    <row r="732" spans="8:9" ht="16.3">
      <c r="H732" s="580">
        <v>3729</v>
      </c>
      <c r="I732" s="581" t="s">
        <v>3314</v>
      </c>
    </row>
    <row r="733" spans="8:9" ht="16.3">
      <c r="H733" s="580">
        <v>3731</v>
      </c>
      <c r="I733" s="581" t="s">
        <v>3315</v>
      </c>
    </row>
    <row r="734" spans="8:9" ht="16.3">
      <c r="H734" s="580">
        <v>3732</v>
      </c>
      <c r="I734" s="581" t="s">
        <v>3316</v>
      </c>
    </row>
    <row r="735" spans="8:9" ht="16.3">
      <c r="H735" s="580">
        <v>3733</v>
      </c>
      <c r="I735" s="581" t="s">
        <v>3317</v>
      </c>
    </row>
    <row r="736" spans="8:9" ht="16.3">
      <c r="H736" s="580">
        <v>3734</v>
      </c>
      <c r="I736" s="581" t="s">
        <v>3318</v>
      </c>
    </row>
    <row r="737" spans="8:9" ht="16.3">
      <c r="H737" s="580">
        <v>3735</v>
      </c>
      <c r="I737" s="581" t="s">
        <v>3319</v>
      </c>
    </row>
    <row r="738" spans="8:9" ht="16.3">
      <c r="H738" s="580">
        <v>3735</v>
      </c>
      <c r="I738" s="581" t="s">
        <v>3320</v>
      </c>
    </row>
    <row r="739" spans="8:9" ht="16.3">
      <c r="H739" s="580">
        <v>3735</v>
      </c>
      <c r="I739" s="581" t="s">
        <v>3321</v>
      </c>
    </row>
    <row r="740" spans="8:9" ht="16.3">
      <c r="H740" s="580">
        <v>3741</v>
      </c>
      <c r="I740" s="581" t="s">
        <v>3322</v>
      </c>
    </row>
    <row r="741" spans="8:9" ht="16.3">
      <c r="H741" s="580">
        <v>3742</v>
      </c>
      <c r="I741" s="581" t="s">
        <v>3323</v>
      </c>
    </row>
    <row r="742" spans="8:9" ht="16.3">
      <c r="H742" s="580">
        <v>3743</v>
      </c>
      <c r="I742" s="581" t="s">
        <v>3324</v>
      </c>
    </row>
    <row r="743" spans="8:9" ht="16.3">
      <c r="H743" s="580">
        <v>3744</v>
      </c>
      <c r="I743" s="581" t="s">
        <v>3325</v>
      </c>
    </row>
    <row r="744" spans="8:9" ht="16.3">
      <c r="H744" s="580">
        <v>3751</v>
      </c>
      <c r="I744" s="581" t="s">
        <v>3326</v>
      </c>
    </row>
    <row r="745" spans="8:9" ht="16.3">
      <c r="H745" s="580">
        <v>3752</v>
      </c>
      <c r="I745" s="581" t="s">
        <v>3327</v>
      </c>
    </row>
    <row r="746" spans="8:9" ht="16.3">
      <c r="H746" s="580">
        <v>3752</v>
      </c>
      <c r="I746" s="581" t="s">
        <v>3328</v>
      </c>
    </row>
    <row r="747" spans="8:9" ht="16.3">
      <c r="H747" s="580">
        <v>3753</v>
      </c>
      <c r="I747" s="581" t="s">
        <v>3329</v>
      </c>
    </row>
    <row r="748" spans="8:9" ht="16.3">
      <c r="H748" s="580">
        <v>3754</v>
      </c>
      <c r="I748" s="581" t="s">
        <v>3330</v>
      </c>
    </row>
    <row r="749" spans="8:9" ht="16.3">
      <c r="H749" s="580">
        <v>3754</v>
      </c>
      <c r="I749" s="581" t="s">
        <v>3331</v>
      </c>
    </row>
    <row r="750" spans="8:9" ht="16.3">
      <c r="H750" s="580">
        <v>3755</v>
      </c>
      <c r="I750" s="581" t="s">
        <v>3332</v>
      </c>
    </row>
    <row r="751" spans="8:9" ht="16.3">
      <c r="H751" s="580">
        <v>3756</v>
      </c>
      <c r="I751" s="581" t="s">
        <v>3333</v>
      </c>
    </row>
    <row r="752" spans="8:9" ht="16.3">
      <c r="H752" s="580">
        <v>3756</v>
      </c>
      <c r="I752" s="581" t="s">
        <v>3334</v>
      </c>
    </row>
    <row r="753" spans="8:9" ht="16.3">
      <c r="H753" s="580">
        <v>3757</v>
      </c>
      <c r="I753" s="581" t="s">
        <v>3335</v>
      </c>
    </row>
    <row r="754" spans="8:9" ht="16.3">
      <c r="H754" s="580">
        <v>3757</v>
      </c>
      <c r="I754" s="581" t="s">
        <v>3336</v>
      </c>
    </row>
    <row r="755" spans="8:9" ht="16.3">
      <c r="H755" s="580">
        <v>3757</v>
      </c>
      <c r="I755" s="581" t="s">
        <v>3337</v>
      </c>
    </row>
    <row r="756" spans="8:9" ht="16.3">
      <c r="H756" s="580">
        <v>3758</v>
      </c>
      <c r="I756" s="581" t="s">
        <v>3338</v>
      </c>
    </row>
    <row r="757" spans="8:9" ht="16.3">
      <c r="H757" s="580">
        <v>3759</v>
      </c>
      <c r="I757" s="581" t="s">
        <v>3339</v>
      </c>
    </row>
    <row r="758" spans="8:9" ht="16.3">
      <c r="H758" s="580">
        <v>3761</v>
      </c>
      <c r="I758" s="581" t="s">
        <v>3340</v>
      </c>
    </row>
    <row r="759" spans="8:9" ht="16.3">
      <c r="H759" s="580">
        <v>3761</v>
      </c>
      <c r="I759" s="581" t="s">
        <v>3341</v>
      </c>
    </row>
    <row r="760" spans="8:9" ht="16.3">
      <c r="H760" s="580">
        <v>3761</v>
      </c>
      <c r="I760" s="581" t="s">
        <v>3342</v>
      </c>
    </row>
    <row r="761" spans="8:9" ht="16.3">
      <c r="H761" s="580">
        <v>3762</v>
      </c>
      <c r="I761" s="581" t="s">
        <v>2130</v>
      </c>
    </row>
    <row r="762" spans="8:9" ht="16.3">
      <c r="H762" s="580">
        <v>3763</v>
      </c>
      <c r="I762" s="581" t="s">
        <v>3343</v>
      </c>
    </row>
    <row r="763" spans="8:9" ht="16.3">
      <c r="H763" s="580">
        <v>3764</v>
      </c>
      <c r="I763" s="581" t="s">
        <v>3344</v>
      </c>
    </row>
    <row r="764" spans="8:9" ht="16.3">
      <c r="H764" s="580">
        <v>3765</v>
      </c>
      <c r="I764" s="581" t="s">
        <v>3345</v>
      </c>
    </row>
    <row r="765" spans="8:9" ht="16.3">
      <c r="H765" s="580">
        <v>3765</v>
      </c>
      <c r="I765" s="581" t="s">
        <v>3346</v>
      </c>
    </row>
    <row r="766" spans="8:9" ht="16.3">
      <c r="H766" s="580">
        <v>3765</v>
      </c>
      <c r="I766" s="581" t="s">
        <v>3347</v>
      </c>
    </row>
    <row r="767" spans="8:9" ht="16.3">
      <c r="H767" s="580">
        <v>3767</v>
      </c>
      <c r="I767" s="581" t="s">
        <v>3348</v>
      </c>
    </row>
    <row r="768" spans="8:9" ht="16.3">
      <c r="H768" s="580">
        <v>3768</v>
      </c>
      <c r="I768" s="581" t="s">
        <v>3349</v>
      </c>
    </row>
    <row r="769" spans="8:9" ht="16.3">
      <c r="H769" s="580">
        <v>3768</v>
      </c>
      <c r="I769" s="581" t="s">
        <v>3350</v>
      </c>
    </row>
    <row r="770" spans="8:9" ht="16.3">
      <c r="H770" s="580">
        <v>3768</v>
      </c>
      <c r="I770" s="581" t="s">
        <v>3351</v>
      </c>
    </row>
    <row r="771" spans="8:9" ht="16.3">
      <c r="H771" s="580">
        <v>3769</v>
      </c>
      <c r="I771" s="581" t="s">
        <v>3352</v>
      </c>
    </row>
    <row r="772" spans="8:9" ht="16.3">
      <c r="H772" s="580">
        <v>3770</v>
      </c>
      <c r="I772" s="581" t="s">
        <v>3353</v>
      </c>
    </row>
    <row r="773" spans="8:9" ht="16.3">
      <c r="H773" s="580">
        <v>3773</v>
      </c>
      <c r="I773" s="581" t="s">
        <v>3354</v>
      </c>
    </row>
    <row r="774" spans="8:9" ht="16.3">
      <c r="H774" s="580">
        <v>3773</v>
      </c>
      <c r="I774" s="581" t="s">
        <v>3355</v>
      </c>
    </row>
    <row r="775" spans="8:9" ht="16.3">
      <c r="H775" s="580">
        <v>3775</v>
      </c>
      <c r="I775" s="581" t="s">
        <v>3356</v>
      </c>
    </row>
    <row r="776" spans="8:9" ht="16.3">
      <c r="H776" s="580">
        <v>3776</v>
      </c>
      <c r="I776" s="581" t="s">
        <v>3357</v>
      </c>
    </row>
    <row r="777" spans="8:9" ht="16.3">
      <c r="H777" s="580">
        <v>3777</v>
      </c>
      <c r="I777" s="581" t="s">
        <v>3358</v>
      </c>
    </row>
    <row r="778" spans="8:9" ht="16.3">
      <c r="H778" s="580">
        <v>3778</v>
      </c>
      <c r="I778" s="581" t="s">
        <v>3359</v>
      </c>
    </row>
    <row r="779" spans="8:9" ht="16.3">
      <c r="H779" s="580">
        <v>3779</v>
      </c>
      <c r="I779" s="581" t="s">
        <v>3360</v>
      </c>
    </row>
    <row r="780" spans="8:9" ht="16.3">
      <c r="H780" s="580">
        <v>3780</v>
      </c>
      <c r="I780" s="581" t="s">
        <v>3361</v>
      </c>
    </row>
    <row r="781" spans="8:9" ht="16.3">
      <c r="H781" s="580">
        <v>3780</v>
      </c>
      <c r="I781" s="581" t="s">
        <v>3362</v>
      </c>
    </row>
    <row r="782" spans="8:9" ht="16.3">
      <c r="H782" s="580">
        <v>3780</v>
      </c>
      <c r="I782" s="581" t="s">
        <v>3363</v>
      </c>
    </row>
    <row r="783" spans="8:9" ht="16.3">
      <c r="H783" s="580">
        <v>3780</v>
      </c>
      <c r="I783" s="581" t="s">
        <v>3364</v>
      </c>
    </row>
    <row r="784" spans="8:9" ht="16.3">
      <c r="H784" s="580">
        <v>3783</v>
      </c>
      <c r="I784" s="581" t="s">
        <v>3361</v>
      </c>
    </row>
    <row r="785" spans="8:9" ht="16.3">
      <c r="H785" s="580">
        <v>3786</v>
      </c>
      <c r="I785" s="581" t="s">
        <v>3365</v>
      </c>
    </row>
    <row r="786" spans="8:9" ht="16.3">
      <c r="H786" s="580">
        <v>3786</v>
      </c>
      <c r="I786" s="581" t="s">
        <v>3366</v>
      </c>
    </row>
    <row r="787" spans="8:9" ht="16.3">
      <c r="H787" s="580">
        <v>3786</v>
      </c>
      <c r="I787" s="581" t="s">
        <v>3367</v>
      </c>
    </row>
    <row r="788" spans="8:9" ht="16.3">
      <c r="H788" s="580">
        <v>3786</v>
      </c>
      <c r="I788" s="581" t="s">
        <v>3368</v>
      </c>
    </row>
    <row r="789" spans="8:9" ht="16.3">
      <c r="H789" s="580">
        <v>3787</v>
      </c>
      <c r="I789" s="581" t="s">
        <v>3369</v>
      </c>
    </row>
    <row r="790" spans="8:9" ht="16.3">
      <c r="H790" s="580">
        <v>3791</v>
      </c>
      <c r="I790" s="581" t="s">
        <v>3370</v>
      </c>
    </row>
    <row r="791" spans="8:9" ht="16.3">
      <c r="H791" s="580">
        <v>3792</v>
      </c>
      <c r="I791" s="581" t="s">
        <v>3371</v>
      </c>
    </row>
    <row r="792" spans="8:9" ht="16.3">
      <c r="H792" s="580">
        <v>3793</v>
      </c>
      <c r="I792" s="581" t="s">
        <v>2322</v>
      </c>
    </row>
    <row r="793" spans="8:9" ht="16.3">
      <c r="H793" s="580">
        <v>3794</v>
      </c>
      <c r="I793" s="581" t="s">
        <v>3372</v>
      </c>
    </row>
    <row r="794" spans="8:9" ht="16.3">
      <c r="H794" s="580">
        <v>3794</v>
      </c>
      <c r="I794" s="581" t="s">
        <v>3373</v>
      </c>
    </row>
    <row r="795" spans="8:9" ht="16.3">
      <c r="H795" s="580">
        <v>3795</v>
      </c>
      <c r="I795" s="581" t="s">
        <v>3374</v>
      </c>
    </row>
    <row r="796" spans="8:9" ht="16.3">
      <c r="H796" s="580">
        <v>3795</v>
      </c>
      <c r="I796" s="581" t="s">
        <v>3375</v>
      </c>
    </row>
    <row r="797" spans="8:9" ht="16.3">
      <c r="H797" s="580">
        <v>3796</v>
      </c>
      <c r="I797" s="581" t="s">
        <v>2240</v>
      </c>
    </row>
    <row r="798" spans="8:9" ht="16.3">
      <c r="H798" s="580">
        <v>3800</v>
      </c>
      <c r="I798" s="581" t="s">
        <v>3376</v>
      </c>
    </row>
    <row r="799" spans="8:9" ht="16.3">
      <c r="H799" s="580">
        <v>3809</v>
      </c>
      <c r="I799" s="581" t="s">
        <v>3377</v>
      </c>
    </row>
    <row r="800" spans="8:9" ht="16.3">
      <c r="H800" s="580">
        <v>3809</v>
      </c>
      <c r="I800" s="581" t="s">
        <v>3378</v>
      </c>
    </row>
    <row r="801" spans="8:9" ht="16.3">
      <c r="H801" s="580">
        <v>3809</v>
      </c>
      <c r="I801" s="581" t="s">
        <v>3379</v>
      </c>
    </row>
    <row r="802" spans="8:9" ht="16.3">
      <c r="H802" s="580">
        <v>3811</v>
      </c>
      <c r="I802" s="581" t="s">
        <v>3380</v>
      </c>
    </row>
    <row r="803" spans="8:9" ht="16.3">
      <c r="H803" s="580">
        <v>3812</v>
      </c>
      <c r="I803" s="581" t="s">
        <v>3381</v>
      </c>
    </row>
    <row r="804" spans="8:9" ht="16.3">
      <c r="H804" s="580">
        <v>3812</v>
      </c>
      <c r="I804" s="581" t="s">
        <v>3382</v>
      </c>
    </row>
    <row r="805" spans="8:9" ht="16.3">
      <c r="H805" s="580">
        <v>3813</v>
      </c>
      <c r="I805" s="581" t="s">
        <v>3383</v>
      </c>
    </row>
    <row r="806" spans="8:9" ht="16.3">
      <c r="H806" s="580">
        <v>3814</v>
      </c>
      <c r="I806" s="581" t="s">
        <v>3384</v>
      </c>
    </row>
    <row r="807" spans="8:9" ht="16.3">
      <c r="H807" s="580">
        <v>3815</v>
      </c>
      <c r="I807" s="581" t="s">
        <v>3385</v>
      </c>
    </row>
    <row r="808" spans="8:9" ht="16.3">
      <c r="H808" s="580">
        <v>3815</v>
      </c>
      <c r="I808" s="581" t="s">
        <v>3386</v>
      </c>
    </row>
    <row r="809" spans="8:9" ht="16.3">
      <c r="H809" s="580">
        <v>3816</v>
      </c>
      <c r="I809" s="581" t="s">
        <v>3387</v>
      </c>
    </row>
    <row r="810" spans="8:9" ht="16.3">
      <c r="H810" s="580">
        <v>3817</v>
      </c>
      <c r="I810" s="581" t="s">
        <v>3388</v>
      </c>
    </row>
    <row r="811" spans="8:9" ht="16.3">
      <c r="H811" s="580">
        <v>3821</v>
      </c>
      <c r="I811" s="581" t="s">
        <v>3389</v>
      </c>
    </row>
    <row r="812" spans="8:9" ht="16.3">
      <c r="H812" s="580">
        <v>3821</v>
      </c>
      <c r="I812" s="581" t="s">
        <v>3390</v>
      </c>
    </row>
    <row r="813" spans="8:9" ht="16.3">
      <c r="H813" s="580">
        <v>3821</v>
      </c>
      <c r="I813" s="581" t="s">
        <v>3391</v>
      </c>
    </row>
    <row r="814" spans="8:9" ht="16.3">
      <c r="H814" s="580">
        <v>3821</v>
      </c>
      <c r="I814" s="581" t="s">
        <v>3392</v>
      </c>
    </row>
    <row r="815" spans="8:9" ht="16.3">
      <c r="H815" s="580">
        <v>3821</v>
      </c>
      <c r="I815" s="581" t="s">
        <v>3393</v>
      </c>
    </row>
    <row r="816" spans="8:9" ht="16.3">
      <c r="H816" s="580">
        <v>3821</v>
      </c>
      <c r="I816" s="581" t="s">
        <v>3394</v>
      </c>
    </row>
    <row r="817" spans="8:9" ht="16.3">
      <c r="H817" s="580">
        <v>3821</v>
      </c>
      <c r="I817" s="581" t="s">
        <v>3395</v>
      </c>
    </row>
    <row r="818" spans="8:9" ht="16.3">
      <c r="H818" s="580">
        <v>3825</v>
      </c>
      <c r="I818" s="581" t="s">
        <v>3396</v>
      </c>
    </row>
    <row r="819" spans="8:9" ht="16.3">
      <c r="H819" s="580">
        <v>3825</v>
      </c>
      <c r="I819" s="581" t="s">
        <v>3397</v>
      </c>
    </row>
    <row r="820" spans="8:9" ht="16.3">
      <c r="H820" s="580">
        <v>3825</v>
      </c>
      <c r="I820" s="581" t="s">
        <v>3398</v>
      </c>
    </row>
    <row r="821" spans="8:9" ht="16.3">
      <c r="H821" s="580">
        <v>3826</v>
      </c>
      <c r="I821" s="581" t="s">
        <v>3399</v>
      </c>
    </row>
    <row r="822" spans="8:9" ht="16.3">
      <c r="H822" s="580">
        <v>3831</v>
      </c>
      <c r="I822" s="581" t="s">
        <v>3400</v>
      </c>
    </row>
    <row r="823" spans="8:9" ht="16.3">
      <c r="H823" s="580">
        <v>3832</v>
      </c>
      <c r="I823" s="581" t="s">
        <v>3401</v>
      </c>
    </row>
    <row r="824" spans="8:9" ht="16.3">
      <c r="H824" s="580">
        <v>3833</v>
      </c>
      <c r="I824" s="581" t="s">
        <v>3402</v>
      </c>
    </row>
    <row r="825" spans="8:9" ht="16.3">
      <c r="H825" s="580">
        <v>3834</v>
      </c>
      <c r="I825" s="581" t="s">
        <v>3403</v>
      </c>
    </row>
    <row r="826" spans="8:9" ht="16.3">
      <c r="H826" s="580">
        <v>3834</v>
      </c>
      <c r="I826" s="581" t="s">
        <v>3404</v>
      </c>
    </row>
    <row r="827" spans="8:9" ht="16.3">
      <c r="H827" s="580">
        <v>3836</v>
      </c>
      <c r="I827" s="581" t="s">
        <v>3405</v>
      </c>
    </row>
    <row r="828" spans="8:9" ht="16.3">
      <c r="H828" s="580">
        <v>3837</v>
      </c>
      <c r="I828" s="581" t="s">
        <v>3406</v>
      </c>
    </row>
    <row r="829" spans="8:9" ht="16.3">
      <c r="H829" s="580">
        <v>3837</v>
      </c>
      <c r="I829" s="581" t="s">
        <v>3407</v>
      </c>
    </row>
    <row r="830" spans="8:9" ht="16.3">
      <c r="H830" s="580">
        <v>3837</v>
      </c>
      <c r="I830" s="581" t="s">
        <v>3408</v>
      </c>
    </row>
    <row r="831" spans="8:9" ht="16.3">
      <c r="H831" s="580">
        <v>3837</v>
      </c>
      <c r="I831" s="581" t="s">
        <v>3409</v>
      </c>
    </row>
    <row r="832" spans="8:9" ht="16.3">
      <c r="H832" s="580">
        <v>3841</v>
      </c>
      <c r="I832" s="581" t="s">
        <v>3410</v>
      </c>
    </row>
    <row r="833" spans="8:9" ht="16.3">
      <c r="H833" s="580">
        <v>3842</v>
      </c>
      <c r="I833" s="581" t="s">
        <v>3411</v>
      </c>
    </row>
    <row r="834" spans="8:9" ht="16.3">
      <c r="H834" s="580">
        <v>3843</v>
      </c>
      <c r="I834" s="581" t="s">
        <v>3412</v>
      </c>
    </row>
    <row r="835" spans="8:9" ht="16.3">
      <c r="H835" s="580">
        <v>3844</v>
      </c>
      <c r="I835" s="581" t="s">
        <v>3413</v>
      </c>
    </row>
    <row r="836" spans="8:9" ht="16.3">
      <c r="H836" s="580">
        <v>3844</v>
      </c>
      <c r="I836" s="581" t="s">
        <v>3414</v>
      </c>
    </row>
    <row r="837" spans="8:9" ht="16.3">
      <c r="H837" s="580">
        <v>3846</v>
      </c>
      <c r="I837" s="581" t="s">
        <v>3415</v>
      </c>
    </row>
    <row r="838" spans="8:9" ht="16.3">
      <c r="H838" s="580">
        <v>3847</v>
      </c>
      <c r="I838" s="581" t="s">
        <v>3416</v>
      </c>
    </row>
    <row r="839" spans="8:9" ht="16.3">
      <c r="H839" s="580">
        <v>3848</v>
      </c>
      <c r="I839" s="581" t="s">
        <v>3417</v>
      </c>
    </row>
    <row r="840" spans="8:9" ht="16.3">
      <c r="H840" s="580">
        <v>3849</v>
      </c>
      <c r="I840" s="581" t="s">
        <v>3418</v>
      </c>
    </row>
    <row r="841" spans="8:9" ht="16.3">
      <c r="H841" s="580">
        <v>3851</v>
      </c>
      <c r="I841" s="581" t="s">
        <v>1924</v>
      </c>
    </row>
    <row r="842" spans="8:9" ht="16.3">
      <c r="H842" s="580">
        <v>3852</v>
      </c>
      <c r="I842" s="581" t="s">
        <v>3419</v>
      </c>
    </row>
    <row r="843" spans="8:9" ht="16.3">
      <c r="H843" s="580">
        <v>3853</v>
      </c>
      <c r="I843" s="581" t="s">
        <v>3420</v>
      </c>
    </row>
    <row r="844" spans="8:9" ht="16.3">
      <c r="H844" s="580">
        <v>3853</v>
      </c>
      <c r="I844" s="581" t="s">
        <v>3421</v>
      </c>
    </row>
    <row r="845" spans="8:9" ht="16.3">
      <c r="H845" s="580">
        <v>3854</v>
      </c>
      <c r="I845" s="581" t="s">
        <v>3422</v>
      </c>
    </row>
    <row r="846" spans="8:9" ht="16.3">
      <c r="H846" s="580">
        <v>3855</v>
      </c>
      <c r="I846" s="581" t="s">
        <v>3423</v>
      </c>
    </row>
    <row r="847" spans="8:9" ht="16.3">
      <c r="H847" s="580">
        <v>3860</v>
      </c>
      <c r="I847" s="581" t="s">
        <v>3424</v>
      </c>
    </row>
    <row r="848" spans="8:9" ht="16.3">
      <c r="H848" s="580">
        <v>3863</v>
      </c>
      <c r="I848" s="581" t="s">
        <v>3425</v>
      </c>
    </row>
    <row r="849" spans="8:9" ht="16.3">
      <c r="H849" s="580">
        <v>3864</v>
      </c>
      <c r="I849" s="581" t="s">
        <v>3426</v>
      </c>
    </row>
    <row r="850" spans="8:9" ht="16.3">
      <c r="H850" s="580">
        <v>3865</v>
      </c>
      <c r="I850" s="581" t="s">
        <v>3427</v>
      </c>
    </row>
    <row r="851" spans="8:9" ht="16.3">
      <c r="H851" s="580">
        <v>3866</v>
      </c>
      <c r="I851" s="581" t="s">
        <v>3428</v>
      </c>
    </row>
    <row r="852" spans="8:9" ht="16.3">
      <c r="H852" s="580">
        <v>3866</v>
      </c>
      <c r="I852" s="581" t="s">
        <v>3429</v>
      </c>
    </row>
    <row r="853" spans="8:9" ht="16.3">
      <c r="H853" s="580">
        <v>3871</v>
      </c>
      <c r="I853" s="581" t="s">
        <v>3430</v>
      </c>
    </row>
    <row r="854" spans="8:9" ht="16.3">
      <c r="H854" s="580">
        <v>3872</v>
      </c>
      <c r="I854" s="581" t="s">
        <v>3431</v>
      </c>
    </row>
    <row r="855" spans="8:9" ht="16.3">
      <c r="H855" s="580">
        <v>3873</v>
      </c>
      <c r="I855" s="581" t="s">
        <v>3432</v>
      </c>
    </row>
    <row r="856" spans="8:9" ht="16.3">
      <c r="H856" s="580">
        <v>3874</v>
      </c>
      <c r="I856" s="581" t="s">
        <v>3433</v>
      </c>
    </row>
    <row r="857" spans="8:9" ht="16.3">
      <c r="H857" s="580">
        <v>3874</v>
      </c>
      <c r="I857" s="581" t="s">
        <v>3434</v>
      </c>
    </row>
    <row r="858" spans="8:9" ht="16.3">
      <c r="H858" s="580">
        <v>3874</v>
      </c>
      <c r="I858" s="581" t="s">
        <v>3435</v>
      </c>
    </row>
    <row r="859" spans="8:9" ht="16.3">
      <c r="H859" s="580">
        <v>3875</v>
      </c>
      <c r="I859" s="581" t="s">
        <v>3436</v>
      </c>
    </row>
    <row r="860" spans="8:9" ht="16.3">
      <c r="H860" s="580">
        <v>3876</v>
      </c>
      <c r="I860" s="581" t="s">
        <v>3437</v>
      </c>
    </row>
    <row r="861" spans="8:9" ht="16.3">
      <c r="H861" s="580">
        <v>3877</v>
      </c>
      <c r="I861" s="581" t="s">
        <v>3438</v>
      </c>
    </row>
    <row r="862" spans="8:9" ht="16.3">
      <c r="H862" s="580">
        <v>3881</v>
      </c>
      <c r="I862" s="581" t="s">
        <v>2312</v>
      </c>
    </row>
    <row r="863" spans="8:9" ht="16.3">
      <c r="H863" s="580">
        <v>3881</v>
      </c>
      <c r="I863" s="581" t="s">
        <v>3439</v>
      </c>
    </row>
    <row r="864" spans="8:9" ht="16.3">
      <c r="H864" s="580">
        <v>3881</v>
      </c>
      <c r="I864" s="581" t="s">
        <v>3440</v>
      </c>
    </row>
    <row r="865" spans="8:9" ht="16.3">
      <c r="H865" s="580">
        <v>3882</v>
      </c>
      <c r="I865" s="581" t="s">
        <v>3441</v>
      </c>
    </row>
    <row r="866" spans="8:9" ht="16.3">
      <c r="H866" s="580">
        <v>3882</v>
      </c>
      <c r="I866" s="581" t="s">
        <v>3442</v>
      </c>
    </row>
    <row r="867" spans="8:9" ht="16.3">
      <c r="H867" s="580">
        <v>3884</v>
      </c>
      <c r="I867" s="581" t="s">
        <v>3443</v>
      </c>
    </row>
    <row r="868" spans="8:9" ht="16.3">
      <c r="H868" s="580">
        <v>3885</v>
      </c>
      <c r="I868" s="581" t="s">
        <v>2281</v>
      </c>
    </row>
    <row r="869" spans="8:9" ht="16.3">
      <c r="H869" s="580">
        <v>3885</v>
      </c>
      <c r="I869" s="581" t="s">
        <v>3444</v>
      </c>
    </row>
    <row r="870" spans="8:9" ht="16.3">
      <c r="H870" s="580">
        <v>3886</v>
      </c>
      <c r="I870" s="581" t="s">
        <v>3445</v>
      </c>
    </row>
    <row r="871" spans="8:9" ht="16.3">
      <c r="H871" s="580">
        <v>3887</v>
      </c>
      <c r="I871" s="581" t="s">
        <v>3446</v>
      </c>
    </row>
    <row r="872" spans="8:9" ht="16.3">
      <c r="H872" s="580">
        <v>3888</v>
      </c>
      <c r="I872" s="581" t="s">
        <v>3447</v>
      </c>
    </row>
    <row r="873" spans="8:9" ht="16.3">
      <c r="H873" s="580">
        <v>3891</v>
      </c>
      <c r="I873" s="581" t="s">
        <v>3448</v>
      </c>
    </row>
    <row r="874" spans="8:9" ht="16.3">
      <c r="H874" s="580">
        <v>3892</v>
      </c>
      <c r="I874" s="581" t="s">
        <v>3449</v>
      </c>
    </row>
    <row r="875" spans="8:9" ht="16.3">
      <c r="H875" s="580">
        <v>3893</v>
      </c>
      <c r="I875" s="581" t="s">
        <v>3450</v>
      </c>
    </row>
    <row r="876" spans="8:9" ht="16.3">
      <c r="H876" s="580">
        <v>3893</v>
      </c>
      <c r="I876" s="581" t="s">
        <v>3451</v>
      </c>
    </row>
    <row r="877" spans="8:9" ht="16.3">
      <c r="H877" s="580">
        <v>3893</v>
      </c>
      <c r="I877" s="581" t="s">
        <v>3452</v>
      </c>
    </row>
    <row r="878" spans="8:9" ht="16.3">
      <c r="H878" s="580">
        <v>3894</v>
      </c>
      <c r="I878" s="581" t="s">
        <v>3453</v>
      </c>
    </row>
    <row r="879" spans="8:9" ht="16.3">
      <c r="H879" s="580">
        <v>3895</v>
      </c>
      <c r="I879" s="581" t="s">
        <v>3454</v>
      </c>
    </row>
    <row r="880" spans="8:9" ht="16.3">
      <c r="H880" s="580">
        <v>3896</v>
      </c>
      <c r="I880" s="581" t="s">
        <v>3455</v>
      </c>
    </row>
    <row r="881" spans="8:9" ht="16.3">
      <c r="H881" s="580">
        <v>3897</v>
      </c>
      <c r="I881" s="581" t="s">
        <v>3456</v>
      </c>
    </row>
    <row r="882" spans="8:9" ht="16.3">
      <c r="H882" s="580">
        <v>3898</v>
      </c>
      <c r="I882" s="581" t="s">
        <v>3457</v>
      </c>
    </row>
    <row r="883" spans="8:9" ht="16.3">
      <c r="H883" s="580">
        <v>3898</v>
      </c>
      <c r="I883" s="581" t="s">
        <v>3458</v>
      </c>
    </row>
    <row r="884" spans="8:9" ht="16.3">
      <c r="H884" s="580">
        <v>3899</v>
      </c>
      <c r="I884" s="581" t="s">
        <v>3459</v>
      </c>
    </row>
    <row r="885" spans="8:9" ht="16.3">
      <c r="H885" s="580">
        <v>3900</v>
      </c>
      <c r="I885" s="581" t="s">
        <v>3460</v>
      </c>
    </row>
    <row r="886" spans="8:9" ht="16.3">
      <c r="H886" s="580">
        <v>3902</v>
      </c>
      <c r="I886" s="581" t="s">
        <v>3460</v>
      </c>
    </row>
    <row r="887" spans="8:9" ht="16.3">
      <c r="H887" s="580">
        <v>3903</v>
      </c>
      <c r="I887" s="581" t="s">
        <v>2324</v>
      </c>
    </row>
    <row r="888" spans="8:9" ht="16.3">
      <c r="H888" s="580">
        <v>3904</v>
      </c>
      <c r="I888" s="581" t="s">
        <v>3461</v>
      </c>
    </row>
    <row r="889" spans="8:9" ht="16.3">
      <c r="H889" s="580">
        <v>3905</v>
      </c>
      <c r="I889" s="581" t="s">
        <v>3462</v>
      </c>
    </row>
    <row r="890" spans="8:9" ht="16.3">
      <c r="H890" s="580">
        <v>3906</v>
      </c>
      <c r="I890" s="581" t="s">
        <v>3463</v>
      </c>
    </row>
    <row r="891" spans="8:9" ht="16.3">
      <c r="H891" s="580">
        <v>3907</v>
      </c>
      <c r="I891" s="581" t="s">
        <v>2111</v>
      </c>
    </row>
    <row r="892" spans="8:9" ht="16.3">
      <c r="H892" s="580">
        <v>3908</v>
      </c>
      <c r="I892" s="581" t="s">
        <v>3464</v>
      </c>
    </row>
    <row r="893" spans="8:9" ht="16.3">
      <c r="H893" s="580">
        <v>3909</v>
      </c>
      <c r="I893" s="581" t="s">
        <v>2282</v>
      </c>
    </row>
    <row r="894" spans="8:9" ht="16.3">
      <c r="H894" s="580">
        <v>3910</v>
      </c>
      <c r="I894" s="581" t="s">
        <v>3465</v>
      </c>
    </row>
    <row r="895" spans="8:9" ht="16.3">
      <c r="H895" s="580">
        <v>3915</v>
      </c>
      <c r="I895" s="581" t="s">
        <v>3466</v>
      </c>
    </row>
    <row r="896" spans="8:9" ht="16.3">
      <c r="H896" s="580">
        <v>3916</v>
      </c>
      <c r="I896" s="581" t="s">
        <v>3467</v>
      </c>
    </row>
    <row r="897" spans="8:9" ht="16.3">
      <c r="H897" s="580">
        <v>3917</v>
      </c>
      <c r="I897" s="581" t="s">
        <v>3468</v>
      </c>
    </row>
    <row r="898" spans="8:9" ht="16.3">
      <c r="H898" s="580">
        <v>3918</v>
      </c>
      <c r="I898" s="581" t="s">
        <v>3469</v>
      </c>
    </row>
    <row r="899" spans="8:9" ht="16.3">
      <c r="H899" s="580">
        <v>3918</v>
      </c>
      <c r="I899" s="581" t="s">
        <v>3470</v>
      </c>
    </row>
    <row r="900" spans="8:9" ht="16.3">
      <c r="H900" s="580">
        <v>3921</v>
      </c>
      <c r="I900" s="581" t="s">
        <v>3471</v>
      </c>
    </row>
    <row r="901" spans="8:9" ht="16.3">
      <c r="H901" s="580">
        <v>3922</v>
      </c>
      <c r="I901" s="581" t="s">
        <v>3472</v>
      </c>
    </row>
    <row r="902" spans="8:9" ht="16.3">
      <c r="H902" s="580">
        <v>3923</v>
      </c>
      <c r="I902" s="580" t="s">
        <v>3295</v>
      </c>
    </row>
    <row r="903" spans="8:9" ht="16.3">
      <c r="H903" s="580">
        <v>3924</v>
      </c>
      <c r="I903" s="581" t="s">
        <v>3473</v>
      </c>
    </row>
    <row r="904" spans="8:9" ht="16.3">
      <c r="H904" s="580">
        <v>3925</v>
      </c>
      <c r="I904" s="581" t="s">
        <v>2151</v>
      </c>
    </row>
    <row r="905" spans="8:9" ht="16.3">
      <c r="H905" s="580">
        <v>3926</v>
      </c>
      <c r="I905" s="581" t="s">
        <v>3474</v>
      </c>
    </row>
    <row r="906" spans="8:9" ht="16.3">
      <c r="H906" s="580">
        <v>3927</v>
      </c>
      <c r="I906" s="581" t="s">
        <v>3475</v>
      </c>
    </row>
    <row r="907" spans="8:9" ht="16.3">
      <c r="H907" s="580">
        <v>3928</v>
      </c>
      <c r="I907" s="581" t="s">
        <v>3476</v>
      </c>
    </row>
    <row r="908" spans="8:9" ht="16.3">
      <c r="H908" s="580">
        <v>3929</v>
      </c>
      <c r="I908" s="581" t="s">
        <v>3477</v>
      </c>
    </row>
    <row r="909" spans="8:9" ht="16.3">
      <c r="H909" s="580">
        <v>3931</v>
      </c>
      <c r="I909" s="581" t="s">
        <v>3478</v>
      </c>
    </row>
    <row r="910" spans="8:9" ht="16.3">
      <c r="H910" s="580">
        <v>3932</v>
      </c>
      <c r="I910" s="581" t="s">
        <v>3479</v>
      </c>
    </row>
    <row r="911" spans="8:9" ht="16.3">
      <c r="H911" s="580">
        <v>3933</v>
      </c>
      <c r="I911" s="581" t="s">
        <v>3480</v>
      </c>
    </row>
    <row r="912" spans="8:9" ht="16.3">
      <c r="H912" s="580">
        <v>3934</v>
      </c>
      <c r="I912" s="581" t="s">
        <v>3481</v>
      </c>
    </row>
    <row r="913" spans="8:9" ht="16.3">
      <c r="H913" s="580">
        <v>3935</v>
      </c>
      <c r="I913" s="581" t="s">
        <v>3482</v>
      </c>
    </row>
    <row r="914" spans="8:9" ht="16.3">
      <c r="H914" s="580">
        <v>3936</v>
      </c>
      <c r="I914" s="581" t="s">
        <v>3483</v>
      </c>
    </row>
    <row r="915" spans="8:9" ht="16.3">
      <c r="H915" s="580">
        <v>3937</v>
      </c>
      <c r="I915" s="581" t="s">
        <v>3484</v>
      </c>
    </row>
    <row r="916" spans="8:9" ht="16.3">
      <c r="H916" s="580">
        <v>3941</v>
      </c>
      <c r="I916" s="581" t="s">
        <v>3485</v>
      </c>
    </row>
    <row r="917" spans="8:9" ht="16.3">
      <c r="H917" s="580">
        <v>3942</v>
      </c>
      <c r="I917" s="581" t="s">
        <v>3486</v>
      </c>
    </row>
    <row r="918" spans="8:9" ht="16.3">
      <c r="H918" s="580">
        <v>3943</v>
      </c>
      <c r="I918" s="581" t="s">
        <v>3487</v>
      </c>
    </row>
    <row r="919" spans="8:9" ht="16.3">
      <c r="H919" s="580">
        <v>3944</v>
      </c>
      <c r="I919" s="580" t="s">
        <v>2039</v>
      </c>
    </row>
    <row r="920" spans="8:9" ht="16.3">
      <c r="H920" s="580">
        <v>3945</v>
      </c>
      <c r="I920" s="580" t="s">
        <v>2039</v>
      </c>
    </row>
    <row r="921" spans="8:9" ht="16.3">
      <c r="H921" s="580">
        <v>3950</v>
      </c>
      <c r="I921" s="581" t="s">
        <v>2309</v>
      </c>
    </row>
    <row r="922" spans="8:9" ht="16.3">
      <c r="H922" s="580">
        <v>3954</v>
      </c>
      <c r="I922" s="581" t="s">
        <v>3488</v>
      </c>
    </row>
    <row r="923" spans="8:9" ht="16.3">
      <c r="H923" s="580">
        <v>3955</v>
      </c>
      <c r="I923" s="581" t="s">
        <v>3489</v>
      </c>
    </row>
    <row r="924" spans="8:9" ht="16.3">
      <c r="H924" s="580">
        <v>3956</v>
      </c>
      <c r="I924" s="581" t="s">
        <v>3490</v>
      </c>
    </row>
    <row r="925" spans="8:9" ht="16.3">
      <c r="H925" s="580">
        <v>3957</v>
      </c>
      <c r="I925" s="581" t="s">
        <v>3491</v>
      </c>
    </row>
    <row r="926" spans="8:9" ht="16.3">
      <c r="H926" s="580">
        <v>3958</v>
      </c>
      <c r="I926" s="581" t="s">
        <v>3492</v>
      </c>
    </row>
    <row r="927" spans="8:9" ht="16.3">
      <c r="H927" s="580">
        <v>3959</v>
      </c>
      <c r="I927" s="581" t="s">
        <v>3493</v>
      </c>
    </row>
    <row r="928" spans="8:9" ht="16.3">
      <c r="H928" s="580">
        <v>3961</v>
      </c>
      <c r="I928" s="581" t="s">
        <v>3494</v>
      </c>
    </row>
    <row r="929" spans="8:9" ht="16.3">
      <c r="H929" s="580">
        <v>3962</v>
      </c>
      <c r="I929" s="581" t="s">
        <v>3495</v>
      </c>
    </row>
    <row r="930" spans="8:9" ht="16.3">
      <c r="H930" s="580">
        <v>3963</v>
      </c>
      <c r="I930" s="581" t="s">
        <v>3496</v>
      </c>
    </row>
    <row r="931" spans="8:9" ht="16.3">
      <c r="H931" s="580">
        <v>3964</v>
      </c>
      <c r="I931" s="581" t="s">
        <v>3497</v>
      </c>
    </row>
    <row r="932" spans="8:9" ht="16.3">
      <c r="H932" s="580">
        <v>3965</v>
      </c>
      <c r="I932" s="581" t="s">
        <v>3498</v>
      </c>
    </row>
    <row r="933" spans="8:9" ht="16.3">
      <c r="H933" s="580">
        <v>3965</v>
      </c>
      <c r="I933" s="581" t="s">
        <v>3499</v>
      </c>
    </row>
    <row r="934" spans="8:9" ht="16.3">
      <c r="H934" s="580">
        <v>3967</v>
      </c>
      <c r="I934" s="581" t="s">
        <v>3500</v>
      </c>
    </row>
    <row r="935" spans="8:9" ht="16.3">
      <c r="H935" s="580">
        <v>3971</v>
      </c>
      <c r="I935" s="581" t="s">
        <v>2267</v>
      </c>
    </row>
    <row r="936" spans="8:9" ht="16.3">
      <c r="H936" s="580">
        <v>3972</v>
      </c>
      <c r="I936" s="581" t="s">
        <v>3501</v>
      </c>
    </row>
    <row r="937" spans="8:9" ht="16.3">
      <c r="H937" s="580">
        <v>3973</v>
      </c>
      <c r="I937" s="581" t="s">
        <v>3502</v>
      </c>
    </row>
    <row r="938" spans="8:9" ht="16.3">
      <c r="H938" s="580">
        <v>3974</v>
      </c>
      <c r="I938" s="581" t="s">
        <v>3503</v>
      </c>
    </row>
    <row r="939" spans="8:9" ht="16.3">
      <c r="H939" s="580">
        <v>3974</v>
      </c>
      <c r="I939" s="581" t="s">
        <v>3504</v>
      </c>
    </row>
    <row r="940" spans="8:9" ht="16.3">
      <c r="H940" s="580">
        <v>3976</v>
      </c>
      <c r="I940" s="581" t="s">
        <v>3505</v>
      </c>
    </row>
    <row r="941" spans="8:9" ht="16.3">
      <c r="H941" s="580">
        <v>3977</v>
      </c>
      <c r="I941" s="581" t="s">
        <v>3506</v>
      </c>
    </row>
    <row r="942" spans="8:9" ht="16.3">
      <c r="H942" s="580">
        <v>3978</v>
      </c>
      <c r="I942" s="581" t="s">
        <v>3507</v>
      </c>
    </row>
    <row r="943" spans="8:9" ht="16.3">
      <c r="H943" s="580">
        <v>3980</v>
      </c>
      <c r="I943" s="581" t="s">
        <v>2039</v>
      </c>
    </row>
    <row r="944" spans="8:9" ht="16.3">
      <c r="H944" s="580">
        <v>3985</v>
      </c>
      <c r="I944" s="581" t="s">
        <v>3508</v>
      </c>
    </row>
    <row r="945" spans="8:9" ht="16.3">
      <c r="H945" s="580">
        <v>3985</v>
      </c>
      <c r="I945" s="581" t="s">
        <v>3509</v>
      </c>
    </row>
    <row r="946" spans="8:9" ht="16.3">
      <c r="H946" s="580">
        <v>3987</v>
      </c>
      <c r="I946" s="581" t="s">
        <v>3510</v>
      </c>
    </row>
    <row r="947" spans="8:9" ht="16.3">
      <c r="H947" s="580">
        <v>3988</v>
      </c>
      <c r="I947" s="580" t="s">
        <v>2039</v>
      </c>
    </row>
    <row r="948" spans="8:9" ht="16.3">
      <c r="H948" s="580">
        <v>3989</v>
      </c>
      <c r="I948" s="581" t="s">
        <v>3511</v>
      </c>
    </row>
    <row r="949" spans="8:9" ht="16.3">
      <c r="H949" s="580">
        <v>3989</v>
      </c>
      <c r="I949" s="581" t="s">
        <v>3512</v>
      </c>
    </row>
    <row r="950" spans="8:9" ht="16.3">
      <c r="H950" s="580">
        <v>3989</v>
      </c>
      <c r="I950" s="581" t="s">
        <v>3513</v>
      </c>
    </row>
    <row r="951" spans="8:9" ht="16.3">
      <c r="H951" s="580">
        <v>3991</v>
      </c>
      <c r="I951" s="581" t="s">
        <v>3514</v>
      </c>
    </row>
    <row r="952" spans="8:9" ht="16.3">
      <c r="H952" s="580">
        <v>3992</v>
      </c>
      <c r="I952" s="581" t="s">
        <v>3515</v>
      </c>
    </row>
    <row r="953" spans="8:9" ht="16.3">
      <c r="H953" s="580">
        <v>3992</v>
      </c>
      <c r="I953" s="581" t="s">
        <v>3516</v>
      </c>
    </row>
    <row r="954" spans="8:9" ht="16.3">
      <c r="H954" s="580">
        <v>3993</v>
      </c>
      <c r="I954" s="581" t="s">
        <v>3517</v>
      </c>
    </row>
    <row r="955" spans="8:9" ht="16.3">
      <c r="H955" s="580">
        <v>3994</v>
      </c>
      <c r="I955" s="581" t="s">
        <v>3518</v>
      </c>
    </row>
    <row r="956" spans="8:9" ht="16.3">
      <c r="H956" s="580">
        <v>3994</v>
      </c>
      <c r="I956" s="581" t="s">
        <v>3519</v>
      </c>
    </row>
    <row r="957" spans="8:9" ht="16.3">
      <c r="H957" s="580">
        <v>3994</v>
      </c>
      <c r="I957" s="581" t="s">
        <v>3520</v>
      </c>
    </row>
    <row r="958" spans="8:9" ht="16.3">
      <c r="H958" s="580">
        <v>3994</v>
      </c>
      <c r="I958" s="581" t="s">
        <v>3521</v>
      </c>
    </row>
    <row r="959" spans="8:9" ht="16.3">
      <c r="H959" s="580">
        <v>3994</v>
      </c>
      <c r="I959" s="581" t="s">
        <v>3522</v>
      </c>
    </row>
    <row r="960" spans="8:9" ht="16.3">
      <c r="H960" s="580">
        <v>3994</v>
      </c>
      <c r="I960" s="581" t="s">
        <v>3523</v>
      </c>
    </row>
    <row r="961" spans="8:9" ht="16.3">
      <c r="H961" s="580">
        <v>3995</v>
      </c>
      <c r="I961" s="581" t="s">
        <v>3524</v>
      </c>
    </row>
    <row r="962" spans="8:9" ht="16.3">
      <c r="H962" s="580">
        <v>3996</v>
      </c>
      <c r="I962" s="581" t="s">
        <v>3525</v>
      </c>
    </row>
    <row r="963" spans="8:9" ht="16.3">
      <c r="H963" s="580">
        <v>3997</v>
      </c>
      <c r="I963" s="581" t="s">
        <v>2274</v>
      </c>
    </row>
    <row r="964" spans="8:9" ht="16.3">
      <c r="H964" s="580">
        <v>3998</v>
      </c>
      <c r="I964" s="581" t="s">
        <v>3526</v>
      </c>
    </row>
    <row r="965" spans="8:9" ht="16.3">
      <c r="H965" s="580">
        <v>3999</v>
      </c>
      <c r="I965" s="581" t="s">
        <v>3527</v>
      </c>
    </row>
    <row r="966" spans="8:9" ht="16.3">
      <c r="H966" s="580">
        <v>4000</v>
      </c>
      <c r="I966" s="581" t="s">
        <v>2001</v>
      </c>
    </row>
    <row r="967" spans="8:9" ht="16.3">
      <c r="H967" s="580">
        <v>4060</v>
      </c>
      <c r="I967" s="581" t="s">
        <v>2174</v>
      </c>
    </row>
    <row r="968" spans="8:9" ht="16.3">
      <c r="H968" s="580">
        <v>4064</v>
      </c>
      <c r="I968" s="581" t="s">
        <v>3528</v>
      </c>
    </row>
    <row r="969" spans="8:9" ht="16.3">
      <c r="H969" s="580">
        <v>4065</v>
      </c>
      <c r="I969" s="581" t="s">
        <v>3529</v>
      </c>
    </row>
    <row r="970" spans="8:9" ht="16.3">
      <c r="H970" s="580">
        <v>4066</v>
      </c>
      <c r="I970" s="581" t="s">
        <v>3530</v>
      </c>
    </row>
    <row r="971" spans="8:9" ht="16.3">
      <c r="H971" s="580">
        <v>4067</v>
      </c>
      <c r="I971" s="581" t="s">
        <v>3531</v>
      </c>
    </row>
    <row r="972" spans="8:9" ht="16.3">
      <c r="H972" s="580">
        <v>4069</v>
      </c>
      <c r="I972" s="581" t="s">
        <v>3531</v>
      </c>
    </row>
    <row r="973" spans="8:9" ht="16.3">
      <c r="H973" s="580">
        <v>4071</v>
      </c>
      <c r="I973" s="581" t="s">
        <v>3532</v>
      </c>
    </row>
    <row r="974" spans="8:9" ht="16.3">
      <c r="H974" s="580">
        <v>4074</v>
      </c>
      <c r="I974" s="580" t="s">
        <v>2179</v>
      </c>
    </row>
    <row r="975" spans="8:9" ht="16.3">
      <c r="H975" s="580">
        <v>4075</v>
      </c>
      <c r="I975" s="581" t="s">
        <v>3533</v>
      </c>
    </row>
    <row r="976" spans="8:9" ht="16.3">
      <c r="H976" s="580">
        <v>4080</v>
      </c>
      <c r="I976" s="581" t="s">
        <v>3534</v>
      </c>
    </row>
    <row r="977" spans="8:9" ht="16.3">
      <c r="H977" s="580">
        <v>4085</v>
      </c>
      <c r="I977" s="580" t="s">
        <v>3534</v>
      </c>
    </row>
    <row r="978" spans="8:9" ht="16.3">
      <c r="H978" s="580">
        <v>4086</v>
      </c>
      <c r="I978" s="580" t="s">
        <v>2179</v>
      </c>
    </row>
    <row r="979" spans="8:9" ht="16.3">
      <c r="H979" s="580">
        <v>4087</v>
      </c>
      <c r="I979" s="581" t="s">
        <v>3535</v>
      </c>
    </row>
    <row r="980" spans="8:9" ht="16.3">
      <c r="H980" s="580">
        <v>4090</v>
      </c>
      <c r="I980" s="581" t="s">
        <v>3536</v>
      </c>
    </row>
    <row r="981" spans="8:9" ht="16.3">
      <c r="H981" s="580">
        <v>4095</v>
      </c>
      <c r="I981" s="581" t="s">
        <v>3537</v>
      </c>
    </row>
    <row r="982" spans="8:9" ht="16.3">
      <c r="H982" s="580">
        <v>4096</v>
      </c>
      <c r="I982" s="581" t="s">
        <v>3538</v>
      </c>
    </row>
    <row r="983" spans="8:9" ht="16.3">
      <c r="H983" s="580">
        <v>4097</v>
      </c>
      <c r="I983" s="581" t="s">
        <v>3539</v>
      </c>
    </row>
    <row r="984" spans="8:9" ht="16.3">
      <c r="H984" s="580">
        <v>4100</v>
      </c>
      <c r="I984" s="581" t="s">
        <v>2068</v>
      </c>
    </row>
    <row r="985" spans="8:9" ht="16.3">
      <c r="H985" s="580">
        <v>4110</v>
      </c>
      <c r="I985" s="581" t="s">
        <v>3540</v>
      </c>
    </row>
    <row r="986" spans="8:9" ht="16.3">
      <c r="H986" s="580">
        <v>4114</v>
      </c>
      <c r="I986" s="581" t="s">
        <v>2310</v>
      </c>
    </row>
    <row r="987" spans="8:9" ht="16.3">
      <c r="H987" s="580">
        <v>4115</v>
      </c>
      <c r="I987" s="581" t="s">
        <v>3541</v>
      </c>
    </row>
    <row r="988" spans="8:9" ht="16.3">
      <c r="H988" s="580">
        <v>4116</v>
      </c>
      <c r="I988" s="581" t="s">
        <v>3542</v>
      </c>
    </row>
    <row r="989" spans="8:9" ht="16.3">
      <c r="H989" s="580">
        <v>4117</v>
      </c>
      <c r="I989" s="581" t="s">
        <v>3543</v>
      </c>
    </row>
    <row r="990" spans="8:9" ht="16.3">
      <c r="H990" s="580">
        <v>4118</v>
      </c>
      <c r="I990" s="581" t="s">
        <v>3544</v>
      </c>
    </row>
    <row r="991" spans="8:9" ht="16.3">
      <c r="H991" s="580">
        <v>4119</v>
      </c>
      <c r="I991" s="581" t="s">
        <v>2148</v>
      </c>
    </row>
    <row r="992" spans="8:9" ht="16.3">
      <c r="H992" s="580">
        <v>4121</v>
      </c>
      <c r="I992" s="581" t="s">
        <v>2098</v>
      </c>
    </row>
    <row r="993" spans="8:9" ht="16.3">
      <c r="H993" s="580">
        <v>4122</v>
      </c>
      <c r="I993" s="581" t="s">
        <v>3545</v>
      </c>
    </row>
    <row r="994" spans="8:9" ht="16.3">
      <c r="H994" s="580">
        <v>4123</v>
      </c>
      <c r="I994" s="581" t="s">
        <v>3546</v>
      </c>
    </row>
    <row r="995" spans="8:9" ht="16.3">
      <c r="H995" s="580">
        <v>4124</v>
      </c>
      <c r="I995" s="581" t="s">
        <v>3547</v>
      </c>
    </row>
    <row r="996" spans="8:9" ht="16.3">
      <c r="H996" s="580">
        <v>4125</v>
      </c>
      <c r="I996" s="581" t="s">
        <v>3548</v>
      </c>
    </row>
    <row r="997" spans="8:9" ht="16.3">
      <c r="H997" s="580">
        <v>4126</v>
      </c>
      <c r="I997" s="581" t="s">
        <v>3549</v>
      </c>
    </row>
    <row r="998" spans="8:9" ht="16.3">
      <c r="H998" s="580">
        <v>4127</v>
      </c>
      <c r="I998" s="581" t="s">
        <v>3550</v>
      </c>
    </row>
    <row r="999" spans="8:9" ht="16.3">
      <c r="H999" s="580">
        <v>4128</v>
      </c>
      <c r="I999" s="581" t="s">
        <v>3551</v>
      </c>
    </row>
    <row r="1000" spans="8:9" ht="16.3">
      <c r="H1000" s="580">
        <v>4130</v>
      </c>
      <c r="I1000" s="581" t="s">
        <v>3552</v>
      </c>
    </row>
    <row r="1001" spans="8:9" ht="16.3">
      <c r="H1001" s="580">
        <v>4132</v>
      </c>
      <c r="I1001" s="581" t="s">
        <v>3553</v>
      </c>
    </row>
    <row r="1002" spans="8:9" ht="16.3">
      <c r="H1002" s="580">
        <v>4133</v>
      </c>
      <c r="I1002" s="581" t="s">
        <v>3554</v>
      </c>
    </row>
    <row r="1003" spans="8:9" ht="16.3">
      <c r="H1003" s="580">
        <v>4134</v>
      </c>
      <c r="I1003" s="581" t="s">
        <v>3555</v>
      </c>
    </row>
    <row r="1004" spans="8:9" ht="16.3">
      <c r="H1004" s="580">
        <v>4135</v>
      </c>
      <c r="I1004" s="581" t="s">
        <v>3556</v>
      </c>
    </row>
    <row r="1005" spans="8:9" ht="16.3">
      <c r="H1005" s="580">
        <v>4136</v>
      </c>
      <c r="I1005" s="581" t="s">
        <v>3557</v>
      </c>
    </row>
    <row r="1006" spans="8:9" ht="16.3">
      <c r="H1006" s="580">
        <v>4137</v>
      </c>
      <c r="I1006" s="581" t="s">
        <v>3558</v>
      </c>
    </row>
    <row r="1007" spans="8:9" ht="16.3">
      <c r="H1007" s="580">
        <v>4138</v>
      </c>
      <c r="I1007" s="581" t="s">
        <v>2136</v>
      </c>
    </row>
    <row r="1008" spans="8:9" ht="16.3">
      <c r="H1008" s="580">
        <v>4141</v>
      </c>
      <c r="I1008" s="581" t="s">
        <v>3559</v>
      </c>
    </row>
    <row r="1009" spans="8:9" ht="16.3">
      <c r="H1009" s="580">
        <v>4142</v>
      </c>
      <c r="I1009" s="581" t="s">
        <v>3560</v>
      </c>
    </row>
    <row r="1010" spans="8:9" ht="16.3">
      <c r="H1010" s="580">
        <v>4143</v>
      </c>
      <c r="I1010" s="581" t="s">
        <v>3561</v>
      </c>
    </row>
    <row r="1011" spans="8:9" ht="16.3">
      <c r="H1011" s="580">
        <v>4144</v>
      </c>
      <c r="I1011" s="581" t="s">
        <v>3562</v>
      </c>
    </row>
    <row r="1012" spans="8:9" ht="16.3">
      <c r="H1012" s="580">
        <v>4145</v>
      </c>
      <c r="I1012" s="581" t="s">
        <v>3563</v>
      </c>
    </row>
    <row r="1013" spans="8:9" ht="16.3">
      <c r="H1013" s="580">
        <v>4146</v>
      </c>
      <c r="I1013" s="581" t="s">
        <v>3564</v>
      </c>
    </row>
    <row r="1014" spans="8:9" ht="16.3">
      <c r="H1014" s="580">
        <v>4150</v>
      </c>
      <c r="I1014" s="581" t="s">
        <v>2243</v>
      </c>
    </row>
    <row r="1015" spans="8:9" ht="16.3">
      <c r="H1015" s="580">
        <v>4161</v>
      </c>
      <c r="I1015" s="581" t="s">
        <v>3565</v>
      </c>
    </row>
    <row r="1016" spans="8:9" ht="16.3">
      <c r="H1016" s="580">
        <v>4162</v>
      </c>
      <c r="I1016" s="580" t="s">
        <v>3566</v>
      </c>
    </row>
    <row r="1017" spans="8:9" ht="16.3">
      <c r="H1017" s="580">
        <v>4163</v>
      </c>
      <c r="I1017" s="581" t="s">
        <v>3566</v>
      </c>
    </row>
    <row r="1018" spans="8:9" ht="16.3">
      <c r="H1018" s="580">
        <v>4164</v>
      </c>
      <c r="I1018" s="581" t="s">
        <v>3567</v>
      </c>
    </row>
    <row r="1019" spans="8:9" ht="16.3">
      <c r="H1019" s="580">
        <v>4171</v>
      </c>
      <c r="I1019" s="581" t="s">
        <v>3568</v>
      </c>
    </row>
    <row r="1020" spans="8:9" ht="16.3">
      <c r="H1020" s="580">
        <v>4172</v>
      </c>
      <c r="I1020" s="581" t="s">
        <v>3569</v>
      </c>
    </row>
    <row r="1021" spans="8:9" ht="16.3">
      <c r="H1021" s="580">
        <v>4173</v>
      </c>
      <c r="I1021" s="581" t="s">
        <v>3570</v>
      </c>
    </row>
    <row r="1022" spans="8:9" ht="16.3">
      <c r="H1022" s="580">
        <v>4174</v>
      </c>
      <c r="I1022" s="581" t="s">
        <v>2255</v>
      </c>
    </row>
    <row r="1023" spans="8:9" ht="16.3">
      <c r="H1023" s="580">
        <v>4175</v>
      </c>
      <c r="I1023" s="581" t="s">
        <v>3571</v>
      </c>
    </row>
    <row r="1024" spans="8:9" ht="16.3">
      <c r="H1024" s="580">
        <v>4176</v>
      </c>
      <c r="I1024" s="581" t="s">
        <v>3572</v>
      </c>
    </row>
    <row r="1025" spans="8:9" ht="16.3">
      <c r="H1025" s="580">
        <v>4177</v>
      </c>
      <c r="I1025" s="581" t="s">
        <v>3573</v>
      </c>
    </row>
    <row r="1026" spans="8:9" ht="16.3">
      <c r="H1026" s="580">
        <v>4181</v>
      </c>
      <c r="I1026" s="581" t="s">
        <v>3574</v>
      </c>
    </row>
    <row r="1027" spans="8:9" ht="16.3">
      <c r="H1027" s="580">
        <v>4183</v>
      </c>
      <c r="I1027" s="581" t="s">
        <v>3575</v>
      </c>
    </row>
    <row r="1028" spans="8:9" ht="16.3">
      <c r="H1028" s="580">
        <v>4184</v>
      </c>
      <c r="I1028" s="581" t="s">
        <v>3576</v>
      </c>
    </row>
    <row r="1029" spans="8:9" ht="16.3">
      <c r="H1029" s="580">
        <v>4200</v>
      </c>
      <c r="I1029" s="581" t="s">
        <v>2212</v>
      </c>
    </row>
    <row r="1030" spans="8:9" ht="16.3">
      <c r="H1030" s="580">
        <v>4211</v>
      </c>
      <c r="I1030" s="581" t="s">
        <v>2031</v>
      </c>
    </row>
    <row r="1031" spans="8:9" ht="16.3">
      <c r="H1031" s="580">
        <v>4212</v>
      </c>
      <c r="I1031" s="581" t="s">
        <v>3577</v>
      </c>
    </row>
    <row r="1032" spans="8:9" ht="16.3">
      <c r="H1032" s="580">
        <v>4220</v>
      </c>
      <c r="I1032" s="581" t="s">
        <v>2179</v>
      </c>
    </row>
    <row r="1033" spans="8:9" ht="16.3">
      <c r="H1033" s="580">
        <v>4224</v>
      </c>
      <c r="I1033" s="580" t="s">
        <v>2179</v>
      </c>
    </row>
    <row r="1034" spans="8:9" ht="16.3">
      <c r="H1034" s="580">
        <v>4231</v>
      </c>
      <c r="I1034" s="581" t="s">
        <v>3578</v>
      </c>
    </row>
    <row r="1035" spans="8:9" ht="16.3">
      <c r="H1035" s="580">
        <v>4232</v>
      </c>
      <c r="I1035" s="581" t="s">
        <v>2149</v>
      </c>
    </row>
    <row r="1036" spans="8:9" ht="16.3">
      <c r="H1036" s="580">
        <v>4233</v>
      </c>
      <c r="I1036" s="581" t="s">
        <v>3579</v>
      </c>
    </row>
    <row r="1037" spans="8:9" ht="16.3">
      <c r="H1037" s="580">
        <v>4234</v>
      </c>
      <c r="I1037" s="581" t="s">
        <v>3580</v>
      </c>
    </row>
    <row r="1038" spans="8:9" ht="16.3">
      <c r="H1038" s="580">
        <v>4235</v>
      </c>
      <c r="I1038" s="581" t="s">
        <v>3581</v>
      </c>
    </row>
    <row r="1039" spans="8:9" ht="16.3">
      <c r="H1039" s="580">
        <v>4241</v>
      </c>
      <c r="I1039" s="581" t="s">
        <v>3582</v>
      </c>
    </row>
    <row r="1040" spans="8:9" ht="16.3">
      <c r="H1040" s="580">
        <v>4242</v>
      </c>
      <c r="I1040" s="581" t="s">
        <v>2260</v>
      </c>
    </row>
    <row r="1041" spans="8:9" ht="16.3">
      <c r="H1041" s="580">
        <v>4243</v>
      </c>
      <c r="I1041" s="581" t="s">
        <v>3583</v>
      </c>
    </row>
    <row r="1042" spans="8:9" ht="16.3">
      <c r="H1042" s="580">
        <v>4244</v>
      </c>
      <c r="I1042" s="581" t="s">
        <v>3584</v>
      </c>
    </row>
    <row r="1043" spans="8:9" ht="16.3">
      <c r="H1043" s="580">
        <v>4245</v>
      </c>
      <c r="I1043" s="581" t="s">
        <v>3585</v>
      </c>
    </row>
    <row r="1044" spans="8:9" ht="16.3">
      <c r="H1044" s="580">
        <v>4246</v>
      </c>
      <c r="I1044" s="580" t="s">
        <v>1950</v>
      </c>
    </row>
    <row r="1045" spans="8:9" ht="16.3">
      <c r="H1045" s="580">
        <v>4251</v>
      </c>
      <c r="I1045" s="581" t="s">
        <v>2245</v>
      </c>
    </row>
    <row r="1046" spans="8:9" ht="16.3">
      <c r="H1046" s="580">
        <v>4252</v>
      </c>
      <c r="I1046" s="580" t="s">
        <v>2276</v>
      </c>
    </row>
    <row r="1047" spans="8:9" ht="16.3">
      <c r="H1047" s="580">
        <v>4253</v>
      </c>
      <c r="I1047" s="580" t="s">
        <v>2276</v>
      </c>
    </row>
    <row r="1048" spans="8:9" ht="16.3">
      <c r="H1048" s="580">
        <v>4254</v>
      </c>
      <c r="I1048" s="581" t="s">
        <v>2276</v>
      </c>
    </row>
    <row r="1049" spans="8:9" ht="16.3">
      <c r="H1049" s="580">
        <v>4262</v>
      </c>
      <c r="I1049" s="581" t="s">
        <v>3586</v>
      </c>
    </row>
    <row r="1050" spans="8:9" ht="16.3">
      <c r="H1050" s="580">
        <v>4263</v>
      </c>
      <c r="I1050" s="581" t="s">
        <v>3587</v>
      </c>
    </row>
    <row r="1051" spans="8:9" ht="16.3">
      <c r="H1051" s="580">
        <v>4264</v>
      </c>
      <c r="I1051" s="581" t="s">
        <v>3588</v>
      </c>
    </row>
    <row r="1052" spans="8:9" ht="16.3">
      <c r="H1052" s="580">
        <v>4266</v>
      </c>
      <c r="I1052" s="581" t="s">
        <v>3589</v>
      </c>
    </row>
    <row r="1053" spans="8:9" ht="16.3">
      <c r="H1053" s="580">
        <v>4267</v>
      </c>
      <c r="I1053" s="581" t="s">
        <v>3590</v>
      </c>
    </row>
    <row r="1054" spans="8:9" ht="16.3">
      <c r="H1054" s="580">
        <v>4271</v>
      </c>
      <c r="I1054" s="581" t="s">
        <v>3591</v>
      </c>
    </row>
    <row r="1055" spans="8:9" ht="16.3">
      <c r="H1055" s="580">
        <v>4272</v>
      </c>
      <c r="I1055" s="581" t="s">
        <v>3592</v>
      </c>
    </row>
    <row r="1056" spans="8:9" ht="16.3">
      <c r="H1056" s="580">
        <v>4273</v>
      </c>
      <c r="I1056" s="581" t="s">
        <v>3593</v>
      </c>
    </row>
    <row r="1057" spans="8:9" ht="16.3">
      <c r="H1057" s="580">
        <v>4274</v>
      </c>
      <c r="I1057" s="581" t="s">
        <v>3594</v>
      </c>
    </row>
    <row r="1058" spans="8:9" ht="16.3">
      <c r="H1058" s="580">
        <v>4275</v>
      </c>
      <c r="I1058" s="581" t="s">
        <v>3595</v>
      </c>
    </row>
    <row r="1059" spans="8:9" ht="16.3">
      <c r="H1059" s="580">
        <v>4281</v>
      </c>
      <c r="I1059" s="581" t="s">
        <v>3596</v>
      </c>
    </row>
    <row r="1060" spans="8:9" ht="16.3">
      <c r="H1060" s="580">
        <v>4283</v>
      </c>
      <c r="I1060" s="581" t="s">
        <v>3596</v>
      </c>
    </row>
    <row r="1061" spans="8:9" ht="16.3">
      <c r="H1061" s="580">
        <v>4284</v>
      </c>
      <c r="I1061" s="581" t="s">
        <v>3597</v>
      </c>
    </row>
    <row r="1062" spans="8:9" ht="16.3">
      <c r="H1062" s="580">
        <v>4285</v>
      </c>
      <c r="I1062" s="581" t="s">
        <v>3598</v>
      </c>
    </row>
    <row r="1063" spans="8:9" ht="16.3">
      <c r="H1063" s="580">
        <v>4286</v>
      </c>
      <c r="I1063" s="581" t="s">
        <v>3599</v>
      </c>
    </row>
    <row r="1064" spans="8:9" ht="16.3">
      <c r="H1064" s="580">
        <v>4287</v>
      </c>
      <c r="I1064" s="581" t="s">
        <v>2175</v>
      </c>
    </row>
    <row r="1065" spans="8:9" ht="16.3">
      <c r="H1065" s="580">
        <v>4288</v>
      </c>
      <c r="I1065" s="581" t="s">
        <v>3600</v>
      </c>
    </row>
    <row r="1066" spans="8:9" ht="16.3">
      <c r="H1066" s="580">
        <v>4300</v>
      </c>
      <c r="I1066" s="581" t="s">
        <v>2097</v>
      </c>
    </row>
    <row r="1067" spans="8:9" ht="16.3">
      <c r="H1067" s="580">
        <v>4311</v>
      </c>
      <c r="I1067" s="581" t="s">
        <v>3601</v>
      </c>
    </row>
    <row r="1068" spans="8:9" ht="16.3">
      <c r="H1068" s="580">
        <v>4320</v>
      </c>
      <c r="I1068" s="581" t="s">
        <v>3602</v>
      </c>
    </row>
    <row r="1069" spans="8:9" ht="16.3">
      <c r="H1069" s="580">
        <v>4324</v>
      </c>
      <c r="I1069" s="581" t="s">
        <v>3603</v>
      </c>
    </row>
    <row r="1070" spans="8:9" ht="16.3">
      <c r="H1070" s="580">
        <v>4325</v>
      </c>
      <c r="I1070" s="581" t="s">
        <v>3604</v>
      </c>
    </row>
    <row r="1071" spans="8:9" ht="16.3">
      <c r="H1071" s="580">
        <v>4326</v>
      </c>
      <c r="I1071" s="581" t="s">
        <v>3605</v>
      </c>
    </row>
    <row r="1072" spans="8:9" ht="16.3">
      <c r="H1072" s="580">
        <v>4327</v>
      </c>
      <c r="I1072" s="581" t="s">
        <v>3606</v>
      </c>
    </row>
    <row r="1073" spans="8:9" ht="16.3">
      <c r="H1073" s="580">
        <v>4331</v>
      </c>
      <c r="I1073" s="581" t="s">
        <v>3607</v>
      </c>
    </row>
    <row r="1074" spans="8:9" ht="16.3">
      <c r="H1074" s="580">
        <v>4332</v>
      </c>
      <c r="I1074" s="581" t="s">
        <v>3608</v>
      </c>
    </row>
    <row r="1075" spans="8:9" ht="16.3">
      <c r="H1075" s="580">
        <v>4333</v>
      </c>
      <c r="I1075" s="581" t="s">
        <v>3609</v>
      </c>
    </row>
    <row r="1076" spans="8:9" ht="16.3">
      <c r="H1076" s="580">
        <v>4334</v>
      </c>
      <c r="I1076" s="581" t="s">
        <v>3610</v>
      </c>
    </row>
    <row r="1077" spans="8:9" ht="16.3">
      <c r="H1077" s="580">
        <v>4335</v>
      </c>
      <c r="I1077" s="581" t="s">
        <v>2178</v>
      </c>
    </row>
    <row r="1078" spans="8:9" ht="16.3">
      <c r="H1078" s="580">
        <v>4336</v>
      </c>
      <c r="I1078" s="581" t="s">
        <v>3611</v>
      </c>
    </row>
    <row r="1079" spans="8:9" ht="16.3">
      <c r="H1079" s="580">
        <v>4337</v>
      </c>
      <c r="I1079" s="581" t="s">
        <v>3612</v>
      </c>
    </row>
    <row r="1080" spans="8:9" ht="16.3">
      <c r="H1080" s="580">
        <v>4338</v>
      </c>
      <c r="I1080" s="581" t="s">
        <v>3613</v>
      </c>
    </row>
    <row r="1081" spans="8:9" ht="16.3">
      <c r="H1081" s="580">
        <v>4341</v>
      </c>
      <c r="I1081" s="581" t="s">
        <v>3614</v>
      </c>
    </row>
    <row r="1082" spans="8:9" ht="16.3">
      <c r="H1082" s="580">
        <v>4342</v>
      </c>
      <c r="I1082" s="581" t="s">
        <v>3615</v>
      </c>
    </row>
    <row r="1083" spans="8:9" ht="16.3">
      <c r="H1083" s="580">
        <v>4343</v>
      </c>
      <c r="I1083" s="581" t="s">
        <v>2075</v>
      </c>
    </row>
    <row r="1084" spans="8:9" ht="16.3">
      <c r="H1084" s="580">
        <v>4351</v>
      </c>
      <c r="I1084" s="581" t="s">
        <v>2326</v>
      </c>
    </row>
    <row r="1085" spans="8:9" ht="16.3">
      <c r="H1085" s="580">
        <v>4352</v>
      </c>
      <c r="I1085" s="581" t="s">
        <v>3616</v>
      </c>
    </row>
    <row r="1086" spans="8:9" ht="16.3">
      <c r="H1086" s="580">
        <v>4353</v>
      </c>
      <c r="I1086" s="581" t="s">
        <v>3617</v>
      </c>
    </row>
    <row r="1087" spans="8:9" ht="16.3">
      <c r="H1087" s="580">
        <v>4354</v>
      </c>
      <c r="I1087" s="581" t="s">
        <v>3618</v>
      </c>
    </row>
    <row r="1088" spans="8:9" ht="16.3">
      <c r="H1088" s="580">
        <v>4355</v>
      </c>
      <c r="I1088" s="581" t="s">
        <v>3619</v>
      </c>
    </row>
    <row r="1089" spans="8:9" ht="16.3">
      <c r="H1089" s="580">
        <v>4356</v>
      </c>
      <c r="I1089" s="581" t="s">
        <v>3620</v>
      </c>
    </row>
    <row r="1090" spans="8:9" ht="16.3">
      <c r="H1090" s="580">
        <v>4361</v>
      </c>
      <c r="I1090" s="581" t="s">
        <v>3621</v>
      </c>
    </row>
    <row r="1091" spans="8:9" ht="16.3">
      <c r="H1091" s="580">
        <v>4362</v>
      </c>
      <c r="I1091" s="581" t="s">
        <v>3622</v>
      </c>
    </row>
    <row r="1092" spans="8:9" ht="16.3">
      <c r="H1092" s="580">
        <v>4363</v>
      </c>
      <c r="I1092" s="581" t="s">
        <v>3623</v>
      </c>
    </row>
    <row r="1093" spans="8:9" ht="16.3">
      <c r="H1093" s="580">
        <v>4371</v>
      </c>
      <c r="I1093" s="581" t="s">
        <v>3624</v>
      </c>
    </row>
    <row r="1094" spans="8:9" ht="16.3">
      <c r="H1094" s="580">
        <v>4372</v>
      </c>
      <c r="I1094" s="581" t="s">
        <v>3625</v>
      </c>
    </row>
    <row r="1095" spans="8:9" ht="16.3">
      <c r="H1095" s="580">
        <v>4373</v>
      </c>
      <c r="I1095" s="581" t="s">
        <v>3626</v>
      </c>
    </row>
    <row r="1096" spans="8:9" ht="16.3">
      <c r="H1096" s="580">
        <v>4374</v>
      </c>
      <c r="I1096" s="581" t="s">
        <v>3627</v>
      </c>
    </row>
    <row r="1097" spans="8:9" ht="16.3">
      <c r="H1097" s="580">
        <v>4375</v>
      </c>
      <c r="I1097" s="581" t="s">
        <v>3628</v>
      </c>
    </row>
    <row r="1098" spans="8:9" ht="16.3">
      <c r="H1098" s="580">
        <v>4376</v>
      </c>
      <c r="I1098" s="581" t="s">
        <v>3629</v>
      </c>
    </row>
    <row r="1099" spans="8:9" ht="16.3">
      <c r="H1099" s="580">
        <v>4400</v>
      </c>
      <c r="I1099" s="581" t="s">
        <v>1950</v>
      </c>
    </row>
    <row r="1100" spans="8:9" ht="16.3">
      <c r="H1100" s="580">
        <v>4405</v>
      </c>
      <c r="I1100" s="581" t="s">
        <v>1950</v>
      </c>
    </row>
    <row r="1101" spans="8:9" ht="16.3">
      <c r="H1101" s="580">
        <v>4431</v>
      </c>
      <c r="I1101" s="581" t="s">
        <v>1950</v>
      </c>
    </row>
    <row r="1102" spans="8:9" ht="16.3">
      <c r="H1102" s="580">
        <v>4432</v>
      </c>
      <c r="I1102" s="581" t="s">
        <v>1950</v>
      </c>
    </row>
    <row r="1103" spans="8:9" ht="16.3">
      <c r="H1103" s="580">
        <v>4433</v>
      </c>
      <c r="I1103" s="581" t="s">
        <v>1950</v>
      </c>
    </row>
    <row r="1104" spans="8:9" ht="16.3">
      <c r="H1104" s="580">
        <v>4434</v>
      </c>
      <c r="I1104" s="581" t="s">
        <v>3630</v>
      </c>
    </row>
    <row r="1105" spans="8:9" ht="16.3">
      <c r="H1105" s="580">
        <v>4440</v>
      </c>
      <c r="I1105" s="581" t="s">
        <v>3631</v>
      </c>
    </row>
    <row r="1106" spans="8:9" ht="16.3">
      <c r="H1106" s="580">
        <v>4441</v>
      </c>
      <c r="I1106" s="581" t="s">
        <v>3632</v>
      </c>
    </row>
    <row r="1107" spans="8:9" ht="16.3">
      <c r="H1107" s="580">
        <v>4445</v>
      </c>
      <c r="I1107" s="581" t="s">
        <v>3633</v>
      </c>
    </row>
    <row r="1108" spans="8:9" ht="16.3">
      <c r="H1108" s="580">
        <v>4446</v>
      </c>
      <c r="I1108" s="581" t="s">
        <v>3634</v>
      </c>
    </row>
    <row r="1109" spans="8:9" ht="16.3">
      <c r="H1109" s="580">
        <v>4447</v>
      </c>
      <c r="I1109" s="580" t="s">
        <v>3635</v>
      </c>
    </row>
    <row r="1110" spans="8:9" ht="16.3">
      <c r="H1110" s="580">
        <v>4450</v>
      </c>
      <c r="I1110" s="581" t="s">
        <v>3635</v>
      </c>
    </row>
    <row r="1111" spans="8:9" ht="16.3">
      <c r="H1111" s="580">
        <v>4455</v>
      </c>
      <c r="I1111" s="581" t="s">
        <v>3636</v>
      </c>
    </row>
    <row r="1112" spans="8:9" ht="16.3">
      <c r="H1112" s="580">
        <v>4456</v>
      </c>
      <c r="I1112" s="581" t="s">
        <v>3637</v>
      </c>
    </row>
    <row r="1113" spans="8:9" ht="16.3">
      <c r="H1113" s="580">
        <v>4461</v>
      </c>
      <c r="I1113" s="581" t="s">
        <v>3638</v>
      </c>
    </row>
    <row r="1114" spans="8:9" ht="16.3">
      <c r="H1114" s="580">
        <v>4463</v>
      </c>
      <c r="I1114" s="581" t="s">
        <v>3639</v>
      </c>
    </row>
    <row r="1115" spans="8:9" ht="16.3">
      <c r="H1115" s="580">
        <v>4464</v>
      </c>
      <c r="I1115" s="581" t="s">
        <v>3640</v>
      </c>
    </row>
    <row r="1116" spans="8:9" ht="16.3">
      <c r="H1116" s="580">
        <v>4465</v>
      </c>
      <c r="I1116" s="581" t="s">
        <v>3641</v>
      </c>
    </row>
    <row r="1117" spans="8:9" ht="16.3">
      <c r="H1117" s="580">
        <v>4466</v>
      </c>
      <c r="I1117" s="581" t="s">
        <v>3642</v>
      </c>
    </row>
    <row r="1118" spans="8:9" ht="16.3">
      <c r="H1118" s="580">
        <v>4467</v>
      </c>
      <c r="I1118" s="581" t="s">
        <v>3643</v>
      </c>
    </row>
    <row r="1119" spans="8:9" ht="16.3">
      <c r="H1119" s="580">
        <v>4468</v>
      </c>
      <c r="I1119" s="581" t="s">
        <v>3644</v>
      </c>
    </row>
    <row r="1120" spans="8:9" ht="16.3">
      <c r="H1120" s="580">
        <v>4471</v>
      </c>
      <c r="I1120" s="581" t="s">
        <v>3645</v>
      </c>
    </row>
    <row r="1121" spans="8:9" ht="16.3">
      <c r="H1121" s="580">
        <v>4472</v>
      </c>
      <c r="I1121" s="581" t="s">
        <v>3645</v>
      </c>
    </row>
    <row r="1122" spans="8:9" ht="16.3">
      <c r="H1122" s="580">
        <v>4474</v>
      </c>
      <c r="I1122" s="581" t="s">
        <v>3646</v>
      </c>
    </row>
    <row r="1123" spans="8:9" ht="16.3">
      <c r="H1123" s="580">
        <v>4475</v>
      </c>
      <c r="I1123" s="581" t="s">
        <v>3647</v>
      </c>
    </row>
    <row r="1124" spans="8:9" ht="16.3">
      <c r="H1124" s="580">
        <v>4481</v>
      </c>
      <c r="I1124" s="580" t="s">
        <v>1950</v>
      </c>
    </row>
    <row r="1125" spans="8:9" ht="16.3">
      <c r="H1125" s="580">
        <v>4482</v>
      </c>
      <c r="I1125" s="581" t="s">
        <v>2264</v>
      </c>
    </row>
    <row r="1126" spans="8:9" ht="16.3">
      <c r="H1126" s="580">
        <v>4483</v>
      </c>
      <c r="I1126" s="581" t="s">
        <v>3648</v>
      </c>
    </row>
    <row r="1127" spans="8:9" ht="16.3">
      <c r="H1127" s="580">
        <v>4484</v>
      </c>
      <c r="I1127" s="581" t="s">
        <v>3649</v>
      </c>
    </row>
    <row r="1128" spans="8:9" ht="16.3">
      <c r="H1128" s="580">
        <v>4485</v>
      </c>
      <c r="I1128" s="581" t="s">
        <v>2161</v>
      </c>
    </row>
    <row r="1129" spans="8:9" ht="16.3">
      <c r="H1129" s="580">
        <v>4486</v>
      </c>
      <c r="I1129" s="580" t="s">
        <v>3650</v>
      </c>
    </row>
    <row r="1130" spans="8:9" ht="16.3">
      <c r="H1130" s="580">
        <v>4487</v>
      </c>
      <c r="I1130" s="581" t="s">
        <v>3650</v>
      </c>
    </row>
    <row r="1131" spans="8:9" ht="16.3">
      <c r="H1131" s="580">
        <v>4488</v>
      </c>
      <c r="I1131" s="581" t="s">
        <v>3651</v>
      </c>
    </row>
    <row r="1132" spans="8:9" ht="16.3">
      <c r="H1132" s="580">
        <v>4491</v>
      </c>
      <c r="I1132" s="581" t="s">
        <v>3652</v>
      </c>
    </row>
    <row r="1133" spans="8:9" ht="16.3">
      <c r="H1133" s="580">
        <v>4492</v>
      </c>
      <c r="I1133" s="581" t="s">
        <v>2303</v>
      </c>
    </row>
    <row r="1134" spans="8:9" ht="16.3">
      <c r="H1134" s="580">
        <v>4493</v>
      </c>
      <c r="I1134" s="581" t="s">
        <v>3653</v>
      </c>
    </row>
    <row r="1135" spans="8:9" ht="16.3">
      <c r="H1135" s="580">
        <v>4494</v>
      </c>
      <c r="I1135" s="581" t="s">
        <v>3654</v>
      </c>
    </row>
    <row r="1136" spans="8:9" ht="16.3">
      <c r="H1136" s="580">
        <v>4495</v>
      </c>
      <c r="I1136" s="581" t="s">
        <v>3655</v>
      </c>
    </row>
    <row r="1137" spans="8:9" ht="16.3">
      <c r="H1137" s="580">
        <v>4496</v>
      </c>
      <c r="I1137" s="581" t="s">
        <v>3656</v>
      </c>
    </row>
    <row r="1138" spans="8:9" ht="16.3">
      <c r="H1138" s="580">
        <v>4501</v>
      </c>
      <c r="I1138" s="581" t="s">
        <v>2183</v>
      </c>
    </row>
    <row r="1139" spans="8:9" ht="16.3">
      <c r="H1139" s="580">
        <v>4502</v>
      </c>
      <c r="I1139" s="581" t="s">
        <v>3657</v>
      </c>
    </row>
    <row r="1140" spans="8:9" ht="16.3">
      <c r="H1140" s="580">
        <v>4503</v>
      </c>
      <c r="I1140" s="581" t="s">
        <v>3658</v>
      </c>
    </row>
    <row r="1141" spans="8:9" ht="16.3">
      <c r="H1141" s="580">
        <v>4511</v>
      </c>
      <c r="I1141" s="581" t="s">
        <v>3659</v>
      </c>
    </row>
    <row r="1142" spans="8:9" ht="16.3">
      <c r="H1142" s="580">
        <v>4515</v>
      </c>
      <c r="I1142" s="581" t="s">
        <v>3660</v>
      </c>
    </row>
    <row r="1143" spans="8:9" ht="16.3">
      <c r="H1143" s="580">
        <v>4516</v>
      </c>
      <c r="I1143" s="581" t="s">
        <v>3661</v>
      </c>
    </row>
    <row r="1144" spans="8:9" ht="16.3">
      <c r="H1144" s="580">
        <v>4517</v>
      </c>
      <c r="I1144" s="581" t="s">
        <v>2168</v>
      </c>
    </row>
    <row r="1145" spans="8:9" ht="16.3">
      <c r="H1145" s="580">
        <v>4521</v>
      </c>
      <c r="I1145" s="581" t="s">
        <v>3662</v>
      </c>
    </row>
    <row r="1146" spans="8:9" ht="16.3">
      <c r="H1146" s="580">
        <v>4522</v>
      </c>
      <c r="I1146" s="581" t="s">
        <v>3663</v>
      </c>
    </row>
    <row r="1147" spans="8:9" ht="16.3">
      <c r="H1147" s="580">
        <v>4523</v>
      </c>
      <c r="I1147" s="581" t="s">
        <v>3664</v>
      </c>
    </row>
    <row r="1148" spans="8:9" ht="16.3">
      <c r="H1148" s="580">
        <v>4524</v>
      </c>
      <c r="I1148" s="581" t="s">
        <v>3665</v>
      </c>
    </row>
    <row r="1149" spans="8:9" ht="16.3">
      <c r="H1149" s="580">
        <v>4525</v>
      </c>
      <c r="I1149" s="581" t="s">
        <v>3666</v>
      </c>
    </row>
    <row r="1150" spans="8:9" ht="16.3">
      <c r="H1150" s="580">
        <v>4531</v>
      </c>
      <c r="I1150" s="581" t="s">
        <v>3667</v>
      </c>
    </row>
    <row r="1151" spans="8:9" ht="16.3">
      <c r="H1151" s="580">
        <v>4532</v>
      </c>
      <c r="I1151" s="581" t="s">
        <v>3668</v>
      </c>
    </row>
    <row r="1152" spans="8:9" ht="16.3">
      <c r="H1152" s="580">
        <v>4533</v>
      </c>
      <c r="I1152" s="581" t="s">
        <v>3669</v>
      </c>
    </row>
    <row r="1153" spans="8:9" ht="16.3">
      <c r="H1153" s="580">
        <v>4534</v>
      </c>
      <c r="I1153" s="581" t="s">
        <v>3670</v>
      </c>
    </row>
    <row r="1154" spans="8:9" ht="16.3">
      <c r="H1154" s="580">
        <v>4535</v>
      </c>
      <c r="I1154" s="581" t="s">
        <v>3671</v>
      </c>
    </row>
    <row r="1155" spans="8:9" ht="16.3">
      <c r="H1155" s="580">
        <v>4536</v>
      </c>
      <c r="I1155" s="581" t="s">
        <v>3672</v>
      </c>
    </row>
    <row r="1156" spans="8:9" ht="16.3">
      <c r="H1156" s="580">
        <v>4537</v>
      </c>
      <c r="I1156" s="581" t="s">
        <v>3673</v>
      </c>
    </row>
    <row r="1157" spans="8:9" ht="16.3">
      <c r="H1157" s="580">
        <v>4541</v>
      </c>
      <c r="I1157" s="581" t="s">
        <v>3674</v>
      </c>
    </row>
    <row r="1158" spans="8:9" ht="16.3">
      <c r="H1158" s="580">
        <v>4542</v>
      </c>
      <c r="I1158" s="581" t="s">
        <v>3675</v>
      </c>
    </row>
    <row r="1159" spans="8:9" ht="16.3">
      <c r="H1159" s="580">
        <v>4543</v>
      </c>
      <c r="I1159" s="581" t="s">
        <v>3676</v>
      </c>
    </row>
    <row r="1160" spans="8:9" ht="16.3">
      <c r="H1160" s="580">
        <v>4544</v>
      </c>
      <c r="I1160" s="581" t="s">
        <v>3677</v>
      </c>
    </row>
    <row r="1161" spans="8:9" ht="16.3">
      <c r="H1161" s="580">
        <v>4545</v>
      </c>
      <c r="I1161" s="581" t="s">
        <v>3678</v>
      </c>
    </row>
    <row r="1162" spans="8:9" ht="16.3">
      <c r="H1162" s="580">
        <v>4546</v>
      </c>
      <c r="I1162" s="581" t="s">
        <v>3679</v>
      </c>
    </row>
    <row r="1163" spans="8:9" ht="16.3">
      <c r="H1163" s="580">
        <v>4547</v>
      </c>
      <c r="I1163" s="581" t="s">
        <v>3680</v>
      </c>
    </row>
    <row r="1164" spans="8:9" ht="16.3">
      <c r="H1164" s="580">
        <v>4551</v>
      </c>
      <c r="I1164" s="581" t="s">
        <v>1950</v>
      </c>
    </row>
    <row r="1165" spans="8:9" ht="16.3">
      <c r="H1165" s="580">
        <v>4552</v>
      </c>
      <c r="I1165" s="581" t="s">
        <v>3681</v>
      </c>
    </row>
    <row r="1166" spans="8:9" ht="16.3">
      <c r="H1166" s="580">
        <v>4553</v>
      </c>
      <c r="I1166" s="581" t="s">
        <v>3682</v>
      </c>
    </row>
    <row r="1167" spans="8:9" ht="16.3">
      <c r="H1167" s="580">
        <v>4554</v>
      </c>
      <c r="I1167" s="581" t="s">
        <v>3683</v>
      </c>
    </row>
    <row r="1168" spans="8:9" ht="16.3">
      <c r="H1168" s="580">
        <v>4555</v>
      </c>
      <c r="I1168" s="581" t="s">
        <v>3684</v>
      </c>
    </row>
    <row r="1169" spans="8:9" ht="16.3">
      <c r="H1169" s="580">
        <v>4556</v>
      </c>
      <c r="I1169" s="581" t="s">
        <v>3685</v>
      </c>
    </row>
    <row r="1170" spans="8:9" ht="16.3">
      <c r="H1170" s="580">
        <v>4557</v>
      </c>
      <c r="I1170" s="581" t="s">
        <v>3686</v>
      </c>
    </row>
    <row r="1171" spans="8:9" ht="16.3">
      <c r="H1171" s="580">
        <v>4558</v>
      </c>
      <c r="I1171" s="581" t="s">
        <v>2007</v>
      </c>
    </row>
    <row r="1172" spans="8:9" ht="16.3">
      <c r="H1172" s="580">
        <v>4561</v>
      </c>
      <c r="I1172" s="581" t="s">
        <v>3687</v>
      </c>
    </row>
    <row r="1173" spans="8:9" ht="16.3">
      <c r="H1173" s="580">
        <v>4562</v>
      </c>
      <c r="I1173" s="581" t="s">
        <v>2173</v>
      </c>
    </row>
    <row r="1174" spans="8:9" ht="16.3">
      <c r="H1174" s="580">
        <v>4563</v>
      </c>
      <c r="I1174" s="581" t="s">
        <v>3688</v>
      </c>
    </row>
    <row r="1175" spans="8:9" ht="16.3">
      <c r="H1175" s="580">
        <v>4564</v>
      </c>
      <c r="I1175" s="581" t="s">
        <v>3689</v>
      </c>
    </row>
    <row r="1176" spans="8:9" ht="16.3">
      <c r="H1176" s="580">
        <v>4565</v>
      </c>
      <c r="I1176" s="581" t="s">
        <v>3690</v>
      </c>
    </row>
    <row r="1177" spans="8:9" ht="16.3">
      <c r="H1177" s="580">
        <v>4566</v>
      </c>
      <c r="I1177" s="581" t="s">
        <v>3691</v>
      </c>
    </row>
    <row r="1178" spans="8:9" ht="16.3">
      <c r="H1178" s="580">
        <v>4567</v>
      </c>
      <c r="I1178" s="581" t="s">
        <v>3692</v>
      </c>
    </row>
    <row r="1179" spans="8:9" ht="16.3">
      <c r="H1179" s="580">
        <v>4600</v>
      </c>
      <c r="I1179" s="581" t="s">
        <v>1954</v>
      </c>
    </row>
    <row r="1180" spans="8:9" ht="16.3">
      <c r="H1180" s="580">
        <v>4611</v>
      </c>
      <c r="I1180" s="581" t="s">
        <v>3693</v>
      </c>
    </row>
    <row r="1181" spans="8:9" ht="16.3">
      <c r="H1181" s="580">
        <v>4621</v>
      </c>
      <c r="I1181" s="581" t="s">
        <v>2035</v>
      </c>
    </row>
    <row r="1182" spans="8:9" ht="16.3">
      <c r="H1182" s="580">
        <v>4622</v>
      </c>
      <c r="I1182" s="581" t="s">
        <v>3694</v>
      </c>
    </row>
    <row r="1183" spans="8:9" ht="16.3">
      <c r="H1183" s="580">
        <v>4623</v>
      </c>
      <c r="I1183" s="581" t="s">
        <v>3695</v>
      </c>
    </row>
    <row r="1184" spans="8:9" ht="16.3">
      <c r="H1184" s="580">
        <v>4624</v>
      </c>
      <c r="I1184" s="581" t="s">
        <v>3696</v>
      </c>
    </row>
    <row r="1185" spans="8:9" ht="16.3">
      <c r="H1185" s="580">
        <v>4625</v>
      </c>
      <c r="I1185" s="581" t="s">
        <v>1955</v>
      </c>
    </row>
    <row r="1186" spans="8:9" ht="16.3">
      <c r="H1186" s="580">
        <v>4625</v>
      </c>
      <c r="I1186" s="581" t="s">
        <v>3697</v>
      </c>
    </row>
    <row r="1187" spans="8:9" ht="16.3">
      <c r="H1187" s="580">
        <v>4627</v>
      </c>
      <c r="I1187" s="581" t="s">
        <v>3698</v>
      </c>
    </row>
    <row r="1188" spans="8:9" ht="16.3">
      <c r="H1188" s="580">
        <v>4628</v>
      </c>
      <c r="I1188" s="581" t="s">
        <v>3699</v>
      </c>
    </row>
    <row r="1189" spans="8:9" ht="16.3">
      <c r="H1189" s="580">
        <v>4631</v>
      </c>
      <c r="I1189" s="581" t="s">
        <v>3700</v>
      </c>
    </row>
    <row r="1190" spans="8:9" ht="16.3">
      <c r="H1190" s="580">
        <v>4632</v>
      </c>
      <c r="I1190" s="581" t="s">
        <v>3701</v>
      </c>
    </row>
    <row r="1191" spans="8:9" ht="16.3">
      <c r="H1191" s="580">
        <v>4633</v>
      </c>
      <c r="I1191" s="581" t="s">
        <v>3702</v>
      </c>
    </row>
    <row r="1192" spans="8:9" ht="16.3">
      <c r="H1192" s="580">
        <v>4634</v>
      </c>
      <c r="I1192" s="581" t="s">
        <v>3703</v>
      </c>
    </row>
    <row r="1193" spans="8:9" ht="16.3">
      <c r="H1193" s="580">
        <v>4635</v>
      </c>
      <c r="I1193" s="581" t="s">
        <v>3704</v>
      </c>
    </row>
    <row r="1194" spans="8:9" ht="16.3">
      <c r="H1194" s="580">
        <v>4641</v>
      </c>
      <c r="I1194" s="581" t="s">
        <v>3705</v>
      </c>
    </row>
    <row r="1195" spans="8:9" ht="16.3">
      <c r="H1195" s="580">
        <v>4642</v>
      </c>
      <c r="I1195" s="581" t="s">
        <v>3706</v>
      </c>
    </row>
    <row r="1196" spans="8:9" ht="16.3">
      <c r="H1196" s="580">
        <v>4643</v>
      </c>
      <c r="I1196" s="581" t="s">
        <v>3707</v>
      </c>
    </row>
    <row r="1197" spans="8:9" ht="16.3">
      <c r="H1197" s="580">
        <v>4644</v>
      </c>
      <c r="I1197" s="581" t="s">
        <v>2182</v>
      </c>
    </row>
    <row r="1198" spans="8:9" ht="16.3">
      <c r="H1198" s="580">
        <v>4645</v>
      </c>
      <c r="I1198" s="581" t="s">
        <v>3708</v>
      </c>
    </row>
    <row r="1199" spans="8:9" ht="16.3">
      <c r="H1199" s="580">
        <v>4646</v>
      </c>
      <c r="I1199" s="581" t="s">
        <v>3709</v>
      </c>
    </row>
    <row r="1200" spans="8:9" ht="16.3">
      <c r="H1200" s="580">
        <v>4700</v>
      </c>
      <c r="I1200" s="581" t="s">
        <v>1961</v>
      </c>
    </row>
    <row r="1201" spans="8:9" ht="16.3">
      <c r="H1201" s="580">
        <v>4721</v>
      </c>
      <c r="I1201" s="581" t="s">
        <v>3710</v>
      </c>
    </row>
    <row r="1202" spans="8:9" ht="16.3">
      <c r="H1202" s="580">
        <v>4722</v>
      </c>
      <c r="I1202" s="581" t="s">
        <v>3711</v>
      </c>
    </row>
    <row r="1203" spans="8:9" ht="16.3">
      <c r="H1203" s="580">
        <v>4731</v>
      </c>
      <c r="I1203" s="581" t="s">
        <v>3712</v>
      </c>
    </row>
    <row r="1204" spans="8:9" ht="16.3">
      <c r="H1204" s="580">
        <v>4732</v>
      </c>
      <c r="I1204" s="581" t="s">
        <v>3713</v>
      </c>
    </row>
    <row r="1205" spans="8:9" ht="16.3">
      <c r="H1205" s="580">
        <v>4733</v>
      </c>
      <c r="I1205" s="581" t="s">
        <v>2018</v>
      </c>
    </row>
    <row r="1206" spans="8:9" ht="16.3">
      <c r="H1206" s="580">
        <v>4734</v>
      </c>
      <c r="I1206" s="581" t="s">
        <v>3714</v>
      </c>
    </row>
    <row r="1207" spans="8:9" ht="16.3">
      <c r="H1207" s="580">
        <v>4735</v>
      </c>
      <c r="I1207" s="581" t="s">
        <v>3715</v>
      </c>
    </row>
    <row r="1208" spans="8:9" ht="16.3">
      <c r="H1208" s="580">
        <v>4735</v>
      </c>
      <c r="I1208" s="581" t="s">
        <v>3716</v>
      </c>
    </row>
    <row r="1209" spans="8:9" ht="16.3">
      <c r="H1209" s="580">
        <v>4737</v>
      </c>
      <c r="I1209" s="581" t="s">
        <v>3717</v>
      </c>
    </row>
    <row r="1210" spans="8:9" ht="16.3">
      <c r="H1210" s="580">
        <v>4737</v>
      </c>
      <c r="I1210" s="581" t="s">
        <v>3718</v>
      </c>
    </row>
    <row r="1211" spans="8:9" ht="16.3">
      <c r="H1211" s="580">
        <v>4741</v>
      </c>
      <c r="I1211" s="581" t="s">
        <v>3719</v>
      </c>
    </row>
    <row r="1212" spans="8:9" ht="16.3">
      <c r="H1212" s="580">
        <v>4742</v>
      </c>
      <c r="I1212" s="581" t="s">
        <v>3720</v>
      </c>
    </row>
    <row r="1213" spans="8:9" ht="16.3">
      <c r="H1213" s="580">
        <v>4743</v>
      </c>
      <c r="I1213" s="581" t="s">
        <v>3721</v>
      </c>
    </row>
    <row r="1214" spans="8:9" ht="16.3">
      <c r="H1214" s="580">
        <v>4745</v>
      </c>
      <c r="I1214" s="581" t="s">
        <v>3722</v>
      </c>
    </row>
    <row r="1215" spans="8:9" ht="16.3">
      <c r="H1215" s="580">
        <v>4746</v>
      </c>
      <c r="I1215" s="581" t="s">
        <v>3723</v>
      </c>
    </row>
    <row r="1216" spans="8:9" ht="16.3">
      <c r="H1216" s="580">
        <v>4751</v>
      </c>
      <c r="I1216" s="581" t="s">
        <v>3724</v>
      </c>
    </row>
    <row r="1217" spans="8:9" ht="16.3">
      <c r="H1217" s="580">
        <v>4752</v>
      </c>
      <c r="I1217" s="581" t="s">
        <v>3725</v>
      </c>
    </row>
    <row r="1218" spans="8:9" ht="16.3">
      <c r="H1218" s="580">
        <v>4754</v>
      </c>
      <c r="I1218" s="581" t="s">
        <v>3726</v>
      </c>
    </row>
    <row r="1219" spans="8:9" ht="16.3">
      <c r="H1219" s="580">
        <v>4754</v>
      </c>
      <c r="I1219" s="581" t="s">
        <v>3727</v>
      </c>
    </row>
    <row r="1220" spans="8:9" ht="16.3">
      <c r="H1220" s="580">
        <v>4755</v>
      </c>
      <c r="I1220" s="581" t="s">
        <v>3728</v>
      </c>
    </row>
    <row r="1221" spans="8:9" ht="16.3">
      <c r="H1221" s="580">
        <v>4756</v>
      </c>
      <c r="I1221" s="581" t="s">
        <v>3729</v>
      </c>
    </row>
    <row r="1222" spans="8:9" ht="16.3">
      <c r="H1222" s="580">
        <v>4761</v>
      </c>
      <c r="I1222" s="581" t="s">
        <v>3730</v>
      </c>
    </row>
    <row r="1223" spans="8:9" ht="16.3">
      <c r="H1223" s="580">
        <v>4762</v>
      </c>
      <c r="I1223" s="581" t="s">
        <v>3731</v>
      </c>
    </row>
    <row r="1224" spans="8:9" ht="16.3">
      <c r="H1224" s="580">
        <v>4763</v>
      </c>
      <c r="I1224" s="581" t="s">
        <v>3732</v>
      </c>
    </row>
    <row r="1225" spans="8:9" ht="16.3">
      <c r="H1225" s="580">
        <v>4764</v>
      </c>
      <c r="I1225" s="581" t="s">
        <v>3733</v>
      </c>
    </row>
    <row r="1226" spans="8:9" ht="16.3">
      <c r="H1226" s="580">
        <v>4765</v>
      </c>
      <c r="I1226" s="581" t="s">
        <v>3734</v>
      </c>
    </row>
    <row r="1227" spans="8:9" ht="16.3">
      <c r="H1227" s="580">
        <v>4765</v>
      </c>
      <c r="I1227" s="581" t="s">
        <v>3735</v>
      </c>
    </row>
    <row r="1228" spans="8:9" ht="16.3">
      <c r="H1228" s="580">
        <v>4766</v>
      </c>
      <c r="I1228" s="581" t="s">
        <v>3736</v>
      </c>
    </row>
    <row r="1229" spans="8:9" ht="16.3">
      <c r="H1229" s="580">
        <v>4767</v>
      </c>
      <c r="I1229" s="581" t="s">
        <v>2272</v>
      </c>
    </row>
    <row r="1230" spans="8:9" ht="16.3">
      <c r="H1230" s="580">
        <v>4800</v>
      </c>
      <c r="I1230" s="581" t="s">
        <v>2230</v>
      </c>
    </row>
    <row r="1231" spans="8:9" ht="16.3">
      <c r="H1231" s="580">
        <v>4803</v>
      </c>
      <c r="I1231" s="581" t="s">
        <v>2230</v>
      </c>
    </row>
    <row r="1232" spans="8:9" ht="16.3">
      <c r="H1232" s="580">
        <v>4804</v>
      </c>
      <c r="I1232" s="581" t="s">
        <v>2230</v>
      </c>
    </row>
    <row r="1233" spans="8:9" ht="16.3">
      <c r="H1233" s="580">
        <v>4811</v>
      </c>
      <c r="I1233" s="581" t="s">
        <v>3737</v>
      </c>
    </row>
    <row r="1234" spans="8:9" ht="16.3">
      <c r="H1234" s="580">
        <v>4812</v>
      </c>
      <c r="I1234" s="581" t="s">
        <v>3738</v>
      </c>
    </row>
    <row r="1235" spans="8:9" ht="16.3">
      <c r="H1235" s="580">
        <v>4813</v>
      </c>
      <c r="I1235" s="581" t="s">
        <v>3739</v>
      </c>
    </row>
    <row r="1236" spans="8:9" ht="16.3">
      <c r="H1236" s="580">
        <v>4821</v>
      </c>
      <c r="I1236" s="581" t="s">
        <v>3740</v>
      </c>
    </row>
    <row r="1237" spans="8:9" ht="16.3">
      <c r="H1237" s="580">
        <v>4822</v>
      </c>
      <c r="I1237" s="581" t="s">
        <v>3741</v>
      </c>
    </row>
    <row r="1238" spans="8:9" ht="16.3">
      <c r="H1238" s="580">
        <v>4823</v>
      </c>
      <c r="I1238" s="581" t="s">
        <v>3742</v>
      </c>
    </row>
    <row r="1239" spans="8:9" ht="16.3">
      <c r="H1239" s="580">
        <v>4824</v>
      </c>
      <c r="I1239" s="581" t="s">
        <v>3743</v>
      </c>
    </row>
    <row r="1240" spans="8:9" ht="16.3">
      <c r="H1240" s="580">
        <v>4826</v>
      </c>
      <c r="I1240" s="581" t="s">
        <v>3744</v>
      </c>
    </row>
    <row r="1241" spans="8:9" ht="16.3">
      <c r="H1241" s="580">
        <v>4831</v>
      </c>
      <c r="I1241" s="581" t="s">
        <v>3745</v>
      </c>
    </row>
    <row r="1242" spans="8:9" ht="16.3">
      <c r="H1242" s="580">
        <v>4832</v>
      </c>
      <c r="I1242" s="581" t="s">
        <v>3746</v>
      </c>
    </row>
    <row r="1243" spans="8:9" ht="16.3">
      <c r="H1243" s="580">
        <v>4833</v>
      </c>
      <c r="I1243" s="581" t="s">
        <v>3747</v>
      </c>
    </row>
    <row r="1244" spans="8:9" ht="16.3">
      <c r="H1244" s="580">
        <v>4834</v>
      </c>
      <c r="I1244" s="581" t="s">
        <v>3748</v>
      </c>
    </row>
    <row r="1245" spans="8:9" ht="16.3">
      <c r="H1245" s="580">
        <v>4835</v>
      </c>
      <c r="I1245" s="581" t="s">
        <v>3749</v>
      </c>
    </row>
    <row r="1246" spans="8:9" ht="16.3">
      <c r="H1246" s="580">
        <v>4836</v>
      </c>
      <c r="I1246" s="581" t="s">
        <v>3750</v>
      </c>
    </row>
    <row r="1247" spans="8:9" ht="16.3">
      <c r="H1247" s="580">
        <v>4841</v>
      </c>
      <c r="I1247" s="581" t="s">
        <v>3751</v>
      </c>
    </row>
    <row r="1248" spans="8:9" ht="16.3">
      <c r="H1248" s="580">
        <v>4842</v>
      </c>
      <c r="I1248" s="581" t="s">
        <v>3752</v>
      </c>
    </row>
    <row r="1249" spans="8:9" ht="16.3">
      <c r="H1249" s="580">
        <v>4843</v>
      </c>
      <c r="I1249" s="581" t="s">
        <v>3753</v>
      </c>
    </row>
    <row r="1250" spans="8:9" ht="16.3">
      <c r="H1250" s="580">
        <v>4844</v>
      </c>
      <c r="I1250" s="581" t="s">
        <v>3754</v>
      </c>
    </row>
    <row r="1251" spans="8:9" ht="16.3">
      <c r="H1251" s="580">
        <v>4845</v>
      </c>
      <c r="I1251" s="581" t="s">
        <v>3755</v>
      </c>
    </row>
    <row r="1252" spans="8:9" ht="16.3">
      <c r="H1252" s="580">
        <v>4900</v>
      </c>
      <c r="I1252" s="581" t="s">
        <v>2125</v>
      </c>
    </row>
    <row r="1253" spans="8:9" ht="16.3">
      <c r="H1253" s="580">
        <v>4911</v>
      </c>
      <c r="I1253" s="581" t="s">
        <v>3756</v>
      </c>
    </row>
    <row r="1254" spans="8:9" ht="16.3">
      <c r="H1254" s="580">
        <v>4912</v>
      </c>
      <c r="I1254" s="581" t="s">
        <v>3757</v>
      </c>
    </row>
    <row r="1255" spans="8:9" ht="16.3">
      <c r="H1255" s="580">
        <v>4913</v>
      </c>
      <c r="I1255" s="581" t="s">
        <v>3758</v>
      </c>
    </row>
    <row r="1256" spans="8:9" ht="16.3">
      <c r="H1256" s="580">
        <v>4914</v>
      </c>
      <c r="I1256" s="581" t="s">
        <v>3759</v>
      </c>
    </row>
    <row r="1257" spans="8:9" ht="16.3">
      <c r="H1257" s="580">
        <v>4921</v>
      </c>
      <c r="I1257" s="581" t="s">
        <v>3760</v>
      </c>
    </row>
    <row r="1258" spans="8:9" ht="16.3">
      <c r="H1258" s="580">
        <v>4921</v>
      </c>
      <c r="I1258" s="581" t="s">
        <v>3761</v>
      </c>
    </row>
    <row r="1259" spans="8:9" ht="16.3">
      <c r="H1259" s="580">
        <v>4922</v>
      </c>
      <c r="I1259" s="581" t="s">
        <v>3762</v>
      </c>
    </row>
    <row r="1260" spans="8:9" ht="16.3">
      <c r="H1260" s="580">
        <v>4931</v>
      </c>
      <c r="I1260" s="581" t="s">
        <v>3763</v>
      </c>
    </row>
    <row r="1261" spans="8:9" ht="16.3">
      <c r="H1261" s="580">
        <v>4932</v>
      </c>
      <c r="I1261" s="581" t="s">
        <v>3764</v>
      </c>
    </row>
    <row r="1262" spans="8:9" ht="16.3">
      <c r="H1262" s="580">
        <v>4933</v>
      </c>
      <c r="I1262" s="581" t="s">
        <v>3765</v>
      </c>
    </row>
    <row r="1263" spans="8:9" ht="16.3">
      <c r="H1263" s="580">
        <v>4934</v>
      </c>
      <c r="I1263" s="581" t="s">
        <v>3766</v>
      </c>
    </row>
    <row r="1264" spans="8:9" ht="16.3">
      <c r="H1264" s="580">
        <v>4935</v>
      </c>
      <c r="I1264" s="581" t="s">
        <v>3767</v>
      </c>
    </row>
    <row r="1265" spans="8:9" ht="16.3">
      <c r="H1265" s="580">
        <v>4936</v>
      </c>
      <c r="I1265" s="581" t="s">
        <v>3768</v>
      </c>
    </row>
    <row r="1266" spans="8:9" ht="16.3">
      <c r="H1266" s="580">
        <v>4937</v>
      </c>
      <c r="I1266" s="581" t="s">
        <v>3769</v>
      </c>
    </row>
    <row r="1267" spans="8:9" ht="16.3">
      <c r="H1267" s="580">
        <v>4941</v>
      </c>
      <c r="I1267" s="581" t="s">
        <v>3770</v>
      </c>
    </row>
    <row r="1268" spans="8:9" ht="16.3">
      <c r="H1268" s="580">
        <v>4942</v>
      </c>
      <c r="I1268" s="581" t="s">
        <v>3771</v>
      </c>
    </row>
    <row r="1269" spans="8:9" ht="16.3">
      <c r="H1269" s="580">
        <v>4942</v>
      </c>
      <c r="I1269" s="581" t="s">
        <v>3772</v>
      </c>
    </row>
    <row r="1270" spans="8:9" ht="16.3">
      <c r="H1270" s="580">
        <v>4943</v>
      </c>
      <c r="I1270" s="581" t="s">
        <v>3773</v>
      </c>
    </row>
    <row r="1271" spans="8:9" ht="16.3">
      <c r="H1271" s="580">
        <v>4944</v>
      </c>
      <c r="I1271" s="581" t="s">
        <v>3774</v>
      </c>
    </row>
    <row r="1272" spans="8:9" ht="16.3">
      <c r="H1272" s="580">
        <v>4945</v>
      </c>
      <c r="I1272" s="581" t="s">
        <v>3775</v>
      </c>
    </row>
    <row r="1273" spans="8:9" ht="16.3">
      <c r="H1273" s="580">
        <v>4946</v>
      </c>
      <c r="I1273" s="581" t="s">
        <v>3776</v>
      </c>
    </row>
    <row r="1274" spans="8:9" ht="16.3">
      <c r="H1274" s="580">
        <v>4947</v>
      </c>
      <c r="I1274" s="581" t="s">
        <v>3777</v>
      </c>
    </row>
    <row r="1275" spans="8:9" ht="16.3">
      <c r="H1275" s="580">
        <v>4948</v>
      </c>
      <c r="I1275" s="581" t="s">
        <v>3778</v>
      </c>
    </row>
    <row r="1276" spans="8:9" ht="16.3">
      <c r="H1276" s="580">
        <v>4951</v>
      </c>
      <c r="I1276" s="581" t="s">
        <v>3779</v>
      </c>
    </row>
    <row r="1277" spans="8:9" ht="16.3">
      <c r="H1277" s="580">
        <v>4952</v>
      </c>
      <c r="I1277" s="581" t="s">
        <v>3780</v>
      </c>
    </row>
    <row r="1278" spans="8:9" ht="16.3">
      <c r="H1278" s="580">
        <v>4953</v>
      </c>
      <c r="I1278" s="581" t="s">
        <v>3781</v>
      </c>
    </row>
    <row r="1279" spans="8:9" ht="16.3">
      <c r="H1279" s="580">
        <v>4954</v>
      </c>
      <c r="I1279" s="581" t="s">
        <v>3782</v>
      </c>
    </row>
    <row r="1280" spans="8:9" ht="16.3">
      <c r="H1280" s="580">
        <v>4955</v>
      </c>
      <c r="I1280" s="581" t="s">
        <v>3783</v>
      </c>
    </row>
    <row r="1281" spans="8:9" ht="16.3">
      <c r="H1281" s="580">
        <v>4956</v>
      </c>
      <c r="I1281" s="581" t="s">
        <v>3784</v>
      </c>
    </row>
    <row r="1282" spans="8:9" ht="16.3">
      <c r="H1282" s="580">
        <v>4961</v>
      </c>
      <c r="I1282" s="581" t="s">
        <v>3785</v>
      </c>
    </row>
    <row r="1283" spans="8:9" ht="16.3">
      <c r="H1283" s="580">
        <v>4962</v>
      </c>
      <c r="I1283" s="581" t="s">
        <v>3786</v>
      </c>
    </row>
    <row r="1284" spans="8:9" ht="16.3">
      <c r="H1284" s="580">
        <v>4963</v>
      </c>
      <c r="I1284" s="581" t="s">
        <v>3787</v>
      </c>
    </row>
    <row r="1285" spans="8:9" ht="16.3">
      <c r="H1285" s="580">
        <v>4964</v>
      </c>
      <c r="I1285" s="581" t="s">
        <v>3788</v>
      </c>
    </row>
    <row r="1286" spans="8:9" ht="16.3">
      <c r="H1286" s="580">
        <v>4965</v>
      </c>
      <c r="I1286" s="581" t="s">
        <v>3789</v>
      </c>
    </row>
    <row r="1287" spans="8:9" ht="16.3">
      <c r="H1287" s="580">
        <v>4966</v>
      </c>
      <c r="I1287" s="581" t="s">
        <v>2315</v>
      </c>
    </row>
    <row r="1288" spans="8:9" ht="16.3">
      <c r="H1288" s="580">
        <v>4967</v>
      </c>
      <c r="I1288" s="581" t="s">
        <v>3790</v>
      </c>
    </row>
    <row r="1289" spans="8:9" ht="16.3">
      <c r="H1289" s="580">
        <v>4968</v>
      </c>
      <c r="I1289" s="581" t="s">
        <v>3791</v>
      </c>
    </row>
    <row r="1290" spans="8:9" ht="16.3">
      <c r="H1290" s="580">
        <v>4969</v>
      </c>
      <c r="I1290" s="581" t="s">
        <v>3792</v>
      </c>
    </row>
    <row r="1291" spans="8:9" ht="16.3">
      <c r="H1291" s="580">
        <v>4971</v>
      </c>
      <c r="I1291" s="581" t="s">
        <v>3793</v>
      </c>
    </row>
    <row r="1292" spans="8:9" ht="16.3">
      <c r="H1292" s="580">
        <v>4972</v>
      </c>
      <c r="I1292" s="581" t="s">
        <v>3794</v>
      </c>
    </row>
    <row r="1293" spans="8:9" ht="16.3">
      <c r="H1293" s="580">
        <v>4973</v>
      </c>
      <c r="I1293" s="581" t="s">
        <v>3795</v>
      </c>
    </row>
    <row r="1294" spans="8:9" ht="16.3">
      <c r="H1294" s="580">
        <v>4974</v>
      </c>
      <c r="I1294" s="581" t="s">
        <v>3796</v>
      </c>
    </row>
    <row r="1295" spans="8:9" ht="16.3">
      <c r="H1295" s="580">
        <v>4975</v>
      </c>
      <c r="I1295" s="581" t="s">
        <v>3797</v>
      </c>
    </row>
    <row r="1296" spans="8:9" ht="16.3">
      <c r="H1296" s="580">
        <v>4976</v>
      </c>
      <c r="I1296" s="581" t="s">
        <v>3798</v>
      </c>
    </row>
    <row r="1297" spans="8:9" ht="16.3">
      <c r="H1297" s="580">
        <v>4977</v>
      </c>
      <c r="I1297" s="581" t="s">
        <v>3799</v>
      </c>
    </row>
    <row r="1298" spans="8:9" ht="16.3">
      <c r="H1298" s="580">
        <v>4977</v>
      </c>
      <c r="I1298" s="581" t="s">
        <v>3800</v>
      </c>
    </row>
    <row r="1299" spans="8:9" ht="16.3">
      <c r="H1299" s="580">
        <v>5000</v>
      </c>
      <c r="I1299" s="581" t="s">
        <v>1920</v>
      </c>
    </row>
    <row r="1300" spans="8:9" ht="16.3">
      <c r="H1300" s="580">
        <v>5008</v>
      </c>
      <c r="I1300" s="581" t="s">
        <v>1920</v>
      </c>
    </row>
    <row r="1301" spans="8:9" ht="16.3">
      <c r="H1301" s="580">
        <v>5051</v>
      </c>
      <c r="I1301" s="581" t="s">
        <v>3801</v>
      </c>
    </row>
    <row r="1302" spans="8:9" ht="16.3">
      <c r="H1302" s="580">
        <v>5052</v>
      </c>
      <c r="I1302" s="581" t="s">
        <v>3802</v>
      </c>
    </row>
    <row r="1303" spans="8:9" ht="16.3">
      <c r="H1303" s="580">
        <v>5053</v>
      </c>
      <c r="I1303" s="581" t="s">
        <v>3803</v>
      </c>
    </row>
    <row r="1304" spans="8:9" ht="16.3">
      <c r="H1304" s="580">
        <v>5054</v>
      </c>
      <c r="I1304" s="581" t="s">
        <v>3804</v>
      </c>
    </row>
    <row r="1305" spans="8:9" ht="16.3">
      <c r="H1305" s="580">
        <v>5055</v>
      </c>
      <c r="I1305" s="581" t="s">
        <v>3805</v>
      </c>
    </row>
    <row r="1306" spans="8:9" ht="16.3">
      <c r="H1306" s="580">
        <v>5061</v>
      </c>
      <c r="I1306" s="581" t="s">
        <v>3806</v>
      </c>
    </row>
    <row r="1307" spans="8:9" ht="16.3">
      <c r="H1307" s="580">
        <v>5062</v>
      </c>
      <c r="I1307" s="581" t="s">
        <v>3807</v>
      </c>
    </row>
    <row r="1308" spans="8:9" ht="16.3">
      <c r="H1308" s="580">
        <v>5063</v>
      </c>
      <c r="I1308" s="581" t="s">
        <v>3808</v>
      </c>
    </row>
    <row r="1309" spans="8:9" ht="16.3">
      <c r="H1309" s="580">
        <v>5064</v>
      </c>
      <c r="I1309" s="581" t="s">
        <v>3809</v>
      </c>
    </row>
    <row r="1310" spans="8:9" ht="16.3">
      <c r="H1310" s="580">
        <v>5065</v>
      </c>
      <c r="I1310" s="581" t="s">
        <v>3810</v>
      </c>
    </row>
    <row r="1311" spans="8:9" ht="16.3">
      <c r="H1311" s="580">
        <v>5071</v>
      </c>
      <c r="I1311" s="581" t="s">
        <v>3811</v>
      </c>
    </row>
    <row r="1312" spans="8:9" ht="16.3">
      <c r="H1312" s="580">
        <v>5081</v>
      </c>
      <c r="I1312" s="581" t="s">
        <v>2334</v>
      </c>
    </row>
    <row r="1313" spans="8:9" ht="16.3">
      <c r="H1313" s="580">
        <v>5082</v>
      </c>
      <c r="I1313" s="581" t="s">
        <v>3812</v>
      </c>
    </row>
    <row r="1314" spans="8:9" ht="16.3">
      <c r="H1314" s="580">
        <v>5083</v>
      </c>
      <c r="I1314" s="581" t="s">
        <v>3813</v>
      </c>
    </row>
    <row r="1315" spans="8:9" ht="16.3">
      <c r="H1315" s="580">
        <v>5084</v>
      </c>
      <c r="I1315" s="581" t="s">
        <v>3814</v>
      </c>
    </row>
    <row r="1316" spans="8:9" ht="16.3">
      <c r="H1316" s="580">
        <v>5085</v>
      </c>
      <c r="I1316" s="581" t="s">
        <v>3815</v>
      </c>
    </row>
    <row r="1317" spans="8:9" ht="16.3">
      <c r="H1317" s="580">
        <v>5091</v>
      </c>
      <c r="I1317" s="581" t="s">
        <v>3816</v>
      </c>
    </row>
    <row r="1318" spans="8:9" ht="16.3">
      <c r="H1318" s="580">
        <v>5092</v>
      </c>
      <c r="I1318" s="581" t="s">
        <v>3817</v>
      </c>
    </row>
    <row r="1319" spans="8:9" ht="16.3">
      <c r="H1319" s="580">
        <v>5093</v>
      </c>
      <c r="I1319" s="581" t="s">
        <v>3818</v>
      </c>
    </row>
    <row r="1320" spans="8:9" ht="16.3">
      <c r="H1320" s="580">
        <v>5094</v>
      </c>
      <c r="I1320" s="581" t="s">
        <v>2220</v>
      </c>
    </row>
    <row r="1321" spans="8:9" ht="16.3">
      <c r="H1321" s="580">
        <v>5095</v>
      </c>
      <c r="I1321" s="581" t="s">
        <v>3817</v>
      </c>
    </row>
    <row r="1322" spans="8:9" ht="16.3">
      <c r="H1322" s="580">
        <v>5100</v>
      </c>
      <c r="I1322" s="581" t="s">
        <v>2019</v>
      </c>
    </row>
    <row r="1323" spans="8:9" ht="16.3">
      <c r="H1323" s="580">
        <v>5111</v>
      </c>
      <c r="I1323" s="581" t="s">
        <v>2131</v>
      </c>
    </row>
    <row r="1324" spans="8:9" ht="16.3">
      <c r="H1324" s="580">
        <v>5121</v>
      </c>
      <c r="I1324" s="581" t="s">
        <v>3819</v>
      </c>
    </row>
    <row r="1325" spans="8:9" ht="16.3">
      <c r="H1325" s="580">
        <v>5122</v>
      </c>
      <c r="I1325" s="581" t="s">
        <v>3820</v>
      </c>
    </row>
    <row r="1326" spans="8:9" ht="16.3">
      <c r="H1326" s="580">
        <v>5123</v>
      </c>
      <c r="I1326" s="581" t="s">
        <v>2214</v>
      </c>
    </row>
    <row r="1327" spans="8:9" ht="16.3">
      <c r="H1327" s="580">
        <v>5124</v>
      </c>
      <c r="I1327" s="581" t="s">
        <v>3821</v>
      </c>
    </row>
    <row r="1328" spans="8:9" ht="16.3">
      <c r="H1328" s="580">
        <v>5125</v>
      </c>
      <c r="I1328" s="581" t="s">
        <v>2215</v>
      </c>
    </row>
    <row r="1329" spans="8:9" ht="16.3">
      <c r="H1329" s="580">
        <v>5126</v>
      </c>
      <c r="I1329" s="581" t="s">
        <v>1948</v>
      </c>
    </row>
    <row r="1330" spans="8:9" ht="16.3">
      <c r="H1330" s="580">
        <v>5130</v>
      </c>
      <c r="I1330" s="581" t="s">
        <v>2165</v>
      </c>
    </row>
    <row r="1331" spans="8:9" ht="16.3">
      <c r="H1331" s="580">
        <v>5135</v>
      </c>
      <c r="I1331" s="581" t="s">
        <v>3822</v>
      </c>
    </row>
    <row r="1332" spans="8:9" ht="16.3">
      <c r="H1332" s="580">
        <v>5136</v>
      </c>
      <c r="I1332" s="581" t="s">
        <v>3823</v>
      </c>
    </row>
    <row r="1333" spans="8:9" ht="16.3">
      <c r="H1333" s="580">
        <v>5137</v>
      </c>
      <c r="I1333" s="581" t="s">
        <v>3824</v>
      </c>
    </row>
    <row r="1334" spans="8:9" ht="16.3">
      <c r="H1334" s="580">
        <v>5141</v>
      </c>
      <c r="I1334" s="581" t="s">
        <v>3825</v>
      </c>
    </row>
    <row r="1335" spans="8:9" ht="16.3">
      <c r="H1335" s="580">
        <v>5142</v>
      </c>
      <c r="I1335" s="581" t="s">
        <v>2295</v>
      </c>
    </row>
    <row r="1336" spans="8:9" ht="16.3">
      <c r="H1336" s="580">
        <v>5143</v>
      </c>
      <c r="I1336" s="581" t="s">
        <v>3826</v>
      </c>
    </row>
    <row r="1337" spans="8:9" ht="16.3">
      <c r="H1337" s="580">
        <v>5144</v>
      </c>
      <c r="I1337" s="581" t="s">
        <v>1993</v>
      </c>
    </row>
    <row r="1338" spans="8:9" ht="16.3">
      <c r="H1338" s="580">
        <v>5152</v>
      </c>
      <c r="I1338" s="580" t="s">
        <v>2019</v>
      </c>
    </row>
    <row r="1339" spans="8:9" ht="16.3">
      <c r="H1339" s="580">
        <v>5200</v>
      </c>
      <c r="I1339" s="581" t="s">
        <v>2249</v>
      </c>
    </row>
    <row r="1340" spans="8:9" ht="16.3">
      <c r="H1340" s="580">
        <v>5211</v>
      </c>
      <c r="I1340" s="581" t="s">
        <v>2024</v>
      </c>
    </row>
    <row r="1341" spans="8:9" ht="16.3">
      <c r="H1341" s="580">
        <v>5212</v>
      </c>
      <c r="I1341" s="580" t="s">
        <v>2249</v>
      </c>
    </row>
    <row r="1342" spans="8:9" ht="16.3">
      <c r="H1342" s="580">
        <v>5213</v>
      </c>
      <c r="I1342" s="580" t="s">
        <v>3827</v>
      </c>
    </row>
    <row r="1343" spans="8:9" ht="16.3">
      <c r="H1343" s="580">
        <v>5222</v>
      </c>
      <c r="I1343" s="581" t="s">
        <v>3828</v>
      </c>
    </row>
    <row r="1344" spans="8:9" ht="16.3">
      <c r="H1344" s="580">
        <v>5231</v>
      </c>
      <c r="I1344" s="581" t="s">
        <v>3827</v>
      </c>
    </row>
    <row r="1345" spans="8:9" ht="16.3">
      <c r="H1345" s="580">
        <v>5232</v>
      </c>
      <c r="I1345" s="581" t="s">
        <v>3829</v>
      </c>
    </row>
    <row r="1346" spans="8:9" ht="16.3">
      <c r="H1346" s="580">
        <v>5233</v>
      </c>
      <c r="I1346" s="581" t="s">
        <v>2096</v>
      </c>
    </row>
    <row r="1347" spans="8:9" ht="16.3">
      <c r="H1347" s="580">
        <v>5234</v>
      </c>
      <c r="I1347" s="581" t="s">
        <v>3830</v>
      </c>
    </row>
    <row r="1348" spans="8:9" ht="16.3">
      <c r="H1348" s="580">
        <v>5235</v>
      </c>
      <c r="I1348" s="581" t="s">
        <v>3831</v>
      </c>
    </row>
    <row r="1349" spans="8:9" ht="16.3">
      <c r="H1349" s="580">
        <v>5241</v>
      </c>
      <c r="I1349" s="581" t="s">
        <v>2299</v>
      </c>
    </row>
    <row r="1350" spans="8:9" ht="16.3">
      <c r="H1350" s="580">
        <v>5243</v>
      </c>
      <c r="I1350" s="581" t="s">
        <v>3832</v>
      </c>
    </row>
    <row r="1351" spans="8:9" ht="16.3">
      <c r="H1351" s="580">
        <v>5244</v>
      </c>
      <c r="I1351" s="581" t="s">
        <v>3833</v>
      </c>
    </row>
    <row r="1352" spans="8:9" ht="16.3">
      <c r="H1352" s="580">
        <v>5300</v>
      </c>
      <c r="I1352" s="581" t="s">
        <v>2126</v>
      </c>
    </row>
    <row r="1353" spans="8:9" ht="16.3">
      <c r="H1353" s="580">
        <v>5309</v>
      </c>
      <c r="I1353" s="581" t="s">
        <v>3834</v>
      </c>
    </row>
    <row r="1354" spans="8:9" ht="16.3">
      <c r="H1354" s="580">
        <v>5310</v>
      </c>
      <c r="I1354" s="581" t="s">
        <v>2054</v>
      </c>
    </row>
    <row r="1355" spans="8:9" ht="16.3">
      <c r="H1355" s="580">
        <v>5321</v>
      </c>
      <c r="I1355" s="581" t="s">
        <v>2329</v>
      </c>
    </row>
    <row r="1356" spans="8:9" ht="16.3">
      <c r="H1356" s="580">
        <v>5322</v>
      </c>
      <c r="I1356" s="581" t="s">
        <v>3835</v>
      </c>
    </row>
    <row r="1357" spans="8:9" ht="16.3">
      <c r="H1357" s="580">
        <v>5323</v>
      </c>
      <c r="I1357" s="580" t="s">
        <v>3835</v>
      </c>
    </row>
    <row r="1358" spans="8:9" ht="16.3">
      <c r="H1358" s="580">
        <v>5324</v>
      </c>
      <c r="I1358" s="581" t="s">
        <v>3836</v>
      </c>
    </row>
    <row r="1359" spans="8:9" ht="16.3">
      <c r="H1359" s="580">
        <v>5331</v>
      </c>
      <c r="I1359" s="581" t="s">
        <v>3837</v>
      </c>
    </row>
    <row r="1360" spans="8:9" ht="16.3">
      <c r="H1360" s="580">
        <v>5340</v>
      </c>
      <c r="I1360" s="581" t="s">
        <v>2095</v>
      </c>
    </row>
    <row r="1361" spans="8:9" ht="16.3">
      <c r="H1361" s="580">
        <v>5349</v>
      </c>
      <c r="I1361" s="580" t="s">
        <v>3837</v>
      </c>
    </row>
    <row r="1362" spans="8:9" ht="16.3">
      <c r="H1362" s="580">
        <v>5350</v>
      </c>
      <c r="I1362" s="581" t="s">
        <v>2196</v>
      </c>
    </row>
    <row r="1363" spans="8:9" ht="16.3">
      <c r="H1363" s="580">
        <v>5358</v>
      </c>
      <c r="I1363" s="580" t="s">
        <v>2196</v>
      </c>
    </row>
    <row r="1364" spans="8:9" ht="16.3">
      <c r="H1364" s="580">
        <v>5359</v>
      </c>
      <c r="I1364" s="580" t="s">
        <v>2196</v>
      </c>
    </row>
    <row r="1365" spans="8:9" ht="16.3">
      <c r="H1365" s="580">
        <v>5361</v>
      </c>
      <c r="I1365" s="581" t="s">
        <v>3838</v>
      </c>
    </row>
    <row r="1366" spans="8:9" ht="16.3">
      <c r="H1366" s="580">
        <v>5362</v>
      </c>
      <c r="I1366" s="581" t="s">
        <v>3839</v>
      </c>
    </row>
    <row r="1367" spans="8:9" ht="16.3">
      <c r="H1367" s="580">
        <v>5363</v>
      </c>
      <c r="I1367" s="581" t="s">
        <v>3840</v>
      </c>
    </row>
    <row r="1368" spans="8:9" ht="16.3">
      <c r="H1368" s="580">
        <v>5400</v>
      </c>
      <c r="I1368" s="581" t="s">
        <v>2086</v>
      </c>
    </row>
    <row r="1369" spans="8:9" ht="16.3">
      <c r="H1369" s="580">
        <v>5411</v>
      </c>
      <c r="I1369" s="581" t="s">
        <v>3841</v>
      </c>
    </row>
    <row r="1370" spans="8:9" ht="16.3">
      <c r="H1370" s="580">
        <v>5412</v>
      </c>
      <c r="I1370" s="581" t="s">
        <v>2336</v>
      </c>
    </row>
    <row r="1371" spans="8:9" ht="16.3">
      <c r="H1371" s="580">
        <v>5420</v>
      </c>
      <c r="I1371" s="581" t="s">
        <v>3842</v>
      </c>
    </row>
    <row r="1372" spans="8:9" ht="16.3">
      <c r="H1372" s="580">
        <v>5430</v>
      </c>
      <c r="I1372" s="581" t="s">
        <v>2069</v>
      </c>
    </row>
    <row r="1373" spans="8:9" ht="16.3">
      <c r="H1373" s="580">
        <v>5435</v>
      </c>
      <c r="I1373" s="581" t="s">
        <v>3843</v>
      </c>
    </row>
    <row r="1374" spans="8:9" ht="16.3">
      <c r="H1374" s="580">
        <v>5440</v>
      </c>
      <c r="I1374" s="581" t="s">
        <v>2064</v>
      </c>
    </row>
    <row r="1375" spans="8:9" ht="16.3">
      <c r="H1375" s="580">
        <v>5449</v>
      </c>
      <c r="I1375" s="581" t="s">
        <v>2064</v>
      </c>
    </row>
    <row r="1376" spans="8:9" ht="16.3">
      <c r="H1376" s="580">
        <v>5451</v>
      </c>
      <c r="I1376" s="581" t="s">
        <v>3844</v>
      </c>
    </row>
    <row r="1377" spans="8:9" ht="16.3">
      <c r="H1377" s="580">
        <v>5452</v>
      </c>
      <c r="I1377" s="581" t="s">
        <v>3845</v>
      </c>
    </row>
    <row r="1378" spans="8:9" ht="16.3">
      <c r="H1378" s="580">
        <v>5453</v>
      </c>
      <c r="I1378" s="581" t="s">
        <v>3846</v>
      </c>
    </row>
    <row r="1379" spans="8:9" ht="16.3">
      <c r="H1379" s="580">
        <v>5461</v>
      </c>
      <c r="I1379" s="580" t="s">
        <v>2069</v>
      </c>
    </row>
    <row r="1380" spans="8:9" ht="16.3">
      <c r="H1380" s="580">
        <v>5462</v>
      </c>
      <c r="I1380" s="581" t="s">
        <v>3847</v>
      </c>
    </row>
    <row r="1381" spans="8:9" ht="16.3">
      <c r="H1381" s="580">
        <v>5463</v>
      </c>
      <c r="I1381" s="581" t="s">
        <v>3848</v>
      </c>
    </row>
    <row r="1382" spans="8:9" ht="16.3">
      <c r="H1382" s="580">
        <v>5464</v>
      </c>
      <c r="I1382" s="581" t="s">
        <v>3849</v>
      </c>
    </row>
    <row r="1383" spans="8:9" ht="16.3">
      <c r="H1383" s="580">
        <v>5465</v>
      </c>
      <c r="I1383" s="581" t="s">
        <v>3850</v>
      </c>
    </row>
    <row r="1384" spans="8:9" ht="16.3">
      <c r="H1384" s="580">
        <v>5471</v>
      </c>
      <c r="I1384" s="581" t="s">
        <v>3851</v>
      </c>
    </row>
    <row r="1385" spans="8:9" ht="16.3">
      <c r="H1385" s="580">
        <v>5474</v>
      </c>
      <c r="I1385" s="581" t="s">
        <v>3852</v>
      </c>
    </row>
    <row r="1386" spans="8:9" ht="16.3">
      <c r="H1386" s="580">
        <v>5475</v>
      </c>
      <c r="I1386" s="581" t="s">
        <v>3853</v>
      </c>
    </row>
    <row r="1387" spans="8:9" ht="16.3">
      <c r="H1387" s="580">
        <v>5476</v>
      </c>
      <c r="I1387" s="581" t="s">
        <v>3854</v>
      </c>
    </row>
    <row r="1388" spans="8:9" ht="16.3">
      <c r="H1388" s="580">
        <v>5500</v>
      </c>
      <c r="I1388" s="581" t="s">
        <v>3855</v>
      </c>
    </row>
    <row r="1389" spans="8:9" ht="16.3">
      <c r="H1389" s="580">
        <v>5502</v>
      </c>
      <c r="I1389" s="581" t="s">
        <v>3855</v>
      </c>
    </row>
    <row r="1390" spans="8:9" ht="16.3">
      <c r="H1390" s="580">
        <v>5510</v>
      </c>
      <c r="I1390" s="581" t="s">
        <v>3856</v>
      </c>
    </row>
    <row r="1391" spans="8:9" ht="16.3">
      <c r="H1391" s="580">
        <v>5515</v>
      </c>
      <c r="I1391" s="581" t="s">
        <v>3857</v>
      </c>
    </row>
    <row r="1392" spans="8:9" ht="16.3">
      <c r="H1392" s="580">
        <v>5516</v>
      </c>
      <c r="I1392" s="581" t="s">
        <v>2029</v>
      </c>
    </row>
    <row r="1393" spans="8:9" ht="16.3">
      <c r="H1393" s="580">
        <v>5520</v>
      </c>
      <c r="I1393" s="581" t="s">
        <v>2134</v>
      </c>
    </row>
    <row r="1394" spans="8:9" ht="16.3">
      <c r="H1394" s="580">
        <v>5525</v>
      </c>
      <c r="I1394" s="581" t="s">
        <v>3858</v>
      </c>
    </row>
    <row r="1395" spans="8:9" ht="16.3">
      <c r="H1395" s="580">
        <v>5526</v>
      </c>
      <c r="I1395" s="581" t="s">
        <v>3859</v>
      </c>
    </row>
    <row r="1396" spans="8:9" ht="16.3">
      <c r="H1396" s="580">
        <v>5527</v>
      </c>
      <c r="I1396" s="581" t="s">
        <v>2223</v>
      </c>
    </row>
    <row r="1397" spans="8:9" ht="16.3">
      <c r="H1397" s="580">
        <v>5530</v>
      </c>
      <c r="I1397" s="581" t="s">
        <v>3860</v>
      </c>
    </row>
    <row r="1398" spans="8:9" ht="16.3">
      <c r="H1398" s="580">
        <v>5534</v>
      </c>
      <c r="I1398" s="581" t="s">
        <v>3861</v>
      </c>
    </row>
    <row r="1399" spans="8:9" ht="16.3">
      <c r="H1399" s="580">
        <v>5536</v>
      </c>
      <c r="I1399" s="581" t="s">
        <v>3862</v>
      </c>
    </row>
    <row r="1400" spans="8:9" ht="16.3">
      <c r="H1400" s="580">
        <v>5537</v>
      </c>
      <c r="I1400" s="581" t="s">
        <v>3863</v>
      </c>
    </row>
    <row r="1401" spans="8:9" ht="16.3">
      <c r="H1401" s="580">
        <v>5538</v>
      </c>
      <c r="I1401" s="581" t="s">
        <v>3864</v>
      </c>
    </row>
    <row r="1402" spans="8:9" ht="16.3">
      <c r="H1402" s="580">
        <v>5539</v>
      </c>
      <c r="I1402" s="581" t="s">
        <v>3865</v>
      </c>
    </row>
    <row r="1403" spans="8:9" ht="16.3">
      <c r="H1403" s="580">
        <v>5540</v>
      </c>
      <c r="I1403" s="581" t="s">
        <v>3866</v>
      </c>
    </row>
    <row r="1404" spans="8:9" ht="16.3">
      <c r="H1404" s="580">
        <v>5551</v>
      </c>
      <c r="I1404" s="581" t="s">
        <v>3867</v>
      </c>
    </row>
    <row r="1405" spans="8:9" ht="16.3">
      <c r="H1405" s="580">
        <v>5552</v>
      </c>
      <c r="I1405" s="581" t="s">
        <v>3868</v>
      </c>
    </row>
    <row r="1406" spans="8:9" ht="16.3">
      <c r="H1406" s="580">
        <v>5553</v>
      </c>
      <c r="I1406" s="581" t="s">
        <v>3869</v>
      </c>
    </row>
    <row r="1407" spans="8:9" ht="16.3">
      <c r="H1407" s="580">
        <v>5555</v>
      </c>
      <c r="I1407" s="581" t="s">
        <v>3870</v>
      </c>
    </row>
    <row r="1408" spans="8:9" ht="16.3">
      <c r="H1408" s="580">
        <v>5556</v>
      </c>
      <c r="I1408" s="581" t="s">
        <v>3871</v>
      </c>
    </row>
    <row r="1409" spans="8:9" ht="16.3">
      <c r="H1409" s="580">
        <v>5561</v>
      </c>
      <c r="I1409" s="581" t="s">
        <v>3872</v>
      </c>
    </row>
    <row r="1410" spans="8:9" ht="16.3">
      <c r="H1410" s="580">
        <v>5600</v>
      </c>
      <c r="I1410" s="581" t="s">
        <v>1941</v>
      </c>
    </row>
    <row r="1411" spans="8:9" ht="16.3">
      <c r="H1411" s="580">
        <v>5609</v>
      </c>
      <c r="I1411" s="581" t="s">
        <v>3873</v>
      </c>
    </row>
    <row r="1412" spans="8:9" ht="16.3">
      <c r="H1412" s="580">
        <v>5621</v>
      </c>
      <c r="I1412" s="581" t="s">
        <v>3874</v>
      </c>
    </row>
    <row r="1413" spans="8:9" ht="16.3">
      <c r="H1413" s="580">
        <v>5622</v>
      </c>
      <c r="I1413" s="581" t="s">
        <v>3875</v>
      </c>
    </row>
    <row r="1414" spans="8:9" ht="16.3">
      <c r="H1414" s="580">
        <v>5623</v>
      </c>
      <c r="I1414" s="581" t="s">
        <v>1941</v>
      </c>
    </row>
    <row r="1415" spans="8:9" ht="16.3">
      <c r="H1415" s="580">
        <v>5624</v>
      </c>
      <c r="I1415" s="581" t="s">
        <v>3876</v>
      </c>
    </row>
    <row r="1416" spans="8:9" ht="16.3">
      <c r="H1416" s="580">
        <v>5630</v>
      </c>
      <c r="I1416" s="581" t="s">
        <v>2205</v>
      </c>
    </row>
    <row r="1417" spans="8:9" ht="16.3">
      <c r="H1417" s="580">
        <v>5641</v>
      </c>
      <c r="I1417" s="581" t="s">
        <v>3877</v>
      </c>
    </row>
    <row r="1418" spans="8:9" ht="16.3">
      <c r="H1418" s="580">
        <v>5643</v>
      </c>
      <c r="I1418" s="581" t="s">
        <v>3878</v>
      </c>
    </row>
    <row r="1419" spans="8:9" ht="16.3">
      <c r="H1419" s="580">
        <v>5650</v>
      </c>
      <c r="I1419" s="581" t="s">
        <v>3879</v>
      </c>
    </row>
    <row r="1420" spans="8:9" ht="16.3">
      <c r="H1420" s="580">
        <v>5661</v>
      </c>
      <c r="I1420" s="581" t="s">
        <v>2011</v>
      </c>
    </row>
    <row r="1421" spans="8:9" ht="16.3">
      <c r="H1421" s="580">
        <v>5662</v>
      </c>
      <c r="I1421" s="581" t="s">
        <v>2286</v>
      </c>
    </row>
    <row r="1422" spans="8:9" ht="16.3">
      <c r="H1422" s="580">
        <v>5663</v>
      </c>
      <c r="I1422" s="581" t="s">
        <v>3880</v>
      </c>
    </row>
    <row r="1423" spans="8:9" ht="16.3">
      <c r="H1423" s="580">
        <v>5664</v>
      </c>
      <c r="I1423" s="580" t="s">
        <v>3880</v>
      </c>
    </row>
    <row r="1424" spans="8:9" ht="16.3">
      <c r="H1424" s="580">
        <v>5665</v>
      </c>
      <c r="I1424" s="581" t="s">
        <v>3881</v>
      </c>
    </row>
    <row r="1425" spans="8:9" ht="16.3">
      <c r="H1425" s="580">
        <v>5666</v>
      </c>
      <c r="I1425" s="581" t="s">
        <v>3882</v>
      </c>
    </row>
    <row r="1426" spans="8:9" ht="16.3">
      <c r="H1426" s="580">
        <v>5667</v>
      </c>
      <c r="I1426" s="581" t="s">
        <v>3883</v>
      </c>
    </row>
    <row r="1427" spans="8:9" ht="16.3">
      <c r="H1427" s="580">
        <v>5668</v>
      </c>
      <c r="I1427" s="581" t="s">
        <v>3884</v>
      </c>
    </row>
    <row r="1428" spans="8:9" ht="16.3">
      <c r="H1428" s="580">
        <v>5671</v>
      </c>
      <c r="I1428" s="581" t="s">
        <v>1941</v>
      </c>
    </row>
    <row r="1429" spans="8:9" ht="16.3">
      <c r="H1429" s="580">
        <v>5672</v>
      </c>
      <c r="I1429" s="581" t="s">
        <v>3885</v>
      </c>
    </row>
    <row r="1430" spans="8:9" ht="16.3">
      <c r="H1430" s="580">
        <v>5673</v>
      </c>
      <c r="I1430" s="581" t="s">
        <v>3886</v>
      </c>
    </row>
    <row r="1431" spans="8:9" ht="16.3">
      <c r="H1431" s="580">
        <v>5674</v>
      </c>
      <c r="I1431" s="581" t="s">
        <v>2006</v>
      </c>
    </row>
    <row r="1432" spans="8:9" ht="16.3">
      <c r="H1432" s="580">
        <v>5675</v>
      </c>
      <c r="I1432" s="581" t="s">
        <v>3887</v>
      </c>
    </row>
    <row r="1433" spans="8:9" ht="16.3">
      <c r="H1433" s="580">
        <v>5700</v>
      </c>
      <c r="I1433" s="581" t="s">
        <v>2052</v>
      </c>
    </row>
    <row r="1434" spans="8:9" ht="16.3">
      <c r="H1434" s="580">
        <v>5711</v>
      </c>
      <c r="I1434" s="581" t="s">
        <v>2052</v>
      </c>
    </row>
    <row r="1435" spans="8:9" ht="16.3">
      <c r="H1435" s="580">
        <v>5712</v>
      </c>
      <c r="I1435" s="581" t="s">
        <v>3888</v>
      </c>
    </row>
    <row r="1436" spans="8:9" ht="16.3">
      <c r="H1436" s="580">
        <v>5720</v>
      </c>
      <c r="I1436" s="581" t="s">
        <v>1930</v>
      </c>
    </row>
    <row r="1437" spans="8:9" ht="16.3">
      <c r="H1437" s="580">
        <v>5725</v>
      </c>
      <c r="I1437" s="581" t="s">
        <v>3889</v>
      </c>
    </row>
    <row r="1438" spans="8:9" ht="16.3">
      <c r="H1438" s="580">
        <v>5726</v>
      </c>
      <c r="I1438" s="581" t="s">
        <v>3890</v>
      </c>
    </row>
    <row r="1439" spans="8:9" ht="16.3">
      <c r="H1439" s="580">
        <v>5727</v>
      </c>
      <c r="I1439" s="581" t="s">
        <v>3891</v>
      </c>
    </row>
    <row r="1440" spans="8:9" ht="16.3">
      <c r="H1440" s="580">
        <v>5731</v>
      </c>
      <c r="I1440" s="581" t="s">
        <v>3892</v>
      </c>
    </row>
    <row r="1441" spans="8:9" ht="16.3">
      <c r="H1441" s="580">
        <v>5732</v>
      </c>
      <c r="I1441" s="581" t="s">
        <v>3893</v>
      </c>
    </row>
    <row r="1442" spans="8:9" ht="16.3">
      <c r="H1442" s="580">
        <v>5734</v>
      </c>
      <c r="I1442" s="581" t="s">
        <v>3894</v>
      </c>
    </row>
    <row r="1443" spans="8:9" ht="16.3">
      <c r="H1443" s="580">
        <v>5741</v>
      </c>
      <c r="I1443" s="581" t="s">
        <v>3895</v>
      </c>
    </row>
    <row r="1444" spans="8:9" ht="16.3">
      <c r="H1444" s="580">
        <v>5742</v>
      </c>
      <c r="I1444" s="581" t="s">
        <v>3896</v>
      </c>
    </row>
    <row r="1445" spans="8:9" ht="16.3">
      <c r="H1445" s="580">
        <v>5743</v>
      </c>
      <c r="I1445" s="581" t="s">
        <v>3897</v>
      </c>
    </row>
    <row r="1446" spans="8:9" ht="16.3">
      <c r="H1446" s="580">
        <v>5744</v>
      </c>
      <c r="I1446" s="581" t="s">
        <v>2217</v>
      </c>
    </row>
    <row r="1447" spans="8:9" ht="16.3">
      <c r="H1447" s="580">
        <v>5745</v>
      </c>
      <c r="I1447" s="581" t="s">
        <v>3898</v>
      </c>
    </row>
    <row r="1448" spans="8:9" ht="16.3">
      <c r="H1448" s="580">
        <v>5746</v>
      </c>
      <c r="I1448" s="581" t="s">
        <v>3899</v>
      </c>
    </row>
    <row r="1449" spans="8:9" ht="16.3">
      <c r="H1449" s="580">
        <v>5747</v>
      </c>
      <c r="I1449" s="581" t="s">
        <v>3900</v>
      </c>
    </row>
    <row r="1450" spans="8:9" ht="16.3">
      <c r="H1450" s="580">
        <v>5751</v>
      </c>
      <c r="I1450" s="581" t="s">
        <v>3901</v>
      </c>
    </row>
    <row r="1451" spans="8:9" ht="16.3">
      <c r="H1451" s="580">
        <v>5752</v>
      </c>
      <c r="I1451" s="580" t="s">
        <v>3902</v>
      </c>
    </row>
    <row r="1452" spans="8:9" ht="16.3">
      <c r="H1452" s="580">
        <v>5800</v>
      </c>
      <c r="I1452" s="581" t="s">
        <v>3903</v>
      </c>
    </row>
    <row r="1453" spans="8:9" ht="16.3">
      <c r="H1453" s="580">
        <v>5811</v>
      </c>
      <c r="I1453" s="581" t="s">
        <v>3904</v>
      </c>
    </row>
    <row r="1454" spans="8:9" ht="16.3">
      <c r="H1454" s="580">
        <v>5820</v>
      </c>
      <c r="I1454" s="581" t="s">
        <v>2327</v>
      </c>
    </row>
    <row r="1455" spans="8:9" ht="16.3">
      <c r="H1455" s="580">
        <v>5830</v>
      </c>
      <c r="I1455" s="581" t="s">
        <v>3905</v>
      </c>
    </row>
    <row r="1456" spans="8:9" ht="16.3">
      <c r="H1456" s="580">
        <v>5836</v>
      </c>
      <c r="I1456" s="581" t="s">
        <v>3906</v>
      </c>
    </row>
    <row r="1457" spans="8:9" ht="16.3">
      <c r="H1457" s="580">
        <v>5837</v>
      </c>
      <c r="I1457" s="581" t="s">
        <v>3907</v>
      </c>
    </row>
    <row r="1458" spans="8:9" ht="16.3">
      <c r="H1458" s="580">
        <v>5838</v>
      </c>
      <c r="I1458" s="581" t="s">
        <v>3908</v>
      </c>
    </row>
    <row r="1459" spans="8:9" ht="16.3">
      <c r="H1459" s="580">
        <v>5900</v>
      </c>
      <c r="I1459" s="581" t="s">
        <v>2051</v>
      </c>
    </row>
    <row r="1460" spans="8:9" ht="16.3">
      <c r="H1460" s="580">
        <v>5903</v>
      </c>
      <c r="I1460" s="581" t="s">
        <v>2051</v>
      </c>
    </row>
    <row r="1461" spans="8:9" ht="16.3">
      <c r="H1461" s="580">
        <v>5904</v>
      </c>
      <c r="I1461" s="581" t="s">
        <v>2051</v>
      </c>
    </row>
    <row r="1462" spans="8:9" ht="16.3">
      <c r="H1462" s="580">
        <v>5905</v>
      </c>
      <c r="I1462" s="581" t="s">
        <v>2051</v>
      </c>
    </row>
    <row r="1463" spans="8:9" ht="16.3">
      <c r="H1463" s="580">
        <v>5919</v>
      </c>
      <c r="I1463" s="581" t="s">
        <v>3909</v>
      </c>
    </row>
    <row r="1464" spans="8:9" ht="16.3">
      <c r="H1464" s="580">
        <v>5920</v>
      </c>
      <c r="I1464" s="581" t="s">
        <v>3910</v>
      </c>
    </row>
    <row r="1465" spans="8:9" ht="16.3">
      <c r="H1465" s="580">
        <v>5925</v>
      </c>
      <c r="I1465" s="581" t="s">
        <v>3911</v>
      </c>
    </row>
    <row r="1466" spans="8:9" ht="16.3">
      <c r="H1466" s="580">
        <v>5931</v>
      </c>
      <c r="I1466" s="581" t="s">
        <v>2256</v>
      </c>
    </row>
    <row r="1467" spans="8:9" ht="16.3">
      <c r="H1467" s="580">
        <v>5932</v>
      </c>
      <c r="I1467" s="581" t="s">
        <v>3912</v>
      </c>
    </row>
    <row r="1468" spans="8:9" ht="16.3">
      <c r="H1468" s="580">
        <v>5940</v>
      </c>
      <c r="I1468" s="581" t="s">
        <v>3913</v>
      </c>
    </row>
    <row r="1469" spans="8:9" ht="16.3">
      <c r="H1469" s="580">
        <v>5945</v>
      </c>
      <c r="I1469" s="581" t="s">
        <v>3914</v>
      </c>
    </row>
    <row r="1470" spans="8:9" ht="16.3">
      <c r="H1470" s="580">
        <v>5946</v>
      </c>
      <c r="I1470" s="581" t="s">
        <v>3915</v>
      </c>
    </row>
    <row r="1471" spans="8:9" ht="16.3">
      <c r="H1471" s="580">
        <v>5948</v>
      </c>
      <c r="I1471" s="581" t="s">
        <v>3916</v>
      </c>
    </row>
    <row r="1472" spans="8:9" ht="16.3">
      <c r="H1472" s="580">
        <v>6000</v>
      </c>
      <c r="I1472" s="581" t="s">
        <v>1962</v>
      </c>
    </row>
    <row r="1473" spans="8:9" ht="16.3">
      <c r="H1473" s="580">
        <v>6008</v>
      </c>
      <c r="I1473" s="581" t="s">
        <v>1962</v>
      </c>
    </row>
    <row r="1474" spans="8:9" ht="16.3">
      <c r="H1474" s="580">
        <v>6031</v>
      </c>
      <c r="I1474" s="581" t="s">
        <v>3917</v>
      </c>
    </row>
    <row r="1475" spans="8:9" ht="16.3">
      <c r="H1475" s="580">
        <v>6032</v>
      </c>
      <c r="I1475" s="581" t="s">
        <v>3918</v>
      </c>
    </row>
    <row r="1476" spans="8:9" ht="16.3">
      <c r="H1476" s="580">
        <v>6033</v>
      </c>
      <c r="I1476" s="581" t="s">
        <v>3919</v>
      </c>
    </row>
    <row r="1477" spans="8:9" ht="16.3">
      <c r="H1477" s="580">
        <v>6034</v>
      </c>
      <c r="I1477" s="581" t="s">
        <v>3920</v>
      </c>
    </row>
    <row r="1478" spans="8:9" ht="16.3">
      <c r="H1478" s="580">
        <v>6035</v>
      </c>
      <c r="I1478" s="581" t="s">
        <v>3921</v>
      </c>
    </row>
    <row r="1479" spans="8:9" ht="16.3">
      <c r="H1479" s="580">
        <v>6041</v>
      </c>
      <c r="I1479" s="581" t="s">
        <v>3922</v>
      </c>
    </row>
    <row r="1480" spans="8:9" ht="16.3">
      <c r="H1480" s="580">
        <v>6042</v>
      </c>
      <c r="I1480" s="581" t="s">
        <v>3923</v>
      </c>
    </row>
    <row r="1481" spans="8:9" ht="16.3">
      <c r="H1481" s="580">
        <v>6043</v>
      </c>
      <c r="I1481" s="581" t="s">
        <v>3924</v>
      </c>
    </row>
    <row r="1482" spans="8:9" ht="16.3">
      <c r="H1482" s="580">
        <v>6044</v>
      </c>
      <c r="I1482" s="581" t="s">
        <v>1962</v>
      </c>
    </row>
    <row r="1483" spans="8:9" ht="16.3">
      <c r="H1483" s="580">
        <v>6045</v>
      </c>
      <c r="I1483" s="581" t="s">
        <v>2180</v>
      </c>
    </row>
    <row r="1484" spans="8:9" ht="16.3">
      <c r="H1484" s="580">
        <v>6050</v>
      </c>
      <c r="I1484" s="581" t="s">
        <v>3925</v>
      </c>
    </row>
    <row r="1485" spans="8:9" ht="16.3">
      <c r="H1485" s="580">
        <v>6055</v>
      </c>
      <c r="I1485" s="581" t="s">
        <v>3926</v>
      </c>
    </row>
    <row r="1486" spans="8:9" ht="16.3">
      <c r="H1486" s="580">
        <v>6060</v>
      </c>
      <c r="I1486" s="581" t="s">
        <v>2089</v>
      </c>
    </row>
    <row r="1487" spans="8:9" ht="16.3">
      <c r="H1487" s="580">
        <v>6062</v>
      </c>
      <c r="I1487" s="581" t="s">
        <v>2089</v>
      </c>
    </row>
    <row r="1488" spans="8:9" ht="16.3">
      <c r="H1488" s="580">
        <v>6064</v>
      </c>
      <c r="I1488" s="581" t="s">
        <v>3927</v>
      </c>
    </row>
    <row r="1489" spans="8:9" ht="16.3">
      <c r="H1489" s="580">
        <v>6065</v>
      </c>
      <c r="I1489" s="581" t="s">
        <v>3928</v>
      </c>
    </row>
    <row r="1490" spans="8:9" ht="16.3">
      <c r="H1490" s="580">
        <v>6066</v>
      </c>
      <c r="I1490" s="581" t="s">
        <v>3929</v>
      </c>
    </row>
    <row r="1491" spans="8:9" ht="16.3">
      <c r="H1491" s="580">
        <v>6067</v>
      </c>
      <c r="I1491" s="581" t="s">
        <v>3929</v>
      </c>
    </row>
    <row r="1492" spans="8:9" ht="16.3">
      <c r="H1492" s="580">
        <v>6070</v>
      </c>
      <c r="I1492" s="581" t="s">
        <v>2252</v>
      </c>
    </row>
    <row r="1493" spans="8:9" ht="16.3">
      <c r="H1493" s="580">
        <v>6075</v>
      </c>
      <c r="I1493" s="581" t="s">
        <v>3930</v>
      </c>
    </row>
    <row r="1494" spans="8:9" ht="16.3">
      <c r="H1494" s="580">
        <v>6076</v>
      </c>
      <c r="I1494" s="581" t="s">
        <v>3931</v>
      </c>
    </row>
    <row r="1495" spans="8:9" ht="16.3">
      <c r="H1495" s="580">
        <v>6077</v>
      </c>
      <c r="I1495" s="581" t="s">
        <v>3932</v>
      </c>
    </row>
    <row r="1496" spans="8:9" ht="16.3">
      <c r="H1496" s="580">
        <v>6078</v>
      </c>
      <c r="I1496" s="581" t="s">
        <v>3933</v>
      </c>
    </row>
    <row r="1497" spans="8:9" ht="16.3">
      <c r="H1497" s="580">
        <v>6080</v>
      </c>
      <c r="I1497" s="581" t="s">
        <v>2225</v>
      </c>
    </row>
    <row r="1498" spans="8:9" ht="16.3">
      <c r="H1498" s="580">
        <v>6085</v>
      </c>
      <c r="I1498" s="581" t="s">
        <v>3934</v>
      </c>
    </row>
    <row r="1499" spans="8:9" ht="16.3">
      <c r="H1499" s="580">
        <v>6086</v>
      </c>
      <c r="I1499" s="581" t="s">
        <v>3935</v>
      </c>
    </row>
    <row r="1500" spans="8:9" ht="16.3">
      <c r="H1500" s="580">
        <v>6087</v>
      </c>
      <c r="I1500" s="581" t="s">
        <v>3936</v>
      </c>
    </row>
    <row r="1501" spans="8:9" ht="16.3">
      <c r="H1501" s="580">
        <v>6088</v>
      </c>
      <c r="I1501" s="581" t="s">
        <v>3937</v>
      </c>
    </row>
    <row r="1502" spans="8:9" ht="16.3">
      <c r="H1502" s="580">
        <v>6090</v>
      </c>
      <c r="I1502" s="581" t="s">
        <v>3938</v>
      </c>
    </row>
    <row r="1503" spans="8:9" ht="16.3">
      <c r="H1503" s="580">
        <v>6096</v>
      </c>
      <c r="I1503" s="581" t="s">
        <v>3939</v>
      </c>
    </row>
    <row r="1504" spans="8:9" ht="16.3">
      <c r="H1504" s="580">
        <v>6097</v>
      </c>
      <c r="I1504" s="581" t="s">
        <v>3940</v>
      </c>
    </row>
    <row r="1505" spans="8:9" ht="16.3">
      <c r="H1505" s="580">
        <v>6098</v>
      </c>
      <c r="I1505" s="581" t="s">
        <v>2266</v>
      </c>
    </row>
    <row r="1506" spans="8:9" ht="16.3">
      <c r="H1506" s="580">
        <v>6100</v>
      </c>
      <c r="I1506" s="581" t="s">
        <v>1967</v>
      </c>
    </row>
    <row r="1507" spans="8:9" ht="16.3">
      <c r="H1507" s="580">
        <v>6111</v>
      </c>
      <c r="I1507" s="581" t="s">
        <v>3941</v>
      </c>
    </row>
    <row r="1508" spans="8:9" ht="16.3">
      <c r="H1508" s="580">
        <v>6112</v>
      </c>
      <c r="I1508" s="581" t="s">
        <v>3942</v>
      </c>
    </row>
    <row r="1509" spans="8:9" ht="16.3">
      <c r="H1509" s="580">
        <v>6113</v>
      </c>
      <c r="I1509" s="581" t="s">
        <v>2119</v>
      </c>
    </row>
    <row r="1510" spans="8:9" ht="16.3">
      <c r="H1510" s="580">
        <v>6114</v>
      </c>
      <c r="I1510" s="581" t="s">
        <v>3943</v>
      </c>
    </row>
    <row r="1511" spans="8:9" ht="16.3">
      <c r="H1511" s="580">
        <v>6114</v>
      </c>
      <c r="I1511" s="581" t="s">
        <v>3944</v>
      </c>
    </row>
    <row r="1512" spans="8:9" ht="16.3">
      <c r="H1512" s="580">
        <v>6115</v>
      </c>
      <c r="I1512" s="581" t="s">
        <v>3945</v>
      </c>
    </row>
    <row r="1513" spans="8:9" ht="16.3">
      <c r="H1513" s="580">
        <v>6116</v>
      </c>
      <c r="I1513" s="581" t="s">
        <v>3946</v>
      </c>
    </row>
    <row r="1514" spans="8:9" ht="16.3">
      <c r="H1514" s="580">
        <v>6120</v>
      </c>
      <c r="I1514" s="581" t="s">
        <v>3947</v>
      </c>
    </row>
    <row r="1515" spans="8:9" ht="16.3">
      <c r="H1515" s="580">
        <v>6131</v>
      </c>
      <c r="I1515" s="581" t="s">
        <v>3948</v>
      </c>
    </row>
    <row r="1516" spans="8:9" ht="16.3">
      <c r="H1516" s="580">
        <v>6132</v>
      </c>
      <c r="I1516" s="581" t="s">
        <v>3949</v>
      </c>
    </row>
    <row r="1517" spans="8:9" ht="16.3">
      <c r="H1517" s="580">
        <v>6133</v>
      </c>
      <c r="I1517" s="581" t="s">
        <v>3950</v>
      </c>
    </row>
    <row r="1518" spans="8:9" ht="16.3">
      <c r="H1518" s="580">
        <v>6134</v>
      </c>
      <c r="I1518" s="581" t="s">
        <v>3951</v>
      </c>
    </row>
    <row r="1519" spans="8:9" ht="16.3">
      <c r="H1519" s="580">
        <v>6135</v>
      </c>
      <c r="I1519" s="581" t="s">
        <v>3952</v>
      </c>
    </row>
    <row r="1520" spans="8:9" ht="16.3">
      <c r="H1520" s="580">
        <v>6136</v>
      </c>
      <c r="I1520" s="581" t="s">
        <v>3953</v>
      </c>
    </row>
    <row r="1521" spans="8:9" ht="16.3">
      <c r="H1521" s="580">
        <v>6200</v>
      </c>
      <c r="I1521" s="581" t="s">
        <v>2160</v>
      </c>
    </row>
    <row r="1522" spans="8:9" ht="16.3">
      <c r="H1522" s="580">
        <v>6211</v>
      </c>
      <c r="I1522" s="581" t="s">
        <v>3954</v>
      </c>
    </row>
    <row r="1523" spans="8:9" ht="16.3">
      <c r="H1523" s="580">
        <v>6221</v>
      </c>
      <c r="I1523" s="581" t="s">
        <v>3955</v>
      </c>
    </row>
    <row r="1524" spans="8:9" ht="16.3">
      <c r="H1524" s="580">
        <v>6222</v>
      </c>
      <c r="I1524" s="581" t="s">
        <v>3956</v>
      </c>
    </row>
    <row r="1525" spans="8:9" ht="16.3">
      <c r="H1525" s="580">
        <v>6223</v>
      </c>
      <c r="I1525" s="581" t="s">
        <v>3957</v>
      </c>
    </row>
    <row r="1526" spans="8:9" ht="16.3">
      <c r="H1526" s="580">
        <v>6224</v>
      </c>
      <c r="I1526" s="581" t="s">
        <v>3958</v>
      </c>
    </row>
    <row r="1527" spans="8:9" ht="16.3">
      <c r="H1527" s="580">
        <v>6230</v>
      </c>
      <c r="I1527" s="581" t="s">
        <v>3959</v>
      </c>
    </row>
    <row r="1528" spans="8:9" ht="16.3">
      <c r="H1528" s="580">
        <v>6235</v>
      </c>
      <c r="I1528" s="581" t="s">
        <v>2093</v>
      </c>
    </row>
    <row r="1529" spans="8:9" ht="16.3">
      <c r="H1529" s="580">
        <v>6236</v>
      </c>
      <c r="I1529" s="581" t="s">
        <v>3960</v>
      </c>
    </row>
    <row r="1530" spans="8:9" ht="16.3">
      <c r="H1530" s="580">
        <v>6237</v>
      </c>
      <c r="I1530" s="581" t="s">
        <v>2291</v>
      </c>
    </row>
    <row r="1531" spans="8:9" ht="16.3">
      <c r="H1531" s="580">
        <v>6238</v>
      </c>
      <c r="I1531" s="581" t="s">
        <v>3961</v>
      </c>
    </row>
    <row r="1532" spans="8:9" ht="16.3">
      <c r="H1532" s="580">
        <v>6239</v>
      </c>
      <c r="I1532" s="581" t="s">
        <v>3962</v>
      </c>
    </row>
    <row r="1533" spans="8:9" ht="16.3">
      <c r="H1533" s="580">
        <v>6300</v>
      </c>
      <c r="I1533" s="581" t="s">
        <v>2021</v>
      </c>
    </row>
    <row r="1534" spans="8:9" ht="16.3">
      <c r="H1534" s="580">
        <v>6311</v>
      </c>
      <c r="I1534" s="581" t="s">
        <v>3963</v>
      </c>
    </row>
    <row r="1535" spans="8:9" ht="16.3">
      <c r="H1535" s="580">
        <v>6320</v>
      </c>
      <c r="I1535" s="581" t="s">
        <v>3964</v>
      </c>
    </row>
    <row r="1536" spans="8:9" ht="16.3">
      <c r="H1536" s="580">
        <v>6321</v>
      </c>
      <c r="I1536" s="581" t="s">
        <v>3965</v>
      </c>
    </row>
    <row r="1537" spans="8:9" ht="16.3">
      <c r="H1537" s="580">
        <v>6323</v>
      </c>
      <c r="I1537" s="581" t="s">
        <v>3966</v>
      </c>
    </row>
    <row r="1538" spans="8:9" ht="16.3">
      <c r="H1538" s="580">
        <v>6325</v>
      </c>
      <c r="I1538" s="581" t="s">
        <v>3967</v>
      </c>
    </row>
    <row r="1539" spans="8:9" ht="16.3">
      <c r="H1539" s="580">
        <v>6326</v>
      </c>
      <c r="I1539" s="581" t="s">
        <v>3968</v>
      </c>
    </row>
    <row r="1540" spans="8:9" ht="16.3">
      <c r="H1540" s="580">
        <v>6327</v>
      </c>
      <c r="I1540" s="581" t="s">
        <v>3968</v>
      </c>
    </row>
    <row r="1541" spans="8:9" ht="16.3">
      <c r="H1541" s="580">
        <v>6328</v>
      </c>
      <c r="I1541" s="581" t="s">
        <v>3969</v>
      </c>
    </row>
    <row r="1542" spans="8:9" ht="16.3">
      <c r="H1542" s="580">
        <v>6331</v>
      </c>
      <c r="I1542" s="581" t="s">
        <v>3970</v>
      </c>
    </row>
    <row r="1543" spans="8:9" ht="16.3">
      <c r="H1543" s="580">
        <v>6332</v>
      </c>
      <c r="I1543" s="581" t="s">
        <v>3971</v>
      </c>
    </row>
    <row r="1544" spans="8:9" ht="16.3">
      <c r="H1544" s="580">
        <v>6333</v>
      </c>
      <c r="I1544" s="581" t="s">
        <v>3972</v>
      </c>
    </row>
    <row r="1545" spans="8:9" ht="16.3">
      <c r="H1545" s="580">
        <v>6334</v>
      </c>
      <c r="I1545" s="581" t="s">
        <v>3973</v>
      </c>
    </row>
    <row r="1546" spans="8:9" ht="16.3">
      <c r="H1546" s="580">
        <v>6335</v>
      </c>
      <c r="I1546" s="581" t="s">
        <v>3974</v>
      </c>
    </row>
    <row r="1547" spans="8:9" ht="16.3">
      <c r="H1547" s="580">
        <v>6336</v>
      </c>
      <c r="I1547" s="581" t="s">
        <v>3975</v>
      </c>
    </row>
    <row r="1548" spans="8:9" ht="16.3">
      <c r="H1548" s="580">
        <v>6337</v>
      </c>
      <c r="I1548" s="581" t="s">
        <v>3976</v>
      </c>
    </row>
    <row r="1549" spans="8:9" ht="16.3">
      <c r="H1549" s="580">
        <v>6341</v>
      </c>
      <c r="I1549" s="581" t="s">
        <v>2208</v>
      </c>
    </row>
    <row r="1550" spans="8:9" ht="16.3">
      <c r="H1550" s="580">
        <v>6342</v>
      </c>
      <c r="I1550" s="581" t="s">
        <v>3977</v>
      </c>
    </row>
    <row r="1551" spans="8:9" ht="16.3">
      <c r="H1551" s="580">
        <v>6343</v>
      </c>
      <c r="I1551" s="581" t="s">
        <v>3978</v>
      </c>
    </row>
    <row r="1552" spans="8:9" ht="16.3">
      <c r="H1552" s="580">
        <v>6344</v>
      </c>
      <c r="I1552" s="581" t="s">
        <v>3979</v>
      </c>
    </row>
    <row r="1553" spans="8:9" ht="16.3">
      <c r="H1553" s="580">
        <v>6345</v>
      </c>
      <c r="I1553" s="581" t="s">
        <v>3980</v>
      </c>
    </row>
    <row r="1554" spans="8:9" ht="16.3">
      <c r="H1554" s="580">
        <v>6346</v>
      </c>
      <c r="I1554" s="581" t="s">
        <v>2081</v>
      </c>
    </row>
    <row r="1555" spans="8:9" ht="16.3">
      <c r="H1555" s="580">
        <v>6347</v>
      </c>
      <c r="I1555" s="581" t="s">
        <v>3981</v>
      </c>
    </row>
    <row r="1556" spans="8:9" ht="16.3">
      <c r="H1556" s="580">
        <v>6348</v>
      </c>
      <c r="I1556" s="581" t="s">
        <v>3982</v>
      </c>
    </row>
    <row r="1557" spans="8:9" ht="16.3">
      <c r="H1557" s="580">
        <v>6351</v>
      </c>
      <c r="I1557" s="581" t="s">
        <v>3983</v>
      </c>
    </row>
    <row r="1558" spans="8:9" ht="16.3">
      <c r="H1558" s="580">
        <v>6352</v>
      </c>
      <c r="I1558" s="581" t="s">
        <v>3984</v>
      </c>
    </row>
    <row r="1559" spans="8:9" ht="16.3">
      <c r="H1559" s="580">
        <v>6353</v>
      </c>
      <c r="I1559" s="581" t="s">
        <v>2232</v>
      </c>
    </row>
    <row r="1560" spans="8:9" ht="16.3">
      <c r="H1560" s="580">
        <v>6400</v>
      </c>
      <c r="I1560" s="581" t="s">
        <v>1992</v>
      </c>
    </row>
    <row r="1561" spans="8:9" ht="16.3">
      <c r="H1561" s="580">
        <v>6411</v>
      </c>
      <c r="I1561" s="581" t="s">
        <v>3985</v>
      </c>
    </row>
    <row r="1562" spans="8:9" ht="16.3">
      <c r="H1562" s="580">
        <v>6412</v>
      </c>
      <c r="I1562" s="581" t="s">
        <v>3986</v>
      </c>
    </row>
    <row r="1563" spans="8:9" ht="16.3">
      <c r="H1563" s="580">
        <v>6413</v>
      </c>
      <c r="I1563" s="581" t="s">
        <v>3987</v>
      </c>
    </row>
    <row r="1564" spans="8:9" ht="16.3">
      <c r="H1564" s="580">
        <v>6414</v>
      </c>
      <c r="I1564" s="581" t="s">
        <v>2132</v>
      </c>
    </row>
    <row r="1565" spans="8:9" ht="16.3">
      <c r="H1565" s="580">
        <v>6421</v>
      </c>
      <c r="I1565" s="581" t="s">
        <v>3988</v>
      </c>
    </row>
    <row r="1566" spans="8:9" ht="16.3">
      <c r="H1566" s="580">
        <v>6422</v>
      </c>
      <c r="I1566" s="581" t="s">
        <v>3989</v>
      </c>
    </row>
    <row r="1567" spans="8:9" ht="16.3">
      <c r="H1567" s="580">
        <v>6423</v>
      </c>
      <c r="I1567" s="581" t="s">
        <v>3990</v>
      </c>
    </row>
    <row r="1568" spans="8:9" ht="16.3">
      <c r="H1568" s="580">
        <v>6424</v>
      </c>
      <c r="I1568" s="581" t="s">
        <v>3991</v>
      </c>
    </row>
    <row r="1569" spans="8:9" ht="16.3">
      <c r="H1569" s="580">
        <v>6425</v>
      </c>
      <c r="I1569" s="581" t="s">
        <v>3992</v>
      </c>
    </row>
    <row r="1570" spans="8:9" ht="16.3">
      <c r="H1570" s="580">
        <v>6430</v>
      </c>
      <c r="I1570" s="581" t="s">
        <v>2273</v>
      </c>
    </row>
    <row r="1571" spans="8:9" ht="16.3">
      <c r="H1571" s="580">
        <v>6435</v>
      </c>
      <c r="I1571" s="581" t="s">
        <v>3993</v>
      </c>
    </row>
    <row r="1572" spans="8:9" ht="16.3">
      <c r="H1572" s="580">
        <v>6440</v>
      </c>
      <c r="I1572" s="581" t="s">
        <v>3994</v>
      </c>
    </row>
    <row r="1573" spans="8:9" ht="16.3">
      <c r="H1573" s="580">
        <v>6444</v>
      </c>
      <c r="I1573" s="581" t="s">
        <v>3995</v>
      </c>
    </row>
    <row r="1574" spans="8:9" ht="16.3">
      <c r="H1574" s="580">
        <v>6445</v>
      </c>
      <c r="I1574" s="581" t="s">
        <v>3996</v>
      </c>
    </row>
    <row r="1575" spans="8:9" ht="16.3">
      <c r="H1575" s="580">
        <v>6446</v>
      </c>
      <c r="I1575" s="581" t="s">
        <v>3997</v>
      </c>
    </row>
    <row r="1576" spans="8:9" ht="16.3">
      <c r="H1576" s="580">
        <v>6447</v>
      </c>
      <c r="I1576" s="581" t="s">
        <v>3998</v>
      </c>
    </row>
    <row r="1577" spans="8:9" ht="16.3">
      <c r="H1577" s="580">
        <v>6448</v>
      </c>
      <c r="I1577" s="581" t="s">
        <v>3999</v>
      </c>
    </row>
    <row r="1578" spans="8:9" ht="16.3">
      <c r="H1578" s="580">
        <v>6449</v>
      </c>
      <c r="I1578" s="581" t="s">
        <v>4000</v>
      </c>
    </row>
    <row r="1579" spans="8:9" ht="16.3">
      <c r="H1579" s="580">
        <v>6451</v>
      </c>
      <c r="I1579" s="581" t="s">
        <v>4001</v>
      </c>
    </row>
    <row r="1580" spans="8:9" ht="16.3">
      <c r="H1580" s="580">
        <v>6452</v>
      </c>
      <c r="I1580" s="581" t="s">
        <v>4002</v>
      </c>
    </row>
    <row r="1581" spans="8:9" ht="16.3">
      <c r="H1581" s="580">
        <v>6453</v>
      </c>
      <c r="I1581" s="581" t="s">
        <v>4003</v>
      </c>
    </row>
    <row r="1582" spans="8:9" ht="16.3">
      <c r="H1582" s="580">
        <v>6454</v>
      </c>
      <c r="I1582" s="581" t="s">
        <v>4004</v>
      </c>
    </row>
    <row r="1583" spans="8:9" ht="16.3">
      <c r="H1583" s="580">
        <v>6455</v>
      </c>
      <c r="I1583" s="581" t="s">
        <v>4005</v>
      </c>
    </row>
    <row r="1584" spans="8:9" ht="16.3">
      <c r="H1584" s="580">
        <v>6456</v>
      </c>
      <c r="I1584" s="581" t="s">
        <v>4006</v>
      </c>
    </row>
    <row r="1585" spans="8:9" ht="16.3">
      <c r="H1585" s="580">
        <v>6500</v>
      </c>
      <c r="I1585" s="581" t="s">
        <v>1986</v>
      </c>
    </row>
    <row r="1586" spans="8:9" ht="16.3">
      <c r="H1586" s="580">
        <v>6503</v>
      </c>
      <c r="I1586" s="581" t="s">
        <v>1986</v>
      </c>
    </row>
    <row r="1587" spans="8:9" ht="16.3">
      <c r="H1587" s="580">
        <v>6511</v>
      </c>
      <c r="I1587" s="581" t="s">
        <v>4007</v>
      </c>
    </row>
    <row r="1588" spans="8:9" ht="16.3">
      <c r="H1588" s="580">
        <v>6512</v>
      </c>
      <c r="I1588" s="581" t="s">
        <v>4008</v>
      </c>
    </row>
    <row r="1589" spans="8:9" ht="16.3">
      <c r="H1589" s="580">
        <v>6513</v>
      </c>
      <c r="I1589" s="581" t="s">
        <v>4009</v>
      </c>
    </row>
    <row r="1590" spans="8:9" ht="16.3">
      <c r="H1590" s="580">
        <v>6521</v>
      </c>
      <c r="I1590" s="581" t="s">
        <v>4010</v>
      </c>
    </row>
    <row r="1591" spans="8:9" ht="16.3">
      <c r="H1591" s="580">
        <v>6522</v>
      </c>
      <c r="I1591" s="581" t="s">
        <v>4011</v>
      </c>
    </row>
    <row r="1592" spans="8:9" ht="16.3">
      <c r="H1592" s="580">
        <v>6523</v>
      </c>
      <c r="I1592" s="581" t="s">
        <v>4012</v>
      </c>
    </row>
    <row r="1593" spans="8:9" ht="16.3">
      <c r="H1593" s="580">
        <v>6524</v>
      </c>
      <c r="I1593" s="581" t="s">
        <v>4013</v>
      </c>
    </row>
    <row r="1594" spans="8:9" ht="16.3">
      <c r="H1594" s="580">
        <v>6525</v>
      </c>
      <c r="I1594" s="581" t="s">
        <v>4014</v>
      </c>
    </row>
    <row r="1595" spans="8:9" ht="16.3">
      <c r="H1595" s="580">
        <v>6527</v>
      </c>
      <c r="I1595" s="581" t="s">
        <v>4015</v>
      </c>
    </row>
    <row r="1596" spans="8:9" ht="16.3">
      <c r="H1596" s="580">
        <v>6528</v>
      </c>
      <c r="I1596" s="581" t="s">
        <v>4016</v>
      </c>
    </row>
    <row r="1597" spans="8:9" ht="16.3">
      <c r="H1597" s="580">
        <v>6600</v>
      </c>
      <c r="I1597" s="581" t="s">
        <v>2012</v>
      </c>
    </row>
    <row r="1598" spans="8:9" ht="16.3">
      <c r="H1598" s="580">
        <v>6612</v>
      </c>
      <c r="I1598" s="581" t="s">
        <v>4017</v>
      </c>
    </row>
    <row r="1599" spans="8:9" ht="16.3">
      <c r="H1599" s="580">
        <v>6621</v>
      </c>
      <c r="I1599" s="581" t="s">
        <v>4018</v>
      </c>
    </row>
    <row r="1600" spans="8:9" ht="16.3">
      <c r="H1600" s="580">
        <v>6622</v>
      </c>
      <c r="I1600" s="581" t="s">
        <v>4019</v>
      </c>
    </row>
    <row r="1601" spans="8:9" ht="16.3">
      <c r="H1601" s="580">
        <v>6623</v>
      </c>
      <c r="I1601" s="581" t="s">
        <v>4020</v>
      </c>
    </row>
    <row r="1602" spans="8:9" ht="16.3">
      <c r="H1602" s="580">
        <v>6624</v>
      </c>
      <c r="I1602" s="581" t="s">
        <v>4021</v>
      </c>
    </row>
    <row r="1603" spans="8:9" ht="16.3">
      <c r="H1603" s="580">
        <v>6625</v>
      </c>
      <c r="I1603" s="581" t="s">
        <v>4022</v>
      </c>
    </row>
    <row r="1604" spans="8:9" ht="16.3">
      <c r="H1604" s="580">
        <v>6630</v>
      </c>
      <c r="I1604" s="581" t="s">
        <v>4023</v>
      </c>
    </row>
    <row r="1605" spans="8:9" ht="16.3">
      <c r="H1605" s="580">
        <v>6635</v>
      </c>
      <c r="I1605" s="581" t="s">
        <v>2250</v>
      </c>
    </row>
    <row r="1606" spans="8:9" ht="16.3">
      <c r="H1606" s="580">
        <v>6636</v>
      </c>
      <c r="I1606" s="581" t="s">
        <v>2053</v>
      </c>
    </row>
    <row r="1607" spans="8:9" ht="16.3">
      <c r="H1607" s="580">
        <v>6640</v>
      </c>
      <c r="I1607" s="581" t="s">
        <v>2120</v>
      </c>
    </row>
    <row r="1608" spans="8:9" ht="16.3">
      <c r="H1608" s="580">
        <v>6645</v>
      </c>
      <c r="I1608" s="581" t="s">
        <v>4024</v>
      </c>
    </row>
    <row r="1609" spans="8:9" ht="16.3">
      <c r="H1609" s="580">
        <v>6646</v>
      </c>
      <c r="I1609" s="581" t="s">
        <v>4025</v>
      </c>
    </row>
    <row r="1610" spans="8:9" ht="16.3">
      <c r="H1610" s="580">
        <v>6647</v>
      </c>
      <c r="I1610" s="581" t="s">
        <v>4026</v>
      </c>
    </row>
    <row r="1611" spans="8:9" ht="16.3">
      <c r="H1611" s="580">
        <v>6648</v>
      </c>
      <c r="I1611" s="581" t="s">
        <v>2120</v>
      </c>
    </row>
    <row r="1612" spans="8:9" ht="16.3">
      <c r="H1612" s="580">
        <v>6700</v>
      </c>
      <c r="I1612" s="581" t="s">
        <v>2050</v>
      </c>
    </row>
    <row r="1613" spans="8:9" ht="16.3">
      <c r="H1613" s="580">
        <v>6750</v>
      </c>
      <c r="I1613" s="581" t="s">
        <v>4027</v>
      </c>
    </row>
    <row r="1614" spans="8:9" ht="16.3">
      <c r="H1614" s="580">
        <v>6754</v>
      </c>
      <c r="I1614" s="581" t="s">
        <v>2226</v>
      </c>
    </row>
    <row r="1615" spans="8:9" ht="16.3">
      <c r="H1615" s="580">
        <v>6755</v>
      </c>
      <c r="I1615" s="581" t="s">
        <v>4028</v>
      </c>
    </row>
    <row r="1616" spans="8:9" ht="16.3">
      <c r="H1616" s="580">
        <v>6756</v>
      </c>
      <c r="I1616" s="581" t="s">
        <v>4029</v>
      </c>
    </row>
    <row r="1617" spans="8:9" ht="16.3">
      <c r="H1617" s="580">
        <v>6758</v>
      </c>
      <c r="I1617" s="581" t="s">
        <v>4030</v>
      </c>
    </row>
    <row r="1618" spans="8:9" ht="16.3">
      <c r="H1618" s="580">
        <v>6760</v>
      </c>
      <c r="I1618" s="581" t="s">
        <v>2036</v>
      </c>
    </row>
    <row r="1619" spans="8:9" ht="16.3">
      <c r="H1619" s="580">
        <v>6762</v>
      </c>
      <c r="I1619" s="581" t="s">
        <v>4031</v>
      </c>
    </row>
    <row r="1620" spans="8:9" ht="16.3">
      <c r="H1620" s="580">
        <v>6763</v>
      </c>
      <c r="I1620" s="581" t="s">
        <v>4032</v>
      </c>
    </row>
    <row r="1621" spans="8:9" ht="16.3">
      <c r="H1621" s="580">
        <v>6764</v>
      </c>
      <c r="I1621" s="581" t="s">
        <v>4033</v>
      </c>
    </row>
    <row r="1622" spans="8:9" ht="16.3">
      <c r="H1622" s="580">
        <v>6765</v>
      </c>
      <c r="I1622" s="581" t="s">
        <v>4034</v>
      </c>
    </row>
    <row r="1623" spans="8:9" ht="16.3">
      <c r="H1623" s="580">
        <v>6766</v>
      </c>
      <c r="I1623" s="581" t="s">
        <v>4035</v>
      </c>
    </row>
    <row r="1624" spans="8:9" ht="16.3">
      <c r="H1624" s="580">
        <v>6767</v>
      </c>
      <c r="I1624" s="581" t="s">
        <v>4036</v>
      </c>
    </row>
    <row r="1625" spans="8:9" ht="16.3">
      <c r="H1625" s="580">
        <v>6768</v>
      </c>
      <c r="I1625" s="581" t="s">
        <v>4037</v>
      </c>
    </row>
    <row r="1626" spans="8:9" ht="16.3">
      <c r="H1626" s="580">
        <v>6769</v>
      </c>
      <c r="I1626" s="581" t="s">
        <v>4038</v>
      </c>
    </row>
    <row r="1627" spans="8:9" ht="16.3">
      <c r="H1627" s="580">
        <v>6772</v>
      </c>
      <c r="I1627" s="581" t="s">
        <v>4039</v>
      </c>
    </row>
    <row r="1628" spans="8:9" ht="16.3">
      <c r="H1628" s="580">
        <v>6773</v>
      </c>
      <c r="I1628" s="581" t="s">
        <v>4040</v>
      </c>
    </row>
    <row r="1629" spans="8:9" ht="16.3">
      <c r="H1629" s="580">
        <v>6774</v>
      </c>
      <c r="I1629" s="581" t="s">
        <v>4041</v>
      </c>
    </row>
    <row r="1630" spans="8:9" ht="16.3">
      <c r="H1630" s="580">
        <v>6775</v>
      </c>
      <c r="I1630" s="581" t="s">
        <v>4042</v>
      </c>
    </row>
    <row r="1631" spans="8:9" ht="16.3">
      <c r="H1631" s="580">
        <v>6781</v>
      </c>
      <c r="I1631" s="581" t="s">
        <v>4043</v>
      </c>
    </row>
    <row r="1632" spans="8:9" ht="16.3">
      <c r="H1632" s="580">
        <v>6782</v>
      </c>
      <c r="I1632" s="581" t="s">
        <v>4044</v>
      </c>
    </row>
    <row r="1633" spans="8:9" ht="16.3">
      <c r="H1633" s="580">
        <v>6783</v>
      </c>
      <c r="I1633" s="581" t="s">
        <v>4045</v>
      </c>
    </row>
    <row r="1634" spans="8:9" ht="16.3">
      <c r="H1634" s="580">
        <v>6784</v>
      </c>
      <c r="I1634" s="581" t="s">
        <v>4046</v>
      </c>
    </row>
    <row r="1635" spans="8:9" ht="16.3">
      <c r="H1635" s="580">
        <v>6785</v>
      </c>
      <c r="I1635" s="581" t="s">
        <v>4047</v>
      </c>
    </row>
    <row r="1636" spans="8:9" ht="16.3">
      <c r="H1636" s="580">
        <v>6786</v>
      </c>
      <c r="I1636" s="581" t="s">
        <v>4048</v>
      </c>
    </row>
    <row r="1637" spans="8:9" ht="16.3">
      <c r="H1637" s="580">
        <v>6787</v>
      </c>
      <c r="I1637" s="581" t="s">
        <v>4049</v>
      </c>
    </row>
    <row r="1638" spans="8:9" ht="16.3">
      <c r="H1638" s="580">
        <v>6792</v>
      </c>
      <c r="I1638" s="581" t="s">
        <v>4050</v>
      </c>
    </row>
    <row r="1639" spans="8:9" ht="16.3">
      <c r="H1639" s="580">
        <v>6793</v>
      </c>
      <c r="I1639" s="581" t="s">
        <v>4051</v>
      </c>
    </row>
    <row r="1640" spans="8:9" ht="16.3">
      <c r="H1640" s="580">
        <v>6794</v>
      </c>
      <c r="I1640" s="581" t="s">
        <v>2224</v>
      </c>
    </row>
    <row r="1641" spans="8:9" ht="16.3">
      <c r="H1641" s="580">
        <v>6795</v>
      </c>
      <c r="I1641" s="581" t="s">
        <v>4052</v>
      </c>
    </row>
    <row r="1642" spans="8:9" ht="16.3">
      <c r="H1642" s="580">
        <v>6800</v>
      </c>
      <c r="I1642" s="581" t="s">
        <v>2115</v>
      </c>
    </row>
    <row r="1643" spans="8:9" ht="16.3">
      <c r="H1643" s="580">
        <v>6805</v>
      </c>
      <c r="I1643" s="581" t="s">
        <v>2115</v>
      </c>
    </row>
    <row r="1644" spans="8:9" ht="16.3">
      <c r="H1644" s="580">
        <v>6806</v>
      </c>
      <c r="I1644" s="580" t="s">
        <v>2115</v>
      </c>
    </row>
    <row r="1645" spans="8:9" ht="16.3">
      <c r="H1645" s="580">
        <v>6821</v>
      </c>
      <c r="I1645" s="581" t="s">
        <v>2257</v>
      </c>
    </row>
    <row r="1646" spans="8:9" ht="16.3">
      <c r="H1646" s="580">
        <v>6900</v>
      </c>
      <c r="I1646" s="581" t="s">
        <v>1974</v>
      </c>
    </row>
    <row r="1647" spans="8:9" ht="16.3">
      <c r="H1647" s="580">
        <v>6903</v>
      </c>
      <c r="I1647" s="581" t="s">
        <v>1974</v>
      </c>
    </row>
    <row r="1648" spans="8:9" ht="16.3">
      <c r="H1648" s="580">
        <v>6911</v>
      </c>
      <c r="I1648" s="581" t="s">
        <v>4053</v>
      </c>
    </row>
    <row r="1649" spans="8:9" ht="16.3">
      <c r="H1649" s="580">
        <v>6912</v>
      </c>
      <c r="I1649" s="581" t="s">
        <v>4054</v>
      </c>
    </row>
    <row r="1650" spans="8:9" ht="16.3">
      <c r="H1650" s="580">
        <v>6913</v>
      </c>
      <c r="I1650" s="581" t="s">
        <v>2254</v>
      </c>
    </row>
    <row r="1651" spans="8:9" ht="16.3">
      <c r="H1651" s="580">
        <v>6914</v>
      </c>
      <c r="I1651" s="581" t="s">
        <v>4055</v>
      </c>
    </row>
    <row r="1652" spans="8:9" ht="16.3">
      <c r="H1652" s="580">
        <v>6915</v>
      </c>
      <c r="I1652" s="581" t="s">
        <v>4056</v>
      </c>
    </row>
    <row r="1653" spans="8:9" ht="16.3">
      <c r="H1653" s="580">
        <v>6916</v>
      </c>
      <c r="I1653" s="581" t="s">
        <v>4057</v>
      </c>
    </row>
    <row r="1654" spans="8:9" ht="16.3">
      <c r="H1654" s="580">
        <v>6917</v>
      </c>
      <c r="I1654" s="581" t="s">
        <v>4058</v>
      </c>
    </row>
    <row r="1655" spans="8:9" ht="16.3">
      <c r="H1655" s="580">
        <v>6921</v>
      </c>
      <c r="I1655" s="581" t="s">
        <v>4059</v>
      </c>
    </row>
    <row r="1656" spans="8:9" ht="16.3">
      <c r="H1656" s="580">
        <v>6922</v>
      </c>
      <c r="I1656" s="581" t="s">
        <v>4060</v>
      </c>
    </row>
    <row r="1657" spans="8:9" ht="16.3">
      <c r="H1657" s="580">
        <v>6923</v>
      </c>
      <c r="I1657" s="581" t="s">
        <v>4061</v>
      </c>
    </row>
    <row r="1658" spans="8:9" ht="16.3">
      <c r="H1658" s="580">
        <v>6931</v>
      </c>
      <c r="I1658" s="581" t="s">
        <v>4062</v>
      </c>
    </row>
    <row r="1659" spans="8:9" ht="16.3">
      <c r="H1659" s="580">
        <v>6932</v>
      </c>
      <c r="I1659" s="581" t="s">
        <v>4063</v>
      </c>
    </row>
    <row r="1660" spans="8:9" ht="16.3">
      <c r="H1660" s="580">
        <v>6933</v>
      </c>
      <c r="I1660" s="581" t="s">
        <v>4064</v>
      </c>
    </row>
    <row r="1661" spans="8:9" ht="16.3">
      <c r="H1661" s="580">
        <v>7000</v>
      </c>
      <c r="I1661" s="581" t="s">
        <v>2188</v>
      </c>
    </row>
    <row r="1662" spans="8:9" ht="16.3">
      <c r="H1662" s="580">
        <v>7003</v>
      </c>
      <c r="I1662" s="581" t="s">
        <v>2188</v>
      </c>
    </row>
    <row r="1663" spans="8:9" ht="16.3">
      <c r="H1663" s="580">
        <v>7011</v>
      </c>
      <c r="I1663" s="581" t="s">
        <v>4065</v>
      </c>
    </row>
    <row r="1664" spans="8:9" ht="16.3">
      <c r="H1664" s="580">
        <v>7012</v>
      </c>
      <c r="I1664" s="581" t="s">
        <v>4066</v>
      </c>
    </row>
    <row r="1665" spans="8:9" ht="16.3">
      <c r="H1665" s="580">
        <v>7013</v>
      </c>
      <c r="I1665" s="581" t="s">
        <v>4067</v>
      </c>
    </row>
    <row r="1666" spans="8:9" ht="16.3">
      <c r="H1666" s="580">
        <v>7014</v>
      </c>
      <c r="I1666" s="581" t="s">
        <v>4068</v>
      </c>
    </row>
    <row r="1667" spans="8:9" ht="16.3">
      <c r="H1667" s="580">
        <v>7015</v>
      </c>
      <c r="I1667" s="581" t="s">
        <v>4069</v>
      </c>
    </row>
    <row r="1668" spans="8:9" ht="16.3">
      <c r="H1668" s="580">
        <v>7016</v>
      </c>
      <c r="I1668" s="581" t="s">
        <v>4069</v>
      </c>
    </row>
    <row r="1669" spans="8:9" ht="16.3">
      <c r="H1669" s="580">
        <v>7017</v>
      </c>
      <c r="I1669" s="581" t="s">
        <v>2181</v>
      </c>
    </row>
    <row r="1670" spans="8:9" ht="16.3">
      <c r="H1670" s="580">
        <v>7018</v>
      </c>
      <c r="I1670" s="581" t="s">
        <v>2188</v>
      </c>
    </row>
    <row r="1671" spans="8:9" ht="16.3">
      <c r="H1671" s="580">
        <v>7019</v>
      </c>
      <c r="I1671" s="581" t="s">
        <v>2188</v>
      </c>
    </row>
    <row r="1672" spans="8:9" ht="16.3">
      <c r="H1672" s="580">
        <v>7020</v>
      </c>
      <c r="I1672" s="581" t="s">
        <v>2218</v>
      </c>
    </row>
    <row r="1673" spans="8:9" ht="16.3">
      <c r="H1673" s="580">
        <v>7025</v>
      </c>
      <c r="I1673" s="581" t="s">
        <v>4070</v>
      </c>
    </row>
    <row r="1674" spans="8:9" ht="16.3">
      <c r="H1674" s="580">
        <v>7026</v>
      </c>
      <c r="I1674" s="581" t="s">
        <v>4071</v>
      </c>
    </row>
    <row r="1675" spans="8:9" ht="16.3">
      <c r="H1675" s="580">
        <v>7027</v>
      </c>
      <c r="I1675" s="581" t="s">
        <v>2248</v>
      </c>
    </row>
    <row r="1676" spans="8:9" ht="16.3">
      <c r="H1676" s="580">
        <v>7030</v>
      </c>
      <c r="I1676" s="581" t="s">
        <v>2248</v>
      </c>
    </row>
    <row r="1677" spans="8:9" ht="16.3">
      <c r="H1677" s="580">
        <v>7038</v>
      </c>
      <c r="I1677" s="581" t="s">
        <v>4072</v>
      </c>
    </row>
    <row r="1678" spans="8:9" ht="16.3">
      <c r="H1678" s="580">
        <v>7039</v>
      </c>
      <c r="I1678" s="581" t="s">
        <v>4073</v>
      </c>
    </row>
    <row r="1679" spans="8:9" ht="16.3">
      <c r="H1679" s="580">
        <v>7041</v>
      </c>
      <c r="I1679" s="581" t="s">
        <v>4074</v>
      </c>
    </row>
    <row r="1680" spans="8:9" ht="16.3">
      <c r="H1680" s="580">
        <v>7042</v>
      </c>
      <c r="I1680" s="581" t="s">
        <v>4075</v>
      </c>
    </row>
    <row r="1681" spans="8:9" ht="16.3">
      <c r="H1681" s="580">
        <v>7043</v>
      </c>
      <c r="I1681" s="581" t="s">
        <v>4076</v>
      </c>
    </row>
    <row r="1682" spans="8:9" ht="16.3">
      <c r="H1682" s="580">
        <v>7044</v>
      </c>
      <c r="I1682" s="581" t="s">
        <v>4077</v>
      </c>
    </row>
    <row r="1683" spans="8:9" ht="16.3">
      <c r="H1683" s="580">
        <v>7045</v>
      </c>
      <c r="I1683" s="581" t="s">
        <v>4078</v>
      </c>
    </row>
    <row r="1684" spans="8:9" ht="16.3">
      <c r="H1684" s="580">
        <v>7047</v>
      </c>
      <c r="I1684" s="581" t="s">
        <v>4079</v>
      </c>
    </row>
    <row r="1685" spans="8:9" ht="16.3">
      <c r="H1685" s="580">
        <v>7051</v>
      </c>
      <c r="I1685" s="581" t="s">
        <v>4080</v>
      </c>
    </row>
    <row r="1686" spans="8:9" ht="16.3">
      <c r="H1686" s="580">
        <v>7052</v>
      </c>
      <c r="I1686" s="581" t="s">
        <v>4081</v>
      </c>
    </row>
    <row r="1687" spans="8:9" ht="16.3">
      <c r="H1687" s="580">
        <v>7054</v>
      </c>
      <c r="I1687" s="581" t="s">
        <v>4082</v>
      </c>
    </row>
    <row r="1688" spans="8:9" ht="16.3">
      <c r="H1688" s="580">
        <v>7056</v>
      </c>
      <c r="I1688" s="581" t="s">
        <v>4083</v>
      </c>
    </row>
    <row r="1689" spans="8:9" ht="16.3">
      <c r="H1689" s="580">
        <v>7057</v>
      </c>
      <c r="I1689" s="581" t="s">
        <v>4084</v>
      </c>
    </row>
    <row r="1690" spans="8:9" ht="16.3">
      <c r="H1690" s="580">
        <v>7061</v>
      </c>
      <c r="I1690" s="581" t="s">
        <v>4085</v>
      </c>
    </row>
    <row r="1691" spans="8:9" ht="16.3">
      <c r="H1691" s="580">
        <v>7062</v>
      </c>
      <c r="I1691" s="581" t="s">
        <v>4086</v>
      </c>
    </row>
    <row r="1692" spans="8:9" ht="16.3">
      <c r="H1692" s="580">
        <v>7063</v>
      </c>
      <c r="I1692" s="581" t="s">
        <v>4087</v>
      </c>
    </row>
    <row r="1693" spans="8:9" ht="16.3">
      <c r="H1693" s="580">
        <v>7064</v>
      </c>
      <c r="I1693" s="581" t="s">
        <v>4088</v>
      </c>
    </row>
    <row r="1694" spans="8:9" ht="16.3">
      <c r="H1694" s="580">
        <v>7065</v>
      </c>
      <c r="I1694" s="581" t="s">
        <v>4089</v>
      </c>
    </row>
    <row r="1695" spans="8:9" ht="16.3">
      <c r="H1695" s="580">
        <v>7066</v>
      </c>
      <c r="I1695" s="581" t="s">
        <v>4090</v>
      </c>
    </row>
    <row r="1696" spans="8:9" ht="16.3">
      <c r="H1696" s="580">
        <v>7067</v>
      </c>
      <c r="I1696" s="581" t="s">
        <v>4091</v>
      </c>
    </row>
    <row r="1697" spans="8:9" ht="16.3">
      <c r="H1697" s="580">
        <v>7068</v>
      </c>
      <c r="I1697" s="581" t="s">
        <v>4092</v>
      </c>
    </row>
    <row r="1698" spans="8:9" ht="16.3">
      <c r="H1698" s="580">
        <v>7071</v>
      </c>
      <c r="I1698" s="581" t="s">
        <v>4093</v>
      </c>
    </row>
    <row r="1699" spans="8:9" ht="16.3">
      <c r="H1699" s="580">
        <v>7072</v>
      </c>
      <c r="I1699" s="581" t="s">
        <v>4094</v>
      </c>
    </row>
    <row r="1700" spans="8:9" ht="16.3">
      <c r="H1700" s="580">
        <v>7081</v>
      </c>
      <c r="I1700" s="581" t="s">
        <v>2262</v>
      </c>
    </row>
    <row r="1701" spans="8:9" ht="16.3">
      <c r="H1701" s="580">
        <v>7082</v>
      </c>
      <c r="I1701" s="581" t="s">
        <v>4095</v>
      </c>
    </row>
    <row r="1702" spans="8:9" ht="16.3">
      <c r="H1702" s="580">
        <v>7083</v>
      </c>
      <c r="I1702" s="581" t="s">
        <v>2025</v>
      </c>
    </row>
    <row r="1703" spans="8:9" ht="16.3">
      <c r="H1703" s="580">
        <v>7084</v>
      </c>
      <c r="I1703" s="581" t="s">
        <v>4096</v>
      </c>
    </row>
    <row r="1704" spans="8:9" ht="16.3">
      <c r="H1704" s="580">
        <v>7085</v>
      </c>
      <c r="I1704" s="581" t="s">
        <v>4097</v>
      </c>
    </row>
    <row r="1705" spans="8:9" ht="16.3">
      <c r="H1705" s="580">
        <v>7086</v>
      </c>
      <c r="I1705" s="581" t="s">
        <v>4098</v>
      </c>
    </row>
    <row r="1706" spans="8:9" ht="16.3">
      <c r="H1706" s="580">
        <v>7087</v>
      </c>
      <c r="I1706" s="581" t="s">
        <v>4099</v>
      </c>
    </row>
    <row r="1707" spans="8:9" ht="16.3">
      <c r="H1707" s="580">
        <v>7090</v>
      </c>
      <c r="I1707" s="581" t="s">
        <v>4100</v>
      </c>
    </row>
    <row r="1708" spans="8:9" ht="16.3">
      <c r="H1708" s="580">
        <v>7091</v>
      </c>
      <c r="I1708" s="581" t="s">
        <v>4101</v>
      </c>
    </row>
    <row r="1709" spans="8:9" ht="16.3">
      <c r="H1709" s="580">
        <v>7092</v>
      </c>
      <c r="I1709" s="581" t="s">
        <v>4102</v>
      </c>
    </row>
    <row r="1710" spans="8:9" ht="16.3">
      <c r="H1710" s="580">
        <v>7093</v>
      </c>
      <c r="I1710" s="581" t="s">
        <v>4103</v>
      </c>
    </row>
    <row r="1711" spans="8:9" ht="16.3">
      <c r="H1711" s="580">
        <v>7094</v>
      </c>
      <c r="I1711" s="581" t="s">
        <v>4104</v>
      </c>
    </row>
    <row r="1712" spans="8:9" ht="16.3">
      <c r="H1712" s="580">
        <v>7095</v>
      </c>
      <c r="I1712" s="581" t="s">
        <v>4105</v>
      </c>
    </row>
    <row r="1713" spans="8:9" ht="16.3">
      <c r="H1713" s="580">
        <v>7095</v>
      </c>
      <c r="I1713" s="581" t="s">
        <v>4106</v>
      </c>
    </row>
    <row r="1714" spans="8:9" ht="16.3">
      <c r="H1714" s="580">
        <v>7097</v>
      </c>
      <c r="I1714" s="581" t="s">
        <v>4107</v>
      </c>
    </row>
    <row r="1715" spans="8:9" ht="16.3">
      <c r="H1715" s="580">
        <v>7098</v>
      </c>
      <c r="I1715" s="581" t="s">
        <v>4108</v>
      </c>
    </row>
    <row r="1716" spans="8:9" ht="16.3">
      <c r="H1716" s="580">
        <v>7099</v>
      </c>
      <c r="I1716" s="581" t="s">
        <v>4109</v>
      </c>
    </row>
    <row r="1717" spans="8:9" ht="16.3">
      <c r="H1717" s="580">
        <v>7100</v>
      </c>
      <c r="I1717" s="581" t="s">
        <v>1928</v>
      </c>
    </row>
    <row r="1718" spans="8:9" ht="16.3">
      <c r="H1718" s="580">
        <v>7121</v>
      </c>
      <c r="I1718" s="581" t="s">
        <v>4110</v>
      </c>
    </row>
    <row r="1719" spans="8:9" ht="16.3">
      <c r="H1719" s="580">
        <v>7122</v>
      </c>
      <c r="I1719" s="581" t="s">
        <v>4111</v>
      </c>
    </row>
    <row r="1720" spans="8:9" ht="16.3">
      <c r="H1720" s="580">
        <v>7130</v>
      </c>
      <c r="I1720" s="581" t="s">
        <v>2172</v>
      </c>
    </row>
    <row r="1721" spans="8:9" ht="16.3">
      <c r="H1721" s="580">
        <v>7131</v>
      </c>
      <c r="I1721" s="581" t="s">
        <v>2172</v>
      </c>
    </row>
    <row r="1722" spans="8:9" ht="16.3">
      <c r="H1722" s="580">
        <v>7132</v>
      </c>
      <c r="I1722" s="581" t="s">
        <v>4112</v>
      </c>
    </row>
    <row r="1723" spans="8:9" ht="16.3">
      <c r="H1723" s="580">
        <v>7133</v>
      </c>
      <c r="I1723" s="581" t="s">
        <v>2144</v>
      </c>
    </row>
    <row r="1724" spans="8:9" ht="16.3">
      <c r="H1724" s="580">
        <v>7134</v>
      </c>
      <c r="I1724" s="581" t="s">
        <v>4113</v>
      </c>
    </row>
    <row r="1725" spans="8:9" ht="16.3">
      <c r="H1725" s="580">
        <v>7135</v>
      </c>
      <c r="I1725" s="581" t="s">
        <v>4114</v>
      </c>
    </row>
    <row r="1726" spans="8:9" ht="16.3">
      <c r="H1726" s="580">
        <v>7136</v>
      </c>
      <c r="I1726" s="581" t="s">
        <v>4115</v>
      </c>
    </row>
    <row r="1727" spans="8:9" ht="16.3">
      <c r="H1727" s="580">
        <v>7140</v>
      </c>
      <c r="I1727" s="581" t="s">
        <v>4116</v>
      </c>
    </row>
    <row r="1728" spans="8:9" ht="16.3">
      <c r="H1728" s="580">
        <v>7142</v>
      </c>
      <c r="I1728" s="581" t="s">
        <v>4117</v>
      </c>
    </row>
    <row r="1729" spans="8:9" ht="16.3">
      <c r="H1729" s="580">
        <v>7143</v>
      </c>
      <c r="I1729" s="581" t="s">
        <v>4118</v>
      </c>
    </row>
    <row r="1730" spans="8:9" ht="16.3">
      <c r="H1730" s="580">
        <v>7144</v>
      </c>
      <c r="I1730" s="581" t="s">
        <v>4119</v>
      </c>
    </row>
    <row r="1731" spans="8:9" ht="16.3">
      <c r="H1731" s="580">
        <v>7145</v>
      </c>
      <c r="I1731" s="581" t="s">
        <v>4120</v>
      </c>
    </row>
    <row r="1732" spans="8:9" ht="16.3">
      <c r="H1732" s="580">
        <v>7146</v>
      </c>
      <c r="I1732" s="581" t="s">
        <v>4121</v>
      </c>
    </row>
    <row r="1733" spans="8:9" ht="16.3">
      <c r="H1733" s="580">
        <v>7147</v>
      </c>
      <c r="I1733" s="581" t="s">
        <v>4122</v>
      </c>
    </row>
    <row r="1734" spans="8:9" ht="16.3">
      <c r="H1734" s="580">
        <v>7148</v>
      </c>
      <c r="I1734" s="581" t="s">
        <v>4123</v>
      </c>
    </row>
    <row r="1735" spans="8:9" ht="16.3">
      <c r="H1735" s="580">
        <v>7149</v>
      </c>
      <c r="I1735" s="581" t="s">
        <v>4124</v>
      </c>
    </row>
    <row r="1736" spans="8:9" ht="16.3">
      <c r="H1736" s="580">
        <v>7150</v>
      </c>
      <c r="I1736" s="581" t="s">
        <v>2239</v>
      </c>
    </row>
    <row r="1737" spans="8:9" ht="16.3">
      <c r="H1737" s="580">
        <v>7158</v>
      </c>
      <c r="I1737" s="581" t="s">
        <v>4125</v>
      </c>
    </row>
    <row r="1738" spans="8:9" ht="16.3">
      <c r="H1738" s="580">
        <v>7159</v>
      </c>
      <c r="I1738" s="581" t="s">
        <v>4126</v>
      </c>
    </row>
    <row r="1739" spans="8:9" ht="16.3">
      <c r="H1739" s="580">
        <v>7161</v>
      </c>
      <c r="I1739" s="581" t="s">
        <v>4127</v>
      </c>
    </row>
    <row r="1740" spans="8:9" ht="16.3">
      <c r="H1740" s="580">
        <v>7162</v>
      </c>
      <c r="I1740" s="581" t="s">
        <v>4128</v>
      </c>
    </row>
    <row r="1741" spans="8:9" ht="16.3">
      <c r="H1741" s="580">
        <v>7163</v>
      </c>
      <c r="I1741" s="581" t="s">
        <v>4129</v>
      </c>
    </row>
    <row r="1742" spans="8:9" ht="16.3">
      <c r="H1742" s="580">
        <v>7164</v>
      </c>
      <c r="I1742" s="581" t="s">
        <v>4130</v>
      </c>
    </row>
    <row r="1743" spans="8:9" ht="16.3">
      <c r="H1743" s="580">
        <v>7165</v>
      </c>
      <c r="I1743" s="581" t="s">
        <v>4131</v>
      </c>
    </row>
    <row r="1744" spans="8:9" ht="16.3">
      <c r="H1744" s="580">
        <v>7171</v>
      </c>
      <c r="I1744" s="581" t="s">
        <v>4132</v>
      </c>
    </row>
    <row r="1745" spans="8:9" ht="16.3">
      <c r="H1745" s="580">
        <v>7172</v>
      </c>
      <c r="I1745" s="581" t="s">
        <v>4133</v>
      </c>
    </row>
    <row r="1746" spans="8:9" ht="16.3">
      <c r="H1746" s="580">
        <v>7173</v>
      </c>
      <c r="I1746" s="581" t="s">
        <v>4134</v>
      </c>
    </row>
    <row r="1747" spans="8:9" ht="16.3">
      <c r="H1747" s="580">
        <v>7174</v>
      </c>
      <c r="I1747" s="581" t="s">
        <v>4135</v>
      </c>
    </row>
    <row r="1748" spans="8:9" ht="16.3">
      <c r="H1748" s="580">
        <v>7175</v>
      </c>
      <c r="I1748" s="581" t="s">
        <v>4136</v>
      </c>
    </row>
    <row r="1749" spans="8:9" ht="16.3">
      <c r="H1749" s="580">
        <v>7176</v>
      </c>
      <c r="I1749" s="581" t="s">
        <v>4137</v>
      </c>
    </row>
    <row r="1750" spans="8:9" ht="16.3">
      <c r="H1750" s="580">
        <v>7181</v>
      </c>
      <c r="I1750" s="581" t="s">
        <v>4138</v>
      </c>
    </row>
    <row r="1751" spans="8:9" ht="16.3">
      <c r="H1751" s="580">
        <v>7182</v>
      </c>
      <c r="I1751" s="581" t="s">
        <v>4139</v>
      </c>
    </row>
    <row r="1752" spans="8:9" ht="16.3">
      <c r="H1752" s="580">
        <v>7183</v>
      </c>
      <c r="I1752" s="581" t="s">
        <v>4140</v>
      </c>
    </row>
    <row r="1753" spans="8:9" ht="16.3">
      <c r="H1753" s="580">
        <v>7184</v>
      </c>
      <c r="I1753" s="581" t="s">
        <v>4141</v>
      </c>
    </row>
    <row r="1754" spans="8:9" ht="16.3">
      <c r="H1754" s="580">
        <v>7185</v>
      </c>
      <c r="I1754" s="581" t="s">
        <v>4142</v>
      </c>
    </row>
    <row r="1755" spans="8:9" ht="16.3">
      <c r="H1755" s="580">
        <v>7186</v>
      </c>
      <c r="I1755" s="581" t="s">
        <v>4143</v>
      </c>
    </row>
    <row r="1756" spans="8:9" ht="16.3">
      <c r="H1756" s="580">
        <v>7186</v>
      </c>
      <c r="I1756" s="581" t="s">
        <v>4144</v>
      </c>
    </row>
    <row r="1757" spans="8:9" ht="16.3">
      <c r="H1757" s="580">
        <v>7187</v>
      </c>
      <c r="I1757" s="581" t="s">
        <v>2239</v>
      </c>
    </row>
    <row r="1758" spans="8:9" ht="16.3">
      <c r="H1758" s="580">
        <v>7188</v>
      </c>
      <c r="I1758" s="581" t="s">
        <v>4145</v>
      </c>
    </row>
    <row r="1759" spans="8:9" ht="16.3">
      <c r="H1759" s="580">
        <v>7191</v>
      </c>
      <c r="I1759" s="581" t="s">
        <v>4146</v>
      </c>
    </row>
    <row r="1760" spans="8:9" ht="16.3">
      <c r="H1760" s="580">
        <v>7192</v>
      </c>
      <c r="I1760" s="581" t="s">
        <v>4147</v>
      </c>
    </row>
    <row r="1761" spans="8:9" ht="16.3">
      <c r="H1761" s="580">
        <v>7193</v>
      </c>
      <c r="I1761" s="581" t="s">
        <v>4148</v>
      </c>
    </row>
    <row r="1762" spans="8:9" ht="16.3">
      <c r="H1762" s="580">
        <v>7194</v>
      </c>
      <c r="I1762" s="581" t="s">
        <v>4149</v>
      </c>
    </row>
    <row r="1763" spans="8:9" ht="16.3">
      <c r="H1763" s="580">
        <v>7195</v>
      </c>
      <c r="I1763" s="581" t="s">
        <v>4150</v>
      </c>
    </row>
    <row r="1764" spans="8:9" ht="16.3">
      <c r="H1764" s="580">
        <v>7200</v>
      </c>
      <c r="I1764" s="581" t="s">
        <v>1951</v>
      </c>
    </row>
    <row r="1765" spans="8:9" ht="16.3">
      <c r="H1765" s="580">
        <v>7211</v>
      </c>
      <c r="I1765" s="581" t="s">
        <v>4151</v>
      </c>
    </row>
    <row r="1766" spans="8:9" ht="16.3">
      <c r="H1766" s="580">
        <v>7212</v>
      </c>
      <c r="I1766" s="581" t="s">
        <v>4152</v>
      </c>
    </row>
    <row r="1767" spans="8:9" ht="16.3">
      <c r="H1767" s="580">
        <v>7213</v>
      </c>
      <c r="I1767" s="581" t="s">
        <v>4153</v>
      </c>
    </row>
    <row r="1768" spans="8:9" ht="16.3">
      <c r="H1768" s="580">
        <v>7214</v>
      </c>
      <c r="I1768" s="581" t="s">
        <v>4154</v>
      </c>
    </row>
    <row r="1769" spans="8:9" ht="16.3">
      <c r="H1769" s="580">
        <v>7214</v>
      </c>
      <c r="I1769" s="581" t="s">
        <v>4155</v>
      </c>
    </row>
    <row r="1770" spans="8:9" ht="16.3">
      <c r="H1770" s="580">
        <v>7215</v>
      </c>
      <c r="I1770" s="581" t="s">
        <v>4156</v>
      </c>
    </row>
    <row r="1771" spans="8:9" ht="16.3">
      <c r="H1771" s="580">
        <v>7224</v>
      </c>
      <c r="I1771" s="581" t="s">
        <v>4157</v>
      </c>
    </row>
    <row r="1772" spans="8:9" ht="16.3">
      <c r="H1772" s="580">
        <v>7225</v>
      </c>
      <c r="I1772" s="581" t="s">
        <v>4158</v>
      </c>
    </row>
    <row r="1773" spans="8:9" ht="16.3">
      <c r="H1773" s="580">
        <v>7226</v>
      </c>
      <c r="I1773" s="581" t="s">
        <v>4159</v>
      </c>
    </row>
    <row r="1774" spans="8:9" ht="16.3">
      <c r="H1774" s="580">
        <v>7227</v>
      </c>
      <c r="I1774" s="581" t="s">
        <v>4160</v>
      </c>
    </row>
    <row r="1775" spans="8:9" ht="16.3">
      <c r="H1775" s="580">
        <v>7228</v>
      </c>
      <c r="I1775" s="581" t="s">
        <v>4161</v>
      </c>
    </row>
    <row r="1776" spans="8:9" ht="16.3">
      <c r="H1776" s="580">
        <v>7251</v>
      </c>
      <c r="I1776" s="581" t="s">
        <v>4162</v>
      </c>
    </row>
    <row r="1777" spans="8:9" ht="16.3">
      <c r="H1777" s="580">
        <v>7252</v>
      </c>
      <c r="I1777" s="581" t="s">
        <v>4163</v>
      </c>
    </row>
    <row r="1778" spans="8:9" ht="16.3">
      <c r="H1778" s="580">
        <v>7253</v>
      </c>
      <c r="I1778" s="581" t="s">
        <v>4164</v>
      </c>
    </row>
    <row r="1779" spans="8:9" ht="16.3">
      <c r="H1779" s="580">
        <v>7253</v>
      </c>
      <c r="I1779" s="581" t="s">
        <v>4165</v>
      </c>
    </row>
    <row r="1780" spans="8:9" ht="16.3">
      <c r="H1780" s="580">
        <v>7255</v>
      </c>
      <c r="I1780" s="581" t="s">
        <v>4166</v>
      </c>
    </row>
    <row r="1781" spans="8:9" ht="16.3">
      <c r="H1781" s="580">
        <v>7256</v>
      </c>
      <c r="I1781" s="581" t="s">
        <v>4167</v>
      </c>
    </row>
    <row r="1782" spans="8:9" ht="16.3">
      <c r="H1782" s="580">
        <v>7257</v>
      </c>
      <c r="I1782" s="581" t="s">
        <v>4168</v>
      </c>
    </row>
    <row r="1783" spans="8:9" ht="16.3">
      <c r="H1783" s="580">
        <v>7258</v>
      </c>
      <c r="I1783" s="581" t="s">
        <v>4169</v>
      </c>
    </row>
    <row r="1784" spans="8:9" ht="16.3">
      <c r="H1784" s="580">
        <v>7258</v>
      </c>
      <c r="I1784" s="581" t="s">
        <v>4170</v>
      </c>
    </row>
    <row r="1785" spans="8:9" ht="16.3">
      <c r="H1785" s="580">
        <v>7261</v>
      </c>
      <c r="I1785" s="581" t="s">
        <v>4171</v>
      </c>
    </row>
    <row r="1786" spans="8:9" ht="16.3">
      <c r="H1786" s="580">
        <v>7261</v>
      </c>
      <c r="I1786" s="581" t="s">
        <v>4172</v>
      </c>
    </row>
    <row r="1787" spans="8:9" ht="16.3">
      <c r="H1787" s="580">
        <v>7271</v>
      </c>
      <c r="I1787" s="581" t="s">
        <v>4173</v>
      </c>
    </row>
    <row r="1788" spans="8:9" ht="16.3">
      <c r="H1788" s="580">
        <v>7272</v>
      </c>
      <c r="I1788" s="581" t="s">
        <v>4174</v>
      </c>
    </row>
    <row r="1789" spans="8:9" ht="16.3">
      <c r="H1789" s="580">
        <v>7273</v>
      </c>
      <c r="I1789" s="581" t="s">
        <v>4175</v>
      </c>
    </row>
    <row r="1790" spans="8:9" ht="16.3">
      <c r="H1790" s="580">
        <v>7274</v>
      </c>
      <c r="I1790" s="581" t="s">
        <v>4176</v>
      </c>
    </row>
    <row r="1791" spans="8:9" ht="16.3">
      <c r="H1791" s="580">
        <v>7275</v>
      </c>
      <c r="I1791" s="581" t="s">
        <v>4177</v>
      </c>
    </row>
    <row r="1792" spans="8:9" ht="16.3">
      <c r="H1792" s="580">
        <v>7276</v>
      </c>
      <c r="I1792" s="581" t="s">
        <v>4178</v>
      </c>
    </row>
    <row r="1793" spans="8:9" ht="16.3">
      <c r="H1793" s="580">
        <v>7276</v>
      </c>
      <c r="I1793" s="581" t="s">
        <v>4179</v>
      </c>
    </row>
    <row r="1794" spans="8:9" ht="16.3">
      <c r="H1794" s="580">
        <v>7279</v>
      </c>
      <c r="I1794" s="581" t="s">
        <v>4180</v>
      </c>
    </row>
    <row r="1795" spans="8:9" ht="16.3">
      <c r="H1795" s="580">
        <v>7281</v>
      </c>
      <c r="I1795" s="581" t="s">
        <v>4181</v>
      </c>
    </row>
    <row r="1796" spans="8:9" ht="16.3">
      <c r="H1796" s="580">
        <v>7282</v>
      </c>
      <c r="I1796" s="581" t="s">
        <v>4182</v>
      </c>
    </row>
    <row r="1797" spans="8:9" ht="16.3">
      <c r="H1797" s="580">
        <v>7282</v>
      </c>
      <c r="I1797" s="581" t="s">
        <v>4183</v>
      </c>
    </row>
    <row r="1798" spans="8:9" ht="16.3">
      <c r="H1798" s="580">
        <v>7283</v>
      </c>
      <c r="I1798" s="581" t="s">
        <v>4184</v>
      </c>
    </row>
    <row r="1799" spans="8:9" ht="16.3">
      <c r="H1799" s="580">
        <v>7284</v>
      </c>
      <c r="I1799" s="581" t="s">
        <v>4185</v>
      </c>
    </row>
    <row r="1800" spans="8:9" ht="16.3">
      <c r="H1800" s="580">
        <v>7285</v>
      </c>
      <c r="I1800" s="581" t="s">
        <v>4186</v>
      </c>
    </row>
    <row r="1801" spans="8:9" ht="16.3">
      <c r="H1801" s="580">
        <v>7285</v>
      </c>
      <c r="I1801" s="581" t="s">
        <v>4187</v>
      </c>
    </row>
    <row r="1802" spans="8:9" ht="16.3">
      <c r="H1802" s="580">
        <v>7285</v>
      </c>
      <c r="I1802" s="581" t="s">
        <v>4188</v>
      </c>
    </row>
    <row r="1803" spans="8:9" ht="16.3">
      <c r="H1803" s="580">
        <v>7300</v>
      </c>
      <c r="I1803" s="581" t="s">
        <v>2022</v>
      </c>
    </row>
    <row r="1804" spans="8:9" ht="16.3">
      <c r="H1804" s="580">
        <v>7304</v>
      </c>
      <c r="I1804" s="581" t="s">
        <v>4189</v>
      </c>
    </row>
    <row r="1805" spans="8:9" ht="16.3">
      <c r="H1805" s="580">
        <v>7305</v>
      </c>
      <c r="I1805" s="580" t="s">
        <v>2070</v>
      </c>
    </row>
    <row r="1806" spans="8:9" ht="16.3">
      <c r="H1806" s="580">
        <v>7331</v>
      </c>
      <c r="I1806" s="581" t="s">
        <v>4190</v>
      </c>
    </row>
    <row r="1807" spans="8:9" ht="16.3">
      <c r="H1807" s="580">
        <v>7332</v>
      </c>
      <c r="I1807" s="581" t="s">
        <v>4191</v>
      </c>
    </row>
    <row r="1808" spans="8:9" ht="16.3">
      <c r="H1808" s="580">
        <v>7333</v>
      </c>
      <c r="I1808" s="581" t="s">
        <v>2319</v>
      </c>
    </row>
    <row r="1809" spans="8:9" ht="16.3">
      <c r="H1809" s="580">
        <v>7333</v>
      </c>
      <c r="I1809" s="581" t="s">
        <v>4192</v>
      </c>
    </row>
    <row r="1810" spans="8:9" ht="16.3">
      <c r="H1810" s="580">
        <v>7334</v>
      </c>
      <c r="I1810" s="581" t="s">
        <v>4193</v>
      </c>
    </row>
    <row r="1811" spans="8:9" ht="16.3">
      <c r="H1811" s="580">
        <v>7334</v>
      </c>
      <c r="I1811" s="581" t="s">
        <v>4194</v>
      </c>
    </row>
    <row r="1812" spans="8:9" ht="16.3">
      <c r="H1812" s="580">
        <v>7341</v>
      </c>
      <c r="I1812" s="581" t="s">
        <v>4195</v>
      </c>
    </row>
    <row r="1813" spans="8:9" ht="16.3">
      <c r="H1813" s="580">
        <v>7342</v>
      </c>
      <c r="I1813" s="581" t="s">
        <v>4196</v>
      </c>
    </row>
    <row r="1814" spans="8:9" ht="16.3">
      <c r="H1814" s="580">
        <v>7343</v>
      </c>
      <c r="I1814" s="581" t="s">
        <v>4197</v>
      </c>
    </row>
    <row r="1815" spans="8:9" ht="16.3">
      <c r="H1815" s="580">
        <v>7344</v>
      </c>
      <c r="I1815" s="581" t="s">
        <v>4198</v>
      </c>
    </row>
    <row r="1816" spans="8:9" ht="16.3">
      <c r="H1816" s="580">
        <v>7345</v>
      </c>
      <c r="I1816" s="581" t="s">
        <v>4199</v>
      </c>
    </row>
    <row r="1817" spans="8:9" ht="16.3">
      <c r="H1817" s="580">
        <v>7346</v>
      </c>
      <c r="I1817" s="581" t="s">
        <v>4200</v>
      </c>
    </row>
    <row r="1818" spans="8:9" ht="16.3">
      <c r="H1818" s="580">
        <v>7347</v>
      </c>
      <c r="I1818" s="581" t="s">
        <v>4201</v>
      </c>
    </row>
    <row r="1819" spans="8:9" ht="16.3">
      <c r="H1819" s="580">
        <v>7348</v>
      </c>
      <c r="I1819" s="581" t="s">
        <v>4202</v>
      </c>
    </row>
    <row r="1820" spans="8:9" ht="16.3">
      <c r="H1820" s="580">
        <v>7348</v>
      </c>
      <c r="I1820" s="581" t="s">
        <v>4203</v>
      </c>
    </row>
    <row r="1821" spans="8:9" ht="16.3">
      <c r="H1821" s="580">
        <v>7349</v>
      </c>
      <c r="I1821" s="581" t="s">
        <v>4204</v>
      </c>
    </row>
    <row r="1822" spans="8:9" ht="16.3">
      <c r="H1822" s="580">
        <v>7351</v>
      </c>
      <c r="I1822" s="581" t="s">
        <v>4205</v>
      </c>
    </row>
    <row r="1823" spans="8:9" ht="16.3">
      <c r="H1823" s="580">
        <v>7352</v>
      </c>
      <c r="I1823" s="581" t="s">
        <v>4206</v>
      </c>
    </row>
    <row r="1824" spans="8:9" ht="16.3">
      <c r="H1824" s="580">
        <v>7353</v>
      </c>
      <c r="I1824" s="581" t="s">
        <v>4207</v>
      </c>
    </row>
    <row r="1825" spans="8:9" ht="16.3">
      <c r="H1825" s="580">
        <v>7354</v>
      </c>
      <c r="I1825" s="581" t="s">
        <v>4208</v>
      </c>
    </row>
    <row r="1826" spans="8:9" ht="16.3">
      <c r="H1826" s="580">
        <v>7355</v>
      </c>
      <c r="I1826" s="581" t="s">
        <v>2211</v>
      </c>
    </row>
    <row r="1827" spans="8:9" ht="16.3">
      <c r="H1827" s="580">
        <v>7356</v>
      </c>
      <c r="I1827" s="581" t="s">
        <v>4209</v>
      </c>
    </row>
    <row r="1828" spans="8:9" ht="16.3">
      <c r="H1828" s="580">
        <v>7357</v>
      </c>
      <c r="I1828" s="581" t="s">
        <v>4210</v>
      </c>
    </row>
    <row r="1829" spans="8:9" ht="16.3">
      <c r="H1829" s="580">
        <v>7361</v>
      </c>
      <c r="I1829" s="581" t="s">
        <v>4211</v>
      </c>
    </row>
    <row r="1830" spans="8:9" ht="16.3">
      <c r="H1830" s="580">
        <v>7362</v>
      </c>
      <c r="I1830" s="581" t="s">
        <v>4212</v>
      </c>
    </row>
    <row r="1831" spans="8:9" ht="16.3">
      <c r="H1831" s="580">
        <v>7362</v>
      </c>
      <c r="I1831" s="581" t="s">
        <v>4213</v>
      </c>
    </row>
    <row r="1832" spans="8:9" ht="16.3">
      <c r="H1832" s="580">
        <v>7362</v>
      </c>
      <c r="I1832" s="581" t="s">
        <v>4214</v>
      </c>
    </row>
    <row r="1833" spans="8:9" ht="16.3">
      <c r="H1833" s="580">
        <v>7370</v>
      </c>
      <c r="I1833" s="581" t="s">
        <v>4215</v>
      </c>
    </row>
    <row r="1834" spans="8:9" ht="16.3">
      <c r="H1834" s="580">
        <v>7370</v>
      </c>
      <c r="I1834" s="581" t="s">
        <v>4216</v>
      </c>
    </row>
    <row r="1835" spans="8:9" ht="16.3">
      <c r="H1835" s="580">
        <v>7370</v>
      </c>
      <c r="I1835" s="581" t="s">
        <v>4217</v>
      </c>
    </row>
    <row r="1836" spans="8:9" ht="16.3">
      <c r="H1836" s="580">
        <v>7370</v>
      </c>
      <c r="I1836" s="581" t="s">
        <v>4218</v>
      </c>
    </row>
    <row r="1837" spans="8:9" ht="16.3">
      <c r="H1837" s="580">
        <v>7370</v>
      </c>
      <c r="I1837" s="581" t="s">
        <v>4219</v>
      </c>
    </row>
    <row r="1838" spans="8:9" ht="16.3">
      <c r="H1838" s="580">
        <v>7370</v>
      </c>
      <c r="I1838" s="581" t="s">
        <v>4220</v>
      </c>
    </row>
    <row r="1839" spans="8:9" ht="16.3">
      <c r="H1839" s="580">
        <v>7370</v>
      </c>
      <c r="I1839" s="581" t="s">
        <v>4221</v>
      </c>
    </row>
    <row r="1840" spans="8:9" ht="16.3">
      <c r="H1840" s="580">
        <v>7381</v>
      </c>
      <c r="I1840" s="581" t="s">
        <v>4222</v>
      </c>
    </row>
    <row r="1841" spans="8:9" ht="16.3">
      <c r="H1841" s="580">
        <v>7381</v>
      </c>
      <c r="I1841" s="581" t="s">
        <v>4223</v>
      </c>
    </row>
    <row r="1842" spans="8:9" ht="16.3">
      <c r="H1842" s="580">
        <v>7381</v>
      </c>
      <c r="I1842" s="581" t="s">
        <v>4224</v>
      </c>
    </row>
    <row r="1843" spans="8:9" ht="16.3">
      <c r="H1843" s="580">
        <v>7383</v>
      </c>
      <c r="I1843" s="581" t="s">
        <v>4225</v>
      </c>
    </row>
    <row r="1844" spans="8:9" ht="16.3">
      <c r="H1844" s="580">
        <v>7383</v>
      </c>
      <c r="I1844" s="581" t="s">
        <v>4226</v>
      </c>
    </row>
    <row r="1845" spans="8:9" ht="16.3">
      <c r="H1845" s="580">
        <v>7383</v>
      </c>
      <c r="I1845" s="581" t="s">
        <v>4227</v>
      </c>
    </row>
    <row r="1846" spans="8:9" ht="16.3">
      <c r="H1846" s="580">
        <v>7384</v>
      </c>
      <c r="I1846" s="581" t="s">
        <v>4228</v>
      </c>
    </row>
    <row r="1847" spans="8:9" ht="16.3">
      <c r="H1847" s="580">
        <v>7385</v>
      </c>
      <c r="I1847" s="581" t="s">
        <v>4229</v>
      </c>
    </row>
    <row r="1848" spans="8:9" ht="16.3">
      <c r="H1848" s="580">
        <v>7386</v>
      </c>
      <c r="I1848" s="580" t="s">
        <v>4229</v>
      </c>
    </row>
    <row r="1849" spans="8:9" ht="16.3">
      <c r="H1849" s="580">
        <v>7391</v>
      </c>
      <c r="I1849" s="581" t="s">
        <v>4230</v>
      </c>
    </row>
    <row r="1850" spans="8:9" ht="16.3">
      <c r="H1850" s="580">
        <v>7391</v>
      </c>
      <c r="I1850" s="581" t="s">
        <v>4231</v>
      </c>
    </row>
    <row r="1851" spans="8:9" ht="16.3">
      <c r="H1851" s="580">
        <v>7391</v>
      </c>
      <c r="I1851" s="581" t="s">
        <v>4232</v>
      </c>
    </row>
    <row r="1852" spans="8:9" ht="16.3">
      <c r="H1852" s="580">
        <v>7393</v>
      </c>
      <c r="I1852" s="581" t="s">
        <v>4233</v>
      </c>
    </row>
    <row r="1853" spans="8:9" ht="16.3">
      <c r="H1853" s="580">
        <v>7394</v>
      </c>
      <c r="I1853" s="581" t="s">
        <v>4234</v>
      </c>
    </row>
    <row r="1854" spans="8:9" ht="16.3">
      <c r="H1854" s="580">
        <v>7394</v>
      </c>
      <c r="I1854" s="581" t="s">
        <v>4235</v>
      </c>
    </row>
    <row r="1855" spans="8:9" ht="16.3">
      <c r="H1855" s="580">
        <v>7396</v>
      </c>
      <c r="I1855" s="581" t="s">
        <v>4236</v>
      </c>
    </row>
    <row r="1856" spans="8:9" ht="16.3">
      <c r="H1856" s="580">
        <v>7400</v>
      </c>
      <c r="I1856" s="581" t="s">
        <v>1927</v>
      </c>
    </row>
    <row r="1857" spans="8:9" ht="16.3">
      <c r="H1857" s="580">
        <v>7400</v>
      </c>
      <c r="I1857" s="581" t="s">
        <v>4237</v>
      </c>
    </row>
    <row r="1858" spans="8:9" ht="16.3">
      <c r="H1858" s="580">
        <v>7431</v>
      </c>
      <c r="I1858" s="581" t="s">
        <v>4238</v>
      </c>
    </row>
    <row r="1859" spans="8:9" ht="16.3">
      <c r="H1859" s="580">
        <v>7432</v>
      </c>
      <c r="I1859" s="581" t="s">
        <v>4239</v>
      </c>
    </row>
    <row r="1860" spans="8:9" ht="16.3">
      <c r="H1860" s="580">
        <v>7432</v>
      </c>
      <c r="I1860" s="581" t="s">
        <v>4240</v>
      </c>
    </row>
    <row r="1861" spans="8:9" ht="16.3">
      <c r="H1861" s="580">
        <v>7434</v>
      </c>
      <c r="I1861" s="581" t="s">
        <v>4241</v>
      </c>
    </row>
    <row r="1862" spans="8:9" ht="16.3">
      <c r="H1862" s="580">
        <v>7435</v>
      </c>
      <c r="I1862" s="581" t="s">
        <v>4242</v>
      </c>
    </row>
    <row r="1863" spans="8:9" ht="16.3">
      <c r="H1863" s="580">
        <v>7436</v>
      </c>
      <c r="I1863" s="581" t="s">
        <v>4243</v>
      </c>
    </row>
    <row r="1864" spans="8:9" ht="16.3">
      <c r="H1864" s="580">
        <v>7439</v>
      </c>
      <c r="I1864" s="581" t="s">
        <v>4244</v>
      </c>
    </row>
    <row r="1865" spans="8:9" ht="16.3">
      <c r="H1865" s="580">
        <v>7441</v>
      </c>
      <c r="I1865" s="581" t="s">
        <v>4245</v>
      </c>
    </row>
    <row r="1866" spans="8:9" ht="16.3">
      <c r="H1866" s="580">
        <v>7442</v>
      </c>
      <c r="I1866" s="581" t="s">
        <v>4246</v>
      </c>
    </row>
    <row r="1867" spans="8:9" ht="16.3">
      <c r="H1867" s="580">
        <v>7443</v>
      </c>
      <c r="I1867" s="581" t="s">
        <v>4247</v>
      </c>
    </row>
    <row r="1868" spans="8:9" ht="16.3">
      <c r="H1868" s="580">
        <v>7443</v>
      </c>
      <c r="I1868" s="581" t="s">
        <v>4248</v>
      </c>
    </row>
    <row r="1869" spans="8:9" ht="16.3">
      <c r="H1869" s="580">
        <v>7443</v>
      </c>
      <c r="I1869" s="581" t="s">
        <v>4249</v>
      </c>
    </row>
    <row r="1870" spans="8:9" ht="16.3">
      <c r="H1870" s="580">
        <v>7444</v>
      </c>
      <c r="I1870" s="581" t="s">
        <v>4250</v>
      </c>
    </row>
    <row r="1871" spans="8:9" ht="16.3">
      <c r="H1871" s="580">
        <v>7452</v>
      </c>
      <c r="I1871" s="581" t="s">
        <v>4251</v>
      </c>
    </row>
    <row r="1872" spans="8:9" ht="16.3">
      <c r="H1872" s="580">
        <v>7451</v>
      </c>
      <c r="I1872" s="581" t="s">
        <v>1927</v>
      </c>
    </row>
    <row r="1873" spans="8:9" ht="16.3">
      <c r="H1873" s="580">
        <v>7453</v>
      </c>
      <c r="I1873" s="581" t="s">
        <v>4252</v>
      </c>
    </row>
    <row r="1874" spans="8:9" ht="16.3">
      <c r="H1874" s="580">
        <v>7454</v>
      </c>
      <c r="I1874" s="581" t="s">
        <v>4253</v>
      </c>
    </row>
    <row r="1875" spans="8:9" ht="16.3">
      <c r="H1875" s="580">
        <v>7455</v>
      </c>
      <c r="I1875" s="581" t="s">
        <v>4254</v>
      </c>
    </row>
    <row r="1876" spans="8:9" ht="16.3">
      <c r="H1876" s="580">
        <v>7456</v>
      </c>
      <c r="I1876" s="581" t="s">
        <v>4255</v>
      </c>
    </row>
    <row r="1877" spans="8:9" ht="16.3">
      <c r="H1877" s="580">
        <v>7457</v>
      </c>
      <c r="I1877" s="581" t="s">
        <v>4256</v>
      </c>
    </row>
    <row r="1878" spans="8:9" ht="16.3">
      <c r="H1878" s="580">
        <v>7458</v>
      </c>
      <c r="I1878" s="581" t="s">
        <v>4257</v>
      </c>
    </row>
    <row r="1879" spans="8:9" ht="16.3">
      <c r="H1879" s="580">
        <v>7461</v>
      </c>
      <c r="I1879" s="581" t="s">
        <v>4258</v>
      </c>
    </row>
    <row r="1880" spans="8:9" ht="16.3">
      <c r="H1880" s="580">
        <v>7463</v>
      </c>
      <c r="I1880" s="581" t="s">
        <v>4259</v>
      </c>
    </row>
    <row r="1881" spans="8:9" ht="16.3">
      <c r="H1881" s="580">
        <v>7463</v>
      </c>
      <c r="I1881" s="581" t="s">
        <v>4260</v>
      </c>
    </row>
    <row r="1882" spans="8:9" ht="16.3">
      <c r="H1882" s="580">
        <v>7464</v>
      </c>
      <c r="I1882" s="581" t="s">
        <v>4261</v>
      </c>
    </row>
    <row r="1883" spans="8:9" ht="16.3">
      <c r="H1883" s="580">
        <v>7465</v>
      </c>
      <c r="I1883" s="581" t="s">
        <v>4262</v>
      </c>
    </row>
    <row r="1884" spans="8:9" ht="16.3">
      <c r="H1884" s="580">
        <v>7471</v>
      </c>
      <c r="I1884" s="581" t="s">
        <v>4263</v>
      </c>
    </row>
    <row r="1885" spans="8:9" ht="16.3">
      <c r="H1885" s="580">
        <v>7472</v>
      </c>
      <c r="I1885" s="581" t="s">
        <v>4264</v>
      </c>
    </row>
    <row r="1886" spans="8:9" ht="16.3">
      <c r="H1886" s="580">
        <v>7472</v>
      </c>
      <c r="I1886" s="581" t="s">
        <v>4265</v>
      </c>
    </row>
    <row r="1887" spans="8:9" ht="16.3">
      <c r="H1887" s="580">
        <v>7473</v>
      </c>
      <c r="I1887" s="581" t="s">
        <v>4266</v>
      </c>
    </row>
    <row r="1888" spans="8:9" ht="16.3">
      <c r="H1888" s="580">
        <v>7473</v>
      </c>
      <c r="I1888" s="581" t="s">
        <v>4267</v>
      </c>
    </row>
    <row r="1889" spans="8:9" ht="16.3">
      <c r="H1889" s="580">
        <v>7473</v>
      </c>
      <c r="I1889" s="581" t="s">
        <v>4268</v>
      </c>
    </row>
    <row r="1890" spans="8:9" ht="16.3">
      <c r="H1890" s="580">
        <v>7474</v>
      </c>
      <c r="I1890" s="581" t="s">
        <v>4269</v>
      </c>
    </row>
    <row r="1891" spans="8:9" ht="16.3">
      <c r="H1891" s="580">
        <v>7474</v>
      </c>
      <c r="I1891" s="581" t="s">
        <v>4270</v>
      </c>
    </row>
    <row r="1892" spans="8:9" ht="16.3">
      <c r="H1892" s="580">
        <v>7475</v>
      </c>
      <c r="I1892" s="581" t="s">
        <v>4271</v>
      </c>
    </row>
    <row r="1893" spans="8:9" ht="16.3">
      <c r="H1893" s="580">
        <v>7476</v>
      </c>
      <c r="I1893" s="581" t="s">
        <v>4272</v>
      </c>
    </row>
    <row r="1894" spans="8:9" ht="16.3">
      <c r="H1894" s="580">
        <v>7477</v>
      </c>
      <c r="I1894" s="581" t="s">
        <v>4273</v>
      </c>
    </row>
    <row r="1895" spans="8:9" ht="16.3">
      <c r="H1895" s="580">
        <v>7477</v>
      </c>
      <c r="I1895" s="581" t="s">
        <v>4274</v>
      </c>
    </row>
    <row r="1896" spans="8:9" ht="16.3">
      <c r="H1896" s="580">
        <v>7477</v>
      </c>
      <c r="I1896" s="581" t="s">
        <v>4275</v>
      </c>
    </row>
    <row r="1897" spans="8:9" ht="16.3">
      <c r="H1897" s="580">
        <v>7477</v>
      </c>
      <c r="I1897" s="581" t="s">
        <v>4276</v>
      </c>
    </row>
    <row r="1898" spans="8:9" ht="16.3">
      <c r="H1898" s="580">
        <v>7478</v>
      </c>
      <c r="I1898" s="581" t="s">
        <v>4277</v>
      </c>
    </row>
    <row r="1899" spans="8:9" ht="16.3">
      <c r="H1899" s="580">
        <v>7479</v>
      </c>
      <c r="I1899" s="581" t="s">
        <v>4278</v>
      </c>
    </row>
    <row r="1900" spans="8:9" ht="16.3">
      <c r="H1900" s="580">
        <v>7500</v>
      </c>
      <c r="I1900" s="581" t="s">
        <v>2015</v>
      </c>
    </row>
    <row r="1901" spans="8:9" ht="16.3">
      <c r="H1901" s="580">
        <v>7511</v>
      </c>
      <c r="I1901" s="581" t="s">
        <v>4279</v>
      </c>
    </row>
    <row r="1902" spans="8:9" ht="16.3">
      <c r="H1902" s="580">
        <v>7512</v>
      </c>
      <c r="I1902" s="581" t="s">
        <v>4280</v>
      </c>
    </row>
    <row r="1903" spans="8:9" ht="16.3">
      <c r="H1903" s="580">
        <v>7513</v>
      </c>
      <c r="I1903" s="581" t="s">
        <v>4281</v>
      </c>
    </row>
    <row r="1904" spans="8:9" ht="16.3">
      <c r="H1904" s="580">
        <v>7514</v>
      </c>
      <c r="I1904" s="581" t="s">
        <v>4282</v>
      </c>
    </row>
    <row r="1905" spans="8:9" ht="16.3">
      <c r="H1905" s="580">
        <v>7515</v>
      </c>
      <c r="I1905" s="581" t="s">
        <v>4283</v>
      </c>
    </row>
    <row r="1906" spans="8:9" ht="16.3">
      <c r="H1906" s="580">
        <v>7516</v>
      </c>
      <c r="I1906" s="581" t="s">
        <v>4284</v>
      </c>
    </row>
    <row r="1907" spans="8:9" ht="16.3">
      <c r="H1907" s="580">
        <v>7517</v>
      </c>
      <c r="I1907" s="581" t="s">
        <v>4285</v>
      </c>
    </row>
    <row r="1908" spans="8:9" ht="16.3">
      <c r="H1908" s="580">
        <v>7521</v>
      </c>
      <c r="I1908" s="581" t="s">
        <v>4286</v>
      </c>
    </row>
    <row r="1909" spans="8:9" ht="16.3">
      <c r="H1909" s="580">
        <v>7522</v>
      </c>
      <c r="I1909" s="581" t="s">
        <v>4287</v>
      </c>
    </row>
    <row r="1910" spans="8:9" ht="16.3">
      <c r="H1910" s="580">
        <v>7523</v>
      </c>
      <c r="I1910" s="581" t="s">
        <v>2301</v>
      </c>
    </row>
    <row r="1911" spans="8:9" ht="16.3">
      <c r="H1911" s="580">
        <v>7523</v>
      </c>
      <c r="I1911" s="581" t="s">
        <v>4288</v>
      </c>
    </row>
    <row r="1912" spans="8:9" ht="16.3">
      <c r="H1912" s="580">
        <v>7524</v>
      </c>
      <c r="I1912" s="581" t="s">
        <v>2237</v>
      </c>
    </row>
    <row r="1913" spans="8:9" ht="16.3">
      <c r="H1913" s="580">
        <v>7525</v>
      </c>
      <c r="I1913" s="581" t="s">
        <v>4289</v>
      </c>
    </row>
    <row r="1914" spans="8:9" ht="16.3">
      <c r="H1914" s="580">
        <v>7526</v>
      </c>
      <c r="I1914" s="581" t="s">
        <v>4290</v>
      </c>
    </row>
    <row r="1915" spans="8:9" ht="16.3">
      <c r="H1915" s="580">
        <v>7527</v>
      </c>
      <c r="I1915" s="581" t="s">
        <v>4291</v>
      </c>
    </row>
    <row r="1916" spans="8:9" ht="16.3">
      <c r="H1916" s="580">
        <v>7527</v>
      </c>
      <c r="I1916" s="581" t="s">
        <v>4292</v>
      </c>
    </row>
    <row r="1917" spans="8:9" ht="16.3">
      <c r="H1917" s="580">
        <v>7530</v>
      </c>
      <c r="I1917" s="581" t="s">
        <v>4293</v>
      </c>
    </row>
    <row r="1918" spans="8:9" ht="16.3">
      <c r="H1918" s="580">
        <v>7530</v>
      </c>
      <c r="I1918" s="581" t="s">
        <v>4294</v>
      </c>
    </row>
    <row r="1919" spans="8:9" ht="16.3">
      <c r="H1919" s="580">
        <v>7532</v>
      </c>
      <c r="I1919" s="581" t="s">
        <v>4295</v>
      </c>
    </row>
    <row r="1920" spans="8:9" ht="16.3">
      <c r="H1920" s="580">
        <v>7533</v>
      </c>
      <c r="I1920" s="581" t="s">
        <v>4296</v>
      </c>
    </row>
    <row r="1921" spans="8:9" ht="16.3">
      <c r="H1921" s="580">
        <v>7533</v>
      </c>
      <c r="I1921" s="581" t="s">
        <v>4297</v>
      </c>
    </row>
    <row r="1922" spans="8:9" ht="16.3">
      <c r="H1922" s="580">
        <v>7535</v>
      </c>
      <c r="I1922" s="581" t="s">
        <v>4298</v>
      </c>
    </row>
    <row r="1923" spans="8:9" ht="16.3">
      <c r="H1923" s="580">
        <v>7536</v>
      </c>
      <c r="I1923" s="581" t="s">
        <v>4299</v>
      </c>
    </row>
    <row r="1924" spans="8:9" ht="16.3">
      <c r="H1924" s="580">
        <v>7537</v>
      </c>
      <c r="I1924" s="581" t="s">
        <v>4300</v>
      </c>
    </row>
    <row r="1925" spans="8:9" ht="16.3">
      <c r="H1925" s="580">
        <v>7538</v>
      </c>
      <c r="I1925" s="581" t="s">
        <v>4301</v>
      </c>
    </row>
    <row r="1926" spans="8:9" ht="16.3">
      <c r="H1926" s="580">
        <v>7539</v>
      </c>
      <c r="I1926" s="581" t="s">
        <v>4302</v>
      </c>
    </row>
    <row r="1927" spans="8:9" ht="16.3">
      <c r="H1927" s="580">
        <v>7541</v>
      </c>
      <c r="I1927" s="581" t="s">
        <v>4303</v>
      </c>
    </row>
    <row r="1928" spans="8:9" ht="16.3">
      <c r="H1928" s="580">
        <v>7542</v>
      </c>
      <c r="I1928" s="581" t="s">
        <v>4304</v>
      </c>
    </row>
    <row r="1929" spans="8:9" ht="16.3">
      <c r="H1929" s="580">
        <v>7543</v>
      </c>
      <c r="I1929" s="581" t="s">
        <v>4305</v>
      </c>
    </row>
    <row r="1930" spans="8:9" ht="16.3">
      <c r="H1930" s="580">
        <v>7544</v>
      </c>
      <c r="I1930" s="581" t="s">
        <v>4306</v>
      </c>
    </row>
    <row r="1931" spans="8:9" ht="16.3">
      <c r="H1931" s="580">
        <v>7545</v>
      </c>
      <c r="I1931" s="581" t="s">
        <v>4307</v>
      </c>
    </row>
    <row r="1932" spans="8:9" ht="16.3">
      <c r="H1932" s="580">
        <v>7551</v>
      </c>
      <c r="I1932" s="581" t="s">
        <v>4308</v>
      </c>
    </row>
    <row r="1933" spans="8:9" ht="16.3">
      <c r="H1933" s="580">
        <v>7552</v>
      </c>
      <c r="I1933" s="581" t="s">
        <v>4309</v>
      </c>
    </row>
    <row r="1934" spans="8:9" ht="16.3">
      <c r="H1934" s="580">
        <v>7553</v>
      </c>
      <c r="I1934" s="581" t="s">
        <v>4310</v>
      </c>
    </row>
    <row r="1935" spans="8:9" ht="16.3">
      <c r="H1935" s="580">
        <v>7555</v>
      </c>
      <c r="I1935" s="581" t="s">
        <v>4311</v>
      </c>
    </row>
    <row r="1936" spans="8:9" ht="16.3">
      <c r="H1936" s="580">
        <v>7556</v>
      </c>
      <c r="I1936" s="581" t="s">
        <v>4312</v>
      </c>
    </row>
    <row r="1937" spans="8:9" ht="16.3">
      <c r="H1937" s="580">
        <v>7557</v>
      </c>
      <c r="I1937" s="581" t="s">
        <v>2129</v>
      </c>
    </row>
    <row r="1938" spans="8:9" ht="16.3">
      <c r="H1938" s="580">
        <v>7561</v>
      </c>
      <c r="I1938" s="581" t="s">
        <v>4313</v>
      </c>
    </row>
    <row r="1939" spans="8:9" ht="16.3">
      <c r="H1939" s="580">
        <v>7561</v>
      </c>
      <c r="I1939" s="581" t="s">
        <v>4314</v>
      </c>
    </row>
    <row r="1940" spans="8:9" ht="16.3">
      <c r="H1940" s="580">
        <v>7562</v>
      </c>
      <c r="I1940" s="581" t="s">
        <v>4315</v>
      </c>
    </row>
    <row r="1941" spans="8:9" ht="16.3">
      <c r="H1941" s="580">
        <v>7563</v>
      </c>
      <c r="I1941" s="581" t="s">
        <v>4316</v>
      </c>
    </row>
    <row r="1942" spans="8:9" ht="16.3">
      <c r="H1942" s="580">
        <v>7564</v>
      </c>
      <c r="I1942" s="581" t="s">
        <v>4317</v>
      </c>
    </row>
    <row r="1943" spans="8:9" ht="16.3">
      <c r="H1943" s="580">
        <v>7570</v>
      </c>
      <c r="I1943" s="581" t="s">
        <v>2129</v>
      </c>
    </row>
    <row r="1944" spans="8:9" ht="16.3">
      <c r="H1944" s="580">
        <v>7582</v>
      </c>
      <c r="I1944" s="581" t="s">
        <v>4318</v>
      </c>
    </row>
    <row r="1945" spans="8:9" ht="16.3">
      <c r="H1945" s="580">
        <v>7582</v>
      </c>
      <c r="I1945" s="581" t="s">
        <v>4319</v>
      </c>
    </row>
    <row r="1946" spans="8:9" ht="16.3">
      <c r="H1946" s="580">
        <v>7584</v>
      </c>
      <c r="I1946" s="581" t="s">
        <v>4320</v>
      </c>
    </row>
    <row r="1947" spans="8:9" ht="16.3">
      <c r="H1947" s="580">
        <v>7584</v>
      </c>
      <c r="I1947" s="581" t="s">
        <v>4321</v>
      </c>
    </row>
    <row r="1948" spans="8:9" ht="16.3">
      <c r="H1948" s="580">
        <v>7584</v>
      </c>
      <c r="I1948" s="581" t="s">
        <v>4322</v>
      </c>
    </row>
    <row r="1949" spans="8:9" ht="16.3">
      <c r="H1949" s="580">
        <v>7585</v>
      </c>
      <c r="I1949" s="581" t="s">
        <v>4323</v>
      </c>
    </row>
    <row r="1950" spans="8:9" ht="16.3">
      <c r="H1950" s="580">
        <v>7585</v>
      </c>
      <c r="I1950" s="581" t="s">
        <v>4324</v>
      </c>
    </row>
    <row r="1951" spans="8:9" ht="16.3">
      <c r="H1951" s="580">
        <v>7586</v>
      </c>
      <c r="I1951" s="581" t="s">
        <v>4325</v>
      </c>
    </row>
    <row r="1952" spans="8:9" ht="16.3">
      <c r="H1952" s="580">
        <v>7587</v>
      </c>
      <c r="I1952" s="581" t="s">
        <v>4326</v>
      </c>
    </row>
    <row r="1953" spans="8:9" ht="16.3">
      <c r="H1953" s="580">
        <v>7588</v>
      </c>
      <c r="I1953" s="581" t="s">
        <v>4327</v>
      </c>
    </row>
    <row r="1954" spans="8:9" ht="16.3">
      <c r="H1954" s="580">
        <v>7589</v>
      </c>
      <c r="I1954" s="581" t="s">
        <v>4328</v>
      </c>
    </row>
    <row r="1955" spans="8:9" ht="16.3">
      <c r="H1955" s="580">
        <v>7600</v>
      </c>
      <c r="I1955" s="581" t="s">
        <v>1965</v>
      </c>
    </row>
    <row r="1956" spans="8:9" ht="16.3">
      <c r="H1956" s="580">
        <v>7639</v>
      </c>
      <c r="I1956" s="581" t="s">
        <v>4329</v>
      </c>
    </row>
    <row r="1957" spans="8:9" ht="16.3">
      <c r="H1957" s="580">
        <v>7661</v>
      </c>
      <c r="I1957" s="581" t="s">
        <v>4330</v>
      </c>
    </row>
    <row r="1958" spans="8:9" ht="16.3">
      <c r="H1958" s="580">
        <v>7661</v>
      </c>
      <c r="I1958" s="581" t="s">
        <v>2084</v>
      </c>
    </row>
    <row r="1959" spans="8:9" ht="16.3">
      <c r="H1959" s="580">
        <v>7661</v>
      </c>
      <c r="I1959" s="581" t="s">
        <v>4331</v>
      </c>
    </row>
    <row r="1960" spans="8:9" ht="16.3">
      <c r="H1960" s="580">
        <v>7661</v>
      </c>
      <c r="I1960" s="581" t="s">
        <v>4332</v>
      </c>
    </row>
    <row r="1961" spans="8:9" ht="16.3">
      <c r="H1961" s="580">
        <v>7663</v>
      </c>
      <c r="I1961" s="581" t="s">
        <v>4333</v>
      </c>
    </row>
    <row r="1962" spans="8:9" ht="16.3">
      <c r="H1962" s="580">
        <v>7664</v>
      </c>
      <c r="I1962" s="581" t="s">
        <v>4334</v>
      </c>
    </row>
    <row r="1963" spans="8:9" ht="16.3">
      <c r="H1963" s="580">
        <v>7664</v>
      </c>
      <c r="I1963" s="581" t="s">
        <v>4335</v>
      </c>
    </row>
    <row r="1964" spans="8:9" ht="16.3">
      <c r="H1964" s="580">
        <v>7664</v>
      </c>
      <c r="I1964" s="581" t="s">
        <v>4336</v>
      </c>
    </row>
    <row r="1965" spans="8:9" ht="16.3">
      <c r="H1965" s="580">
        <v>7666</v>
      </c>
      <c r="I1965" s="581" t="s">
        <v>4337</v>
      </c>
    </row>
    <row r="1966" spans="8:9" ht="16.3">
      <c r="H1966" s="580">
        <v>7668</v>
      </c>
      <c r="I1966" s="581" t="s">
        <v>4338</v>
      </c>
    </row>
    <row r="1967" spans="8:9" ht="16.3">
      <c r="H1967" s="580">
        <v>7668</v>
      </c>
      <c r="I1967" s="581" t="s">
        <v>4339</v>
      </c>
    </row>
    <row r="1968" spans="8:9" ht="16.3">
      <c r="H1968" s="580">
        <v>7671</v>
      </c>
      <c r="I1968" s="581" t="s">
        <v>4340</v>
      </c>
    </row>
    <row r="1969" spans="8:9" ht="16.3">
      <c r="H1969" s="580">
        <v>7671</v>
      </c>
      <c r="I1969" s="581" t="s">
        <v>4341</v>
      </c>
    </row>
    <row r="1970" spans="8:9" ht="16.3">
      <c r="H1970" s="580">
        <v>7671</v>
      </c>
      <c r="I1970" s="581" t="s">
        <v>4342</v>
      </c>
    </row>
    <row r="1971" spans="8:9" ht="16.3">
      <c r="H1971" s="580">
        <v>7672</v>
      </c>
      <c r="I1971" s="581" t="s">
        <v>4343</v>
      </c>
    </row>
    <row r="1972" spans="8:9" ht="16.3">
      <c r="H1972" s="580">
        <v>7673</v>
      </c>
      <c r="I1972" s="581" t="s">
        <v>4344</v>
      </c>
    </row>
    <row r="1973" spans="8:9" ht="16.3">
      <c r="H1973" s="580">
        <v>7673</v>
      </c>
      <c r="I1973" s="581" t="s">
        <v>4345</v>
      </c>
    </row>
    <row r="1974" spans="8:9" ht="16.3">
      <c r="H1974" s="580">
        <v>7675</v>
      </c>
      <c r="I1974" s="581" t="s">
        <v>4346</v>
      </c>
    </row>
    <row r="1975" spans="8:9" ht="16.3">
      <c r="H1975" s="580">
        <v>7675</v>
      </c>
      <c r="I1975" s="581" t="s">
        <v>4347</v>
      </c>
    </row>
    <row r="1976" spans="8:9" ht="16.3">
      <c r="H1976" s="580">
        <v>7677</v>
      </c>
      <c r="I1976" s="581" t="s">
        <v>4348</v>
      </c>
    </row>
    <row r="1977" spans="8:9" ht="16.3">
      <c r="H1977" s="580">
        <v>7678</v>
      </c>
      <c r="I1977" s="581" t="s">
        <v>4349</v>
      </c>
    </row>
    <row r="1978" spans="8:9" ht="16.3">
      <c r="H1978" s="580">
        <v>7678</v>
      </c>
      <c r="I1978" s="581" t="s">
        <v>4350</v>
      </c>
    </row>
    <row r="1979" spans="8:9" ht="16.3">
      <c r="H1979" s="580">
        <v>7678</v>
      </c>
      <c r="I1979" s="581" t="s">
        <v>4351</v>
      </c>
    </row>
    <row r="1980" spans="8:9" ht="16.3">
      <c r="H1980" s="580">
        <v>7681</v>
      </c>
      <c r="I1980" s="581" t="s">
        <v>4352</v>
      </c>
    </row>
    <row r="1981" spans="8:9" ht="16.3">
      <c r="H1981" s="580">
        <v>7681</v>
      </c>
      <c r="I1981" s="581" t="s">
        <v>4353</v>
      </c>
    </row>
    <row r="1982" spans="8:9" ht="16.3">
      <c r="H1982" s="580">
        <v>7681</v>
      </c>
      <c r="I1982" s="581" t="s">
        <v>4354</v>
      </c>
    </row>
    <row r="1983" spans="8:9" ht="16.3">
      <c r="H1983" s="580">
        <v>7682</v>
      </c>
      <c r="I1983" s="581" t="s">
        <v>4355</v>
      </c>
    </row>
    <row r="1984" spans="8:9" ht="16.3">
      <c r="H1984" s="580">
        <v>7683</v>
      </c>
      <c r="I1984" s="581" t="s">
        <v>4356</v>
      </c>
    </row>
    <row r="1985" spans="8:9" ht="16.3">
      <c r="H1985" s="580">
        <v>7683</v>
      </c>
      <c r="I1985" s="581" t="s">
        <v>4357</v>
      </c>
    </row>
    <row r="1986" spans="8:9" ht="16.3">
      <c r="H1986" s="580">
        <v>7683</v>
      </c>
      <c r="I1986" s="581" t="s">
        <v>4358</v>
      </c>
    </row>
    <row r="1987" spans="8:9" ht="16.3">
      <c r="H1987" s="580">
        <v>7694</v>
      </c>
      <c r="I1987" s="581" t="s">
        <v>4359</v>
      </c>
    </row>
    <row r="1988" spans="8:9" ht="16.3">
      <c r="H1988" s="580">
        <v>7695</v>
      </c>
      <c r="I1988" s="581" t="s">
        <v>4360</v>
      </c>
    </row>
    <row r="1989" spans="8:9" ht="16.3">
      <c r="H1989" s="580">
        <v>7695</v>
      </c>
      <c r="I1989" s="581" t="s">
        <v>4361</v>
      </c>
    </row>
    <row r="1990" spans="8:9" ht="16.3">
      <c r="H1990" s="580">
        <v>7695</v>
      </c>
      <c r="I1990" s="581" t="s">
        <v>4362</v>
      </c>
    </row>
    <row r="1991" spans="8:9" ht="16.3">
      <c r="H1991" s="580">
        <v>7696</v>
      </c>
      <c r="I1991" s="581" t="s">
        <v>4363</v>
      </c>
    </row>
    <row r="1992" spans="8:9" ht="16.3">
      <c r="H1992" s="580">
        <v>7700</v>
      </c>
      <c r="I1992" s="581" t="s">
        <v>1983</v>
      </c>
    </row>
    <row r="1993" spans="8:9" ht="16.3">
      <c r="H1993" s="580">
        <v>7711</v>
      </c>
      <c r="I1993" s="581" t="s">
        <v>4364</v>
      </c>
    </row>
    <row r="1994" spans="8:9" ht="16.3">
      <c r="H1994" s="580">
        <v>7712</v>
      </c>
      <c r="I1994" s="581" t="s">
        <v>4365</v>
      </c>
    </row>
    <row r="1995" spans="8:9" ht="16.3">
      <c r="H1995" s="580">
        <v>7714</v>
      </c>
      <c r="I1995" s="580" t="s">
        <v>1983</v>
      </c>
    </row>
    <row r="1996" spans="8:9" ht="16.3">
      <c r="H1996" s="580">
        <v>7715</v>
      </c>
      <c r="I1996" s="580" t="s">
        <v>1983</v>
      </c>
    </row>
    <row r="1997" spans="8:9" ht="16.3">
      <c r="H1997" s="580">
        <v>7716</v>
      </c>
      <c r="I1997" s="581" t="s">
        <v>4366</v>
      </c>
    </row>
    <row r="1998" spans="8:9" ht="16.3">
      <c r="H1998" s="580">
        <v>7717</v>
      </c>
      <c r="I1998" s="581" t="s">
        <v>4367</v>
      </c>
    </row>
    <row r="1999" spans="8:9" ht="16.3">
      <c r="H1999" s="580">
        <v>7718</v>
      </c>
      <c r="I1999" s="581" t="s">
        <v>4368</v>
      </c>
    </row>
    <row r="2000" spans="8:9" ht="16.3">
      <c r="H2000" s="580">
        <v>7720</v>
      </c>
      <c r="I2000" s="581" t="s">
        <v>4369</v>
      </c>
    </row>
    <row r="2001" spans="8:9" ht="16.3">
      <c r="H2001" s="580">
        <v>7720</v>
      </c>
      <c r="I2001" s="581" t="s">
        <v>4370</v>
      </c>
    </row>
    <row r="2002" spans="8:9" ht="16.3">
      <c r="H2002" s="580">
        <v>7720</v>
      </c>
      <c r="I2002" s="581" t="s">
        <v>4371</v>
      </c>
    </row>
    <row r="2003" spans="8:9" ht="16.3">
      <c r="H2003" s="580">
        <v>7720</v>
      </c>
      <c r="I2003" s="581" t="s">
        <v>4372</v>
      </c>
    </row>
    <row r="2004" spans="8:9" ht="16.3">
      <c r="H2004" s="580">
        <v>7720</v>
      </c>
      <c r="I2004" s="581" t="s">
        <v>4373</v>
      </c>
    </row>
    <row r="2005" spans="8:9" ht="16.3">
      <c r="H2005" s="580">
        <v>7723</v>
      </c>
      <c r="I2005" s="581" t="s">
        <v>4374</v>
      </c>
    </row>
    <row r="2006" spans="8:9" ht="16.3">
      <c r="H2006" s="580">
        <v>7724</v>
      </c>
      <c r="I2006" s="581" t="s">
        <v>2127</v>
      </c>
    </row>
    <row r="2007" spans="8:9" ht="16.3">
      <c r="H2007" s="580">
        <v>7725</v>
      </c>
      <c r="I2007" s="581" t="s">
        <v>4375</v>
      </c>
    </row>
    <row r="2008" spans="8:9" ht="16.3">
      <c r="H2008" s="580">
        <v>7726</v>
      </c>
      <c r="I2008" s="581" t="s">
        <v>4376</v>
      </c>
    </row>
    <row r="2009" spans="8:9" ht="16.3">
      <c r="H2009" s="580">
        <v>7727</v>
      </c>
      <c r="I2009" s="581" t="s">
        <v>4377</v>
      </c>
    </row>
    <row r="2010" spans="8:9" ht="16.3">
      <c r="H2010" s="580">
        <v>7728</v>
      </c>
      <c r="I2010" s="581" t="s">
        <v>4378</v>
      </c>
    </row>
    <row r="2011" spans="8:9" ht="16.3">
      <c r="H2011" s="580">
        <v>7728</v>
      </c>
      <c r="I2011" s="581" t="s">
        <v>4379</v>
      </c>
    </row>
    <row r="2012" spans="8:9" ht="16.3">
      <c r="H2012" s="580">
        <v>7731</v>
      </c>
      <c r="I2012" s="581" t="s">
        <v>4380</v>
      </c>
    </row>
    <row r="2013" spans="8:9" ht="16.3">
      <c r="H2013" s="580">
        <v>7732</v>
      </c>
      <c r="I2013" s="581" t="s">
        <v>4381</v>
      </c>
    </row>
    <row r="2014" spans="8:9" ht="16.3">
      <c r="H2014" s="580">
        <v>7733</v>
      </c>
      <c r="I2014" s="581" t="s">
        <v>4382</v>
      </c>
    </row>
    <row r="2015" spans="8:9" ht="16.3">
      <c r="H2015" s="580">
        <v>7733</v>
      </c>
      <c r="I2015" s="581" t="s">
        <v>4383</v>
      </c>
    </row>
    <row r="2016" spans="8:9" ht="16.3">
      <c r="H2016" s="580">
        <v>7735</v>
      </c>
      <c r="I2016" s="581" t="s">
        <v>4384</v>
      </c>
    </row>
    <row r="2017" spans="8:9" ht="16.3">
      <c r="H2017" s="580">
        <v>7735</v>
      </c>
      <c r="I2017" s="581" t="s">
        <v>4385</v>
      </c>
    </row>
    <row r="2018" spans="8:9" ht="16.3">
      <c r="H2018" s="580">
        <v>7735</v>
      </c>
      <c r="I2018" s="581" t="s">
        <v>4386</v>
      </c>
    </row>
    <row r="2019" spans="8:9" ht="16.3">
      <c r="H2019" s="580">
        <v>7737</v>
      </c>
      <c r="I2019" s="581" t="s">
        <v>4387</v>
      </c>
    </row>
    <row r="2020" spans="8:9" ht="16.3">
      <c r="H2020" s="580">
        <v>7741</v>
      </c>
      <c r="I2020" s="581" t="s">
        <v>4388</v>
      </c>
    </row>
    <row r="2021" spans="8:9" ht="16.3">
      <c r="H2021" s="580">
        <v>7742</v>
      </c>
      <c r="I2021" s="581" t="s">
        <v>4389</v>
      </c>
    </row>
    <row r="2022" spans="8:9" ht="16.3">
      <c r="H2022" s="580">
        <v>7743</v>
      </c>
      <c r="I2022" s="581" t="s">
        <v>4390</v>
      </c>
    </row>
    <row r="2023" spans="8:9" ht="16.3">
      <c r="H2023" s="580">
        <v>7744</v>
      </c>
      <c r="I2023" s="581" t="s">
        <v>4391</v>
      </c>
    </row>
    <row r="2024" spans="8:9" ht="16.3">
      <c r="H2024" s="580">
        <v>7745</v>
      </c>
      <c r="I2024" s="581" t="s">
        <v>4392</v>
      </c>
    </row>
    <row r="2025" spans="8:9" ht="16.3">
      <c r="H2025" s="580">
        <v>7745</v>
      </c>
      <c r="I2025" s="581" t="s">
        <v>4393</v>
      </c>
    </row>
    <row r="2026" spans="8:9" ht="16.3">
      <c r="H2026" s="580">
        <v>7747</v>
      </c>
      <c r="I2026" s="581" t="s">
        <v>4394</v>
      </c>
    </row>
    <row r="2027" spans="8:9" ht="16.3">
      <c r="H2027" s="580">
        <v>7747</v>
      </c>
      <c r="I2027" s="581" t="s">
        <v>4395</v>
      </c>
    </row>
    <row r="2028" spans="8:9" ht="16.3">
      <c r="H2028" s="580">
        <v>7751</v>
      </c>
      <c r="I2028" s="581" t="s">
        <v>4396</v>
      </c>
    </row>
    <row r="2029" spans="8:9" ht="16.3">
      <c r="H2029" s="580">
        <v>7751</v>
      </c>
      <c r="I2029" s="581" t="s">
        <v>4397</v>
      </c>
    </row>
    <row r="2030" spans="8:9" ht="16.3">
      <c r="H2030" s="580">
        <v>7752</v>
      </c>
      <c r="I2030" s="581" t="s">
        <v>4398</v>
      </c>
    </row>
    <row r="2031" spans="8:9" ht="16.3">
      <c r="H2031" s="580">
        <v>7753</v>
      </c>
      <c r="I2031" s="581" t="s">
        <v>4399</v>
      </c>
    </row>
    <row r="2032" spans="8:9" ht="16.3">
      <c r="H2032" s="580">
        <v>7754</v>
      </c>
      <c r="I2032" s="581" t="s">
        <v>4400</v>
      </c>
    </row>
    <row r="2033" spans="8:9" ht="16.3">
      <c r="H2033" s="580">
        <v>7755</v>
      </c>
      <c r="I2033" s="581" t="s">
        <v>4401</v>
      </c>
    </row>
    <row r="2034" spans="8:9" ht="16.3">
      <c r="H2034" s="580">
        <v>7756</v>
      </c>
      <c r="I2034" s="581" t="s">
        <v>4402</v>
      </c>
    </row>
    <row r="2035" spans="8:9" ht="16.3">
      <c r="H2035" s="580">
        <v>7756</v>
      </c>
      <c r="I2035" s="581" t="s">
        <v>4403</v>
      </c>
    </row>
    <row r="2036" spans="8:9" ht="16.3">
      <c r="H2036" s="580">
        <v>7756</v>
      </c>
      <c r="I2036" s="581" t="s">
        <v>4404</v>
      </c>
    </row>
    <row r="2037" spans="8:9" ht="16.3">
      <c r="H2037" s="580">
        <v>7756</v>
      </c>
      <c r="I2037" s="581" t="s">
        <v>4405</v>
      </c>
    </row>
    <row r="2038" spans="8:9" ht="16.3">
      <c r="H2038" s="580">
        <v>7757</v>
      </c>
      <c r="I2038" s="581" t="s">
        <v>4406</v>
      </c>
    </row>
    <row r="2039" spans="8:9" ht="16.3">
      <c r="H2039" s="580">
        <v>7757</v>
      </c>
      <c r="I2039" s="581" t="s">
        <v>4407</v>
      </c>
    </row>
    <row r="2040" spans="8:9" ht="16.3">
      <c r="H2040" s="580">
        <v>7759</v>
      </c>
      <c r="I2040" s="581" t="s">
        <v>4408</v>
      </c>
    </row>
    <row r="2041" spans="8:9" ht="16.3">
      <c r="H2041" s="580">
        <v>7759</v>
      </c>
      <c r="I2041" s="581" t="s">
        <v>4409</v>
      </c>
    </row>
    <row r="2042" spans="8:9" ht="16.3">
      <c r="H2042" s="580">
        <v>7761</v>
      </c>
      <c r="I2042" s="581" t="s">
        <v>2320</v>
      </c>
    </row>
    <row r="2043" spans="8:9" ht="16.3">
      <c r="H2043" s="580">
        <v>7761</v>
      </c>
      <c r="I2043" s="581" t="s">
        <v>4410</v>
      </c>
    </row>
    <row r="2044" spans="8:9" ht="16.3">
      <c r="H2044" s="580">
        <v>7761</v>
      </c>
      <c r="I2044" s="581" t="s">
        <v>4411</v>
      </c>
    </row>
    <row r="2045" spans="8:9" ht="16.3">
      <c r="H2045" s="580">
        <v>7762</v>
      </c>
      <c r="I2045" s="581" t="s">
        <v>4412</v>
      </c>
    </row>
    <row r="2046" spans="8:9" ht="16.3">
      <c r="H2046" s="580">
        <v>7763</v>
      </c>
      <c r="I2046" s="581" t="s">
        <v>4413</v>
      </c>
    </row>
    <row r="2047" spans="8:9" ht="16.3">
      <c r="H2047" s="580">
        <v>7763</v>
      </c>
      <c r="I2047" s="581" t="s">
        <v>4414</v>
      </c>
    </row>
    <row r="2048" spans="8:9" ht="16.3">
      <c r="H2048" s="580">
        <v>7763</v>
      </c>
      <c r="I2048" s="581" t="s">
        <v>4415</v>
      </c>
    </row>
    <row r="2049" spans="8:9" ht="16.3">
      <c r="H2049" s="580">
        <v>7763</v>
      </c>
      <c r="I2049" s="581" t="s">
        <v>4416</v>
      </c>
    </row>
    <row r="2050" spans="8:9" ht="16.3">
      <c r="H2050" s="580">
        <v>7763</v>
      </c>
      <c r="I2050" s="581" t="s">
        <v>4417</v>
      </c>
    </row>
    <row r="2051" spans="8:9" ht="16.3">
      <c r="H2051" s="580">
        <v>7766</v>
      </c>
      <c r="I2051" s="581" t="s">
        <v>4418</v>
      </c>
    </row>
    <row r="2052" spans="8:9" ht="16.3">
      <c r="H2052" s="580">
        <v>7766</v>
      </c>
      <c r="I2052" s="581" t="s">
        <v>4419</v>
      </c>
    </row>
    <row r="2053" spans="8:9" ht="16.3">
      <c r="H2053" s="580">
        <v>7766</v>
      </c>
      <c r="I2053" s="581" t="s">
        <v>4420</v>
      </c>
    </row>
    <row r="2054" spans="8:9" ht="16.3">
      <c r="H2054" s="580">
        <v>7766</v>
      </c>
      <c r="I2054" s="581" t="s">
        <v>4421</v>
      </c>
    </row>
    <row r="2055" spans="8:9" ht="16.3">
      <c r="H2055" s="580">
        <v>7768</v>
      </c>
      <c r="I2055" s="581" t="s">
        <v>4422</v>
      </c>
    </row>
    <row r="2056" spans="8:9" ht="16.3">
      <c r="H2056" s="580">
        <v>7768</v>
      </c>
      <c r="I2056" s="581" t="s">
        <v>4423</v>
      </c>
    </row>
    <row r="2057" spans="8:9" ht="16.3">
      <c r="H2057" s="580">
        <v>7771</v>
      </c>
      <c r="I2057" s="581" t="s">
        <v>4424</v>
      </c>
    </row>
    <row r="2058" spans="8:9" ht="16.3">
      <c r="H2058" s="580">
        <v>7772</v>
      </c>
      <c r="I2058" s="581" t="s">
        <v>4425</v>
      </c>
    </row>
    <row r="2059" spans="8:9" ht="16.3">
      <c r="H2059" s="580">
        <v>7772</v>
      </c>
      <c r="I2059" s="581" t="s">
        <v>4426</v>
      </c>
    </row>
    <row r="2060" spans="8:9" ht="16.3">
      <c r="H2060" s="580">
        <v>7773</v>
      </c>
      <c r="I2060" s="581" t="s">
        <v>4427</v>
      </c>
    </row>
    <row r="2061" spans="8:9" ht="16.3">
      <c r="H2061" s="580">
        <v>7773</v>
      </c>
      <c r="I2061" s="581" t="s">
        <v>4428</v>
      </c>
    </row>
    <row r="2062" spans="8:9" ht="16.3">
      <c r="H2062" s="580">
        <v>7774</v>
      </c>
      <c r="I2062" s="581" t="s">
        <v>4429</v>
      </c>
    </row>
    <row r="2063" spans="8:9" ht="16.3">
      <c r="H2063" s="580">
        <v>7775</v>
      </c>
      <c r="I2063" s="581" t="s">
        <v>4430</v>
      </c>
    </row>
    <row r="2064" spans="8:9" ht="16.3">
      <c r="H2064" s="580">
        <v>7775</v>
      </c>
      <c r="I2064" s="581" t="s">
        <v>4431</v>
      </c>
    </row>
    <row r="2065" spans="8:9" ht="16.3">
      <c r="H2065" s="580">
        <v>7775</v>
      </c>
      <c r="I2065" s="581" t="s">
        <v>4432</v>
      </c>
    </row>
    <row r="2066" spans="8:9" ht="16.3">
      <c r="H2066" s="580">
        <v>7775</v>
      </c>
      <c r="I2066" s="581" t="s">
        <v>4433</v>
      </c>
    </row>
    <row r="2067" spans="8:9" ht="16.3">
      <c r="H2067" s="580">
        <v>7781</v>
      </c>
      <c r="I2067" s="581" t="s">
        <v>4434</v>
      </c>
    </row>
    <row r="2068" spans="8:9" ht="16.3">
      <c r="H2068" s="580">
        <v>7781</v>
      </c>
      <c r="I2068" s="581" t="s">
        <v>4435</v>
      </c>
    </row>
    <row r="2069" spans="8:9" ht="16.3">
      <c r="H2069" s="580">
        <v>7781</v>
      </c>
      <c r="I2069" s="581" t="s">
        <v>4436</v>
      </c>
    </row>
    <row r="2070" spans="8:9" ht="16.3">
      <c r="H2070" s="580">
        <v>7782</v>
      </c>
      <c r="I2070" s="581" t="s">
        <v>4437</v>
      </c>
    </row>
    <row r="2071" spans="8:9" ht="16.3">
      <c r="H2071" s="580">
        <v>7783</v>
      </c>
      <c r="I2071" s="581" t="s">
        <v>4438</v>
      </c>
    </row>
    <row r="2072" spans="8:9" ht="16.3">
      <c r="H2072" s="580">
        <v>7784</v>
      </c>
      <c r="I2072" s="581" t="s">
        <v>4439</v>
      </c>
    </row>
    <row r="2073" spans="8:9" ht="16.3">
      <c r="H2073" s="580">
        <v>7785</v>
      </c>
      <c r="I2073" s="581" t="s">
        <v>4440</v>
      </c>
    </row>
    <row r="2074" spans="8:9" ht="16.3">
      <c r="H2074" s="580">
        <v>7800</v>
      </c>
      <c r="I2074" s="581" t="s">
        <v>4441</v>
      </c>
    </row>
    <row r="2075" spans="8:9" ht="16.3">
      <c r="H2075" s="580">
        <v>7800</v>
      </c>
      <c r="I2075" s="581" t="s">
        <v>4442</v>
      </c>
    </row>
    <row r="2076" spans="8:9" ht="16.3">
      <c r="H2076" s="580">
        <v>7800</v>
      </c>
      <c r="I2076" s="581" t="s">
        <v>4443</v>
      </c>
    </row>
    <row r="2077" spans="8:9" ht="16.3">
      <c r="H2077" s="580">
        <v>7811</v>
      </c>
      <c r="I2077" s="581" t="s">
        <v>4444</v>
      </c>
    </row>
    <row r="2078" spans="8:9" ht="16.3">
      <c r="H2078" s="580">
        <v>7811</v>
      </c>
      <c r="I2078" s="581" t="s">
        <v>4445</v>
      </c>
    </row>
    <row r="2079" spans="8:9" ht="16.3">
      <c r="H2079" s="580">
        <v>7811</v>
      </c>
      <c r="I2079" s="581" t="s">
        <v>4446</v>
      </c>
    </row>
    <row r="2080" spans="8:9" ht="16.3">
      <c r="H2080" s="580">
        <v>7811</v>
      </c>
      <c r="I2080" s="581" t="s">
        <v>4447</v>
      </c>
    </row>
    <row r="2081" spans="8:9" ht="16.3">
      <c r="H2081" s="580">
        <v>7811</v>
      </c>
      <c r="I2081" s="581" t="s">
        <v>4448</v>
      </c>
    </row>
    <row r="2082" spans="8:9" ht="16.3">
      <c r="H2082" s="580">
        <v>7811</v>
      </c>
      <c r="I2082" s="581" t="s">
        <v>4449</v>
      </c>
    </row>
    <row r="2083" spans="8:9" ht="16.3">
      <c r="H2083" s="580">
        <v>7812</v>
      </c>
      <c r="I2083" s="581" t="s">
        <v>4450</v>
      </c>
    </row>
    <row r="2084" spans="8:9" ht="16.3">
      <c r="H2084" s="580">
        <v>7813</v>
      </c>
      <c r="I2084" s="581" t="s">
        <v>4451</v>
      </c>
    </row>
    <row r="2085" spans="8:9" ht="16.3">
      <c r="H2085" s="580">
        <v>7814</v>
      </c>
      <c r="I2085" s="581" t="s">
        <v>4452</v>
      </c>
    </row>
    <row r="2086" spans="8:9" ht="16.3">
      <c r="H2086" s="580">
        <v>7814</v>
      </c>
      <c r="I2086" s="581" t="s">
        <v>4453</v>
      </c>
    </row>
    <row r="2087" spans="8:9" ht="16.3">
      <c r="H2087" s="580">
        <v>7814</v>
      </c>
      <c r="I2087" s="581" t="s">
        <v>4454</v>
      </c>
    </row>
    <row r="2088" spans="8:9" ht="16.3">
      <c r="H2088" s="580">
        <v>7814</v>
      </c>
      <c r="I2088" s="581" t="s">
        <v>4455</v>
      </c>
    </row>
    <row r="2089" spans="8:9" ht="16.3">
      <c r="H2089" s="580">
        <v>7815</v>
      </c>
      <c r="I2089" s="581" t="s">
        <v>4456</v>
      </c>
    </row>
    <row r="2090" spans="8:9" ht="16.3">
      <c r="H2090" s="580">
        <v>7817</v>
      </c>
      <c r="I2090" s="581" t="s">
        <v>4457</v>
      </c>
    </row>
    <row r="2091" spans="8:9" ht="16.3">
      <c r="H2091" s="580">
        <v>7817</v>
      </c>
      <c r="I2091" s="581" t="s">
        <v>4458</v>
      </c>
    </row>
    <row r="2092" spans="8:9" ht="16.3">
      <c r="H2092" s="580">
        <v>7817</v>
      </c>
      <c r="I2092" s="581" t="s">
        <v>4459</v>
      </c>
    </row>
    <row r="2093" spans="8:9" ht="16.3">
      <c r="H2093" s="580">
        <v>7822</v>
      </c>
      <c r="I2093" s="581" t="s">
        <v>4460</v>
      </c>
    </row>
    <row r="2094" spans="8:9" ht="16.3">
      <c r="H2094" s="580">
        <v>7823</v>
      </c>
      <c r="I2094" s="581" t="s">
        <v>4461</v>
      </c>
    </row>
    <row r="2095" spans="8:9" ht="16.3">
      <c r="H2095" s="580">
        <v>7823</v>
      </c>
      <c r="I2095" s="581" t="s">
        <v>4462</v>
      </c>
    </row>
    <row r="2096" spans="8:9" ht="16.3">
      <c r="H2096" s="580">
        <v>7824</v>
      </c>
      <c r="I2096" s="581" t="s">
        <v>4463</v>
      </c>
    </row>
    <row r="2097" spans="8:9" ht="16.3">
      <c r="H2097" s="580">
        <v>7825</v>
      </c>
      <c r="I2097" s="581" t="s">
        <v>4464</v>
      </c>
    </row>
    <row r="2098" spans="8:9" ht="16.3">
      <c r="H2098" s="580">
        <v>7826</v>
      </c>
      <c r="I2098" s="581" t="s">
        <v>4465</v>
      </c>
    </row>
    <row r="2099" spans="8:9" ht="16.3">
      <c r="H2099" s="580">
        <v>7827</v>
      </c>
      <c r="I2099" s="581" t="s">
        <v>4466</v>
      </c>
    </row>
    <row r="2100" spans="8:9" ht="16.3">
      <c r="H2100" s="580">
        <v>7827</v>
      </c>
      <c r="I2100" s="581" t="s">
        <v>4467</v>
      </c>
    </row>
    <row r="2101" spans="8:9" ht="16.3">
      <c r="H2101" s="580">
        <v>7831</v>
      </c>
      <c r="I2101" s="581" t="s">
        <v>4468</v>
      </c>
    </row>
    <row r="2102" spans="8:9" ht="16.3">
      <c r="H2102" s="580">
        <v>7833</v>
      </c>
      <c r="I2102" s="581" t="s">
        <v>4469</v>
      </c>
    </row>
    <row r="2103" spans="8:9" ht="16.3">
      <c r="H2103" s="580">
        <v>7833</v>
      </c>
      <c r="I2103" s="581" t="s">
        <v>4470</v>
      </c>
    </row>
    <row r="2104" spans="8:9" ht="16.3">
      <c r="H2104" s="580">
        <v>7833</v>
      </c>
      <c r="I2104" s="581" t="s">
        <v>4471</v>
      </c>
    </row>
    <row r="2105" spans="8:9" ht="16.3">
      <c r="H2105" s="580">
        <v>7834</v>
      </c>
      <c r="I2105" s="581" t="s">
        <v>4472</v>
      </c>
    </row>
    <row r="2106" spans="8:9" ht="16.3">
      <c r="H2106" s="580">
        <v>7834</v>
      </c>
      <c r="I2106" s="581" t="s">
        <v>4473</v>
      </c>
    </row>
    <row r="2107" spans="8:9" ht="16.3">
      <c r="H2107" s="580">
        <v>7834</v>
      </c>
      <c r="I2107" s="581" t="s">
        <v>4474</v>
      </c>
    </row>
    <row r="2108" spans="8:9" ht="16.3">
      <c r="H2108" s="580">
        <v>7836</v>
      </c>
      <c r="I2108" s="581" t="s">
        <v>4475</v>
      </c>
    </row>
    <row r="2109" spans="8:9" ht="16.3">
      <c r="H2109" s="580">
        <v>7836</v>
      </c>
      <c r="I2109" s="581" t="s">
        <v>4476</v>
      </c>
    </row>
    <row r="2110" spans="8:9" ht="16.3">
      <c r="H2110" s="580">
        <v>7837</v>
      </c>
      <c r="I2110" s="581" t="s">
        <v>4477</v>
      </c>
    </row>
    <row r="2111" spans="8:9" ht="16.3">
      <c r="H2111" s="580">
        <v>7838</v>
      </c>
      <c r="I2111" s="581" t="s">
        <v>4478</v>
      </c>
    </row>
    <row r="2112" spans="8:9" ht="16.3">
      <c r="H2112" s="580">
        <v>7838</v>
      </c>
      <c r="I2112" s="581" t="s">
        <v>4479</v>
      </c>
    </row>
    <row r="2113" spans="8:9" ht="16.3">
      <c r="H2113" s="580">
        <v>7838</v>
      </c>
      <c r="I2113" s="581" t="s">
        <v>4480</v>
      </c>
    </row>
    <row r="2114" spans="8:9" ht="16.3">
      <c r="H2114" s="580">
        <v>7838</v>
      </c>
      <c r="I2114" s="581" t="s">
        <v>4481</v>
      </c>
    </row>
    <row r="2115" spans="8:9" ht="16.3">
      <c r="H2115" s="580">
        <v>7838</v>
      </c>
      <c r="I2115" s="581" t="s">
        <v>4482</v>
      </c>
    </row>
    <row r="2116" spans="8:9" ht="16.3">
      <c r="H2116" s="580">
        <v>7838</v>
      </c>
      <c r="I2116" s="581" t="s">
        <v>4483</v>
      </c>
    </row>
    <row r="2117" spans="8:9" ht="16.3">
      <c r="H2117" s="580">
        <v>7838</v>
      </c>
      <c r="I2117" s="581" t="s">
        <v>4484</v>
      </c>
    </row>
    <row r="2118" spans="8:9" ht="16.3">
      <c r="H2118" s="580">
        <v>7838</v>
      </c>
      <c r="I2118" s="581" t="s">
        <v>4485</v>
      </c>
    </row>
    <row r="2119" spans="8:9" ht="16.3">
      <c r="H2119" s="580">
        <v>7839</v>
      </c>
      <c r="I2119" s="581" t="s">
        <v>4486</v>
      </c>
    </row>
    <row r="2120" spans="8:9" ht="16.3">
      <c r="H2120" s="580">
        <v>7839</v>
      </c>
      <c r="I2120" s="581" t="s">
        <v>4487</v>
      </c>
    </row>
    <row r="2121" spans="8:9" ht="16.3">
      <c r="H2121" s="580">
        <v>7841</v>
      </c>
      <c r="I2121" s="581" t="s">
        <v>4488</v>
      </c>
    </row>
    <row r="2122" spans="8:9" ht="16.3">
      <c r="H2122" s="580">
        <v>7841</v>
      </c>
      <c r="I2122" s="581" t="s">
        <v>4489</v>
      </c>
    </row>
    <row r="2123" spans="8:9" ht="16.3">
      <c r="H2123" s="580">
        <v>7841</v>
      </c>
      <c r="I2123" s="581" t="s">
        <v>4490</v>
      </c>
    </row>
    <row r="2124" spans="8:9" ht="16.3">
      <c r="H2124" s="580">
        <v>7841</v>
      </c>
      <c r="I2124" s="581" t="s">
        <v>4491</v>
      </c>
    </row>
    <row r="2125" spans="8:9" ht="16.3">
      <c r="H2125" s="580">
        <v>7841</v>
      </c>
      <c r="I2125" s="581" t="s">
        <v>4492</v>
      </c>
    </row>
    <row r="2126" spans="8:9" ht="16.3">
      <c r="H2126" s="580">
        <v>7843</v>
      </c>
      <c r="I2126" s="581" t="s">
        <v>4493</v>
      </c>
    </row>
    <row r="2127" spans="8:9" ht="16.3">
      <c r="H2127" s="580">
        <v>7843</v>
      </c>
      <c r="I2127" s="581" t="s">
        <v>4494</v>
      </c>
    </row>
    <row r="2128" spans="8:9" ht="16.3">
      <c r="H2128" s="580">
        <v>7843</v>
      </c>
      <c r="I2128" s="581" t="s">
        <v>4495</v>
      </c>
    </row>
    <row r="2129" spans="8:9" ht="16.3">
      <c r="H2129" s="580">
        <v>7843</v>
      </c>
      <c r="I2129" s="581" t="s">
        <v>4496</v>
      </c>
    </row>
    <row r="2130" spans="8:9" ht="16.3">
      <c r="H2130" s="580">
        <v>7843</v>
      </c>
      <c r="I2130" s="581" t="s">
        <v>4497</v>
      </c>
    </row>
    <row r="2131" spans="8:9" ht="16.3">
      <c r="H2131" s="580">
        <v>7846</v>
      </c>
      <c r="I2131" s="581" t="s">
        <v>4498</v>
      </c>
    </row>
    <row r="2132" spans="8:9" ht="16.3">
      <c r="H2132" s="580">
        <v>7847</v>
      </c>
      <c r="I2132" s="581" t="s">
        <v>4499</v>
      </c>
    </row>
    <row r="2133" spans="8:9" ht="16.3">
      <c r="H2133" s="580">
        <v>7847</v>
      </c>
      <c r="I2133" s="581" t="s">
        <v>4500</v>
      </c>
    </row>
    <row r="2134" spans="8:9" ht="16.3">
      <c r="H2134" s="580">
        <v>7847</v>
      </c>
      <c r="I2134" s="581" t="s">
        <v>4501</v>
      </c>
    </row>
    <row r="2135" spans="8:9" ht="16.3">
      <c r="H2135" s="580">
        <v>7849</v>
      </c>
      <c r="I2135" s="581" t="s">
        <v>4502</v>
      </c>
    </row>
    <row r="2136" spans="8:9" ht="16.3">
      <c r="H2136" s="580">
        <v>7850</v>
      </c>
      <c r="I2136" s="581" t="s">
        <v>4503</v>
      </c>
    </row>
    <row r="2137" spans="8:9" ht="16.3">
      <c r="H2137" s="580">
        <v>7851</v>
      </c>
      <c r="I2137" s="581" t="s">
        <v>4504</v>
      </c>
    </row>
    <row r="2138" spans="8:9" ht="16.3">
      <c r="H2138" s="580">
        <v>7853</v>
      </c>
      <c r="I2138" s="581" t="s">
        <v>4505</v>
      </c>
    </row>
    <row r="2139" spans="8:9" ht="16.3">
      <c r="H2139" s="580">
        <v>7854</v>
      </c>
      <c r="I2139" s="581" t="s">
        <v>4506</v>
      </c>
    </row>
    <row r="2140" spans="8:9" ht="16.3">
      <c r="H2140" s="580">
        <v>7900</v>
      </c>
      <c r="I2140" s="581" t="s">
        <v>1926</v>
      </c>
    </row>
    <row r="2141" spans="8:9" ht="16.3">
      <c r="H2141" s="580">
        <v>7900</v>
      </c>
      <c r="I2141" s="581" t="s">
        <v>4507</v>
      </c>
    </row>
    <row r="2142" spans="8:9" ht="16.3">
      <c r="H2142" s="580">
        <v>7900</v>
      </c>
      <c r="I2142" s="581" t="s">
        <v>4508</v>
      </c>
    </row>
    <row r="2143" spans="8:9" ht="16.3">
      <c r="H2143" s="580">
        <v>7912</v>
      </c>
      <c r="I2143" s="581" t="s">
        <v>4509</v>
      </c>
    </row>
    <row r="2144" spans="8:9" ht="16.3">
      <c r="H2144" s="580">
        <v>7912</v>
      </c>
      <c r="I2144" s="581" t="s">
        <v>4510</v>
      </c>
    </row>
    <row r="2145" spans="8:9" ht="16.3">
      <c r="H2145" s="580">
        <v>7912</v>
      </c>
      <c r="I2145" s="581" t="s">
        <v>4511</v>
      </c>
    </row>
    <row r="2146" spans="8:9" ht="16.3">
      <c r="H2146" s="580">
        <v>7913</v>
      </c>
      <c r="I2146" s="581" t="s">
        <v>4512</v>
      </c>
    </row>
    <row r="2147" spans="8:9" ht="16.3">
      <c r="H2147" s="580">
        <v>7914</v>
      </c>
      <c r="I2147" s="581" t="s">
        <v>4513</v>
      </c>
    </row>
    <row r="2148" spans="8:9" ht="16.3">
      <c r="H2148" s="580">
        <v>7914</v>
      </c>
      <c r="I2148" s="581" t="s">
        <v>4514</v>
      </c>
    </row>
    <row r="2149" spans="8:9" ht="16.3">
      <c r="H2149" s="580">
        <v>7914</v>
      </c>
      <c r="I2149" s="581" t="s">
        <v>4515</v>
      </c>
    </row>
    <row r="2150" spans="8:9" ht="16.3">
      <c r="H2150" s="580">
        <v>7915</v>
      </c>
      <c r="I2150" s="581" t="s">
        <v>4516</v>
      </c>
    </row>
    <row r="2151" spans="8:9" ht="16.3">
      <c r="H2151" s="580">
        <v>7915</v>
      </c>
      <c r="I2151" s="581" t="s">
        <v>4517</v>
      </c>
    </row>
    <row r="2152" spans="8:9" ht="16.3">
      <c r="H2152" s="580">
        <v>7918</v>
      </c>
      <c r="I2152" s="581" t="s">
        <v>4518</v>
      </c>
    </row>
    <row r="2153" spans="8:9" ht="16.3">
      <c r="H2153" s="580">
        <v>7918</v>
      </c>
      <c r="I2153" s="581" t="s">
        <v>4519</v>
      </c>
    </row>
    <row r="2154" spans="8:9" ht="16.3">
      <c r="H2154" s="580">
        <v>7918</v>
      </c>
      <c r="I2154" s="581" t="s">
        <v>4520</v>
      </c>
    </row>
    <row r="2155" spans="8:9" ht="16.3">
      <c r="H2155" s="580">
        <v>7921</v>
      </c>
      <c r="I2155" s="581" t="s">
        <v>4521</v>
      </c>
    </row>
    <row r="2156" spans="8:9" ht="16.3">
      <c r="H2156" s="580">
        <v>7922</v>
      </c>
      <c r="I2156" s="581" t="s">
        <v>4522</v>
      </c>
    </row>
    <row r="2157" spans="8:9" ht="16.3">
      <c r="H2157" s="580">
        <v>7923</v>
      </c>
      <c r="I2157" s="581" t="s">
        <v>4523</v>
      </c>
    </row>
    <row r="2158" spans="8:9" ht="16.3">
      <c r="H2158" s="580">
        <v>7923</v>
      </c>
      <c r="I2158" s="581" t="s">
        <v>4524</v>
      </c>
    </row>
    <row r="2159" spans="8:9" ht="16.3">
      <c r="H2159" s="580">
        <v>7924</v>
      </c>
      <c r="I2159" s="581" t="s">
        <v>4525</v>
      </c>
    </row>
    <row r="2160" spans="8:9" ht="16.3">
      <c r="H2160" s="580">
        <v>7925</v>
      </c>
      <c r="I2160" s="581" t="s">
        <v>4526</v>
      </c>
    </row>
    <row r="2161" spans="8:9" ht="16.3">
      <c r="H2161" s="580">
        <v>7925</v>
      </c>
      <c r="I2161" s="581" t="s">
        <v>4527</v>
      </c>
    </row>
    <row r="2162" spans="8:9" ht="16.3">
      <c r="H2162" s="580">
        <v>7926</v>
      </c>
      <c r="I2162" s="581" t="s">
        <v>4528</v>
      </c>
    </row>
    <row r="2163" spans="8:9" ht="16.3">
      <c r="H2163" s="580">
        <v>7932</v>
      </c>
      <c r="I2163" s="581" t="s">
        <v>4529</v>
      </c>
    </row>
    <row r="2164" spans="8:9" ht="16.3">
      <c r="H2164" s="580">
        <v>7932</v>
      </c>
      <c r="I2164" s="581" t="s">
        <v>4530</v>
      </c>
    </row>
    <row r="2165" spans="8:9" ht="16.3">
      <c r="H2165" s="580">
        <v>7932</v>
      </c>
      <c r="I2165" s="581" t="s">
        <v>4531</v>
      </c>
    </row>
    <row r="2166" spans="8:9" ht="16.3">
      <c r="H2166" s="580">
        <v>7934</v>
      </c>
      <c r="I2166" s="581" t="s">
        <v>4532</v>
      </c>
    </row>
    <row r="2167" spans="8:9" ht="16.3">
      <c r="H2167" s="580">
        <v>7935</v>
      </c>
      <c r="I2167" s="581" t="s">
        <v>4533</v>
      </c>
    </row>
    <row r="2168" spans="8:9" ht="16.3">
      <c r="H2168" s="580">
        <v>7935</v>
      </c>
      <c r="I2168" s="581" t="s">
        <v>4534</v>
      </c>
    </row>
    <row r="2169" spans="8:9" ht="16.3">
      <c r="H2169" s="580">
        <v>7935</v>
      </c>
      <c r="I2169" s="581" t="s">
        <v>4535</v>
      </c>
    </row>
    <row r="2170" spans="8:9" ht="16.3">
      <c r="H2170" s="580">
        <v>7936</v>
      </c>
      <c r="I2170" s="581" t="s">
        <v>4536</v>
      </c>
    </row>
    <row r="2171" spans="8:9" ht="16.3">
      <c r="H2171" s="580">
        <v>7937</v>
      </c>
      <c r="I2171" s="581" t="s">
        <v>4537</v>
      </c>
    </row>
    <row r="2172" spans="8:9" ht="16.3">
      <c r="H2172" s="580">
        <v>7940</v>
      </c>
      <c r="I2172" s="581" t="s">
        <v>4538</v>
      </c>
    </row>
    <row r="2173" spans="8:9" ht="16.3">
      <c r="H2173" s="580">
        <v>7940</v>
      </c>
      <c r="I2173" s="581" t="s">
        <v>4539</v>
      </c>
    </row>
    <row r="2174" spans="8:9" ht="16.3">
      <c r="H2174" s="580">
        <v>7940</v>
      </c>
      <c r="I2174" s="581" t="s">
        <v>4540</v>
      </c>
    </row>
    <row r="2175" spans="8:9" ht="16.3">
      <c r="H2175" s="580">
        <v>7951</v>
      </c>
      <c r="I2175" s="581" t="s">
        <v>4541</v>
      </c>
    </row>
    <row r="2176" spans="8:9" ht="16.3">
      <c r="H2176" s="580">
        <v>7951</v>
      </c>
      <c r="I2176" s="581" t="s">
        <v>4542</v>
      </c>
    </row>
    <row r="2177" spans="8:9" ht="16.3">
      <c r="H2177" s="580">
        <v>7951</v>
      </c>
      <c r="I2177" s="581" t="s">
        <v>4543</v>
      </c>
    </row>
    <row r="2178" spans="8:9" ht="16.3">
      <c r="H2178" s="580">
        <v>7951</v>
      </c>
      <c r="I2178" s="581" t="s">
        <v>4544</v>
      </c>
    </row>
    <row r="2179" spans="8:9" ht="16.3">
      <c r="H2179" s="580">
        <v>7953</v>
      </c>
      <c r="I2179" s="581" t="s">
        <v>4545</v>
      </c>
    </row>
    <row r="2180" spans="8:9" ht="16.3">
      <c r="H2180" s="580">
        <v>7954</v>
      </c>
      <c r="I2180" s="581" t="s">
        <v>4546</v>
      </c>
    </row>
    <row r="2181" spans="8:9" ht="16.3">
      <c r="H2181" s="580">
        <v>7954</v>
      </c>
      <c r="I2181" s="581" t="s">
        <v>4547</v>
      </c>
    </row>
    <row r="2182" spans="8:9" ht="16.3">
      <c r="H2182" s="580">
        <v>7954</v>
      </c>
      <c r="I2182" s="581" t="s">
        <v>4548</v>
      </c>
    </row>
    <row r="2183" spans="8:9" ht="16.3">
      <c r="H2183" s="580">
        <v>7954</v>
      </c>
      <c r="I2183" s="581" t="s">
        <v>4549</v>
      </c>
    </row>
    <row r="2184" spans="8:9" ht="16.3">
      <c r="H2184" s="580">
        <v>7954</v>
      </c>
      <c r="I2184" s="581" t="s">
        <v>4550</v>
      </c>
    </row>
    <row r="2185" spans="8:9" ht="16.3">
      <c r="H2185" s="580">
        <v>7957</v>
      </c>
      <c r="I2185" s="581" t="s">
        <v>4551</v>
      </c>
    </row>
    <row r="2186" spans="8:9" ht="16.3">
      <c r="H2186" s="580">
        <v>7958</v>
      </c>
      <c r="I2186" s="581" t="s">
        <v>4552</v>
      </c>
    </row>
    <row r="2187" spans="8:9" ht="16.3">
      <c r="H2187" s="580">
        <v>7960</v>
      </c>
      <c r="I2187" s="581" t="s">
        <v>4553</v>
      </c>
    </row>
    <row r="2188" spans="8:9" ht="16.3">
      <c r="H2188" s="580">
        <v>7960</v>
      </c>
      <c r="I2188" s="581" t="s">
        <v>4554</v>
      </c>
    </row>
    <row r="2189" spans="8:9" ht="16.3">
      <c r="H2189" s="580">
        <v>7960</v>
      </c>
      <c r="I2189" s="581" t="s">
        <v>4555</v>
      </c>
    </row>
    <row r="2190" spans="8:9" ht="16.3">
      <c r="H2190" s="580">
        <v>7960</v>
      </c>
      <c r="I2190" s="581" t="s">
        <v>4556</v>
      </c>
    </row>
    <row r="2191" spans="8:9" ht="16.3">
      <c r="H2191" s="580">
        <v>7960</v>
      </c>
      <c r="I2191" s="581" t="s">
        <v>4557</v>
      </c>
    </row>
    <row r="2192" spans="8:9" ht="16.3">
      <c r="H2192" s="580">
        <v>7960</v>
      </c>
      <c r="I2192" s="581" t="s">
        <v>4558</v>
      </c>
    </row>
    <row r="2193" spans="8:9" ht="16.3">
      <c r="H2193" s="580">
        <v>7964</v>
      </c>
      <c r="I2193" s="581" t="s">
        <v>4559</v>
      </c>
    </row>
    <row r="2194" spans="8:9" ht="16.3">
      <c r="H2194" s="580">
        <v>7966</v>
      </c>
      <c r="I2194" s="581" t="s">
        <v>4560</v>
      </c>
    </row>
    <row r="2195" spans="8:9" ht="16.3">
      <c r="H2195" s="580">
        <v>7967</v>
      </c>
      <c r="I2195" s="581" t="s">
        <v>4561</v>
      </c>
    </row>
    <row r="2196" spans="8:9" ht="16.3">
      <c r="H2196" s="580">
        <v>7967</v>
      </c>
      <c r="I2196" s="581" t="s">
        <v>4562</v>
      </c>
    </row>
    <row r="2197" spans="8:9" ht="16.3">
      <c r="H2197" s="580">
        <v>7967</v>
      </c>
      <c r="I2197" s="581" t="s">
        <v>4563</v>
      </c>
    </row>
    <row r="2198" spans="8:9" ht="16.3">
      <c r="H2198" s="580">
        <v>7968</v>
      </c>
      <c r="I2198" s="581" t="s">
        <v>4564</v>
      </c>
    </row>
    <row r="2199" spans="8:9" ht="16.3">
      <c r="H2199" s="580">
        <v>7971</v>
      </c>
      <c r="I2199" s="581" t="s">
        <v>4565</v>
      </c>
    </row>
    <row r="2200" spans="8:9" ht="16.3">
      <c r="H2200" s="580">
        <v>7972</v>
      </c>
      <c r="I2200" s="581" t="s">
        <v>4566</v>
      </c>
    </row>
    <row r="2201" spans="8:9" ht="16.3">
      <c r="H2201" s="580">
        <v>7973</v>
      </c>
      <c r="I2201" s="581" t="s">
        <v>4567</v>
      </c>
    </row>
    <row r="2202" spans="8:9" ht="16.3">
      <c r="H2202" s="580">
        <v>7973</v>
      </c>
      <c r="I2202" s="581" t="s">
        <v>4568</v>
      </c>
    </row>
    <row r="2203" spans="8:9" ht="16.3">
      <c r="H2203" s="580">
        <v>7973</v>
      </c>
      <c r="I2203" s="581" t="s">
        <v>4569</v>
      </c>
    </row>
    <row r="2204" spans="8:9" ht="16.3">
      <c r="H2204" s="580">
        <v>7973</v>
      </c>
      <c r="I2204" s="581" t="s">
        <v>4570</v>
      </c>
    </row>
    <row r="2205" spans="8:9" ht="16.3">
      <c r="H2205" s="580">
        <v>7975</v>
      </c>
      <c r="I2205" s="581" t="s">
        <v>4571</v>
      </c>
    </row>
    <row r="2206" spans="8:9" ht="16.3">
      <c r="H2206" s="580">
        <v>7976</v>
      </c>
      <c r="I2206" s="581" t="s">
        <v>4572</v>
      </c>
    </row>
    <row r="2207" spans="8:9" ht="16.3">
      <c r="H2207" s="580">
        <v>7976</v>
      </c>
      <c r="I2207" s="581" t="s">
        <v>4573</v>
      </c>
    </row>
    <row r="2208" spans="8:9" ht="16.3">
      <c r="H2208" s="580">
        <v>7977</v>
      </c>
      <c r="I2208" s="581" t="s">
        <v>4574</v>
      </c>
    </row>
    <row r="2209" spans="8:9" ht="16.3">
      <c r="H2209" s="580">
        <v>7977</v>
      </c>
      <c r="I2209" s="581" t="s">
        <v>4575</v>
      </c>
    </row>
    <row r="2210" spans="8:9" ht="16.3">
      <c r="H2210" s="580">
        <v>7977</v>
      </c>
      <c r="I2210" s="581" t="s">
        <v>4576</v>
      </c>
    </row>
    <row r="2211" spans="8:9" ht="16.3">
      <c r="H2211" s="580">
        <v>7979</v>
      </c>
      <c r="I2211" s="581" t="s">
        <v>4577</v>
      </c>
    </row>
    <row r="2212" spans="8:9" ht="16.3">
      <c r="H2212" s="580">
        <v>7980</v>
      </c>
      <c r="I2212" s="581" t="s">
        <v>4578</v>
      </c>
    </row>
    <row r="2213" spans="8:9" ht="16.3">
      <c r="H2213" s="580">
        <v>7981</v>
      </c>
      <c r="I2213" s="581" t="s">
        <v>4579</v>
      </c>
    </row>
    <row r="2214" spans="8:9" ht="16.3">
      <c r="H2214" s="580">
        <v>7981</v>
      </c>
      <c r="I2214" s="581" t="s">
        <v>4580</v>
      </c>
    </row>
    <row r="2215" spans="8:9" ht="16.3">
      <c r="H2215" s="580">
        <v>7981</v>
      </c>
      <c r="I2215" s="581" t="s">
        <v>4581</v>
      </c>
    </row>
    <row r="2216" spans="8:9" ht="16.3">
      <c r="H2216" s="580">
        <v>7981</v>
      </c>
      <c r="I2216" s="581" t="s">
        <v>4582</v>
      </c>
    </row>
    <row r="2217" spans="8:9" ht="16.3">
      <c r="H2217" s="580">
        <v>7981</v>
      </c>
      <c r="I2217" s="581" t="s">
        <v>4583</v>
      </c>
    </row>
    <row r="2218" spans="8:9" ht="16.3">
      <c r="H2218" s="580">
        <v>7985</v>
      </c>
      <c r="I2218" s="581" t="s">
        <v>4584</v>
      </c>
    </row>
    <row r="2219" spans="8:9" ht="16.3">
      <c r="H2219" s="580">
        <v>7985</v>
      </c>
      <c r="I2219" s="581" t="s">
        <v>4585</v>
      </c>
    </row>
    <row r="2220" spans="8:9" ht="16.3">
      <c r="H2220" s="580">
        <v>7987</v>
      </c>
      <c r="I2220" s="581" t="s">
        <v>4586</v>
      </c>
    </row>
    <row r="2221" spans="8:9" ht="16.3">
      <c r="H2221" s="580">
        <v>7988</v>
      </c>
      <c r="I2221" s="581" t="s">
        <v>4587</v>
      </c>
    </row>
    <row r="2222" spans="8:9" ht="16.3">
      <c r="H2222" s="580">
        <v>8000</v>
      </c>
      <c r="I2222" s="581" t="s">
        <v>1958</v>
      </c>
    </row>
    <row r="2223" spans="8:9" ht="16.3">
      <c r="H2223" s="580">
        <v>8019</v>
      </c>
      <c r="I2223" s="580" t="s">
        <v>1958</v>
      </c>
    </row>
    <row r="2224" spans="8:9" ht="16.3">
      <c r="H2224" s="580">
        <v>8041</v>
      </c>
      <c r="I2224" s="581" t="s">
        <v>4588</v>
      </c>
    </row>
    <row r="2225" spans="8:9" ht="16.3">
      <c r="H2225" s="580">
        <v>8042</v>
      </c>
      <c r="I2225" s="581" t="s">
        <v>4589</v>
      </c>
    </row>
    <row r="2226" spans="8:9" ht="16.3">
      <c r="H2226" s="580">
        <v>8043</v>
      </c>
      <c r="I2226" s="581" t="s">
        <v>4590</v>
      </c>
    </row>
    <row r="2227" spans="8:9" ht="16.3">
      <c r="H2227" s="580">
        <v>8044</v>
      </c>
      <c r="I2227" s="581" t="s">
        <v>4591</v>
      </c>
    </row>
    <row r="2228" spans="8:9" ht="16.3">
      <c r="H2228" s="580">
        <v>8045</v>
      </c>
      <c r="I2228" s="581" t="s">
        <v>4592</v>
      </c>
    </row>
    <row r="2229" spans="8:9" ht="16.3">
      <c r="H2229" s="580">
        <v>8046</v>
      </c>
      <c r="I2229" s="581" t="s">
        <v>4593</v>
      </c>
    </row>
    <row r="2230" spans="8:9" ht="16.3">
      <c r="H2230" s="580">
        <v>8051</v>
      </c>
      <c r="I2230" s="581" t="s">
        <v>4594</v>
      </c>
    </row>
    <row r="2231" spans="8:9" ht="16.3">
      <c r="H2231" s="580">
        <v>8052</v>
      </c>
      <c r="I2231" s="581" t="s">
        <v>4595</v>
      </c>
    </row>
    <row r="2232" spans="8:9" ht="16.3">
      <c r="H2232" s="580">
        <v>8053</v>
      </c>
      <c r="I2232" s="581" t="s">
        <v>4596</v>
      </c>
    </row>
    <row r="2233" spans="8:9" ht="16.3">
      <c r="H2233" s="580">
        <v>8054</v>
      </c>
      <c r="I2233" s="580" t="s">
        <v>4597</v>
      </c>
    </row>
    <row r="2234" spans="8:9" ht="16.3">
      <c r="H2234" s="580">
        <v>8055</v>
      </c>
      <c r="I2234" s="581" t="s">
        <v>4597</v>
      </c>
    </row>
    <row r="2235" spans="8:9" ht="16.3">
      <c r="H2235" s="580">
        <v>8056</v>
      </c>
      <c r="I2235" s="581" t="s">
        <v>4598</v>
      </c>
    </row>
    <row r="2236" spans="8:9" ht="16.3">
      <c r="H2236" s="580">
        <v>8060</v>
      </c>
      <c r="I2236" s="581" t="s">
        <v>2244</v>
      </c>
    </row>
    <row r="2237" spans="8:9" ht="16.3">
      <c r="H2237" s="580">
        <v>8065</v>
      </c>
      <c r="I2237" s="581" t="s">
        <v>4599</v>
      </c>
    </row>
    <row r="2238" spans="8:9" ht="16.3">
      <c r="H2238" s="580">
        <v>8066</v>
      </c>
      <c r="I2238" s="581" t="s">
        <v>4600</v>
      </c>
    </row>
    <row r="2239" spans="8:9" ht="16.3">
      <c r="H2239" s="580">
        <v>8071</v>
      </c>
      <c r="I2239" s="581" t="s">
        <v>4601</v>
      </c>
    </row>
    <row r="2240" spans="8:9" ht="16.3">
      <c r="H2240" s="580">
        <v>8072</v>
      </c>
      <c r="I2240" s="581" t="s">
        <v>4602</v>
      </c>
    </row>
    <row r="2241" spans="8:9" ht="16.3">
      <c r="H2241" s="580">
        <v>8073</v>
      </c>
      <c r="I2241" s="581" t="s">
        <v>4603</v>
      </c>
    </row>
    <row r="2242" spans="8:9" ht="16.3">
      <c r="H2242" s="580">
        <v>8074</v>
      </c>
      <c r="I2242" s="581" t="s">
        <v>4604</v>
      </c>
    </row>
    <row r="2243" spans="8:9" ht="16.3">
      <c r="H2243" s="580">
        <v>8080</v>
      </c>
      <c r="I2243" s="581" t="s">
        <v>4605</v>
      </c>
    </row>
    <row r="2244" spans="8:9" ht="16.3">
      <c r="H2244" s="580">
        <v>8081</v>
      </c>
      <c r="I2244" s="581" t="s">
        <v>4606</v>
      </c>
    </row>
    <row r="2245" spans="8:9" ht="16.3">
      <c r="H2245" s="580">
        <v>8082</v>
      </c>
      <c r="I2245" s="581" t="s">
        <v>4607</v>
      </c>
    </row>
    <row r="2246" spans="8:9" ht="16.3">
      <c r="H2246" s="580">
        <v>8083</v>
      </c>
      <c r="I2246" s="581" t="s">
        <v>4608</v>
      </c>
    </row>
    <row r="2247" spans="8:9" ht="16.3">
      <c r="H2247" s="580">
        <v>8085</v>
      </c>
      <c r="I2247" s="581" t="s">
        <v>4609</v>
      </c>
    </row>
    <row r="2248" spans="8:9" ht="16.3">
      <c r="H2248" s="580">
        <v>8086</v>
      </c>
      <c r="I2248" s="581" t="s">
        <v>2261</v>
      </c>
    </row>
    <row r="2249" spans="8:9" ht="16.3">
      <c r="H2249" s="580">
        <v>8087</v>
      </c>
      <c r="I2249" s="581" t="s">
        <v>4610</v>
      </c>
    </row>
    <row r="2250" spans="8:9" ht="16.3">
      <c r="H2250" s="580">
        <v>8088</v>
      </c>
      <c r="I2250" s="581" t="s">
        <v>2004</v>
      </c>
    </row>
    <row r="2251" spans="8:9" ht="16.3">
      <c r="H2251" s="580">
        <v>8089</v>
      </c>
      <c r="I2251" s="581" t="s">
        <v>4611</v>
      </c>
    </row>
    <row r="2252" spans="8:9" ht="16.3">
      <c r="H2252" s="580">
        <v>8092</v>
      </c>
      <c r="I2252" s="581" t="s">
        <v>4612</v>
      </c>
    </row>
    <row r="2253" spans="8:9" ht="16.3">
      <c r="H2253" s="580">
        <v>8093</v>
      </c>
      <c r="I2253" s="581" t="s">
        <v>4613</v>
      </c>
    </row>
    <row r="2254" spans="8:9" ht="16.3">
      <c r="H2254" s="580">
        <v>8095</v>
      </c>
      <c r="I2254" s="581" t="s">
        <v>4614</v>
      </c>
    </row>
    <row r="2255" spans="8:9" ht="16.3">
      <c r="H2255" s="580">
        <v>8096</v>
      </c>
      <c r="I2255" s="581" t="s">
        <v>4615</v>
      </c>
    </row>
    <row r="2256" spans="8:9" ht="16.3">
      <c r="H2256" s="580">
        <v>8097</v>
      </c>
      <c r="I2256" s="581" t="s">
        <v>4616</v>
      </c>
    </row>
    <row r="2257" spans="8:9" ht="16.3">
      <c r="H2257" s="580">
        <v>8100</v>
      </c>
      <c r="I2257" s="581" t="s">
        <v>2199</v>
      </c>
    </row>
    <row r="2258" spans="8:9" ht="16.3">
      <c r="H2258" s="580">
        <v>8105</v>
      </c>
      <c r="I2258" s="581" t="s">
        <v>2194</v>
      </c>
    </row>
    <row r="2259" spans="8:9" ht="16.3">
      <c r="H2259" s="580">
        <v>8109</v>
      </c>
      <c r="I2259" s="581" t="s">
        <v>2293</v>
      </c>
    </row>
    <row r="2260" spans="8:9" ht="16.3">
      <c r="H2260" s="580">
        <v>8111</v>
      </c>
      <c r="I2260" s="581" t="s">
        <v>4617</v>
      </c>
    </row>
    <row r="2261" spans="8:9" ht="16.3">
      <c r="H2261" s="580">
        <v>8112</v>
      </c>
      <c r="I2261" s="581" t="s">
        <v>4618</v>
      </c>
    </row>
    <row r="2262" spans="8:9" ht="16.3">
      <c r="H2262" s="580">
        <v>8121</v>
      </c>
      <c r="I2262" s="581" t="s">
        <v>4619</v>
      </c>
    </row>
    <row r="2263" spans="8:9" ht="16.3">
      <c r="H2263" s="580">
        <v>8122</v>
      </c>
      <c r="I2263" s="581" t="s">
        <v>4620</v>
      </c>
    </row>
    <row r="2264" spans="8:9" ht="16.3">
      <c r="H2264" s="580">
        <v>8123</v>
      </c>
      <c r="I2264" s="581" t="s">
        <v>4621</v>
      </c>
    </row>
    <row r="2265" spans="8:9" ht="16.3">
      <c r="H2265" s="580">
        <v>8124</v>
      </c>
      <c r="I2265" s="581" t="s">
        <v>4622</v>
      </c>
    </row>
    <row r="2266" spans="8:9" ht="16.3">
      <c r="H2266" s="580">
        <v>8125</v>
      </c>
      <c r="I2266" s="581" t="s">
        <v>2079</v>
      </c>
    </row>
    <row r="2267" spans="8:9" ht="16.3">
      <c r="H2267" s="580">
        <v>8126</v>
      </c>
      <c r="I2267" s="581" t="s">
        <v>4623</v>
      </c>
    </row>
    <row r="2268" spans="8:9" ht="16.3">
      <c r="H2268" s="580">
        <v>8127</v>
      </c>
      <c r="I2268" s="581" t="s">
        <v>4624</v>
      </c>
    </row>
    <row r="2269" spans="8:9" ht="16.3">
      <c r="H2269" s="580">
        <v>8130</v>
      </c>
      <c r="I2269" s="581" t="s">
        <v>4625</v>
      </c>
    </row>
    <row r="2270" spans="8:9" ht="16.3">
      <c r="H2270" s="580">
        <v>8131</v>
      </c>
      <c r="I2270" s="580" t="s">
        <v>4625</v>
      </c>
    </row>
    <row r="2271" spans="8:9" ht="16.3">
      <c r="H2271" s="580">
        <v>8132</v>
      </c>
      <c r="I2271" s="581" t="s">
        <v>4626</v>
      </c>
    </row>
    <row r="2272" spans="8:9" ht="16.3">
      <c r="H2272" s="580">
        <v>8133</v>
      </c>
      <c r="I2272" s="581" t="s">
        <v>4627</v>
      </c>
    </row>
    <row r="2273" spans="8:9" ht="16.3">
      <c r="H2273" s="580">
        <v>8134</v>
      </c>
      <c r="I2273" s="581" t="s">
        <v>4628</v>
      </c>
    </row>
    <row r="2274" spans="8:9" ht="16.3">
      <c r="H2274" s="580">
        <v>8135</v>
      </c>
      <c r="I2274" s="581" t="s">
        <v>4629</v>
      </c>
    </row>
    <row r="2275" spans="8:9" ht="16.3">
      <c r="H2275" s="580">
        <v>8136</v>
      </c>
      <c r="I2275" s="581" t="s">
        <v>4630</v>
      </c>
    </row>
    <row r="2276" spans="8:9" ht="16.3">
      <c r="H2276" s="580">
        <v>8137</v>
      </c>
      <c r="I2276" s="581" t="s">
        <v>4631</v>
      </c>
    </row>
    <row r="2277" spans="8:9" ht="16.3">
      <c r="H2277" s="580">
        <v>8138</v>
      </c>
      <c r="I2277" s="581" t="s">
        <v>4632</v>
      </c>
    </row>
    <row r="2278" spans="8:9" ht="16.3">
      <c r="H2278" s="580">
        <v>8139</v>
      </c>
      <c r="I2278" s="581" t="s">
        <v>4632</v>
      </c>
    </row>
    <row r="2279" spans="8:9" ht="16.3">
      <c r="H2279" s="580">
        <v>8142</v>
      </c>
      <c r="I2279" s="581" t="s">
        <v>4633</v>
      </c>
    </row>
    <row r="2280" spans="8:9" ht="16.3">
      <c r="H2280" s="580">
        <v>8143</v>
      </c>
      <c r="I2280" s="581" t="s">
        <v>4634</v>
      </c>
    </row>
    <row r="2281" spans="8:9" ht="16.3">
      <c r="H2281" s="580">
        <v>8144</v>
      </c>
      <c r="I2281" s="581" t="s">
        <v>4635</v>
      </c>
    </row>
    <row r="2282" spans="8:9" ht="16.3">
      <c r="H2282" s="580">
        <v>8145</v>
      </c>
      <c r="I2282" s="581" t="s">
        <v>4636</v>
      </c>
    </row>
    <row r="2283" spans="8:9" ht="16.3">
      <c r="H2283" s="580">
        <v>8146</v>
      </c>
      <c r="I2283" s="581" t="s">
        <v>4637</v>
      </c>
    </row>
    <row r="2284" spans="8:9" ht="16.3">
      <c r="H2284" s="580">
        <v>8151</v>
      </c>
      <c r="I2284" s="581" t="s">
        <v>2121</v>
      </c>
    </row>
    <row r="2285" spans="8:9" ht="16.3">
      <c r="H2285" s="580">
        <v>8152</v>
      </c>
      <c r="I2285" s="581" t="s">
        <v>4638</v>
      </c>
    </row>
    <row r="2286" spans="8:9" ht="16.3">
      <c r="H2286" s="580">
        <v>8154</v>
      </c>
      <c r="I2286" s="581" t="s">
        <v>4639</v>
      </c>
    </row>
    <row r="2287" spans="8:9" ht="16.3">
      <c r="H2287" s="580">
        <v>8156</v>
      </c>
      <c r="I2287" s="581" t="s">
        <v>4640</v>
      </c>
    </row>
    <row r="2288" spans="8:9" ht="16.3">
      <c r="H2288" s="580">
        <v>8157</v>
      </c>
      <c r="I2288" s="581" t="s">
        <v>4641</v>
      </c>
    </row>
    <row r="2289" spans="8:9" ht="16.3">
      <c r="H2289" s="580">
        <v>8161</v>
      </c>
      <c r="I2289" s="581" t="s">
        <v>4642</v>
      </c>
    </row>
    <row r="2290" spans="8:9" ht="16.3">
      <c r="H2290" s="580">
        <v>8162</v>
      </c>
      <c r="I2290" s="581" t="s">
        <v>4643</v>
      </c>
    </row>
    <row r="2291" spans="8:9" ht="16.3">
      <c r="H2291" s="580">
        <v>8163</v>
      </c>
      <c r="I2291" s="581" t="s">
        <v>4644</v>
      </c>
    </row>
    <row r="2292" spans="8:9" ht="16.3">
      <c r="H2292" s="580">
        <v>8164</v>
      </c>
      <c r="I2292" s="581" t="s">
        <v>4645</v>
      </c>
    </row>
    <row r="2293" spans="8:9" ht="16.3">
      <c r="H2293" s="580">
        <v>8171</v>
      </c>
      <c r="I2293" s="581" t="s">
        <v>4646</v>
      </c>
    </row>
    <row r="2294" spans="8:9" ht="16.3">
      <c r="H2294" s="580">
        <v>8172</v>
      </c>
      <c r="I2294" s="580" t="s">
        <v>2283</v>
      </c>
    </row>
    <row r="2295" spans="8:9" ht="16.3">
      <c r="H2295" s="580">
        <v>8174</v>
      </c>
      <c r="I2295" s="581" t="s">
        <v>4647</v>
      </c>
    </row>
    <row r="2296" spans="8:9" ht="16.3">
      <c r="H2296" s="580">
        <v>8175</v>
      </c>
      <c r="I2296" s="581" t="s">
        <v>4648</v>
      </c>
    </row>
    <row r="2297" spans="8:9" ht="16.3">
      <c r="H2297" s="580">
        <v>8181</v>
      </c>
      <c r="I2297" s="581" t="s">
        <v>4649</v>
      </c>
    </row>
    <row r="2298" spans="8:9" ht="16.3">
      <c r="H2298" s="580">
        <v>8182</v>
      </c>
      <c r="I2298" s="580" t="s">
        <v>4649</v>
      </c>
    </row>
    <row r="2299" spans="8:9" ht="16.3">
      <c r="H2299" s="580">
        <v>8183</v>
      </c>
      <c r="I2299" s="581" t="s">
        <v>4650</v>
      </c>
    </row>
    <row r="2300" spans="8:9" ht="16.3">
      <c r="H2300" s="580">
        <v>8184</v>
      </c>
      <c r="I2300" s="580" t="s">
        <v>4648</v>
      </c>
    </row>
    <row r="2301" spans="8:9" ht="16.3">
      <c r="H2301" s="580">
        <v>8191</v>
      </c>
      <c r="I2301" s="581" t="s">
        <v>4651</v>
      </c>
    </row>
    <row r="2302" spans="8:9" ht="16.3">
      <c r="H2302" s="580">
        <v>8192</v>
      </c>
      <c r="I2302" s="581" t="s">
        <v>4652</v>
      </c>
    </row>
    <row r="2303" spans="8:9" ht="16.3">
      <c r="H2303" s="580">
        <v>8193</v>
      </c>
      <c r="I2303" s="581" t="s">
        <v>4653</v>
      </c>
    </row>
    <row r="2304" spans="8:9" ht="16.3">
      <c r="H2304" s="580">
        <v>8194</v>
      </c>
      <c r="I2304" s="581" t="s">
        <v>4654</v>
      </c>
    </row>
    <row r="2305" spans="8:9" ht="16.3">
      <c r="H2305" s="580">
        <v>8195</v>
      </c>
      <c r="I2305" s="581" t="s">
        <v>4655</v>
      </c>
    </row>
    <row r="2306" spans="8:9" ht="16.3">
      <c r="H2306" s="580">
        <v>8196</v>
      </c>
      <c r="I2306" s="581" t="s">
        <v>4656</v>
      </c>
    </row>
    <row r="2307" spans="8:9" ht="16.3">
      <c r="H2307" s="580">
        <v>8200</v>
      </c>
      <c r="I2307" s="581" t="s">
        <v>1973</v>
      </c>
    </row>
    <row r="2308" spans="8:9" ht="16.3">
      <c r="H2308" s="580">
        <v>8220</v>
      </c>
      <c r="I2308" s="581" t="s">
        <v>2167</v>
      </c>
    </row>
    <row r="2309" spans="8:9" ht="16.3">
      <c r="H2309" s="580">
        <v>8225</v>
      </c>
      <c r="I2309" s="581" t="s">
        <v>4657</v>
      </c>
    </row>
    <row r="2310" spans="8:9" ht="16.3">
      <c r="H2310" s="580">
        <v>8226</v>
      </c>
      <c r="I2310" s="581" t="s">
        <v>4658</v>
      </c>
    </row>
    <row r="2311" spans="8:9" ht="16.3">
      <c r="H2311" s="580">
        <v>8227</v>
      </c>
      <c r="I2311" s="581" t="s">
        <v>4659</v>
      </c>
    </row>
    <row r="2312" spans="8:9" ht="16.3">
      <c r="H2312" s="580">
        <v>8228</v>
      </c>
      <c r="I2312" s="581" t="s">
        <v>4660</v>
      </c>
    </row>
    <row r="2313" spans="8:9" ht="16.3">
      <c r="H2313" s="580">
        <v>8229</v>
      </c>
      <c r="I2313" s="581" t="s">
        <v>4661</v>
      </c>
    </row>
    <row r="2314" spans="8:9" ht="16.3">
      <c r="H2314" s="580">
        <v>8229</v>
      </c>
      <c r="I2314" s="581" t="s">
        <v>4662</v>
      </c>
    </row>
    <row r="2315" spans="8:9" ht="16.3">
      <c r="H2315" s="580">
        <v>8230</v>
      </c>
      <c r="I2315" s="581" t="s">
        <v>1982</v>
      </c>
    </row>
    <row r="2316" spans="8:9" ht="16.3">
      <c r="H2316" s="580">
        <v>8233</v>
      </c>
      <c r="I2316" s="581" t="s">
        <v>4663</v>
      </c>
    </row>
    <row r="2317" spans="8:9" ht="16.3">
      <c r="H2317" s="580">
        <v>8237</v>
      </c>
      <c r="I2317" s="581" t="s">
        <v>4664</v>
      </c>
    </row>
    <row r="2318" spans="8:9" ht="16.3">
      <c r="H2318" s="580">
        <v>8241</v>
      </c>
      <c r="I2318" s="581" t="s">
        <v>4665</v>
      </c>
    </row>
    <row r="2319" spans="8:9" ht="16.3">
      <c r="H2319" s="580">
        <v>8242</v>
      </c>
      <c r="I2319" s="581" t="s">
        <v>4666</v>
      </c>
    </row>
    <row r="2320" spans="8:9" ht="16.3">
      <c r="H2320" s="580">
        <v>8242</v>
      </c>
      <c r="I2320" s="581" t="s">
        <v>4667</v>
      </c>
    </row>
    <row r="2321" spans="8:9" ht="16.3">
      <c r="H2321" s="580">
        <v>8243</v>
      </c>
      <c r="I2321" s="581" t="s">
        <v>4668</v>
      </c>
    </row>
    <row r="2322" spans="8:9" ht="16.3">
      <c r="H2322" s="580">
        <v>8244</v>
      </c>
      <c r="I2322" s="581" t="s">
        <v>4669</v>
      </c>
    </row>
    <row r="2323" spans="8:9" ht="16.3">
      <c r="H2323" s="580">
        <v>8245</v>
      </c>
      <c r="I2323" s="581" t="s">
        <v>4670</v>
      </c>
    </row>
    <row r="2324" spans="8:9" ht="16.3">
      <c r="H2324" s="580">
        <v>8245</v>
      </c>
      <c r="I2324" s="581" t="s">
        <v>4671</v>
      </c>
    </row>
    <row r="2325" spans="8:9" ht="16.3">
      <c r="H2325" s="580">
        <v>8246</v>
      </c>
      <c r="I2325" s="581" t="s">
        <v>4672</v>
      </c>
    </row>
    <row r="2326" spans="8:9" ht="16.3">
      <c r="H2326" s="580">
        <v>8247</v>
      </c>
      <c r="I2326" s="581" t="s">
        <v>4673</v>
      </c>
    </row>
    <row r="2327" spans="8:9" ht="16.3">
      <c r="H2327" s="580">
        <v>8248</v>
      </c>
      <c r="I2327" s="581" t="s">
        <v>4674</v>
      </c>
    </row>
    <row r="2328" spans="8:9" ht="16.3">
      <c r="H2328" s="580">
        <v>8248</v>
      </c>
      <c r="I2328" s="581" t="s">
        <v>4675</v>
      </c>
    </row>
    <row r="2329" spans="8:9" ht="16.3">
      <c r="H2329" s="580">
        <v>8251</v>
      </c>
      <c r="I2329" s="581" t="s">
        <v>4676</v>
      </c>
    </row>
    <row r="2330" spans="8:9" ht="16.3">
      <c r="H2330" s="580">
        <v>8252</v>
      </c>
      <c r="I2330" s="581" t="s">
        <v>4677</v>
      </c>
    </row>
    <row r="2331" spans="8:9" ht="16.3">
      <c r="H2331" s="580">
        <v>8253</v>
      </c>
      <c r="I2331" s="581" t="s">
        <v>4678</v>
      </c>
    </row>
    <row r="2332" spans="8:9" ht="16.3">
      <c r="H2332" s="580">
        <v>8254</v>
      </c>
      <c r="I2332" s="581" t="s">
        <v>2028</v>
      </c>
    </row>
    <row r="2333" spans="8:9" ht="16.3">
      <c r="H2333" s="580">
        <v>8254</v>
      </c>
      <c r="I2333" s="581" t="s">
        <v>4679</v>
      </c>
    </row>
    <row r="2334" spans="8:9" ht="16.3">
      <c r="H2334" s="580">
        <v>8255</v>
      </c>
      <c r="I2334" s="581" t="s">
        <v>4680</v>
      </c>
    </row>
    <row r="2335" spans="8:9" ht="16.3">
      <c r="H2335" s="580">
        <v>8255</v>
      </c>
      <c r="I2335" s="581" t="s">
        <v>2028</v>
      </c>
    </row>
    <row r="2336" spans="8:9" ht="16.3">
      <c r="H2336" s="580">
        <v>8256</v>
      </c>
      <c r="I2336" s="581" t="s">
        <v>4681</v>
      </c>
    </row>
    <row r="2337" spans="8:9" ht="16.3">
      <c r="H2337" s="580">
        <v>8256</v>
      </c>
      <c r="I2337" s="581" t="s">
        <v>4682</v>
      </c>
    </row>
    <row r="2338" spans="8:9" ht="16.3">
      <c r="H2338" s="580">
        <v>8257</v>
      </c>
      <c r="I2338" s="580" t="s">
        <v>4683</v>
      </c>
    </row>
    <row r="2339" spans="8:9" ht="16.3">
      <c r="H2339" s="580">
        <v>8258</v>
      </c>
      <c r="I2339" s="581" t="s">
        <v>4683</v>
      </c>
    </row>
    <row r="2340" spans="8:9" ht="16.3">
      <c r="H2340" s="580">
        <v>8261</v>
      </c>
      <c r="I2340" s="580" t="s">
        <v>4683</v>
      </c>
    </row>
    <row r="2341" spans="8:9" ht="16.3">
      <c r="H2341" s="580">
        <v>8263</v>
      </c>
      <c r="I2341" s="581" t="s">
        <v>4684</v>
      </c>
    </row>
    <row r="2342" spans="8:9" ht="16.3">
      <c r="H2342" s="580">
        <v>8264</v>
      </c>
      <c r="I2342" s="581" t="s">
        <v>4685</v>
      </c>
    </row>
    <row r="2343" spans="8:9" ht="16.3">
      <c r="H2343" s="580">
        <v>8265</v>
      </c>
      <c r="I2343" s="581" t="s">
        <v>2288</v>
      </c>
    </row>
    <row r="2344" spans="8:9" ht="16.3">
      <c r="H2344" s="580">
        <v>8271</v>
      </c>
      <c r="I2344" s="581" t="s">
        <v>4686</v>
      </c>
    </row>
    <row r="2345" spans="8:9" ht="16.3">
      <c r="H2345" s="580">
        <v>8272</v>
      </c>
      <c r="I2345" s="581" t="s">
        <v>4687</v>
      </c>
    </row>
    <row r="2346" spans="8:9" ht="16.3">
      <c r="H2346" s="580">
        <v>8272</v>
      </c>
      <c r="I2346" s="581" t="s">
        <v>4688</v>
      </c>
    </row>
    <row r="2347" spans="8:9" ht="16.3">
      <c r="H2347" s="580">
        <v>8272</v>
      </c>
      <c r="I2347" s="581" t="s">
        <v>4689</v>
      </c>
    </row>
    <row r="2348" spans="8:9" ht="16.3">
      <c r="H2348" s="580">
        <v>8272</v>
      </c>
      <c r="I2348" s="581" t="s">
        <v>4690</v>
      </c>
    </row>
    <row r="2349" spans="8:9" ht="16.3">
      <c r="H2349" s="580">
        <v>8272</v>
      </c>
      <c r="I2349" s="581" t="s">
        <v>4691</v>
      </c>
    </row>
    <row r="2350" spans="8:9" ht="16.3">
      <c r="H2350" s="580">
        <v>8273</v>
      </c>
      <c r="I2350" s="581" t="s">
        <v>4692</v>
      </c>
    </row>
    <row r="2351" spans="8:9" ht="16.3">
      <c r="H2351" s="580">
        <v>8274</v>
      </c>
      <c r="I2351" s="581" t="s">
        <v>4693</v>
      </c>
    </row>
    <row r="2352" spans="8:9" ht="16.3">
      <c r="H2352" s="580">
        <v>8275</v>
      </c>
      <c r="I2352" s="581" t="s">
        <v>4694</v>
      </c>
    </row>
    <row r="2353" spans="8:9" ht="16.3">
      <c r="H2353" s="580">
        <v>8281</v>
      </c>
      <c r="I2353" s="581" t="s">
        <v>4695</v>
      </c>
    </row>
    <row r="2354" spans="8:9" ht="16.3">
      <c r="H2354" s="580">
        <v>8282</v>
      </c>
      <c r="I2354" s="581" t="s">
        <v>4696</v>
      </c>
    </row>
    <row r="2355" spans="8:9" ht="16.3">
      <c r="H2355" s="580">
        <v>8283</v>
      </c>
      <c r="I2355" s="581" t="s">
        <v>2027</v>
      </c>
    </row>
    <row r="2356" spans="8:9" ht="16.3">
      <c r="H2356" s="580">
        <v>8284</v>
      </c>
      <c r="I2356" s="581" t="s">
        <v>4697</v>
      </c>
    </row>
    <row r="2357" spans="8:9" ht="16.3">
      <c r="H2357" s="580">
        <v>8284</v>
      </c>
      <c r="I2357" s="581" t="s">
        <v>4698</v>
      </c>
    </row>
    <row r="2358" spans="8:9" ht="16.3">
      <c r="H2358" s="580">
        <v>8286</v>
      </c>
      <c r="I2358" s="581" t="s">
        <v>4699</v>
      </c>
    </row>
    <row r="2359" spans="8:9" ht="16.3">
      <c r="H2359" s="580">
        <v>8291</v>
      </c>
      <c r="I2359" s="581" t="s">
        <v>4700</v>
      </c>
    </row>
    <row r="2360" spans="8:9" ht="16.3">
      <c r="H2360" s="580">
        <v>8291</v>
      </c>
      <c r="I2360" s="581" t="s">
        <v>4701</v>
      </c>
    </row>
    <row r="2361" spans="8:9" ht="16.3">
      <c r="H2361" s="580">
        <v>8291</v>
      </c>
      <c r="I2361" s="581" t="s">
        <v>4702</v>
      </c>
    </row>
    <row r="2362" spans="8:9" ht="16.3">
      <c r="H2362" s="580">
        <v>8291</v>
      </c>
      <c r="I2362" s="581" t="s">
        <v>4703</v>
      </c>
    </row>
    <row r="2363" spans="8:9" ht="16.3">
      <c r="H2363" s="580">
        <v>8292</v>
      </c>
      <c r="I2363" s="581" t="s">
        <v>4704</v>
      </c>
    </row>
    <row r="2364" spans="8:9" ht="16.3">
      <c r="H2364" s="580">
        <v>8294</v>
      </c>
      <c r="I2364" s="581" t="s">
        <v>4705</v>
      </c>
    </row>
    <row r="2365" spans="8:9" ht="16.3">
      <c r="H2365" s="580">
        <v>8294</v>
      </c>
      <c r="I2365" s="581" t="s">
        <v>4706</v>
      </c>
    </row>
    <row r="2366" spans="8:9" ht="16.3">
      <c r="H2366" s="580">
        <v>8295</v>
      </c>
      <c r="I2366" s="581" t="s">
        <v>2271</v>
      </c>
    </row>
    <row r="2367" spans="8:9" ht="16.3">
      <c r="H2367" s="580">
        <v>8296</v>
      </c>
      <c r="I2367" s="581" t="s">
        <v>4707</v>
      </c>
    </row>
    <row r="2368" spans="8:9" ht="16.3">
      <c r="H2368" s="580">
        <v>8296</v>
      </c>
      <c r="I2368" s="581" t="s">
        <v>4708</v>
      </c>
    </row>
    <row r="2369" spans="8:9" ht="16.3">
      <c r="H2369" s="580">
        <v>8297</v>
      </c>
      <c r="I2369" s="581" t="s">
        <v>1963</v>
      </c>
    </row>
    <row r="2370" spans="8:9" ht="16.3">
      <c r="H2370" s="580">
        <v>8300</v>
      </c>
      <c r="I2370" s="581" t="s">
        <v>1963</v>
      </c>
    </row>
    <row r="2371" spans="8:9" ht="16.3">
      <c r="H2371" s="580">
        <v>8300</v>
      </c>
      <c r="I2371" s="581" t="s">
        <v>4709</v>
      </c>
    </row>
    <row r="2372" spans="8:9" ht="16.3">
      <c r="H2372" s="580">
        <v>8308</v>
      </c>
      <c r="I2372" s="581" t="s">
        <v>4710</v>
      </c>
    </row>
    <row r="2373" spans="8:9" ht="16.3">
      <c r="H2373" s="580">
        <v>8308</v>
      </c>
      <c r="I2373" s="581" t="s">
        <v>4711</v>
      </c>
    </row>
    <row r="2374" spans="8:9" ht="16.3">
      <c r="H2374" s="580">
        <v>8311</v>
      </c>
      <c r="I2374" s="581" t="s">
        <v>4712</v>
      </c>
    </row>
    <row r="2375" spans="8:9" ht="16.3">
      <c r="H2375" s="580">
        <v>8312</v>
      </c>
      <c r="I2375" s="581" t="s">
        <v>4713</v>
      </c>
    </row>
    <row r="2376" spans="8:9" ht="16.3">
      <c r="H2376" s="580">
        <v>8313</v>
      </c>
      <c r="I2376" s="581" t="s">
        <v>4714</v>
      </c>
    </row>
    <row r="2377" spans="8:9" ht="16.3">
      <c r="H2377" s="580">
        <v>8314</v>
      </c>
      <c r="I2377" s="581" t="s">
        <v>4715</v>
      </c>
    </row>
    <row r="2378" spans="8:9" ht="16.3">
      <c r="H2378" s="580">
        <v>8315</v>
      </c>
      <c r="I2378" s="581" t="s">
        <v>4716</v>
      </c>
    </row>
    <row r="2379" spans="8:9" ht="16.3">
      <c r="H2379" s="580">
        <v>8316</v>
      </c>
      <c r="I2379" s="581" t="s">
        <v>4717</v>
      </c>
    </row>
    <row r="2380" spans="8:9" ht="16.3">
      <c r="H2380" s="580">
        <v>8316</v>
      </c>
      <c r="I2380" s="581" t="s">
        <v>4718</v>
      </c>
    </row>
    <row r="2381" spans="8:9" ht="16.3">
      <c r="H2381" s="580">
        <v>8317</v>
      </c>
      <c r="I2381" s="581" t="s">
        <v>2073</v>
      </c>
    </row>
    <row r="2382" spans="8:9" ht="16.3">
      <c r="H2382" s="580">
        <v>8318</v>
      </c>
      <c r="I2382" s="581" t="s">
        <v>4719</v>
      </c>
    </row>
    <row r="2383" spans="8:9" ht="16.3">
      <c r="H2383" s="580">
        <v>8319</v>
      </c>
      <c r="I2383" s="581" t="s">
        <v>2258</v>
      </c>
    </row>
    <row r="2384" spans="8:9" ht="16.3">
      <c r="H2384" s="580">
        <v>8321</v>
      </c>
      <c r="I2384" s="581" t="s">
        <v>4720</v>
      </c>
    </row>
    <row r="2385" spans="8:9" ht="16.3">
      <c r="H2385" s="580">
        <v>8330</v>
      </c>
      <c r="I2385" s="581" t="s">
        <v>4721</v>
      </c>
    </row>
    <row r="2386" spans="8:9" ht="16.3">
      <c r="H2386" s="580">
        <v>8341</v>
      </c>
      <c r="I2386" s="581" t="s">
        <v>4722</v>
      </c>
    </row>
    <row r="2387" spans="8:9" ht="16.3">
      <c r="H2387" s="580">
        <v>8341</v>
      </c>
      <c r="I2387" s="581" t="s">
        <v>4723</v>
      </c>
    </row>
    <row r="2388" spans="8:9" ht="16.3">
      <c r="H2388" s="580">
        <v>8341</v>
      </c>
      <c r="I2388" s="581" t="s">
        <v>4724</v>
      </c>
    </row>
    <row r="2389" spans="8:9" ht="16.3">
      <c r="H2389" s="580">
        <v>8342</v>
      </c>
      <c r="I2389" s="581" t="s">
        <v>4725</v>
      </c>
    </row>
    <row r="2390" spans="8:9" ht="16.3">
      <c r="H2390" s="580">
        <v>8344</v>
      </c>
      <c r="I2390" s="581" t="s">
        <v>4726</v>
      </c>
    </row>
    <row r="2391" spans="8:9" ht="16.3">
      <c r="H2391" s="580">
        <v>8344</v>
      </c>
      <c r="I2391" s="581" t="s">
        <v>4727</v>
      </c>
    </row>
    <row r="2392" spans="8:9" ht="16.3">
      <c r="H2392" s="580">
        <v>8345</v>
      </c>
      <c r="I2392" s="581" t="s">
        <v>4728</v>
      </c>
    </row>
    <row r="2393" spans="8:9" ht="16.3">
      <c r="H2393" s="580">
        <v>8346</v>
      </c>
      <c r="I2393" s="581" t="s">
        <v>4729</v>
      </c>
    </row>
    <row r="2394" spans="8:9" ht="16.3">
      <c r="H2394" s="580">
        <v>8347</v>
      </c>
      <c r="I2394" s="581" t="s">
        <v>4730</v>
      </c>
    </row>
    <row r="2395" spans="8:9" ht="16.3">
      <c r="H2395" s="580">
        <v>8348</v>
      </c>
      <c r="I2395" s="581" t="s">
        <v>4731</v>
      </c>
    </row>
    <row r="2396" spans="8:9" ht="16.3">
      <c r="H2396" s="580">
        <v>8348</v>
      </c>
      <c r="I2396" s="581" t="s">
        <v>4732</v>
      </c>
    </row>
    <row r="2397" spans="8:9" ht="16.3">
      <c r="H2397" s="580">
        <v>8348</v>
      </c>
      <c r="I2397" s="581" t="s">
        <v>4733</v>
      </c>
    </row>
    <row r="2398" spans="8:9" ht="16.3">
      <c r="H2398" s="580">
        <v>8349</v>
      </c>
      <c r="I2398" s="581" t="s">
        <v>4734</v>
      </c>
    </row>
    <row r="2399" spans="8:9" ht="16.3">
      <c r="H2399" s="580">
        <v>8351</v>
      </c>
      <c r="I2399" s="581" t="s">
        <v>4735</v>
      </c>
    </row>
    <row r="2400" spans="8:9" ht="16.3">
      <c r="H2400" s="580">
        <v>8352</v>
      </c>
      <c r="I2400" s="581" t="s">
        <v>4736</v>
      </c>
    </row>
    <row r="2401" spans="8:9" ht="16.3">
      <c r="H2401" s="580">
        <v>8353</v>
      </c>
      <c r="I2401" s="581" t="s">
        <v>4737</v>
      </c>
    </row>
    <row r="2402" spans="8:9" ht="16.3">
      <c r="H2402" s="580">
        <v>8353</v>
      </c>
      <c r="I2402" s="581" t="s">
        <v>4738</v>
      </c>
    </row>
    <row r="2403" spans="8:9" ht="16.3">
      <c r="H2403" s="580">
        <v>8354</v>
      </c>
      <c r="I2403" s="581" t="s">
        <v>4739</v>
      </c>
    </row>
    <row r="2404" spans="8:9" ht="16.3">
      <c r="H2404" s="580">
        <v>8354</v>
      </c>
      <c r="I2404" s="581" t="s">
        <v>4740</v>
      </c>
    </row>
    <row r="2405" spans="8:9" ht="16.3">
      <c r="H2405" s="580">
        <v>8354</v>
      </c>
      <c r="I2405" s="581" t="s">
        <v>4741</v>
      </c>
    </row>
    <row r="2406" spans="8:9" ht="16.3">
      <c r="H2406" s="580">
        <v>8355</v>
      </c>
      <c r="I2406" s="581" t="s">
        <v>4742</v>
      </c>
    </row>
    <row r="2407" spans="8:9" ht="16.3">
      <c r="H2407" s="580">
        <v>8356</v>
      </c>
      <c r="I2407" s="581" t="s">
        <v>4743</v>
      </c>
    </row>
    <row r="2408" spans="8:9" ht="16.3">
      <c r="H2408" s="580">
        <v>8356</v>
      </c>
      <c r="I2408" s="581" t="s">
        <v>4744</v>
      </c>
    </row>
    <row r="2409" spans="8:9" ht="16.3">
      <c r="H2409" s="580">
        <v>8357</v>
      </c>
      <c r="I2409" s="581" t="s">
        <v>4745</v>
      </c>
    </row>
    <row r="2410" spans="8:9" ht="16.3">
      <c r="H2410" s="580">
        <v>8357</v>
      </c>
      <c r="I2410" s="581" t="s">
        <v>4746</v>
      </c>
    </row>
    <row r="2411" spans="8:9" ht="16.3">
      <c r="H2411" s="580">
        <v>8360</v>
      </c>
      <c r="I2411" s="581" t="s">
        <v>2094</v>
      </c>
    </row>
    <row r="2412" spans="8:9" ht="16.3">
      <c r="H2412" s="580">
        <v>8371</v>
      </c>
      <c r="I2412" s="581" t="s">
        <v>4747</v>
      </c>
    </row>
    <row r="2413" spans="8:9" ht="16.3">
      <c r="H2413" s="580">
        <v>8372</v>
      </c>
      <c r="I2413" s="581" t="s">
        <v>4748</v>
      </c>
    </row>
    <row r="2414" spans="8:9" ht="16.3">
      <c r="H2414" s="580">
        <v>8373</v>
      </c>
      <c r="I2414" s="581" t="s">
        <v>4749</v>
      </c>
    </row>
    <row r="2415" spans="8:9" ht="16.3">
      <c r="H2415" s="580">
        <v>8380</v>
      </c>
      <c r="I2415" s="581" t="s">
        <v>1968</v>
      </c>
    </row>
    <row r="2416" spans="8:9" ht="16.3">
      <c r="H2416" s="580">
        <v>8391</v>
      </c>
      <c r="I2416" s="581" t="s">
        <v>4750</v>
      </c>
    </row>
    <row r="2417" spans="8:9" ht="16.3">
      <c r="H2417" s="580">
        <v>8392</v>
      </c>
      <c r="I2417" s="581" t="s">
        <v>4751</v>
      </c>
    </row>
    <row r="2418" spans="8:9" ht="16.3">
      <c r="H2418" s="580">
        <v>8393</v>
      </c>
      <c r="I2418" s="581" t="s">
        <v>4752</v>
      </c>
    </row>
    <row r="2419" spans="8:9" ht="16.3">
      <c r="H2419" s="580">
        <v>8394</v>
      </c>
      <c r="I2419" s="581" t="s">
        <v>4753</v>
      </c>
    </row>
    <row r="2420" spans="8:9" ht="16.3">
      <c r="H2420" s="580">
        <v>8395</v>
      </c>
      <c r="I2420" s="581" t="s">
        <v>4754</v>
      </c>
    </row>
    <row r="2421" spans="8:9" ht="16.3">
      <c r="H2421" s="580">
        <v>8400</v>
      </c>
      <c r="I2421" s="581" t="s">
        <v>2169</v>
      </c>
    </row>
    <row r="2422" spans="8:9" ht="16.3">
      <c r="H2422" s="580">
        <v>8409</v>
      </c>
      <c r="I2422" s="581" t="s">
        <v>4755</v>
      </c>
    </row>
    <row r="2423" spans="8:9" ht="16.3">
      <c r="H2423" s="580">
        <v>8411</v>
      </c>
      <c r="I2423" s="580" t="s">
        <v>1973</v>
      </c>
    </row>
    <row r="2424" spans="8:9" ht="16.3">
      <c r="H2424" s="580">
        <v>8412</v>
      </c>
      <c r="I2424" s="580" t="s">
        <v>1973</v>
      </c>
    </row>
    <row r="2425" spans="8:9" ht="16.3">
      <c r="H2425" s="580">
        <v>8413</v>
      </c>
      <c r="I2425" s="581" t="s">
        <v>4756</v>
      </c>
    </row>
    <row r="2426" spans="8:9" ht="16.3">
      <c r="H2426" s="580">
        <v>8414</v>
      </c>
      <c r="I2426" s="581" t="s">
        <v>2099</v>
      </c>
    </row>
    <row r="2427" spans="8:9" ht="16.3">
      <c r="H2427" s="580">
        <v>8415</v>
      </c>
      <c r="I2427" s="581" t="s">
        <v>2032</v>
      </c>
    </row>
    <row r="2428" spans="8:9" ht="16.3">
      <c r="H2428" s="580">
        <v>8416</v>
      </c>
      <c r="I2428" s="581" t="s">
        <v>4757</v>
      </c>
    </row>
    <row r="2429" spans="8:9" ht="16.3">
      <c r="H2429" s="580">
        <v>8417</v>
      </c>
      <c r="I2429" s="581" t="s">
        <v>4758</v>
      </c>
    </row>
    <row r="2430" spans="8:9" ht="16.3">
      <c r="H2430" s="580">
        <v>8418</v>
      </c>
      <c r="I2430" s="581" t="s">
        <v>4759</v>
      </c>
    </row>
    <row r="2431" spans="8:9" ht="16.3">
      <c r="H2431" s="580">
        <v>8419</v>
      </c>
      <c r="I2431" s="581" t="s">
        <v>4760</v>
      </c>
    </row>
    <row r="2432" spans="8:9" ht="16.3">
      <c r="H2432" s="580">
        <v>8420</v>
      </c>
      <c r="I2432" s="581" t="s">
        <v>4761</v>
      </c>
    </row>
    <row r="2433" spans="8:9" ht="16.3">
      <c r="H2433" s="580">
        <v>8422</v>
      </c>
      <c r="I2433" s="581" t="s">
        <v>4762</v>
      </c>
    </row>
    <row r="2434" spans="8:9" ht="16.3">
      <c r="H2434" s="580">
        <v>8423</v>
      </c>
      <c r="I2434" s="581" t="s">
        <v>4763</v>
      </c>
    </row>
    <row r="2435" spans="8:9" ht="16.3">
      <c r="H2435" s="580">
        <v>8424</v>
      </c>
      <c r="I2435" s="581" t="s">
        <v>4764</v>
      </c>
    </row>
    <row r="2436" spans="8:9" ht="16.3">
      <c r="H2436" s="580">
        <v>8425</v>
      </c>
      <c r="I2436" s="581" t="s">
        <v>4765</v>
      </c>
    </row>
    <row r="2437" spans="8:9" ht="16.3">
      <c r="H2437" s="580">
        <v>8426</v>
      </c>
      <c r="I2437" s="581" t="s">
        <v>4766</v>
      </c>
    </row>
    <row r="2438" spans="8:9" ht="16.3">
      <c r="H2438" s="580">
        <v>8427</v>
      </c>
      <c r="I2438" s="581" t="s">
        <v>4767</v>
      </c>
    </row>
    <row r="2439" spans="8:9" ht="16.3">
      <c r="H2439" s="580">
        <v>8428</v>
      </c>
      <c r="I2439" s="581" t="s">
        <v>4768</v>
      </c>
    </row>
    <row r="2440" spans="8:9" ht="16.3">
      <c r="H2440" s="580">
        <v>8429</v>
      </c>
      <c r="I2440" s="581" t="s">
        <v>4769</v>
      </c>
    </row>
    <row r="2441" spans="8:9" ht="16.3">
      <c r="H2441" s="580">
        <v>8430</v>
      </c>
      <c r="I2441" s="581" t="s">
        <v>4770</v>
      </c>
    </row>
    <row r="2442" spans="8:9" ht="16.3">
      <c r="H2442" s="580">
        <v>8431</v>
      </c>
      <c r="I2442" s="581" t="s">
        <v>4771</v>
      </c>
    </row>
    <row r="2443" spans="8:9" ht="16.3">
      <c r="H2443" s="580">
        <v>8432</v>
      </c>
      <c r="I2443" s="581" t="s">
        <v>4772</v>
      </c>
    </row>
    <row r="2444" spans="8:9" ht="16.3">
      <c r="H2444" s="580">
        <v>8433</v>
      </c>
      <c r="I2444" s="581" t="s">
        <v>4773</v>
      </c>
    </row>
    <row r="2445" spans="8:9" ht="16.3">
      <c r="H2445" s="580">
        <v>8434</v>
      </c>
      <c r="I2445" s="581" t="s">
        <v>4774</v>
      </c>
    </row>
    <row r="2446" spans="8:9" ht="16.3">
      <c r="H2446" s="580">
        <v>8435</v>
      </c>
      <c r="I2446" s="581" t="s">
        <v>4775</v>
      </c>
    </row>
    <row r="2447" spans="8:9" ht="16.3">
      <c r="H2447" s="580">
        <v>8438</v>
      </c>
      <c r="I2447" s="581" t="s">
        <v>4776</v>
      </c>
    </row>
    <row r="2448" spans="8:9" ht="16.3">
      <c r="H2448" s="580">
        <v>8439</v>
      </c>
      <c r="I2448" s="581" t="s">
        <v>4777</v>
      </c>
    </row>
    <row r="2449" spans="8:9" ht="16.3">
      <c r="H2449" s="580">
        <v>8440</v>
      </c>
      <c r="I2449" s="581" t="s">
        <v>2331</v>
      </c>
    </row>
    <row r="2450" spans="8:9" ht="16.3">
      <c r="H2450" s="580">
        <v>8441</v>
      </c>
      <c r="I2450" s="581" t="s">
        <v>4778</v>
      </c>
    </row>
    <row r="2451" spans="8:9" ht="16.3">
      <c r="H2451" s="580">
        <v>8442</v>
      </c>
      <c r="I2451" s="581" t="s">
        <v>4779</v>
      </c>
    </row>
    <row r="2452" spans="8:9" ht="16.3">
      <c r="H2452" s="580">
        <v>8443</v>
      </c>
      <c r="I2452" s="581" t="s">
        <v>4780</v>
      </c>
    </row>
    <row r="2453" spans="8:9" ht="16.3">
      <c r="H2453" s="580">
        <v>8444</v>
      </c>
      <c r="I2453" s="581" t="s">
        <v>4781</v>
      </c>
    </row>
    <row r="2454" spans="8:9" ht="16.3">
      <c r="H2454" s="580">
        <v>8445</v>
      </c>
      <c r="I2454" s="581" t="s">
        <v>4782</v>
      </c>
    </row>
    <row r="2455" spans="8:9" ht="16.3">
      <c r="H2455" s="580">
        <v>8445</v>
      </c>
      <c r="I2455" s="581" t="s">
        <v>4783</v>
      </c>
    </row>
    <row r="2456" spans="8:9" ht="16.3">
      <c r="H2456" s="580">
        <v>8446</v>
      </c>
      <c r="I2456" s="581" t="s">
        <v>4784</v>
      </c>
    </row>
    <row r="2457" spans="8:9" ht="16.3">
      <c r="H2457" s="580">
        <v>8447</v>
      </c>
      <c r="I2457" s="580" t="s">
        <v>2169</v>
      </c>
    </row>
    <row r="2458" spans="8:9" ht="16.3">
      <c r="H2458" s="580">
        <v>8448</v>
      </c>
      <c r="I2458" s="580" t="s">
        <v>2169</v>
      </c>
    </row>
    <row r="2459" spans="8:9" ht="16.3">
      <c r="H2459" s="580">
        <v>8449</v>
      </c>
      <c r="I2459" s="581" t="s">
        <v>4785</v>
      </c>
    </row>
    <row r="2460" spans="8:9" ht="16.3">
      <c r="H2460" s="580">
        <v>8451</v>
      </c>
      <c r="I2460" s="580" t="s">
        <v>2169</v>
      </c>
    </row>
    <row r="2461" spans="8:9" ht="16.3">
      <c r="H2461" s="580">
        <v>8452</v>
      </c>
      <c r="I2461" s="581" t="s">
        <v>4786</v>
      </c>
    </row>
    <row r="2462" spans="8:9" ht="16.3">
      <c r="H2462" s="580">
        <v>8452</v>
      </c>
      <c r="I2462" s="581" t="s">
        <v>4787</v>
      </c>
    </row>
    <row r="2463" spans="8:9" ht="16.3">
      <c r="H2463" s="580">
        <v>8454</v>
      </c>
      <c r="I2463" s="581" t="s">
        <v>4788</v>
      </c>
    </row>
    <row r="2464" spans="8:9" ht="16.3">
      <c r="H2464" s="580">
        <v>8455</v>
      </c>
      <c r="I2464" s="581" t="s">
        <v>4789</v>
      </c>
    </row>
    <row r="2465" spans="8:9" ht="16.3">
      <c r="H2465" s="580">
        <v>8456</v>
      </c>
      <c r="I2465" s="581" t="s">
        <v>4790</v>
      </c>
    </row>
    <row r="2466" spans="8:9" ht="16.3">
      <c r="H2466" s="580">
        <v>8457</v>
      </c>
      <c r="I2466" s="581" t="s">
        <v>4791</v>
      </c>
    </row>
    <row r="2467" spans="8:9" ht="16.3">
      <c r="H2467" s="580">
        <v>8458</v>
      </c>
      <c r="I2467" s="581" t="s">
        <v>4792</v>
      </c>
    </row>
    <row r="2468" spans="8:9" ht="16.3">
      <c r="H2468" s="580">
        <v>8460</v>
      </c>
      <c r="I2468" s="581" t="s">
        <v>2140</v>
      </c>
    </row>
    <row r="2469" spans="8:9" ht="16.3">
      <c r="H2469" s="580">
        <v>8468</v>
      </c>
      <c r="I2469" s="581" t="s">
        <v>4793</v>
      </c>
    </row>
    <row r="2470" spans="8:9" ht="16.3">
      <c r="H2470" s="580">
        <v>8469</v>
      </c>
      <c r="I2470" s="581" t="s">
        <v>4794</v>
      </c>
    </row>
    <row r="2471" spans="8:9" ht="16.3">
      <c r="H2471" s="580">
        <v>8471</v>
      </c>
      <c r="I2471" s="581" t="s">
        <v>4795</v>
      </c>
    </row>
    <row r="2472" spans="8:9" ht="16.3">
      <c r="H2472" s="580">
        <v>8471</v>
      </c>
      <c r="I2472" s="581" t="s">
        <v>4796</v>
      </c>
    </row>
    <row r="2473" spans="8:9" ht="16.3">
      <c r="H2473" s="580">
        <v>8471</v>
      </c>
      <c r="I2473" s="581" t="s">
        <v>4797</v>
      </c>
    </row>
    <row r="2474" spans="8:9" ht="16.3">
      <c r="H2474" s="580">
        <v>8473</v>
      </c>
      <c r="I2474" s="581" t="s">
        <v>4798</v>
      </c>
    </row>
    <row r="2475" spans="8:9" ht="16.3">
      <c r="H2475" s="580">
        <v>8474</v>
      </c>
      <c r="I2475" s="581" t="s">
        <v>4799</v>
      </c>
    </row>
    <row r="2476" spans="8:9" ht="16.3">
      <c r="H2476" s="580">
        <v>8475</v>
      </c>
      <c r="I2476" s="581" t="s">
        <v>4800</v>
      </c>
    </row>
    <row r="2477" spans="8:9" ht="16.3">
      <c r="H2477" s="580">
        <v>8475</v>
      </c>
      <c r="I2477" s="581" t="s">
        <v>4801</v>
      </c>
    </row>
    <row r="2478" spans="8:9" ht="16.3">
      <c r="H2478" s="580">
        <v>8475</v>
      </c>
      <c r="I2478" s="581" t="s">
        <v>4802</v>
      </c>
    </row>
    <row r="2479" spans="8:9" ht="16.3">
      <c r="H2479" s="580">
        <v>8476</v>
      </c>
      <c r="I2479" s="581" t="s">
        <v>4803</v>
      </c>
    </row>
    <row r="2480" spans="8:9" ht="16.3">
      <c r="H2480" s="580">
        <v>8477</v>
      </c>
      <c r="I2480" s="581" t="s">
        <v>4804</v>
      </c>
    </row>
    <row r="2481" spans="8:9" ht="16.3">
      <c r="H2481" s="580">
        <v>8477</v>
      </c>
      <c r="I2481" s="581" t="s">
        <v>4805</v>
      </c>
    </row>
    <row r="2482" spans="8:9" ht="16.3">
      <c r="H2482" s="580">
        <v>8477</v>
      </c>
      <c r="I2482" s="581" t="s">
        <v>4806</v>
      </c>
    </row>
    <row r="2483" spans="8:9" ht="16.3">
      <c r="H2483" s="580">
        <v>8478</v>
      </c>
      <c r="I2483" s="581" t="s">
        <v>4807</v>
      </c>
    </row>
    <row r="2484" spans="8:9" ht="16.3">
      <c r="H2484" s="580">
        <v>8479</v>
      </c>
      <c r="I2484" s="581" t="s">
        <v>4808</v>
      </c>
    </row>
    <row r="2485" spans="8:9" ht="16.3">
      <c r="H2485" s="580">
        <v>8481</v>
      </c>
      <c r="I2485" s="581" t="s">
        <v>4809</v>
      </c>
    </row>
    <row r="2486" spans="8:9" ht="16.3">
      <c r="H2486" s="580">
        <v>8482</v>
      </c>
      <c r="I2486" s="581" t="s">
        <v>4810</v>
      </c>
    </row>
    <row r="2487" spans="8:9" ht="16.3">
      <c r="H2487" s="580">
        <v>8483</v>
      </c>
      <c r="I2487" s="581" t="s">
        <v>4811</v>
      </c>
    </row>
    <row r="2488" spans="8:9" ht="16.3">
      <c r="H2488" s="580">
        <v>8483</v>
      </c>
      <c r="I2488" s="581" t="s">
        <v>4812</v>
      </c>
    </row>
    <row r="2489" spans="8:9" ht="16.3">
      <c r="H2489" s="580">
        <v>8484</v>
      </c>
      <c r="I2489" s="581" t="s">
        <v>4813</v>
      </c>
    </row>
    <row r="2490" spans="8:9" ht="16.3">
      <c r="H2490" s="580">
        <v>8484</v>
      </c>
      <c r="I2490" s="581" t="s">
        <v>4814</v>
      </c>
    </row>
    <row r="2491" spans="8:9" ht="16.3">
      <c r="H2491" s="580">
        <v>8484</v>
      </c>
      <c r="I2491" s="581" t="s">
        <v>4815</v>
      </c>
    </row>
    <row r="2492" spans="8:9" ht="16.3">
      <c r="H2492" s="580">
        <v>8485</v>
      </c>
      <c r="I2492" s="581" t="s">
        <v>4816</v>
      </c>
    </row>
    <row r="2493" spans="8:9" ht="16.3">
      <c r="H2493" s="580">
        <v>8491</v>
      </c>
      <c r="I2493" s="581" t="s">
        <v>4817</v>
      </c>
    </row>
    <row r="2494" spans="8:9" ht="16.3">
      <c r="H2494" s="580">
        <v>8492</v>
      </c>
      <c r="I2494" s="581" t="s">
        <v>4818</v>
      </c>
    </row>
    <row r="2495" spans="8:9" ht="16.3">
      <c r="H2495" s="580">
        <v>8493</v>
      </c>
      <c r="I2495" s="581" t="s">
        <v>4819</v>
      </c>
    </row>
    <row r="2496" spans="8:9" ht="16.3">
      <c r="H2496" s="580">
        <v>8494</v>
      </c>
      <c r="I2496" s="581" t="s">
        <v>4820</v>
      </c>
    </row>
    <row r="2497" spans="8:9" ht="16.3">
      <c r="H2497" s="580">
        <v>8495</v>
      </c>
      <c r="I2497" s="581" t="s">
        <v>4821</v>
      </c>
    </row>
    <row r="2498" spans="8:9" ht="16.3">
      <c r="H2498" s="580">
        <v>8496</v>
      </c>
      <c r="I2498" s="581" t="s">
        <v>4822</v>
      </c>
    </row>
    <row r="2499" spans="8:9" ht="16.3">
      <c r="H2499" s="580">
        <v>8496</v>
      </c>
      <c r="I2499" s="581" t="s">
        <v>4823</v>
      </c>
    </row>
    <row r="2500" spans="8:9" ht="16.3">
      <c r="H2500" s="580">
        <v>8497</v>
      </c>
      <c r="I2500" s="581" t="s">
        <v>4824</v>
      </c>
    </row>
    <row r="2501" spans="8:9" ht="16.3">
      <c r="H2501" s="580">
        <v>8497</v>
      </c>
      <c r="I2501" s="581" t="s">
        <v>4825</v>
      </c>
    </row>
    <row r="2502" spans="8:9" ht="16.3">
      <c r="H2502" s="580">
        <v>8500</v>
      </c>
      <c r="I2502" s="581" t="s">
        <v>1969</v>
      </c>
    </row>
    <row r="2503" spans="8:9" ht="16.3">
      <c r="H2503" s="580">
        <v>8511</v>
      </c>
      <c r="I2503" s="580" t="s">
        <v>1969</v>
      </c>
    </row>
    <row r="2504" spans="8:9" ht="16.3">
      <c r="H2504" s="580">
        <v>8512</v>
      </c>
      <c r="I2504" s="581" t="s">
        <v>4826</v>
      </c>
    </row>
    <row r="2505" spans="8:9" ht="16.3">
      <c r="H2505" s="580">
        <v>8513</v>
      </c>
      <c r="I2505" s="581" t="s">
        <v>4827</v>
      </c>
    </row>
    <row r="2506" spans="8:9" ht="16.3">
      <c r="H2506" s="580">
        <v>8514</v>
      </c>
      <c r="I2506" s="581" t="s">
        <v>4828</v>
      </c>
    </row>
    <row r="2507" spans="8:9" ht="16.3">
      <c r="H2507" s="580">
        <v>8515</v>
      </c>
      <c r="I2507" s="581" t="s">
        <v>4829</v>
      </c>
    </row>
    <row r="2508" spans="8:9" ht="16.3">
      <c r="H2508" s="580">
        <v>8516</v>
      </c>
      <c r="I2508" s="581" t="s">
        <v>4830</v>
      </c>
    </row>
    <row r="2509" spans="8:9" ht="16.3">
      <c r="H2509" s="580">
        <v>8517</v>
      </c>
      <c r="I2509" s="581" t="s">
        <v>4831</v>
      </c>
    </row>
    <row r="2510" spans="8:9" ht="16.3">
      <c r="H2510" s="580">
        <v>8518</v>
      </c>
      <c r="I2510" s="581" t="s">
        <v>4832</v>
      </c>
    </row>
    <row r="2511" spans="8:9" ht="16.3">
      <c r="H2511" s="580">
        <v>8521</v>
      </c>
      <c r="I2511" s="581" t="s">
        <v>4833</v>
      </c>
    </row>
    <row r="2512" spans="8:9" ht="16.3">
      <c r="H2512" s="580">
        <v>8522</v>
      </c>
      <c r="I2512" s="581" t="s">
        <v>4834</v>
      </c>
    </row>
    <row r="2513" spans="8:9" ht="16.3">
      <c r="H2513" s="580">
        <v>8523</v>
      </c>
      <c r="I2513" s="581" t="s">
        <v>4835</v>
      </c>
    </row>
    <row r="2514" spans="8:9" ht="16.3">
      <c r="H2514" s="580">
        <v>8523</v>
      </c>
      <c r="I2514" s="581" t="s">
        <v>4836</v>
      </c>
    </row>
    <row r="2515" spans="8:9" ht="16.3">
      <c r="H2515" s="580">
        <v>8531</v>
      </c>
      <c r="I2515" s="580" t="s">
        <v>4837</v>
      </c>
    </row>
    <row r="2516" spans="8:9" ht="16.3">
      <c r="H2516" s="580">
        <v>8532</v>
      </c>
      <c r="I2516" s="581" t="s">
        <v>4837</v>
      </c>
    </row>
    <row r="2517" spans="8:9" ht="16.3">
      <c r="H2517" s="580">
        <v>8533</v>
      </c>
      <c r="I2517" s="581" t="s">
        <v>4838</v>
      </c>
    </row>
    <row r="2518" spans="8:9" ht="16.3">
      <c r="H2518" s="580">
        <v>8541</v>
      </c>
      <c r="I2518" s="581" t="s">
        <v>4839</v>
      </c>
    </row>
    <row r="2519" spans="8:9" ht="16.3">
      <c r="H2519" s="580">
        <v>8542</v>
      </c>
      <c r="I2519" s="581" t="s">
        <v>4840</v>
      </c>
    </row>
    <row r="2520" spans="8:9" ht="16.3">
      <c r="H2520" s="580">
        <v>8543</v>
      </c>
      <c r="I2520" s="581" t="s">
        <v>4841</v>
      </c>
    </row>
    <row r="2521" spans="8:9" ht="16.3">
      <c r="H2521" s="580">
        <v>8551</v>
      </c>
      <c r="I2521" s="581" t="s">
        <v>4842</v>
      </c>
    </row>
    <row r="2522" spans="8:9" ht="16.3">
      <c r="H2522" s="580">
        <v>8552</v>
      </c>
      <c r="I2522" s="581" t="s">
        <v>4843</v>
      </c>
    </row>
    <row r="2523" spans="8:9" ht="16.3">
      <c r="H2523" s="580">
        <v>8553</v>
      </c>
      <c r="I2523" s="581" t="s">
        <v>4844</v>
      </c>
    </row>
    <row r="2524" spans="8:9" ht="16.3">
      <c r="H2524" s="580">
        <v>8554</v>
      </c>
      <c r="I2524" s="581" t="s">
        <v>4845</v>
      </c>
    </row>
    <row r="2525" spans="8:9" ht="16.3">
      <c r="H2525" s="580">
        <v>8555</v>
      </c>
      <c r="I2525" s="581" t="s">
        <v>4846</v>
      </c>
    </row>
    <row r="2526" spans="8:9" ht="16.3">
      <c r="H2526" s="580">
        <v>8556</v>
      </c>
      <c r="I2526" s="581" t="s">
        <v>4847</v>
      </c>
    </row>
    <row r="2527" spans="8:9" ht="16.3">
      <c r="H2527" s="580">
        <v>8557</v>
      </c>
      <c r="I2527" s="581" t="s">
        <v>4848</v>
      </c>
    </row>
    <row r="2528" spans="8:9" ht="16.3">
      <c r="H2528" s="580">
        <v>8557</v>
      </c>
      <c r="I2528" s="581" t="s">
        <v>4849</v>
      </c>
    </row>
    <row r="2529" spans="8:9" ht="16.3">
      <c r="H2529" s="580">
        <v>8558</v>
      </c>
      <c r="I2529" s="581" t="s">
        <v>4850</v>
      </c>
    </row>
    <row r="2530" spans="8:9" ht="16.3">
      <c r="H2530" s="580">
        <v>8561</v>
      </c>
      <c r="I2530" s="581" t="s">
        <v>4851</v>
      </c>
    </row>
    <row r="2531" spans="8:9" ht="16.3">
      <c r="H2531" s="580">
        <v>8562</v>
      </c>
      <c r="I2531" s="581" t="s">
        <v>4852</v>
      </c>
    </row>
    <row r="2532" spans="8:9" ht="16.3">
      <c r="H2532" s="580">
        <v>8563</v>
      </c>
      <c r="I2532" s="581" t="s">
        <v>2231</v>
      </c>
    </row>
    <row r="2533" spans="8:9" ht="16.3">
      <c r="H2533" s="580">
        <v>8564</v>
      </c>
      <c r="I2533" s="581" t="s">
        <v>4853</v>
      </c>
    </row>
    <row r="2534" spans="8:9" ht="16.3">
      <c r="H2534" s="580">
        <v>8565</v>
      </c>
      <c r="I2534" s="581" t="s">
        <v>4854</v>
      </c>
    </row>
    <row r="2535" spans="8:9" ht="16.3">
      <c r="H2535" s="580">
        <v>8571</v>
      </c>
      <c r="I2535" s="581" t="s">
        <v>4855</v>
      </c>
    </row>
    <row r="2536" spans="8:9" ht="16.3">
      <c r="H2536" s="580">
        <v>8572</v>
      </c>
      <c r="I2536" s="581" t="s">
        <v>4856</v>
      </c>
    </row>
    <row r="2537" spans="8:9" ht="16.3">
      <c r="H2537" s="580">
        <v>8581</v>
      </c>
      <c r="I2537" s="581" t="s">
        <v>4857</v>
      </c>
    </row>
    <row r="2538" spans="8:9" ht="16.3">
      <c r="H2538" s="580">
        <v>8581</v>
      </c>
      <c r="I2538" s="581" t="s">
        <v>4858</v>
      </c>
    </row>
    <row r="2539" spans="8:9" ht="16.3">
      <c r="H2539" s="580">
        <v>8582</v>
      </c>
      <c r="I2539" s="581" t="s">
        <v>4859</v>
      </c>
    </row>
    <row r="2540" spans="8:9" ht="16.3">
      <c r="H2540" s="580">
        <v>8591</v>
      </c>
      <c r="I2540" s="580" t="s">
        <v>1969</v>
      </c>
    </row>
    <row r="2541" spans="8:9" ht="16.3">
      <c r="H2541" s="580">
        <v>8591</v>
      </c>
      <c r="I2541" s="581" t="s">
        <v>4860</v>
      </c>
    </row>
    <row r="2542" spans="8:9" ht="16.3">
      <c r="H2542" s="580">
        <v>8592</v>
      </c>
      <c r="I2542" s="581" t="s">
        <v>4861</v>
      </c>
    </row>
    <row r="2543" spans="8:9" ht="16.3">
      <c r="H2543" s="580">
        <v>8593</v>
      </c>
      <c r="I2543" s="581" t="s">
        <v>4862</v>
      </c>
    </row>
    <row r="2544" spans="8:9" ht="16.3">
      <c r="H2544" s="580">
        <v>8594</v>
      </c>
      <c r="I2544" s="581" t="s">
        <v>4863</v>
      </c>
    </row>
    <row r="2545" spans="8:9" ht="16.3">
      <c r="H2545" s="580">
        <v>8595</v>
      </c>
      <c r="I2545" s="581" t="s">
        <v>4864</v>
      </c>
    </row>
    <row r="2546" spans="8:9" ht="16.3">
      <c r="H2546" s="580">
        <v>8596</v>
      </c>
      <c r="I2546" s="581" t="s">
        <v>4865</v>
      </c>
    </row>
    <row r="2547" spans="8:9" ht="16.3">
      <c r="H2547" s="580">
        <v>8597</v>
      </c>
      <c r="I2547" s="581" t="s">
        <v>4866</v>
      </c>
    </row>
    <row r="2548" spans="8:9" ht="16.3">
      <c r="H2548" s="580">
        <v>8597</v>
      </c>
      <c r="I2548" s="581" t="s">
        <v>4867</v>
      </c>
    </row>
    <row r="2549" spans="8:9" ht="16.3">
      <c r="H2549" s="580">
        <v>8598</v>
      </c>
      <c r="I2549" s="581" t="s">
        <v>1969</v>
      </c>
    </row>
    <row r="2550" spans="8:9" ht="16.3">
      <c r="H2550" s="580">
        <v>8600</v>
      </c>
      <c r="I2550" s="581" t="s">
        <v>2038</v>
      </c>
    </row>
    <row r="2551" spans="8:9" ht="16.3">
      <c r="H2551" s="580">
        <v>8612</v>
      </c>
      <c r="I2551" s="581" t="s">
        <v>4868</v>
      </c>
    </row>
    <row r="2552" spans="8:9" ht="16.3">
      <c r="H2552" s="580">
        <v>8613</v>
      </c>
      <c r="I2552" s="581" t="s">
        <v>4869</v>
      </c>
    </row>
    <row r="2553" spans="8:9" ht="16.3">
      <c r="H2553" s="580">
        <v>8614</v>
      </c>
      <c r="I2553" s="581" t="s">
        <v>4870</v>
      </c>
    </row>
    <row r="2554" spans="8:9" ht="16.3">
      <c r="H2554" s="580">
        <v>8617</v>
      </c>
      <c r="I2554" s="581" t="s">
        <v>4871</v>
      </c>
    </row>
    <row r="2555" spans="8:9" ht="16.3">
      <c r="H2555" s="580">
        <v>8618</v>
      </c>
      <c r="I2555" s="581" t="s">
        <v>4872</v>
      </c>
    </row>
    <row r="2556" spans="8:9" ht="16.3">
      <c r="H2556" s="580">
        <v>8619</v>
      </c>
      <c r="I2556" s="581" t="s">
        <v>4873</v>
      </c>
    </row>
    <row r="2557" spans="8:9" ht="16.3">
      <c r="H2557" s="580">
        <v>8621</v>
      </c>
      <c r="I2557" s="581" t="s">
        <v>2191</v>
      </c>
    </row>
    <row r="2558" spans="8:9" ht="16.3">
      <c r="H2558" s="580">
        <v>8622</v>
      </c>
      <c r="I2558" s="581" t="s">
        <v>4874</v>
      </c>
    </row>
    <row r="2559" spans="8:9" ht="16.3">
      <c r="H2559" s="580">
        <v>8623</v>
      </c>
      <c r="I2559" s="581" t="s">
        <v>4875</v>
      </c>
    </row>
    <row r="2560" spans="8:9" ht="16.3">
      <c r="H2560" s="580">
        <v>8624</v>
      </c>
      <c r="I2560" s="581" t="s">
        <v>4876</v>
      </c>
    </row>
    <row r="2561" spans="8:9" ht="16.3">
      <c r="H2561" s="580">
        <v>8625</v>
      </c>
      <c r="I2561" s="581" t="s">
        <v>4877</v>
      </c>
    </row>
    <row r="2562" spans="8:9" ht="16.3">
      <c r="H2562" s="580">
        <v>8626</v>
      </c>
      <c r="I2562" s="581" t="s">
        <v>4878</v>
      </c>
    </row>
    <row r="2563" spans="8:9" ht="16.3">
      <c r="H2563" s="580">
        <v>8627</v>
      </c>
      <c r="I2563" s="581" t="s">
        <v>4879</v>
      </c>
    </row>
    <row r="2564" spans="8:9" ht="16.3">
      <c r="H2564" s="580">
        <v>8628</v>
      </c>
      <c r="I2564" s="581" t="s">
        <v>4880</v>
      </c>
    </row>
    <row r="2565" spans="8:9" ht="16.3">
      <c r="H2565" s="580">
        <v>8630</v>
      </c>
      <c r="I2565" s="581" t="s">
        <v>2103</v>
      </c>
    </row>
    <row r="2566" spans="8:9" ht="16.3">
      <c r="H2566" s="580">
        <v>8635</v>
      </c>
      <c r="I2566" s="581" t="s">
        <v>4881</v>
      </c>
    </row>
    <row r="2567" spans="8:9" ht="16.3">
      <c r="H2567" s="580">
        <v>8636</v>
      </c>
      <c r="I2567" s="581" t="s">
        <v>2116</v>
      </c>
    </row>
    <row r="2568" spans="8:9" ht="16.3">
      <c r="H2568" s="580">
        <v>8637</v>
      </c>
      <c r="I2568" s="581" t="s">
        <v>4882</v>
      </c>
    </row>
    <row r="2569" spans="8:9" ht="16.3">
      <c r="H2569" s="580">
        <v>8638</v>
      </c>
      <c r="I2569" s="581" t="s">
        <v>4883</v>
      </c>
    </row>
    <row r="2570" spans="8:9" ht="16.3">
      <c r="H2570" s="580">
        <v>8640</v>
      </c>
      <c r="I2570" s="581" t="s">
        <v>4884</v>
      </c>
    </row>
    <row r="2571" spans="8:9" ht="16.3">
      <c r="H2571" s="580">
        <v>8646</v>
      </c>
      <c r="I2571" s="581" t="s">
        <v>2162</v>
      </c>
    </row>
    <row r="2572" spans="8:9" ht="16.3">
      <c r="H2572" s="580">
        <v>8647</v>
      </c>
      <c r="I2572" s="581" t="s">
        <v>4885</v>
      </c>
    </row>
    <row r="2573" spans="8:9" ht="16.3">
      <c r="H2573" s="580">
        <v>8648</v>
      </c>
      <c r="I2573" s="581" t="s">
        <v>4886</v>
      </c>
    </row>
    <row r="2574" spans="8:9" ht="16.3">
      <c r="H2574" s="580">
        <v>8649</v>
      </c>
      <c r="I2574" s="581" t="s">
        <v>4887</v>
      </c>
    </row>
    <row r="2575" spans="8:9" ht="16.3">
      <c r="H2575" s="580">
        <v>8651</v>
      </c>
      <c r="I2575" s="581" t="s">
        <v>4888</v>
      </c>
    </row>
    <row r="2576" spans="8:9" ht="16.3">
      <c r="H2576" s="580">
        <v>8652</v>
      </c>
      <c r="I2576" s="581" t="s">
        <v>4889</v>
      </c>
    </row>
    <row r="2577" spans="8:9" ht="16.3">
      <c r="H2577" s="580">
        <v>8653</v>
      </c>
      <c r="I2577" s="581" t="s">
        <v>1975</v>
      </c>
    </row>
    <row r="2578" spans="8:9" ht="16.3">
      <c r="H2578" s="580">
        <v>8654</v>
      </c>
      <c r="I2578" s="581" t="s">
        <v>4890</v>
      </c>
    </row>
    <row r="2579" spans="8:9" ht="16.3">
      <c r="H2579" s="580">
        <v>8655</v>
      </c>
      <c r="I2579" s="581" t="s">
        <v>4891</v>
      </c>
    </row>
    <row r="2580" spans="8:9" ht="16.3">
      <c r="H2580" s="580">
        <v>8656</v>
      </c>
      <c r="I2580" s="581" t="s">
        <v>4892</v>
      </c>
    </row>
    <row r="2581" spans="8:9" ht="16.3">
      <c r="H2581" s="580">
        <v>8658</v>
      </c>
      <c r="I2581" s="581" t="s">
        <v>4893</v>
      </c>
    </row>
    <row r="2582" spans="8:9" ht="16.3">
      <c r="H2582" s="580">
        <v>8660</v>
      </c>
      <c r="I2582" s="581" t="s">
        <v>4894</v>
      </c>
    </row>
    <row r="2583" spans="8:9" ht="16.3">
      <c r="H2583" s="580">
        <v>8660</v>
      </c>
      <c r="I2583" s="581" t="s">
        <v>4895</v>
      </c>
    </row>
    <row r="2584" spans="8:9" ht="16.3">
      <c r="H2584" s="580">
        <v>8660</v>
      </c>
      <c r="I2584" s="581" t="s">
        <v>4896</v>
      </c>
    </row>
    <row r="2585" spans="8:9" ht="16.3">
      <c r="H2585" s="580">
        <v>8660</v>
      </c>
      <c r="I2585" s="581" t="s">
        <v>4897</v>
      </c>
    </row>
    <row r="2586" spans="8:9" ht="16.3">
      <c r="H2586" s="580">
        <v>8660</v>
      </c>
      <c r="I2586" s="581" t="s">
        <v>4898</v>
      </c>
    </row>
    <row r="2587" spans="8:9" ht="16.3">
      <c r="H2587" s="580">
        <v>8666</v>
      </c>
      <c r="I2587" s="581" t="s">
        <v>4899</v>
      </c>
    </row>
    <row r="2588" spans="8:9" ht="16.3">
      <c r="H2588" s="580">
        <v>8666</v>
      </c>
      <c r="I2588" s="581" t="s">
        <v>4900</v>
      </c>
    </row>
    <row r="2589" spans="8:9" ht="16.3">
      <c r="H2589" s="580">
        <v>8667</v>
      </c>
      <c r="I2589" s="581" t="s">
        <v>4901</v>
      </c>
    </row>
    <row r="2590" spans="8:9" ht="16.3">
      <c r="H2590" s="580">
        <v>8668</v>
      </c>
      <c r="I2590" s="581" t="s">
        <v>4902</v>
      </c>
    </row>
    <row r="2591" spans="8:9" ht="16.3">
      <c r="H2591" s="580">
        <v>8669</v>
      </c>
      <c r="I2591" s="581" t="s">
        <v>4903</v>
      </c>
    </row>
    <row r="2592" spans="8:9" ht="16.3">
      <c r="H2592" s="580">
        <v>8671</v>
      </c>
      <c r="I2592" s="581" t="s">
        <v>4904</v>
      </c>
    </row>
    <row r="2593" spans="8:9" ht="16.3">
      <c r="H2593" s="580">
        <v>8672</v>
      </c>
      <c r="I2593" s="581" t="s">
        <v>4905</v>
      </c>
    </row>
    <row r="2594" spans="8:9" ht="16.3">
      <c r="H2594" s="580">
        <v>8673</v>
      </c>
      <c r="I2594" s="581" t="s">
        <v>4906</v>
      </c>
    </row>
    <row r="2595" spans="8:9" ht="16.3">
      <c r="H2595" s="580">
        <v>8674</v>
      </c>
      <c r="I2595" s="581" t="s">
        <v>4907</v>
      </c>
    </row>
    <row r="2596" spans="8:9" ht="16.3">
      <c r="H2596" s="580">
        <v>8675</v>
      </c>
      <c r="I2596" s="581" t="s">
        <v>4908</v>
      </c>
    </row>
    <row r="2597" spans="8:9" ht="16.3">
      <c r="H2597" s="580">
        <v>8676</v>
      </c>
      <c r="I2597" s="581" t="s">
        <v>4909</v>
      </c>
    </row>
    <row r="2598" spans="8:9" ht="16.3">
      <c r="H2598" s="580">
        <v>8681</v>
      </c>
      <c r="I2598" s="581" t="s">
        <v>4910</v>
      </c>
    </row>
    <row r="2599" spans="8:9" ht="16.3">
      <c r="H2599" s="580">
        <v>8681</v>
      </c>
      <c r="I2599" s="581" t="s">
        <v>4911</v>
      </c>
    </row>
    <row r="2600" spans="8:9" ht="16.3">
      <c r="H2600" s="580">
        <v>8683</v>
      </c>
      <c r="I2600" s="581" t="s">
        <v>4912</v>
      </c>
    </row>
    <row r="2601" spans="8:9" ht="16.3">
      <c r="H2601" s="580">
        <v>8684</v>
      </c>
      <c r="I2601" s="581" t="s">
        <v>4913</v>
      </c>
    </row>
    <row r="2602" spans="8:9" ht="16.3">
      <c r="H2602" s="580">
        <v>8685</v>
      </c>
      <c r="I2602" s="581" t="s">
        <v>4914</v>
      </c>
    </row>
    <row r="2603" spans="8:9" ht="16.3">
      <c r="H2603" s="580">
        <v>8691</v>
      </c>
      <c r="I2603" s="580" t="s">
        <v>2103</v>
      </c>
    </row>
    <row r="2604" spans="8:9" ht="16.3">
      <c r="H2604" s="580">
        <v>8692</v>
      </c>
      <c r="I2604" s="581" t="s">
        <v>4915</v>
      </c>
    </row>
    <row r="2605" spans="8:9" ht="16.3">
      <c r="H2605" s="580">
        <v>8692</v>
      </c>
      <c r="I2605" s="581" t="s">
        <v>4916</v>
      </c>
    </row>
    <row r="2606" spans="8:9" ht="16.3">
      <c r="H2606" s="580">
        <v>8693</v>
      </c>
      <c r="I2606" s="581" t="s">
        <v>2304</v>
      </c>
    </row>
    <row r="2607" spans="8:9" ht="16.3">
      <c r="H2607" s="580">
        <v>8693</v>
      </c>
      <c r="I2607" s="581" t="s">
        <v>4917</v>
      </c>
    </row>
    <row r="2608" spans="8:9" ht="16.3">
      <c r="H2608" s="580">
        <v>8694</v>
      </c>
      <c r="I2608" s="581" t="s">
        <v>4918</v>
      </c>
    </row>
    <row r="2609" spans="8:9" ht="16.3">
      <c r="H2609" s="580">
        <v>8695</v>
      </c>
      <c r="I2609" s="581" t="s">
        <v>2265</v>
      </c>
    </row>
    <row r="2610" spans="8:9" ht="16.3">
      <c r="H2610" s="580">
        <v>8696</v>
      </c>
      <c r="I2610" s="581" t="s">
        <v>4919</v>
      </c>
    </row>
    <row r="2611" spans="8:9" ht="16.3">
      <c r="H2611" s="580">
        <v>8697</v>
      </c>
      <c r="I2611" s="581" t="s">
        <v>4920</v>
      </c>
    </row>
    <row r="2612" spans="8:9" ht="16.3">
      <c r="H2612" s="580">
        <v>8698</v>
      </c>
      <c r="I2612" s="581" t="s">
        <v>4921</v>
      </c>
    </row>
    <row r="2613" spans="8:9" ht="16.3">
      <c r="H2613" s="580">
        <v>8698</v>
      </c>
      <c r="I2613" s="581" t="s">
        <v>4922</v>
      </c>
    </row>
    <row r="2614" spans="8:9" ht="16.3">
      <c r="H2614" s="580">
        <v>8699</v>
      </c>
      <c r="I2614" s="581" t="s">
        <v>4923</v>
      </c>
    </row>
    <row r="2615" spans="8:9" ht="16.3">
      <c r="H2615" s="580">
        <v>8700</v>
      </c>
      <c r="I2615" s="581" t="s">
        <v>2155</v>
      </c>
    </row>
    <row r="2616" spans="8:9" ht="16.3">
      <c r="H2616" s="580">
        <v>8700</v>
      </c>
      <c r="I2616" s="581" t="s">
        <v>4924</v>
      </c>
    </row>
    <row r="2617" spans="8:9" ht="16.3">
      <c r="H2617" s="580">
        <v>8705</v>
      </c>
      <c r="I2617" s="581" t="s">
        <v>4925</v>
      </c>
    </row>
    <row r="2618" spans="8:9" ht="16.3">
      <c r="H2618" s="580">
        <v>8706</v>
      </c>
      <c r="I2618" s="581" t="s">
        <v>4926</v>
      </c>
    </row>
    <row r="2619" spans="8:9" ht="16.3">
      <c r="H2619" s="580">
        <v>8707</v>
      </c>
      <c r="I2619" s="581" t="s">
        <v>4927</v>
      </c>
    </row>
    <row r="2620" spans="8:9" ht="16.3">
      <c r="H2620" s="580">
        <v>8707</v>
      </c>
      <c r="I2620" s="581" t="s">
        <v>4928</v>
      </c>
    </row>
    <row r="2621" spans="8:9" ht="16.3">
      <c r="H2621" s="580">
        <v>8708</v>
      </c>
      <c r="I2621" s="581" t="s">
        <v>4929</v>
      </c>
    </row>
    <row r="2622" spans="8:9" ht="16.3">
      <c r="H2622" s="580">
        <v>8709</v>
      </c>
      <c r="I2622" s="581" t="s">
        <v>2155</v>
      </c>
    </row>
    <row r="2623" spans="8:9" ht="16.3">
      <c r="H2623" s="580">
        <v>8710</v>
      </c>
      <c r="I2623" s="581" t="s">
        <v>4930</v>
      </c>
    </row>
    <row r="2624" spans="8:9" ht="16.3">
      <c r="H2624" s="580">
        <v>8711</v>
      </c>
      <c r="I2624" s="581" t="s">
        <v>4931</v>
      </c>
    </row>
    <row r="2625" spans="8:9" ht="16.3">
      <c r="H2625" s="580">
        <v>8712</v>
      </c>
      <c r="I2625" s="581" t="s">
        <v>4932</v>
      </c>
    </row>
    <row r="2626" spans="8:9" ht="16.3">
      <c r="H2626" s="580">
        <v>8713</v>
      </c>
      <c r="I2626" s="581" t="s">
        <v>2332</v>
      </c>
    </row>
    <row r="2627" spans="8:9" ht="16.3">
      <c r="H2627" s="580">
        <v>8714</v>
      </c>
      <c r="I2627" s="581" t="s">
        <v>2155</v>
      </c>
    </row>
    <row r="2628" spans="8:9" ht="16.3">
      <c r="H2628" s="580">
        <v>8714</v>
      </c>
      <c r="I2628" s="581" t="s">
        <v>4933</v>
      </c>
    </row>
    <row r="2629" spans="8:9" ht="16.3">
      <c r="H2629" s="580">
        <v>8715</v>
      </c>
      <c r="I2629" s="581" t="s">
        <v>4934</v>
      </c>
    </row>
    <row r="2630" spans="8:9" ht="16.3">
      <c r="H2630" s="580">
        <v>8716</v>
      </c>
      <c r="I2630" s="581" t="s">
        <v>4935</v>
      </c>
    </row>
    <row r="2631" spans="8:9" ht="16.3">
      <c r="H2631" s="580">
        <v>8716</v>
      </c>
      <c r="I2631" s="581" t="s">
        <v>4936</v>
      </c>
    </row>
    <row r="2632" spans="8:9" ht="16.3">
      <c r="H2632" s="580">
        <v>8717</v>
      </c>
      <c r="I2632" s="581" t="s">
        <v>4937</v>
      </c>
    </row>
    <row r="2633" spans="8:9" ht="16.3">
      <c r="H2633" s="580">
        <v>8717</v>
      </c>
      <c r="I2633" s="581" t="s">
        <v>4938</v>
      </c>
    </row>
    <row r="2634" spans="8:9" ht="16.3">
      <c r="H2634" s="580">
        <v>8718</v>
      </c>
      <c r="I2634" s="581" t="s">
        <v>4939</v>
      </c>
    </row>
    <row r="2635" spans="8:9" ht="16.3">
      <c r="H2635" s="580">
        <v>8719</v>
      </c>
      <c r="I2635" s="581" t="s">
        <v>4940</v>
      </c>
    </row>
    <row r="2636" spans="8:9" ht="16.3">
      <c r="H2636" s="580">
        <v>8721</v>
      </c>
      <c r="I2636" s="581" t="s">
        <v>4941</v>
      </c>
    </row>
    <row r="2637" spans="8:9" ht="16.3">
      <c r="H2637" s="580">
        <v>8722</v>
      </c>
      <c r="I2637" s="581" t="s">
        <v>4942</v>
      </c>
    </row>
    <row r="2638" spans="8:9" ht="16.3">
      <c r="H2638" s="580">
        <v>8723</v>
      </c>
      <c r="I2638" s="581" t="s">
        <v>4943</v>
      </c>
    </row>
    <row r="2639" spans="8:9" ht="16.3">
      <c r="H2639" s="580">
        <v>8724</v>
      </c>
      <c r="I2639" s="581" t="s">
        <v>4944</v>
      </c>
    </row>
    <row r="2640" spans="8:9" ht="16.3">
      <c r="H2640" s="580">
        <v>8725</v>
      </c>
      <c r="I2640" s="581" t="s">
        <v>4945</v>
      </c>
    </row>
    <row r="2641" spans="8:9" ht="16.3">
      <c r="H2641" s="580">
        <v>8726</v>
      </c>
      <c r="I2641" s="581" t="s">
        <v>4946</v>
      </c>
    </row>
    <row r="2642" spans="8:9" ht="16.3">
      <c r="H2642" s="580">
        <v>8726</v>
      </c>
      <c r="I2642" s="581" t="s">
        <v>4947</v>
      </c>
    </row>
    <row r="2643" spans="8:9" ht="16.3">
      <c r="H2643" s="580">
        <v>8728</v>
      </c>
      <c r="I2643" s="581" t="s">
        <v>4948</v>
      </c>
    </row>
    <row r="2644" spans="8:9" ht="16.3">
      <c r="H2644" s="580">
        <v>8731</v>
      </c>
      <c r="I2644" s="581" t="s">
        <v>4949</v>
      </c>
    </row>
    <row r="2645" spans="8:9" ht="16.3">
      <c r="H2645" s="580">
        <v>8731</v>
      </c>
      <c r="I2645" s="581" t="s">
        <v>4950</v>
      </c>
    </row>
    <row r="2646" spans="8:9" ht="16.3">
      <c r="H2646" s="580">
        <v>8732</v>
      </c>
      <c r="I2646" s="581" t="s">
        <v>4951</v>
      </c>
    </row>
    <row r="2647" spans="8:9" ht="16.3">
      <c r="H2647" s="580">
        <v>8732</v>
      </c>
      <c r="I2647" s="581" t="s">
        <v>4952</v>
      </c>
    </row>
    <row r="2648" spans="8:9" ht="16.3">
      <c r="H2648" s="580">
        <v>8732</v>
      </c>
      <c r="I2648" s="581" t="s">
        <v>4953</v>
      </c>
    </row>
    <row r="2649" spans="8:9" ht="16.3">
      <c r="H2649" s="580">
        <v>8733</v>
      </c>
      <c r="I2649" s="581" t="s">
        <v>4954</v>
      </c>
    </row>
    <row r="2650" spans="8:9" ht="16.3">
      <c r="H2650" s="580">
        <v>8734</v>
      </c>
      <c r="I2650" s="581" t="s">
        <v>4955</v>
      </c>
    </row>
    <row r="2651" spans="8:9" ht="16.3">
      <c r="H2651" s="580">
        <v>8735</v>
      </c>
      <c r="I2651" s="581" t="s">
        <v>4956</v>
      </c>
    </row>
    <row r="2652" spans="8:9" ht="16.3">
      <c r="H2652" s="580">
        <v>8736</v>
      </c>
      <c r="I2652" s="581" t="s">
        <v>4957</v>
      </c>
    </row>
    <row r="2653" spans="8:9" ht="16.3">
      <c r="H2653" s="580">
        <v>8737</v>
      </c>
      <c r="I2653" s="581" t="s">
        <v>4958</v>
      </c>
    </row>
    <row r="2654" spans="8:9" ht="16.3">
      <c r="H2654" s="580">
        <v>8738</v>
      </c>
      <c r="I2654" s="581" t="s">
        <v>4959</v>
      </c>
    </row>
    <row r="2655" spans="8:9" ht="16.3">
      <c r="H2655" s="580">
        <v>8739</v>
      </c>
      <c r="I2655" s="581" t="s">
        <v>4960</v>
      </c>
    </row>
    <row r="2656" spans="8:9" ht="16.3">
      <c r="H2656" s="580">
        <v>8741</v>
      </c>
      <c r="I2656" s="581" t="s">
        <v>4961</v>
      </c>
    </row>
    <row r="2657" spans="8:9" ht="16.3">
      <c r="H2657" s="580">
        <v>8741</v>
      </c>
      <c r="I2657" s="581" t="s">
        <v>4962</v>
      </c>
    </row>
    <row r="2658" spans="8:9" ht="16.3">
      <c r="H2658" s="580">
        <v>8742</v>
      </c>
      <c r="I2658" s="581" t="s">
        <v>4963</v>
      </c>
    </row>
    <row r="2659" spans="8:9" ht="16.3">
      <c r="H2659" s="580">
        <v>8743</v>
      </c>
      <c r="I2659" s="581" t="s">
        <v>4964</v>
      </c>
    </row>
    <row r="2660" spans="8:9" ht="16.3">
      <c r="H2660" s="580">
        <v>8744</v>
      </c>
      <c r="I2660" s="581" t="s">
        <v>4965</v>
      </c>
    </row>
    <row r="2661" spans="8:9" ht="16.3">
      <c r="H2661" s="580">
        <v>8745</v>
      </c>
      <c r="I2661" s="581" t="s">
        <v>4966</v>
      </c>
    </row>
    <row r="2662" spans="8:9" ht="16.3">
      <c r="H2662" s="580">
        <v>8746</v>
      </c>
      <c r="I2662" s="581" t="s">
        <v>4967</v>
      </c>
    </row>
    <row r="2663" spans="8:9" ht="16.3">
      <c r="H2663" s="580">
        <v>8747</v>
      </c>
      <c r="I2663" s="581" t="s">
        <v>4968</v>
      </c>
    </row>
    <row r="2664" spans="8:9" ht="16.3">
      <c r="H2664" s="580">
        <v>8747</v>
      </c>
      <c r="I2664" s="581" t="s">
        <v>4969</v>
      </c>
    </row>
    <row r="2665" spans="8:9" ht="16.3">
      <c r="H2665" s="580">
        <v>8749</v>
      </c>
      <c r="I2665" s="581" t="s">
        <v>4970</v>
      </c>
    </row>
    <row r="2666" spans="8:9" ht="16.3">
      <c r="H2666" s="580">
        <v>8751</v>
      </c>
      <c r="I2666" s="581" t="s">
        <v>4971</v>
      </c>
    </row>
    <row r="2667" spans="8:9" ht="16.3">
      <c r="H2667" s="580">
        <v>8752</v>
      </c>
      <c r="I2667" s="581" t="s">
        <v>4971</v>
      </c>
    </row>
    <row r="2668" spans="8:9" ht="16.3">
      <c r="H2668" s="580">
        <v>8753</v>
      </c>
      <c r="I2668" s="581" t="s">
        <v>4972</v>
      </c>
    </row>
    <row r="2669" spans="8:9" ht="16.3">
      <c r="H2669" s="580">
        <v>8754</v>
      </c>
      <c r="I2669" s="581" t="s">
        <v>4973</v>
      </c>
    </row>
    <row r="2670" spans="8:9" ht="16.3">
      <c r="H2670" s="580">
        <v>8756</v>
      </c>
      <c r="I2670" s="581" t="s">
        <v>4974</v>
      </c>
    </row>
    <row r="2671" spans="8:9" ht="16.3">
      <c r="H2671" s="580">
        <v>8756</v>
      </c>
      <c r="I2671" s="581" t="s">
        <v>4975</v>
      </c>
    </row>
    <row r="2672" spans="8:9" ht="16.3">
      <c r="H2672" s="580">
        <v>8756</v>
      </c>
      <c r="I2672" s="581" t="s">
        <v>4976</v>
      </c>
    </row>
    <row r="2673" spans="8:9" ht="16.3">
      <c r="H2673" s="580">
        <v>8756</v>
      </c>
      <c r="I2673" s="581" t="s">
        <v>4977</v>
      </c>
    </row>
    <row r="2674" spans="8:9" ht="16.3">
      <c r="H2674" s="580">
        <v>8761</v>
      </c>
      <c r="I2674" s="581" t="s">
        <v>4978</v>
      </c>
    </row>
    <row r="2675" spans="8:9" ht="16.3">
      <c r="H2675" s="580">
        <v>8761</v>
      </c>
      <c r="I2675" s="581" t="s">
        <v>4979</v>
      </c>
    </row>
    <row r="2676" spans="8:9" ht="16.3">
      <c r="H2676" s="580">
        <v>8762</v>
      </c>
      <c r="I2676" s="581" t="s">
        <v>4980</v>
      </c>
    </row>
    <row r="2677" spans="8:9" ht="16.3">
      <c r="H2677" s="580">
        <v>8762</v>
      </c>
      <c r="I2677" s="581" t="s">
        <v>4981</v>
      </c>
    </row>
    <row r="2678" spans="8:9" ht="16.3">
      <c r="H2678" s="580">
        <v>8764</v>
      </c>
      <c r="I2678" s="581" t="s">
        <v>4982</v>
      </c>
    </row>
    <row r="2679" spans="8:9" ht="16.3">
      <c r="H2679" s="580">
        <v>8764</v>
      </c>
      <c r="I2679" s="581" t="s">
        <v>4983</v>
      </c>
    </row>
    <row r="2680" spans="8:9" ht="16.3">
      <c r="H2680" s="580">
        <v>8765</v>
      </c>
      <c r="I2680" s="581" t="s">
        <v>4984</v>
      </c>
    </row>
    <row r="2681" spans="8:9" ht="16.3">
      <c r="H2681" s="580">
        <v>8767</v>
      </c>
      <c r="I2681" s="581" t="s">
        <v>4985</v>
      </c>
    </row>
    <row r="2682" spans="8:9" ht="16.3">
      <c r="H2682" s="580">
        <v>8767</v>
      </c>
      <c r="I2682" s="581" t="s">
        <v>4986</v>
      </c>
    </row>
    <row r="2683" spans="8:9" ht="16.3">
      <c r="H2683" s="580">
        <v>8767</v>
      </c>
      <c r="I2683" s="581" t="s">
        <v>4987</v>
      </c>
    </row>
    <row r="2684" spans="8:9" ht="16.3">
      <c r="H2684" s="580">
        <v>8771</v>
      </c>
      <c r="I2684" s="581" t="s">
        <v>4988</v>
      </c>
    </row>
    <row r="2685" spans="8:9" ht="16.3">
      <c r="H2685" s="580">
        <v>8772</v>
      </c>
      <c r="I2685" s="581" t="s">
        <v>4989</v>
      </c>
    </row>
    <row r="2686" spans="8:9" ht="16.3">
      <c r="H2686" s="580">
        <v>8772</v>
      </c>
      <c r="I2686" s="581" t="s">
        <v>4990</v>
      </c>
    </row>
    <row r="2687" spans="8:9" ht="16.3">
      <c r="H2687" s="580">
        <v>8773</v>
      </c>
      <c r="I2687" s="581" t="s">
        <v>4991</v>
      </c>
    </row>
    <row r="2688" spans="8:9" ht="16.3">
      <c r="H2688" s="580">
        <v>8773</v>
      </c>
      <c r="I2688" s="581" t="s">
        <v>4992</v>
      </c>
    </row>
    <row r="2689" spans="8:9" ht="16.3">
      <c r="H2689" s="580">
        <v>8774</v>
      </c>
      <c r="I2689" s="581" t="s">
        <v>4993</v>
      </c>
    </row>
    <row r="2690" spans="8:9" ht="16.3">
      <c r="H2690" s="580">
        <v>8774</v>
      </c>
      <c r="I2690" s="581" t="s">
        <v>4994</v>
      </c>
    </row>
    <row r="2691" spans="8:9" ht="16.3">
      <c r="H2691" s="580">
        <v>8774</v>
      </c>
      <c r="I2691" s="581" t="s">
        <v>4995</v>
      </c>
    </row>
    <row r="2692" spans="8:9" ht="16.3">
      <c r="H2692" s="580">
        <v>8776</v>
      </c>
      <c r="I2692" s="581" t="s">
        <v>4996</v>
      </c>
    </row>
    <row r="2693" spans="8:9" ht="16.3">
      <c r="H2693" s="580">
        <v>8776</v>
      </c>
      <c r="I2693" s="581" t="s">
        <v>4997</v>
      </c>
    </row>
    <row r="2694" spans="8:9" ht="16.3">
      <c r="H2694" s="580">
        <v>8776</v>
      </c>
      <c r="I2694" s="581" t="s">
        <v>4998</v>
      </c>
    </row>
    <row r="2695" spans="8:9" ht="16.3">
      <c r="H2695" s="580">
        <v>8777</v>
      </c>
      <c r="I2695" s="581" t="s">
        <v>4999</v>
      </c>
    </row>
    <row r="2696" spans="8:9" ht="16.3">
      <c r="H2696" s="580">
        <v>8777</v>
      </c>
      <c r="I2696" s="581" t="s">
        <v>5000</v>
      </c>
    </row>
    <row r="2697" spans="8:9" ht="16.3">
      <c r="H2697" s="580">
        <v>8777</v>
      </c>
      <c r="I2697" s="581" t="s">
        <v>5001</v>
      </c>
    </row>
    <row r="2698" spans="8:9" ht="16.3">
      <c r="H2698" s="580">
        <v>8778</v>
      </c>
      <c r="I2698" s="581" t="s">
        <v>5002</v>
      </c>
    </row>
    <row r="2699" spans="8:9" ht="16.3">
      <c r="H2699" s="580">
        <v>8782</v>
      </c>
      <c r="I2699" s="581" t="s">
        <v>5003</v>
      </c>
    </row>
    <row r="2700" spans="8:9" ht="16.3">
      <c r="H2700" s="580">
        <v>8782</v>
      </c>
      <c r="I2700" s="581" t="s">
        <v>5004</v>
      </c>
    </row>
    <row r="2701" spans="8:9" ht="16.3">
      <c r="H2701" s="580">
        <v>8782</v>
      </c>
      <c r="I2701" s="581" t="s">
        <v>5005</v>
      </c>
    </row>
    <row r="2702" spans="8:9" ht="16.3">
      <c r="H2702" s="580">
        <v>8784</v>
      </c>
      <c r="I2702" s="581" t="s">
        <v>5006</v>
      </c>
    </row>
    <row r="2703" spans="8:9" ht="16.3">
      <c r="H2703" s="580">
        <v>8785</v>
      </c>
      <c r="I2703" s="580" t="s">
        <v>5007</v>
      </c>
    </row>
    <row r="2704" spans="8:9" ht="16.3">
      <c r="H2704" s="580">
        <v>8785</v>
      </c>
      <c r="I2704" s="581" t="s">
        <v>5008</v>
      </c>
    </row>
    <row r="2705" spans="8:9" ht="16.3">
      <c r="H2705" s="580">
        <v>8788</v>
      </c>
      <c r="I2705" s="581" t="s">
        <v>5009</v>
      </c>
    </row>
    <row r="2706" spans="8:9" ht="16.3">
      <c r="H2706" s="580">
        <v>8788</v>
      </c>
      <c r="I2706" s="581" t="s">
        <v>5010</v>
      </c>
    </row>
    <row r="2707" spans="8:9" ht="16.3">
      <c r="H2707" s="580">
        <v>8789</v>
      </c>
      <c r="I2707" s="580" t="s">
        <v>5007</v>
      </c>
    </row>
    <row r="2708" spans="8:9" ht="16.3">
      <c r="H2708" s="580">
        <v>8790</v>
      </c>
      <c r="I2708" s="581" t="s">
        <v>5007</v>
      </c>
    </row>
    <row r="2709" spans="8:9" ht="16.3">
      <c r="H2709" s="580">
        <v>8792</v>
      </c>
      <c r="I2709" s="581" t="s">
        <v>5011</v>
      </c>
    </row>
    <row r="2710" spans="8:9" ht="16.3">
      <c r="H2710" s="580">
        <v>8793</v>
      </c>
      <c r="I2710" s="580" t="s">
        <v>5012</v>
      </c>
    </row>
    <row r="2711" spans="8:9" ht="16.3">
      <c r="H2711" s="580">
        <v>8795</v>
      </c>
      <c r="I2711" s="580" t="s">
        <v>5007</v>
      </c>
    </row>
    <row r="2712" spans="8:9" ht="16.3">
      <c r="H2712" s="580">
        <v>8796</v>
      </c>
      <c r="I2712" s="581" t="s">
        <v>5013</v>
      </c>
    </row>
    <row r="2713" spans="8:9" ht="16.3">
      <c r="H2713" s="580">
        <v>8797</v>
      </c>
      <c r="I2713" s="581" t="s">
        <v>5014</v>
      </c>
    </row>
    <row r="2714" spans="8:9" ht="16.3">
      <c r="H2714" s="580">
        <v>8798</v>
      </c>
      <c r="I2714" s="581" t="s">
        <v>5015</v>
      </c>
    </row>
    <row r="2715" spans="8:9" ht="16.3">
      <c r="H2715" s="580">
        <v>8799</v>
      </c>
      <c r="I2715" s="581" t="s">
        <v>5016</v>
      </c>
    </row>
    <row r="2716" spans="8:9" ht="16.3">
      <c r="H2716" s="580">
        <v>8799</v>
      </c>
      <c r="I2716" s="581" t="s">
        <v>5017</v>
      </c>
    </row>
    <row r="2717" spans="8:9" ht="16.3">
      <c r="H2717" s="580">
        <v>8800</v>
      </c>
      <c r="I2717" s="581" t="s">
        <v>2002</v>
      </c>
    </row>
    <row r="2718" spans="8:9" ht="16.3">
      <c r="H2718" s="580">
        <v>8808</v>
      </c>
      <c r="I2718" s="581" t="s">
        <v>2002</v>
      </c>
    </row>
    <row r="2719" spans="8:9" ht="16.3">
      <c r="H2719" s="580">
        <v>8809</v>
      </c>
      <c r="I2719" s="581" t="s">
        <v>2002</v>
      </c>
    </row>
    <row r="2720" spans="8:9" ht="16.3">
      <c r="H2720" s="580">
        <v>8821</v>
      </c>
      <c r="I2720" s="581" t="s">
        <v>5018</v>
      </c>
    </row>
    <row r="2721" spans="8:9" ht="16.3">
      <c r="H2721" s="580">
        <v>8822</v>
      </c>
      <c r="I2721" s="581" t="s">
        <v>5019</v>
      </c>
    </row>
    <row r="2722" spans="8:9" ht="16.3">
      <c r="H2722" s="580">
        <v>8824</v>
      </c>
      <c r="I2722" s="581" t="s">
        <v>5020</v>
      </c>
    </row>
    <row r="2723" spans="8:9" ht="16.3">
      <c r="H2723" s="580">
        <v>8825</v>
      </c>
      <c r="I2723" s="581" t="s">
        <v>5021</v>
      </c>
    </row>
    <row r="2724" spans="8:9" ht="16.3">
      <c r="H2724" s="580">
        <v>8825</v>
      </c>
      <c r="I2724" s="581" t="s">
        <v>5022</v>
      </c>
    </row>
    <row r="2725" spans="8:9" ht="16.3">
      <c r="H2725" s="580">
        <v>8827</v>
      </c>
      <c r="I2725" s="581" t="s">
        <v>5023</v>
      </c>
    </row>
    <row r="2726" spans="8:9" ht="16.3">
      <c r="H2726" s="580">
        <v>8831</v>
      </c>
      <c r="I2726" s="581" t="s">
        <v>2002</v>
      </c>
    </row>
    <row r="2727" spans="8:9" ht="16.3">
      <c r="H2727" s="580">
        <v>8832</v>
      </c>
      <c r="I2727" s="581" t="s">
        <v>5024</v>
      </c>
    </row>
    <row r="2728" spans="8:9" ht="16.3">
      <c r="H2728" s="580">
        <v>8834</v>
      </c>
      <c r="I2728" s="581" t="s">
        <v>2268</v>
      </c>
    </row>
    <row r="2729" spans="8:9" ht="16.3">
      <c r="H2729" s="580">
        <v>8835</v>
      </c>
      <c r="I2729" s="581" t="s">
        <v>5025</v>
      </c>
    </row>
    <row r="2730" spans="8:9" ht="16.3">
      <c r="H2730" s="580">
        <v>8840</v>
      </c>
      <c r="I2730" s="581" t="s">
        <v>5026</v>
      </c>
    </row>
    <row r="2731" spans="8:9" ht="16.3">
      <c r="H2731" s="580">
        <v>8840</v>
      </c>
      <c r="I2731" s="581" t="s">
        <v>5027</v>
      </c>
    </row>
    <row r="2732" spans="8:9" ht="16.3">
      <c r="H2732" s="580">
        <v>8849</v>
      </c>
      <c r="I2732" s="581" t="s">
        <v>5028</v>
      </c>
    </row>
    <row r="2733" spans="8:9" ht="16.3">
      <c r="H2733" s="580">
        <v>8851</v>
      </c>
      <c r="I2733" s="581" t="s">
        <v>5029</v>
      </c>
    </row>
    <row r="2734" spans="8:9" ht="16.3">
      <c r="H2734" s="580">
        <v>8852</v>
      </c>
      <c r="I2734" s="581" t="s">
        <v>5030</v>
      </c>
    </row>
    <row r="2735" spans="8:9" ht="16.3">
      <c r="H2735" s="580">
        <v>8853</v>
      </c>
      <c r="I2735" s="581" t="s">
        <v>5031</v>
      </c>
    </row>
    <row r="2736" spans="8:9" ht="16.3">
      <c r="H2736" s="580">
        <v>8854</v>
      </c>
      <c r="I2736" s="581" t="s">
        <v>5032</v>
      </c>
    </row>
    <row r="2737" spans="8:9" ht="16.3">
      <c r="H2737" s="580">
        <v>8855</v>
      </c>
      <c r="I2737" s="581" t="s">
        <v>5033</v>
      </c>
    </row>
    <row r="2738" spans="8:9" ht="16.3">
      <c r="H2738" s="580">
        <v>8856</v>
      </c>
      <c r="I2738" s="581" t="s">
        <v>5034</v>
      </c>
    </row>
    <row r="2739" spans="8:9" ht="16.3">
      <c r="H2739" s="580">
        <v>8857</v>
      </c>
      <c r="I2739" s="581" t="s">
        <v>5035</v>
      </c>
    </row>
    <row r="2740" spans="8:9" ht="16.3">
      <c r="H2740" s="580">
        <v>8858</v>
      </c>
      <c r="I2740" s="581" t="s">
        <v>5036</v>
      </c>
    </row>
    <row r="2741" spans="8:9" ht="16.3">
      <c r="H2741" s="580">
        <v>8858</v>
      </c>
      <c r="I2741" s="581" t="s">
        <v>5037</v>
      </c>
    </row>
    <row r="2742" spans="8:9" ht="16.3">
      <c r="H2742" s="580">
        <v>8858</v>
      </c>
      <c r="I2742" s="581" t="s">
        <v>5038</v>
      </c>
    </row>
    <row r="2743" spans="8:9" ht="16.3">
      <c r="H2743" s="580">
        <v>8858</v>
      </c>
      <c r="I2743" s="581" t="s">
        <v>5039</v>
      </c>
    </row>
    <row r="2744" spans="8:9" ht="16.3">
      <c r="H2744" s="580">
        <v>8861</v>
      </c>
      <c r="I2744" s="581" t="s">
        <v>5040</v>
      </c>
    </row>
    <row r="2745" spans="8:9" ht="16.3">
      <c r="H2745" s="580">
        <v>8862</v>
      </c>
      <c r="I2745" s="581" t="s">
        <v>5041</v>
      </c>
    </row>
    <row r="2746" spans="8:9" ht="16.3">
      <c r="H2746" s="580">
        <v>8863</v>
      </c>
      <c r="I2746" s="581" t="s">
        <v>5042</v>
      </c>
    </row>
    <row r="2747" spans="8:9" ht="16.3">
      <c r="H2747" s="580">
        <v>8864</v>
      </c>
      <c r="I2747" s="581" t="s">
        <v>5043</v>
      </c>
    </row>
    <row r="2748" spans="8:9" ht="16.3">
      <c r="H2748" s="580">
        <v>8865</v>
      </c>
      <c r="I2748" s="581" t="s">
        <v>5044</v>
      </c>
    </row>
    <row r="2749" spans="8:9" ht="16.3">
      <c r="H2749" s="580">
        <v>8866</v>
      </c>
      <c r="I2749" s="581" t="s">
        <v>5045</v>
      </c>
    </row>
    <row r="2750" spans="8:9" ht="16.3">
      <c r="H2750" s="580">
        <v>8866</v>
      </c>
      <c r="I2750" s="581" t="s">
        <v>5046</v>
      </c>
    </row>
    <row r="2751" spans="8:9" ht="16.3">
      <c r="H2751" s="580">
        <v>8868</v>
      </c>
      <c r="I2751" s="581" t="s">
        <v>5047</v>
      </c>
    </row>
    <row r="2752" spans="8:9" ht="16.3">
      <c r="H2752" s="580">
        <v>8868</v>
      </c>
      <c r="I2752" s="581" t="s">
        <v>5048</v>
      </c>
    </row>
    <row r="2753" spans="8:9" ht="16.3">
      <c r="H2753" s="580">
        <v>8868</v>
      </c>
      <c r="I2753" s="581" t="s">
        <v>5049</v>
      </c>
    </row>
    <row r="2754" spans="8:9" ht="16.3">
      <c r="H2754" s="580">
        <v>8868</v>
      </c>
      <c r="I2754" s="581" t="s">
        <v>5050</v>
      </c>
    </row>
    <row r="2755" spans="8:9" ht="16.3">
      <c r="H2755" s="580">
        <v>8872</v>
      </c>
      <c r="I2755" s="581" t="s">
        <v>5051</v>
      </c>
    </row>
    <row r="2756" spans="8:9" ht="16.3">
      <c r="H2756" s="580">
        <v>8872</v>
      </c>
      <c r="I2756" s="581" t="s">
        <v>5052</v>
      </c>
    </row>
    <row r="2757" spans="8:9" ht="16.3">
      <c r="H2757" s="580">
        <v>8873</v>
      </c>
      <c r="I2757" s="581" t="s">
        <v>5053</v>
      </c>
    </row>
    <row r="2758" spans="8:9" ht="16.3">
      <c r="H2758" s="580">
        <v>8874</v>
      </c>
      <c r="I2758" s="581" t="s">
        <v>5054</v>
      </c>
    </row>
    <row r="2759" spans="8:9" ht="16.3">
      <c r="H2759" s="580">
        <v>8874</v>
      </c>
      <c r="I2759" s="581" t="s">
        <v>5055</v>
      </c>
    </row>
    <row r="2760" spans="8:9" ht="16.3">
      <c r="H2760" s="580">
        <v>8876</v>
      </c>
      <c r="I2760" s="581" t="s">
        <v>5056</v>
      </c>
    </row>
    <row r="2761" spans="8:9" ht="16.3">
      <c r="H2761" s="580">
        <v>8877</v>
      </c>
      <c r="I2761" s="581" t="s">
        <v>5057</v>
      </c>
    </row>
    <row r="2762" spans="8:9" ht="16.3">
      <c r="H2762" s="580">
        <v>8878</v>
      </c>
      <c r="I2762" s="581" t="s">
        <v>5058</v>
      </c>
    </row>
    <row r="2763" spans="8:9" ht="16.3">
      <c r="H2763" s="580">
        <v>8879</v>
      </c>
      <c r="I2763" s="581" t="s">
        <v>5059</v>
      </c>
    </row>
    <row r="2764" spans="8:9" ht="16.3">
      <c r="H2764" s="580">
        <v>8879</v>
      </c>
      <c r="I2764" s="581" t="s">
        <v>5060</v>
      </c>
    </row>
    <row r="2765" spans="8:9" ht="16.3">
      <c r="H2765" s="580">
        <v>8881</v>
      </c>
      <c r="I2765" s="581" t="s">
        <v>5061</v>
      </c>
    </row>
    <row r="2766" spans="8:9" ht="16.3">
      <c r="H2766" s="580">
        <v>8882</v>
      </c>
      <c r="I2766" s="581" t="s">
        <v>5062</v>
      </c>
    </row>
    <row r="2767" spans="8:9" ht="16.3">
      <c r="H2767" s="580">
        <v>8883</v>
      </c>
      <c r="I2767" s="581" t="s">
        <v>5063</v>
      </c>
    </row>
    <row r="2768" spans="8:9" ht="16.3">
      <c r="H2768" s="580">
        <v>8885</v>
      </c>
      <c r="I2768" s="581" t="s">
        <v>5064</v>
      </c>
    </row>
    <row r="2769" spans="8:9" ht="16.3">
      <c r="H2769" s="580">
        <v>8885</v>
      </c>
      <c r="I2769" s="581" t="s">
        <v>5065</v>
      </c>
    </row>
    <row r="2770" spans="8:9" ht="16.3">
      <c r="H2770" s="580">
        <v>8886</v>
      </c>
      <c r="I2770" s="581" t="s">
        <v>5066</v>
      </c>
    </row>
    <row r="2771" spans="8:9" ht="16.3">
      <c r="H2771" s="580">
        <v>8887</v>
      </c>
      <c r="I2771" s="581" t="s">
        <v>5067</v>
      </c>
    </row>
    <row r="2772" spans="8:9" ht="16.3">
      <c r="H2772" s="580">
        <v>8887</v>
      </c>
      <c r="I2772" s="581" t="s">
        <v>5068</v>
      </c>
    </row>
    <row r="2773" spans="8:9" ht="16.3">
      <c r="H2773" s="580">
        <v>8888</v>
      </c>
      <c r="I2773" s="581" t="s">
        <v>5069</v>
      </c>
    </row>
    <row r="2774" spans="8:9" ht="16.3">
      <c r="H2774" s="580">
        <v>8888</v>
      </c>
      <c r="I2774" s="581" t="s">
        <v>5070</v>
      </c>
    </row>
    <row r="2775" spans="8:9" ht="16.3">
      <c r="H2775" s="580">
        <v>8888</v>
      </c>
      <c r="I2775" s="581" t="s">
        <v>5071</v>
      </c>
    </row>
    <row r="2776" spans="8:9" ht="16.3">
      <c r="H2776" s="580">
        <v>8891</v>
      </c>
      <c r="I2776" s="581" t="s">
        <v>5072</v>
      </c>
    </row>
    <row r="2777" spans="8:9" ht="16.3">
      <c r="H2777" s="580">
        <v>8891</v>
      </c>
      <c r="I2777" s="581" t="s">
        <v>5073</v>
      </c>
    </row>
    <row r="2778" spans="8:9" ht="16.3">
      <c r="H2778" s="580">
        <v>8893</v>
      </c>
      <c r="I2778" s="581" t="s">
        <v>5074</v>
      </c>
    </row>
    <row r="2779" spans="8:9" ht="16.3">
      <c r="H2779" s="580">
        <v>8893</v>
      </c>
      <c r="I2779" s="581" t="s">
        <v>5075</v>
      </c>
    </row>
    <row r="2780" spans="8:9" ht="16.3">
      <c r="H2780" s="580">
        <v>8895</v>
      </c>
      <c r="I2780" s="581" t="s">
        <v>5076</v>
      </c>
    </row>
    <row r="2781" spans="8:9" ht="16.3">
      <c r="H2781" s="580">
        <v>8896</v>
      </c>
      <c r="I2781" s="581" t="s">
        <v>5077</v>
      </c>
    </row>
    <row r="2782" spans="8:9" ht="16.3">
      <c r="H2782" s="580">
        <v>8897</v>
      </c>
      <c r="I2782" s="581" t="s">
        <v>5078</v>
      </c>
    </row>
    <row r="2783" spans="8:9" ht="16.3">
      <c r="H2783" s="580">
        <v>8900</v>
      </c>
      <c r="I2783" s="581" t="s">
        <v>2041</v>
      </c>
    </row>
    <row r="2784" spans="8:9" ht="16.3">
      <c r="H2784" s="580">
        <v>8904</v>
      </c>
      <c r="I2784" s="581" t="s">
        <v>2041</v>
      </c>
    </row>
    <row r="2785" spans="8:9" ht="16.3">
      <c r="H2785" s="580">
        <v>8911</v>
      </c>
      <c r="I2785" s="581" t="s">
        <v>5079</v>
      </c>
    </row>
    <row r="2786" spans="8:9" ht="16.3">
      <c r="H2786" s="580">
        <v>8911</v>
      </c>
      <c r="I2786" s="581" t="s">
        <v>5080</v>
      </c>
    </row>
    <row r="2787" spans="8:9" ht="16.3">
      <c r="H2787" s="580">
        <v>8912</v>
      </c>
      <c r="I2787" s="581" t="s">
        <v>5081</v>
      </c>
    </row>
    <row r="2788" spans="8:9" ht="16.3">
      <c r="H2788" s="580">
        <v>8912</v>
      </c>
      <c r="I2788" s="581" t="s">
        <v>5082</v>
      </c>
    </row>
    <row r="2789" spans="8:9" ht="16.3">
      <c r="H2789" s="580">
        <v>8913</v>
      </c>
      <c r="I2789" s="581" t="s">
        <v>5083</v>
      </c>
    </row>
    <row r="2790" spans="8:9" ht="16.3">
      <c r="H2790" s="580">
        <v>8913</v>
      </c>
      <c r="I2790" s="581" t="s">
        <v>5084</v>
      </c>
    </row>
    <row r="2791" spans="8:9" ht="16.3">
      <c r="H2791" s="580">
        <v>8913</v>
      </c>
      <c r="I2791" s="581" t="s">
        <v>5085</v>
      </c>
    </row>
    <row r="2792" spans="8:9" ht="16.3">
      <c r="H2792" s="580">
        <v>8914</v>
      </c>
      <c r="I2792" s="581" t="s">
        <v>5086</v>
      </c>
    </row>
    <row r="2793" spans="8:9" ht="16.3">
      <c r="H2793" s="580">
        <v>8915</v>
      </c>
      <c r="I2793" s="581" t="s">
        <v>5087</v>
      </c>
    </row>
    <row r="2794" spans="8:9" ht="16.3">
      <c r="H2794" s="580">
        <v>8917</v>
      </c>
      <c r="I2794" s="581" t="s">
        <v>5088</v>
      </c>
    </row>
    <row r="2795" spans="8:9" ht="16.3">
      <c r="H2795" s="580">
        <v>8918</v>
      </c>
      <c r="I2795" s="581" t="s">
        <v>5089</v>
      </c>
    </row>
    <row r="2796" spans="8:9" ht="16.3">
      <c r="H2796" s="580">
        <v>8918</v>
      </c>
      <c r="I2796" s="581" t="s">
        <v>5090</v>
      </c>
    </row>
    <row r="2797" spans="8:9" ht="16.3">
      <c r="H2797" s="580">
        <v>8919</v>
      </c>
      <c r="I2797" s="581" t="s">
        <v>5091</v>
      </c>
    </row>
    <row r="2798" spans="8:9" ht="16.3">
      <c r="H2798" s="580">
        <v>8921</v>
      </c>
      <c r="I2798" s="581" t="s">
        <v>5092</v>
      </c>
    </row>
    <row r="2799" spans="8:9" ht="16.3">
      <c r="H2799" s="580">
        <v>8921</v>
      </c>
      <c r="I2799" s="581" t="s">
        <v>5093</v>
      </c>
    </row>
    <row r="2800" spans="8:9" ht="16.3">
      <c r="H2800" s="580">
        <v>8921</v>
      </c>
      <c r="I2800" s="581" t="s">
        <v>5094</v>
      </c>
    </row>
    <row r="2801" spans="8:9" ht="16.3">
      <c r="H2801" s="580">
        <v>8921</v>
      </c>
      <c r="I2801" s="581" t="s">
        <v>5095</v>
      </c>
    </row>
    <row r="2802" spans="8:9" ht="16.3">
      <c r="H2802" s="580">
        <v>8923</v>
      </c>
      <c r="I2802" s="581" t="s">
        <v>5096</v>
      </c>
    </row>
    <row r="2803" spans="8:9" ht="16.3">
      <c r="H2803" s="580">
        <v>8924</v>
      </c>
      <c r="I2803" s="581" t="s">
        <v>5097</v>
      </c>
    </row>
    <row r="2804" spans="8:9" ht="16.3">
      <c r="H2804" s="580">
        <v>8925</v>
      </c>
      <c r="I2804" s="581" t="s">
        <v>5098</v>
      </c>
    </row>
    <row r="2805" spans="8:9" ht="16.3">
      <c r="H2805" s="580">
        <v>8925</v>
      </c>
      <c r="I2805" s="581" t="s">
        <v>5099</v>
      </c>
    </row>
    <row r="2806" spans="8:9" ht="16.3">
      <c r="H2806" s="580">
        <v>8925</v>
      </c>
      <c r="I2806" s="581" t="s">
        <v>5100</v>
      </c>
    </row>
    <row r="2807" spans="8:9" ht="16.3">
      <c r="H2807" s="580">
        <v>8926</v>
      </c>
      <c r="I2807" s="581" t="s">
        <v>5101</v>
      </c>
    </row>
    <row r="2808" spans="8:9" ht="16.3">
      <c r="H2808" s="580">
        <v>8928</v>
      </c>
      <c r="I2808" s="581" t="s">
        <v>5102</v>
      </c>
    </row>
    <row r="2809" spans="8:9" ht="16.3">
      <c r="H2809" s="580">
        <v>8929</v>
      </c>
      <c r="I2809" s="581" t="s">
        <v>5103</v>
      </c>
    </row>
    <row r="2810" spans="8:9" ht="16.3">
      <c r="H2810" s="580">
        <v>8931</v>
      </c>
      <c r="I2810" s="581" t="s">
        <v>5104</v>
      </c>
    </row>
    <row r="2811" spans="8:9" ht="16.3">
      <c r="H2811" s="580">
        <v>8931</v>
      </c>
      <c r="I2811" s="581" t="s">
        <v>5105</v>
      </c>
    </row>
    <row r="2812" spans="8:9" ht="16.3">
      <c r="H2812" s="580">
        <v>8932</v>
      </c>
      <c r="I2812" s="581" t="s">
        <v>5106</v>
      </c>
    </row>
    <row r="2813" spans="8:9" ht="16.3">
      <c r="H2813" s="580">
        <v>8932</v>
      </c>
      <c r="I2813" s="581" t="s">
        <v>5107</v>
      </c>
    </row>
    <row r="2814" spans="8:9" ht="16.3">
      <c r="H2814" s="580">
        <v>8932</v>
      </c>
      <c r="I2814" s="581" t="s">
        <v>5108</v>
      </c>
    </row>
    <row r="2815" spans="8:9" ht="16.3">
      <c r="H2815" s="580">
        <v>8934</v>
      </c>
      <c r="I2815" s="581" t="s">
        <v>5109</v>
      </c>
    </row>
    <row r="2816" spans="8:9" ht="16.3">
      <c r="H2816" s="580">
        <v>8935</v>
      </c>
      <c r="I2816" s="581" t="s">
        <v>5110</v>
      </c>
    </row>
    <row r="2817" spans="8:9" ht="16.3">
      <c r="H2817" s="580">
        <v>8935</v>
      </c>
      <c r="I2817" s="581" t="s">
        <v>5111</v>
      </c>
    </row>
    <row r="2818" spans="8:9" ht="16.3">
      <c r="H2818" s="580">
        <v>8935</v>
      </c>
      <c r="I2818" s="581" t="s">
        <v>5112</v>
      </c>
    </row>
    <row r="2819" spans="8:9" ht="16.3">
      <c r="H2819" s="580">
        <v>8935</v>
      </c>
      <c r="I2819" s="581" t="s">
        <v>5113</v>
      </c>
    </row>
    <row r="2820" spans="8:9" ht="16.3">
      <c r="H2820" s="580">
        <v>8935</v>
      </c>
      <c r="I2820" s="581" t="s">
        <v>5114</v>
      </c>
    </row>
    <row r="2821" spans="8:9" ht="16.3">
      <c r="H2821" s="580">
        <v>8936</v>
      </c>
      <c r="I2821" s="581" t="s">
        <v>5115</v>
      </c>
    </row>
    <row r="2822" spans="8:9" ht="16.3">
      <c r="H2822" s="580">
        <v>8943</v>
      </c>
      <c r="I2822" s="581" t="s">
        <v>5116</v>
      </c>
    </row>
    <row r="2823" spans="8:9" ht="16.3">
      <c r="H2823" s="580">
        <v>8943</v>
      </c>
      <c r="I2823" s="581" t="s">
        <v>5117</v>
      </c>
    </row>
    <row r="2824" spans="8:9" ht="16.3">
      <c r="H2824" s="580">
        <v>8944</v>
      </c>
      <c r="I2824" s="581" t="s">
        <v>2242</v>
      </c>
    </row>
    <row r="2825" spans="8:9" ht="16.3">
      <c r="H2825" s="580">
        <v>8945</v>
      </c>
      <c r="I2825" s="581" t="s">
        <v>5118</v>
      </c>
    </row>
    <row r="2826" spans="8:9" ht="16.3">
      <c r="H2826" s="580">
        <v>8946</v>
      </c>
      <c r="I2826" s="581" t="s">
        <v>5119</v>
      </c>
    </row>
    <row r="2827" spans="8:9" ht="16.3">
      <c r="H2827" s="580">
        <v>8946</v>
      </c>
      <c r="I2827" s="581" t="s">
        <v>5120</v>
      </c>
    </row>
    <row r="2828" spans="8:9" ht="16.3">
      <c r="H2828" s="580">
        <v>8946</v>
      </c>
      <c r="I2828" s="581" t="s">
        <v>5121</v>
      </c>
    </row>
    <row r="2829" spans="8:9" ht="16.3">
      <c r="H2829" s="580">
        <v>8947</v>
      </c>
      <c r="I2829" s="581" t="s">
        <v>5122</v>
      </c>
    </row>
    <row r="2830" spans="8:9" ht="16.3">
      <c r="H2830" s="580">
        <v>8947</v>
      </c>
      <c r="I2830" s="581" t="s">
        <v>5123</v>
      </c>
    </row>
    <row r="2831" spans="8:9" ht="16.3">
      <c r="H2831" s="580">
        <v>8948</v>
      </c>
      <c r="I2831" s="581" t="s">
        <v>5124</v>
      </c>
    </row>
    <row r="2832" spans="8:9" ht="16.3">
      <c r="H2832" s="580">
        <v>8948</v>
      </c>
      <c r="I2832" s="581" t="s">
        <v>5125</v>
      </c>
    </row>
    <row r="2833" spans="8:9" ht="16.3">
      <c r="H2833" s="580">
        <v>8949</v>
      </c>
      <c r="I2833" s="581" t="s">
        <v>5126</v>
      </c>
    </row>
    <row r="2834" spans="8:9" ht="16.3">
      <c r="H2834" s="580">
        <v>8951</v>
      </c>
      <c r="I2834" s="581" t="s">
        <v>5127</v>
      </c>
    </row>
    <row r="2835" spans="8:9" ht="16.3">
      <c r="H2835" s="580">
        <v>8951</v>
      </c>
      <c r="I2835" s="581" t="s">
        <v>5128</v>
      </c>
    </row>
    <row r="2836" spans="8:9" ht="16.3">
      <c r="H2836" s="580">
        <v>8953</v>
      </c>
      <c r="I2836" s="581" t="s">
        <v>5129</v>
      </c>
    </row>
    <row r="2837" spans="8:9" ht="16.3">
      <c r="H2837" s="580">
        <v>8954</v>
      </c>
      <c r="I2837" s="581" t="s">
        <v>5130</v>
      </c>
    </row>
    <row r="2838" spans="8:9" ht="16.3">
      <c r="H2838" s="580">
        <v>8956</v>
      </c>
      <c r="I2838" s="581" t="s">
        <v>5131</v>
      </c>
    </row>
    <row r="2839" spans="8:9" ht="16.3">
      <c r="H2839" s="580">
        <v>8956</v>
      </c>
      <c r="I2839" s="581" t="s">
        <v>5132</v>
      </c>
    </row>
    <row r="2840" spans="8:9" ht="16.3">
      <c r="H2840" s="580">
        <v>8956</v>
      </c>
      <c r="I2840" s="581" t="s">
        <v>5133</v>
      </c>
    </row>
    <row r="2841" spans="8:9" ht="16.3">
      <c r="H2841" s="580">
        <v>8957</v>
      </c>
      <c r="I2841" s="581" t="s">
        <v>5134</v>
      </c>
    </row>
    <row r="2842" spans="8:9" ht="16.3">
      <c r="H2842" s="580">
        <v>8957</v>
      </c>
      <c r="I2842" s="581" t="s">
        <v>5135</v>
      </c>
    </row>
    <row r="2843" spans="8:9" ht="16.3">
      <c r="H2843" s="580">
        <v>8957</v>
      </c>
      <c r="I2843" s="581" t="s">
        <v>5136</v>
      </c>
    </row>
    <row r="2844" spans="8:9" ht="16.3">
      <c r="H2844" s="580">
        <v>8957</v>
      </c>
      <c r="I2844" s="581" t="s">
        <v>5137</v>
      </c>
    </row>
    <row r="2845" spans="8:9" ht="16.3">
      <c r="H2845" s="580">
        <v>8958</v>
      </c>
      <c r="I2845" s="581" t="s">
        <v>5138</v>
      </c>
    </row>
    <row r="2846" spans="8:9" ht="16.3">
      <c r="H2846" s="580">
        <v>8960</v>
      </c>
      <c r="I2846" s="581" t="s">
        <v>5139</v>
      </c>
    </row>
    <row r="2847" spans="8:9" ht="16.3">
      <c r="H2847" s="580">
        <v>8960</v>
      </c>
      <c r="I2847" s="581" t="s">
        <v>5140</v>
      </c>
    </row>
    <row r="2848" spans="8:9" ht="16.3">
      <c r="H2848" s="580">
        <v>8966</v>
      </c>
      <c r="I2848" s="581" t="s">
        <v>5139</v>
      </c>
    </row>
    <row r="2849" spans="8:9" ht="16.3">
      <c r="H2849" s="580">
        <v>8969</v>
      </c>
      <c r="I2849" s="581" t="s">
        <v>5141</v>
      </c>
    </row>
    <row r="2850" spans="8:9" ht="16.3">
      <c r="H2850" s="580">
        <v>8969</v>
      </c>
      <c r="I2850" s="581" t="s">
        <v>5142</v>
      </c>
    </row>
    <row r="2851" spans="8:9" ht="16.3">
      <c r="H2851" s="580">
        <v>8969</v>
      </c>
      <c r="I2851" s="581" t="s">
        <v>5143</v>
      </c>
    </row>
    <row r="2852" spans="8:9" ht="16.3">
      <c r="H2852" s="580">
        <v>8969</v>
      </c>
      <c r="I2852" s="581" t="s">
        <v>5144</v>
      </c>
    </row>
    <row r="2853" spans="8:9" ht="16.3">
      <c r="H2853" s="580">
        <v>8971</v>
      </c>
      <c r="I2853" s="581" t="s">
        <v>5145</v>
      </c>
    </row>
    <row r="2854" spans="8:9" ht="16.3">
      <c r="H2854" s="580">
        <v>8971</v>
      </c>
      <c r="I2854" s="581" t="s">
        <v>5146</v>
      </c>
    </row>
    <row r="2855" spans="8:9" ht="16.3">
      <c r="H2855" s="580">
        <v>8973</v>
      </c>
      <c r="I2855" s="581" t="s">
        <v>5147</v>
      </c>
    </row>
    <row r="2856" spans="8:9" ht="16.3">
      <c r="H2856" s="580">
        <v>8973</v>
      </c>
      <c r="I2856" s="581" t="s">
        <v>5148</v>
      </c>
    </row>
    <row r="2857" spans="8:9" ht="16.3">
      <c r="H2857" s="580">
        <v>8973</v>
      </c>
      <c r="I2857" s="581" t="s">
        <v>5149</v>
      </c>
    </row>
    <row r="2858" spans="8:9" ht="16.3">
      <c r="H2858" s="580">
        <v>8973</v>
      </c>
      <c r="I2858" s="581" t="s">
        <v>5150</v>
      </c>
    </row>
    <row r="2859" spans="8:9" ht="16.3">
      <c r="H2859" s="580">
        <v>8973</v>
      </c>
      <c r="I2859" s="581" t="s">
        <v>5151</v>
      </c>
    </row>
    <row r="2860" spans="8:9" ht="16.3">
      <c r="H2860" s="580">
        <v>8973</v>
      </c>
      <c r="I2860" s="581" t="s">
        <v>5152</v>
      </c>
    </row>
    <row r="2861" spans="8:9" ht="16.3">
      <c r="H2861" s="580">
        <v>8973</v>
      </c>
      <c r="I2861" s="581" t="s">
        <v>5153</v>
      </c>
    </row>
    <row r="2862" spans="8:9" ht="16.3">
      <c r="H2862" s="580">
        <v>8975</v>
      </c>
      <c r="I2862" s="581" t="s">
        <v>5154</v>
      </c>
    </row>
    <row r="2863" spans="8:9" ht="16.3">
      <c r="H2863" s="580">
        <v>8976</v>
      </c>
      <c r="I2863" s="581" t="s">
        <v>5155</v>
      </c>
    </row>
    <row r="2864" spans="8:9" ht="16.3">
      <c r="H2864" s="580">
        <v>8976</v>
      </c>
      <c r="I2864" s="581" t="s">
        <v>5156</v>
      </c>
    </row>
    <row r="2865" spans="8:9" ht="16.3">
      <c r="H2865" s="580">
        <v>8977</v>
      </c>
      <c r="I2865" s="581" t="s">
        <v>5157</v>
      </c>
    </row>
    <row r="2866" spans="8:9" ht="16.3">
      <c r="H2866" s="580">
        <v>8977</v>
      </c>
      <c r="I2866" s="581" t="s">
        <v>5158</v>
      </c>
    </row>
    <row r="2867" spans="8:9" ht="16.3">
      <c r="H2867" s="580">
        <v>8977</v>
      </c>
      <c r="I2867" s="581" t="s">
        <v>5159</v>
      </c>
    </row>
    <row r="2868" spans="8:9" ht="16.3">
      <c r="H2868" s="580">
        <v>8978</v>
      </c>
      <c r="I2868" s="581" t="s">
        <v>5160</v>
      </c>
    </row>
    <row r="2869" spans="8:9" ht="16.3">
      <c r="H2869" s="580">
        <v>8978</v>
      </c>
      <c r="I2869" s="581" t="s">
        <v>5161</v>
      </c>
    </row>
    <row r="2870" spans="8:9" ht="16.3">
      <c r="H2870" s="580">
        <v>8978</v>
      </c>
      <c r="I2870" s="581" t="s">
        <v>5162</v>
      </c>
    </row>
    <row r="2871" spans="8:9" ht="16.3">
      <c r="H2871" s="580">
        <v>8978</v>
      </c>
      <c r="I2871" s="581" t="s">
        <v>5163</v>
      </c>
    </row>
    <row r="2872" spans="8:9" ht="16.3">
      <c r="H2872" s="580">
        <v>8981</v>
      </c>
      <c r="I2872" s="581" t="s">
        <v>5164</v>
      </c>
    </row>
    <row r="2873" spans="8:9" ht="16.3">
      <c r="H2873" s="580">
        <v>8981</v>
      </c>
      <c r="I2873" s="581" t="s">
        <v>5165</v>
      </c>
    </row>
    <row r="2874" spans="8:9" ht="16.3">
      <c r="H2874" s="580">
        <v>8983</v>
      </c>
      <c r="I2874" s="581" t="s">
        <v>5166</v>
      </c>
    </row>
    <row r="2875" spans="8:9" ht="16.3">
      <c r="H2875" s="580">
        <v>8983</v>
      </c>
      <c r="I2875" s="581" t="s">
        <v>5167</v>
      </c>
    </row>
    <row r="2876" spans="8:9" ht="16.3">
      <c r="H2876" s="580">
        <v>8983</v>
      </c>
      <c r="I2876" s="581" t="s">
        <v>5168</v>
      </c>
    </row>
    <row r="2877" spans="8:9" ht="16.3">
      <c r="H2877" s="580">
        <v>8984</v>
      </c>
      <c r="I2877" s="581" t="s">
        <v>5169</v>
      </c>
    </row>
    <row r="2878" spans="8:9" ht="16.3">
      <c r="H2878" s="580">
        <v>8984</v>
      </c>
      <c r="I2878" s="581" t="s">
        <v>5170</v>
      </c>
    </row>
    <row r="2879" spans="8:9" ht="16.3">
      <c r="H2879" s="580">
        <v>8984</v>
      </c>
      <c r="I2879" s="581" t="s">
        <v>5171</v>
      </c>
    </row>
    <row r="2880" spans="8:9" ht="16.3">
      <c r="H2880" s="580">
        <v>8985</v>
      </c>
      <c r="I2880" s="581" t="s">
        <v>5172</v>
      </c>
    </row>
    <row r="2881" spans="8:9" ht="16.3">
      <c r="H2881" s="580">
        <v>8986</v>
      </c>
      <c r="I2881" s="581" t="s">
        <v>5173</v>
      </c>
    </row>
    <row r="2882" spans="8:9" ht="16.3">
      <c r="H2882" s="580">
        <v>8986</v>
      </c>
      <c r="I2882" s="581" t="s">
        <v>5174</v>
      </c>
    </row>
    <row r="2883" spans="8:9" ht="16.3">
      <c r="H2883" s="580">
        <v>8986</v>
      </c>
      <c r="I2883" s="581" t="s">
        <v>5175</v>
      </c>
    </row>
    <row r="2884" spans="8:9" ht="16.3">
      <c r="H2884" s="580">
        <v>8988</v>
      </c>
      <c r="I2884" s="581" t="s">
        <v>5176</v>
      </c>
    </row>
    <row r="2885" spans="8:9" ht="16.3">
      <c r="H2885" s="580">
        <v>8988</v>
      </c>
      <c r="I2885" s="581" t="s">
        <v>5177</v>
      </c>
    </row>
    <row r="2886" spans="8:9" ht="16.3">
      <c r="H2886" s="580">
        <v>8989</v>
      </c>
      <c r="I2886" s="581" t="s">
        <v>5178</v>
      </c>
    </row>
    <row r="2887" spans="8:9" ht="16.3">
      <c r="H2887" s="580">
        <v>8990</v>
      </c>
      <c r="I2887" s="581" t="s">
        <v>5179</v>
      </c>
    </row>
    <row r="2888" spans="8:9" ht="16.3">
      <c r="H2888" s="580">
        <v>8991</v>
      </c>
      <c r="I2888" s="581" t="s">
        <v>5180</v>
      </c>
    </row>
    <row r="2889" spans="8:9" ht="16.3">
      <c r="H2889" s="580">
        <v>8991</v>
      </c>
      <c r="I2889" s="581" t="s">
        <v>5181</v>
      </c>
    </row>
    <row r="2890" spans="8:9" ht="16.3">
      <c r="H2890" s="580">
        <v>8991</v>
      </c>
      <c r="I2890" s="581" t="s">
        <v>5182</v>
      </c>
    </row>
    <row r="2891" spans="8:9" ht="16.3">
      <c r="H2891" s="580">
        <v>8992</v>
      </c>
      <c r="I2891" s="581" t="s">
        <v>5183</v>
      </c>
    </row>
    <row r="2892" spans="8:9" ht="16.3">
      <c r="H2892" s="580">
        <v>8992</v>
      </c>
      <c r="I2892" s="581" t="s">
        <v>5184</v>
      </c>
    </row>
    <row r="2893" spans="8:9" ht="16.3">
      <c r="H2893" s="580">
        <v>8992</v>
      </c>
      <c r="I2893" s="581" t="s">
        <v>5185</v>
      </c>
    </row>
    <row r="2894" spans="8:9" ht="16.3">
      <c r="H2894" s="580">
        <v>8992</v>
      </c>
      <c r="I2894" s="581" t="s">
        <v>5186</v>
      </c>
    </row>
    <row r="2895" spans="8:9" ht="16.3">
      <c r="H2895" s="580">
        <v>8994</v>
      </c>
      <c r="I2895" s="581" t="s">
        <v>5187</v>
      </c>
    </row>
    <row r="2896" spans="8:9" ht="16.3">
      <c r="H2896" s="580">
        <v>8994</v>
      </c>
      <c r="I2896" s="581" t="s">
        <v>5188</v>
      </c>
    </row>
    <row r="2897" spans="8:9" ht="16.3">
      <c r="H2897" s="580">
        <v>8995</v>
      </c>
      <c r="I2897" s="581" t="s">
        <v>5189</v>
      </c>
    </row>
    <row r="2898" spans="8:9" ht="16.3">
      <c r="H2898" s="580">
        <v>8995</v>
      </c>
      <c r="I2898" s="581" t="s">
        <v>5190</v>
      </c>
    </row>
    <row r="2899" spans="8:9" ht="16.3">
      <c r="H2899" s="580">
        <v>8996</v>
      </c>
      <c r="I2899" s="581" t="s">
        <v>5191</v>
      </c>
    </row>
    <row r="2900" spans="8:9" ht="16.3">
      <c r="H2900" s="580">
        <v>8997</v>
      </c>
      <c r="I2900" s="581" t="s">
        <v>5192</v>
      </c>
    </row>
    <row r="2901" spans="8:9" ht="16.3">
      <c r="H2901" s="580">
        <v>8998</v>
      </c>
      <c r="I2901" s="581" t="s">
        <v>5193</v>
      </c>
    </row>
    <row r="2902" spans="8:9" ht="16.3">
      <c r="H2902" s="580">
        <v>8998</v>
      </c>
      <c r="I2902" s="581" t="s">
        <v>5194</v>
      </c>
    </row>
    <row r="2903" spans="8:9" ht="16.3">
      <c r="H2903" s="580">
        <v>8999</v>
      </c>
      <c r="I2903" s="581" t="s">
        <v>5195</v>
      </c>
    </row>
    <row r="2904" spans="8:9" ht="16.3">
      <c r="H2904" s="580">
        <v>8999</v>
      </c>
      <c r="I2904" s="581" t="s">
        <v>5196</v>
      </c>
    </row>
    <row r="2905" spans="8:9" ht="16.3">
      <c r="H2905" s="580">
        <v>9000</v>
      </c>
      <c r="I2905" s="581" t="s">
        <v>1916</v>
      </c>
    </row>
    <row r="2906" spans="8:9" ht="16.3">
      <c r="H2906" s="580">
        <v>9061</v>
      </c>
      <c r="I2906" s="581" t="s">
        <v>5197</v>
      </c>
    </row>
    <row r="2907" spans="8:9" ht="16.3">
      <c r="H2907" s="580">
        <v>9062</v>
      </c>
      <c r="I2907" s="581" t="s">
        <v>5198</v>
      </c>
    </row>
    <row r="2908" spans="8:9" ht="16.3">
      <c r="H2908" s="580">
        <v>9062</v>
      </c>
      <c r="I2908" s="581" t="s">
        <v>5199</v>
      </c>
    </row>
    <row r="2909" spans="8:9" ht="16.3">
      <c r="H2909" s="580">
        <v>9063</v>
      </c>
      <c r="I2909" s="581" t="s">
        <v>5200</v>
      </c>
    </row>
    <row r="2910" spans="8:9" ht="16.3">
      <c r="H2910" s="580">
        <v>9064</v>
      </c>
      <c r="I2910" s="581" t="s">
        <v>5197</v>
      </c>
    </row>
    <row r="2911" spans="8:9" ht="16.3">
      <c r="H2911" s="580">
        <v>9071</v>
      </c>
      <c r="I2911" s="581" t="s">
        <v>5201</v>
      </c>
    </row>
    <row r="2912" spans="8:9" ht="16.3">
      <c r="H2912" s="580">
        <v>9072</v>
      </c>
      <c r="I2912" s="581" t="s">
        <v>2233</v>
      </c>
    </row>
    <row r="2913" spans="8:9" ht="16.3">
      <c r="H2913" s="580">
        <v>9073</v>
      </c>
      <c r="I2913" s="581" t="s">
        <v>5202</v>
      </c>
    </row>
    <row r="2914" spans="8:9" ht="16.3">
      <c r="H2914" s="580">
        <v>9074</v>
      </c>
      <c r="I2914" s="581" t="s">
        <v>5203</v>
      </c>
    </row>
    <row r="2915" spans="8:9" ht="16.3">
      <c r="H2915" s="580">
        <v>9081</v>
      </c>
      <c r="I2915" s="581" t="s">
        <v>5204</v>
      </c>
    </row>
    <row r="2916" spans="8:9" ht="16.3">
      <c r="H2916" s="580">
        <v>9082</v>
      </c>
      <c r="I2916" s="581" t="s">
        <v>2195</v>
      </c>
    </row>
    <row r="2917" spans="8:9" ht="16.3">
      <c r="H2917" s="580">
        <v>9083</v>
      </c>
      <c r="I2917" s="581" t="s">
        <v>5205</v>
      </c>
    </row>
    <row r="2918" spans="8:9" ht="16.3">
      <c r="H2918" s="580">
        <v>9084</v>
      </c>
      <c r="I2918" s="581" t="s">
        <v>5206</v>
      </c>
    </row>
    <row r="2919" spans="8:9" ht="16.3">
      <c r="H2919" s="580">
        <v>9085</v>
      </c>
      <c r="I2919" s="581" t="s">
        <v>5207</v>
      </c>
    </row>
    <row r="2920" spans="8:9" ht="16.3">
      <c r="H2920" s="580">
        <v>9086</v>
      </c>
      <c r="I2920" s="581" t="s">
        <v>5208</v>
      </c>
    </row>
    <row r="2921" spans="8:9" ht="16.3">
      <c r="H2921" s="580">
        <v>9088</v>
      </c>
      <c r="I2921" s="581" t="s">
        <v>5209</v>
      </c>
    </row>
    <row r="2922" spans="8:9" ht="16.3">
      <c r="H2922" s="580">
        <v>9089</v>
      </c>
      <c r="I2922" s="581" t="s">
        <v>5210</v>
      </c>
    </row>
    <row r="2923" spans="8:9" ht="16.3">
      <c r="H2923" s="580">
        <v>9090</v>
      </c>
      <c r="I2923" s="581" t="s">
        <v>5211</v>
      </c>
    </row>
    <row r="2924" spans="8:9" ht="16.3">
      <c r="H2924" s="580">
        <v>9091</v>
      </c>
      <c r="I2924" s="581" t="s">
        <v>5212</v>
      </c>
    </row>
    <row r="2925" spans="8:9" ht="16.3">
      <c r="H2925" s="580">
        <v>9092</v>
      </c>
      <c r="I2925" s="581" t="s">
        <v>2164</v>
      </c>
    </row>
    <row r="2926" spans="8:9" ht="16.3">
      <c r="H2926" s="580">
        <v>9093</v>
      </c>
      <c r="I2926" s="581" t="s">
        <v>5213</v>
      </c>
    </row>
    <row r="2927" spans="8:9" ht="16.3">
      <c r="H2927" s="580">
        <v>9094</v>
      </c>
      <c r="I2927" s="581" t="s">
        <v>5214</v>
      </c>
    </row>
    <row r="2928" spans="8:9" ht="16.3">
      <c r="H2928" s="580">
        <v>9095</v>
      </c>
      <c r="I2928" s="581" t="s">
        <v>5215</v>
      </c>
    </row>
    <row r="2929" spans="8:9" ht="16.3">
      <c r="H2929" s="580">
        <v>9096</v>
      </c>
      <c r="I2929" s="581" t="s">
        <v>5216</v>
      </c>
    </row>
    <row r="2930" spans="8:9" ht="16.3">
      <c r="H2930" s="580">
        <v>9097</v>
      </c>
      <c r="I2930" s="581" t="s">
        <v>5217</v>
      </c>
    </row>
    <row r="2931" spans="8:9" ht="16.3">
      <c r="H2931" s="580">
        <v>9098</v>
      </c>
      <c r="I2931" s="581" t="s">
        <v>5217</v>
      </c>
    </row>
    <row r="2932" spans="8:9" ht="16.3">
      <c r="H2932" s="580">
        <v>9099</v>
      </c>
      <c r="I2932" s="581" t="s">
        <v>5218</v>
      </c>
    </row>
    <row r="2933" spans="8:9" ht="16.3">
      <c r="H2933" s="580">
        <v>9100</v>
      </c>
      <c r="I2933" s="581" t="s">
        <v>5219</v>
      </c>
    </row>
    <row r="2934" spans="8:9" ht="16.3">
      <c r="H2934" s="580">
        <v>9111</v>
      </c>
      <c r="I2934" s="581" t="s">
        <v>5220</v>
      </c>
    </row>
    <row r="2935" spans="8:9" ht="16.3">
      <c r="H2935" s="580">
        <v>9112</v>
      </c>
      <c r="I2935" s="581" t="s">
        <v>2083</v>
      </c>
    </row>
    <row r="2936" spans="8:9" ht="16.3">
      <c r="H2936" s="580">
        <v>9113</v>
      </c>
      <c r="I2936" s="581" t="s">
        <v>2251</v>
      </c>
    </row>
    <row r="2937" spans="8:9" ht="16.3">
      <c r="H2937" s="580">
        <v>9121</v>
      </c>
      <c r="I2937" s="581" t="s">
        <v>2287</v>
      </c>
    </row>
    <row r="2938" spans="8:9" ht="16.3">
      <c r="H2938" s="580">
        <v>9122</v>
      </c>
      <c r="I2938" s="581" t="s">
        <v>5221</v>
      </c>
    </row>
    <row r="2939" spans="8:9" ht="16.3">
      <c r="H2939" s="580">
        <v>9123</v>
      </c>
      <c r="I2939" s="581" t="s">
        <v>5222</v>
      </c>
    </row>
    <row r="2940" spans="8:9" ht="16.3">
      <c r="H2940" s="580">
        <v>9124</v>
      </c>
      <c r="I2940" s="581" t="s">
        <v>5223</v>
      </c>
    </row>
    <row r="2941" spans="8:9" ht="16.3">
      <c r="H2941" s="580">
        <v>9125</v>
      </c>
      <c r="I2941" s="581" t="s">
        <v>5224</v>
      </c>
    </row>
    <row r="2942" spans="8:9" ht="16.3">
      <c r="H2942" s="580">
        <v>9126</v>
      </c>
      <c r="I2942" s="581" t="s">
        <v>5225</v>
      </c>
    </row>
    <row r="2943" spans="8:9" ht="16.3">
      <c r="H2943" s="580">
        <v>9127</v>
      </c>
      <c r="I2943" s="581" t="s">
        <v>5226</v>
      </c>
    </row>
    <row r="2944" spans="8:9" ht="16.3">
      <c r="H2944" s="580">
        <v>9131</v>
      </c>
      <c r="I2944" s="581" t="s">
        <v>5227</v>
      </c>
    </row>
    <row r="2945" spans="8:9" ht="16.3">
      <c r="H2945" s="580">
        <v>9132</v>
      </c>
      <c r="I2945" s="581" t="s">
        <v>5228</v>
      </c>
    </row>
    <row r="2946" spans="8:9" ht="16.3">
      <c r="H2946" s="580">
        <v>9133</v>
      </c>
      <c r="I2946" s="581" t="s">
        <v>5229</v>
      </c>
    </row>
    <row r="2947" spans="8:9" ht="16.3">
      <c r="H2947" s="580">
        <v>9133</v>
      </c>
      <c r="I2947" s="581" t="s">
        <v>5230</v>
      </c>
    </row>
    <row r="2948" spans="8:9" ht="16.3">
      <c r="H2948" s="580">
        <v>9134</v>
      </c>
      <c r="I2948" s="581" t="s">
        <v>5231</v>
      </c>
    </row>
    <row r="2949" spans="8:9" ht="16.3">
      <c r="H2949" s="580">
        <v>9135</v>
      </c>
      <c r="I2949" s="581" t="s">
        <v>5232</v>
      </c>
    </row>
    <row r="2950" spans="8:9" ht="16.3">
      <c r="H2950" s="580">
        <v>9136</v>
      </c>
      <c r="I2950" s="581" t="s">
        <v>5233</v>
      </c>
    </row>
    <row r="2951" spans="8:9" ht="16.3">
      <c r="H2951" s="580">
        <v>9136</v>
      </c>
      <c r="I2951" s="581" t="s">
        <v>5234</v>
      </c>
    </row>
    <row r="2952" spans="8:9" ht="16.3">
      <c r="H2952" s="580">
        <v>9141</v>
      </c>
      <c r="I2952" s="581" t="s">
        <v>5235</v>
      </c>
    </row>
    <row r="2953" spans="8:9" ht="16.3">
      <c r="H2953" s="580">
        <v>9142</v>
      </c>
      <c r="I2953" s="581" t="s">
        <v>5236</v>
      </c>
    </row>
    <row r="2954" spans="8:9" ht="16.3">
      <c r="H2954" s="580">
        <v>9143</v>
      </c>
      <c r="I2954" s="581" t="s">
        <v>5237</v>
      </c>
    </row>
    <row r="2955" spans="8:9" ht="16.3">
      <c r="H2955" s="580">
        <v>9144</v>
      </c>
      <c r="I2955" s="581" t="s">
        <v>5238</v>
      </c>
    </row>
    <row r="2956" spans="8:9" ht="16.3">
      <c r="H2956" s="580">
        <v>9145</v>
      </c>
      <c r="I2956" s="581" t="s">
        <v>5239</v>
      </c>
    </row>
    <row r="2957" spans="8:9" ht="16.3">
      <c r="H2957" s="580">
        <v>9146</v>
      </c>
      <c r="I2957" s="581" t="s">
        <v>5240</v>
      </c>
    </row>
    <row r="2958" spans="8:9" ht="16.3">
      <c r="H2958" s="580">
        <v>9147</v>
      </c>
      <c r="I2958" s="581" t="s">
        <v>5241</v>
      </c>
    </row>
    <row r="2959" spans="8:9" ht="16.3">
      <c r="H2959" s="580">
        <v>9151</v>
      </c>
      <c r="I2959" s="581" t="s">
        <v>5242</v>
      </c>
    </row>
    <row r="2960" spans="8:9" ht="16.3">
      <c r="H2960" s="580">
        <v>9152</v>
      </c>
      <c r="I2960" s="581" t="s">
        <v>5243</v>
      </c>
    </row>
    <row r="2961" spans="8:9" ht="16.3">
      <c r="H2961" s="580">
        <v>9153</v>
      </c>
      <c r="I2961" s="581" t="s">
        <v>1949</v>
      </c>
    </row>
    <row r="2962" spans="8:9" ht="16.3">
      <c r="H2962" s="580">
        <v>9154</v>
      </c>
      <c r="I2962" s="581" t="s">
        <v>5244</v>
      </c>
    </row>
    <row r="2963" spans="8:9" ht="16.3">
      <c r="H2963" s="580">
        <v>9155</v>
      </c>
      <c r="I2963" s="581" t="s">
        <v>5245</v>
      </c>
    </row>
    <row r="2964" spans="8:9" ht="16.3">
      <c r="H2964" s="580">
        <v>9161</v>
      </c>
      <c r="I2964" s="581" t="s">
        <v>5246</v>
      </c>
    </row>
    <row r="2965" spans="8:9" ht="16.3">
      <c r="H2965" s="580">
        <v>9162</v>
      </c>
      <c r="I2965" s="581" t="s">
        <v>5247</v>
      </c>
    </row>
    <row r="2966" spans="8:9" ht="16.3">
      <c r="H2966" s="580">
        <v>9163</v>
      </c>
      <c r="I2966" s="581" t="s">
        <v>2192</v>
      </c>
    </row>
    <row r="2967" spans="8:9" ht="16.3">
      <c r="H2967" s="580">
        <v>9164</v>
      </c>
      <c r="I2967" s="581" t="s">
        <v>5248</v>
      </c>
    </row>
    <row r="2968" spans="8:9" ht="16.3">
      <c r="H2968" s="580">
        <v>9165</v>
      </c>
      <c r="I2968" s="581" t="s">
        <v>5249</v>
      </c>
    </row>
    <row r="2969" spans="8:9" ht="16.3">
      <c r="H2969" s="580">
        <v>9165</v>
      </c>
      <c r="I2969" s="581" t="s">
        <v>5250</v>
      </c>
    </row>
    <row r="2970" spans="8:9" ht="16.3">
      <c r="H2970" s="580">
        <v>9165</v>
      </c>
      <c r="I2970" s="581" t="s">
        <v>5251</v>
      </c>
    </row>
    <row r="2971" spans="8:9" ht="16.3">
      <c r="H2971" s="580">
        <v>9167</v>
      </c>
      <c r="I2971" s="581" t="s">
        <v>2227</v>
      </c>
    </row>
    <row r="2972" spans="8:9" ht="16.3">
      <c r="H2972" s="580">
        <v>9167</v>
      </c>
      <c r="I2972" s="581" t="s">
        <v>5252</v>
      </c>
    </row>
    <row r="2973" spans="8:9" ht="16.3">
      <c r="H2973" s="580">
        <v>9168</v>
      </c>
      <c r="I2973" s="581" t="s">
        <v>5253</v>
      </c>
    </row>
    <row r="2974" spans="8:9" ht="16.3">
      <c r="H2974" s="580">
        <v>9168</v>
      </c>
      <c r="I2974" s="581" t="s">
        <v>2076</v>
      </c>
    </row>
    <row r="2975" spans="8:9" ht="16.3">
      <c r="H2975" s="580">
        <v>9169</v>
      </c>
      <c r="I2975" s="581" t="s">
        <v>5254</v>
      </c>
    </row>
    <row r="2976" spans="8:9" ht="16.3">
      <c r="H2976" s="580">
        <v>9169</v>
      </c>
      <c r="I2976" s="581" t="s">
        <v>5255</v>
      </c>
    </row>
    <row r="2977" spans="8:9" ht="16.3">
      <c r="H2977" s="580">
        <v>9171</v>
      </c>
      <c r="I2977" s="581" t="s">
        <v>2143</v>
      </c>
    </row>
    <row r="2978" spans="8:9" ht="16.3">
      <c r="H2978" s="580">
        <v>9172</v>
      </c>
      <c r="I2978" s="581" t="s">
        <v>5256</v>
      </c>
    </row>
    <row r="2979" spans="8:9" ht="16.3">
      <c r="H2979" s="580">
        <v>9173</v>
      </c>
      <c r="I2979" s="581" t="s">
        <v>5257</v>
      </c>
    </row>
    <row r="2980" spans="8:9" ht="16.3">
      <c r="H2980" s="580">
        <v>9174</v>
      </c>
      <c r="I2980" s="581" t="s">
        <v>5258</v>
      </c>
    </row>
    <row r="2981" spans="8:9" ht="16.3">
      <c r="H2981" s="580">
        <v>9175</v>
      </c>
      <c r="I2981" s="581" t="s">
        <v>5259</v>
      </c>
    </row>
    <row r="2982" spans="8:9" ht="16.3">
      <c r="H2982" s="580">
        <v>9176</v>
      </c>
      <c r="I2982" s="581" t="s">
        <v>5260</v>
      </c>
    </row>
    <row r="2983" spans="8:9" ht="16.3">
      <c r="H2983" s="580">
        <v>9177</v>
      </c>
      <c r="I2983" s="581" t="s">
        <v>5261</v>
      </c>
    </row>
    <row r="2984" spans="8:9" ht="16.3">
      <c r="H2984" s="580">
        <v>9178</v>
      </c>
      <c r="I2984" s="581" t="s">
        <v>5262</v>
      </c>
    </row>
    <row r="2985" spans="8:9" ht="16.3">
      <c r="H2985" s="580">
        <v>9181</v>
      </c>
      <c r="I2985" s="581" t="s">
        <v>5263</v>
      </c>
    </row>
    <row r="2986" spans="8:9" ht="16.3">
      <c r="H2986" s="580">
        <v>9182</v>
      </c>
      <c r="I2986" s="581" t="s">
        <v>5264</v>
      </c>
    </row>
    <row r="2987" spans="8:9" ht="16.3">
      <c r="H2987" s="580">
        <v>9183</v>
      </c>
      <c r="I2987" s="581" t="s">
        <v>5244</v>
      </c>
    </row>
    <row r="2988" spans="8:9" ht="16.3">
      <c r="H2988" s="580">
        <v>9183</v>
      </c>
      <c r="I2988" s="580" t="s">
        <v>5244</v>
      </c>
    </row>
    <row r="2989" spans="8:9" ht="16.3">
      <c r="H2989" s="580">
        <v>9184</v>
      </c>
      <c r="I2989" s="581" t="s">
        <v>5265</v>
      </c>
    </row>
    <row r="2990" spans="8:9" ht="16.3">
      <c r="H2990" s="580">
        <v>9200</v>
      </c>
      <c r="I2990" s="581" t="s">
        <v>2159</v>
      </c>
    </row>
    <row r="2991" spans="8:9" ht="16.3">
      <c r="H2991" s="580">
        <v>9211</v>
      </c>
      <c r="I2991" s="581" t="s">
        <v>5266</v>
      </c>
    </row>
    <row r="2992" spans="8:9" ht="16.3">
      <c r="H2992" s="580">
        <v>9221</v>
      </c>
      <c r="I2992" s="581" t="s">
        <v>5267</v>
      </c>
    </row>
    <row r="2993" spans="8:9" ht="16.3">
      <c r="H2993" s="580">
        <v>9222</v>
      </c>
      <c r="I2993" s="581" t="s">
        <v>5268</v>
      </c>
    </row>
    <row r="2994" spans="8:9" ht="16.3">
      <c r="H2994" s="580">
        <v>9223</v>
      </c>
      <c r="I2994" s="581" t="s">
        <v>5269</v>
      </c>
    </row>
    <row r="2995" spans="8:9" ht="16.3">
      <c r="H2995" s="580">
        <v>9224</v>
      </c>
      <c r="I2995" s="581" t="s">
        <v>5270</v>
      </c>
    </row>
    <row r="2996" spans="8:9" ht="16.3">
      <c r="H2996" s="580">
        <v>9225</v>
      </c>
      <c r="I2996" s="581" t="s">
        <v>5271</v>
      </c>
    </row>
    <row r="2997" spans="8:9" ht="16.3">
      <c r="H2997" s="580">
        <v>9226</v>
      </c>
      <c r="I2997" s="581" t="s">
        <v>5272</v>
      </c>
    </row>
    <row r="2998" spans="8:9" ht="16.3">
      <c r="H2998" s="580">
        <v>9228</v>
      </c>
      <c r="I2998" s="581" t="s">
        <v>5273</v>
      </c>
    </row>
    <row r="2999" spans="8:9" ht="16.3">
      <c r="H2999" s="580">
        <v>9231</v>
      </c>
      <c r="I2999" s="581" t="s">
        <v>5274</v>
      </c>
    </row>
    <row r="3000" spans="8:9" ht="16.3">
      <c r="H3000" s="580">
        <v>9232</v>
      </c>
      <c r="I3000" s="581" t="s">
        <v>5275</v>
      </c>
    </row>
    <row r="3001" spans="8:9" ht="16.3">
      <c r="H3001" s="580">
        <v>9233</v>
      </c>
      <c r="I3001" s="581" t="s">
        <v>5276</v>
      </c>
    </row>
    <row r="3002" spans="8:9" ht="16.3">
      <c r="H3002" s="580">
        <v>9234</v>
      </c>
      <c r="I3002" s="581" t="s">
        <v>5277</v>
      </c>
    </row>
    <row r="3003" spans="8:9" ht="16.3">
      <c r="H3003" s="580">
        <v>9235</v>
      </c>
      <c r="I3003" s="581" t="s">
        <v>5278</v>
      </c>
    </row>
    <row r="3004" spans="8:9" ht="16.3">
      <c r="H3004" s="580">
        <v>9235</v>
      </c>
      <c r="I3004" s="581" t="s">
        <v>5279</v>
      </c>
    </row>
    <row r="3005" spans="8:9" ht="16.3">
      <c r="H3005" s="580">
        <v>9241</v>
      </c>
      <c r="I3005" s="581" t="s">
        <v>5252</v>
      </c>
    </row>
    <row r="3006" spans="8:9" ht="16.3">
      <c r="H3006" s="580">
        <v>9241</v>
      </c>
      <c r="I3006" s="581" t="s">
        <v>5280</v>
      </c>
    </row>
    <row r="3007" spans="8:9" ht="16.3">
      <c r="H3007" s="580">
        <v>9242</v>
      </c>
      <c r="I3007" s="581" t="s">
        <v>5252</v>
      </c>
    </row>
    <row r="3008" spans="8:9" ht="16.3">
      <c r="H3008" s="580">
        <v>9243</v>
      </c>
      <c r="I3008" s="581" t="s">
        <v>5281</v>
      </c>
    </row>
    <row r="3009" spans="8:9" ht="16.3">
      <c r="H3009" s="580">
        <v>9244</v>
      </c>
      <c r="I3009" s="581" t="s">
        <v>5282</v>
      </c>
    </row>
    <row r="3010" spans="8:9" ht="16.3">
      <c r="H3010" s="580">
        <v>9245</v>
      </c>
      <c r="I3010" s="581" t="s">
        <v>5283</v>
      </c>
    </row>
    <row r="3011" spans="8:9" ht="16.3">
      <c r="H3011" s="580">
        <v>9246</v>
      </c>
      <c r="I3011" s="581" t="s">
        <v>5284</v>
      </c>
    </row>
    <row r="3012" spans="8:9" ht="16.3">
      <c r="H3012" s="580">
        <v>9300</v>
      </c>
      <c r="I3012" s="581" t="s">
        <v>2076</v>
      </c>
    </row>
    <row r="3013" spans="8:9" ht="16.3">
      <c r="H3013" s="580">
        <v>9311</v>
      </c>
      <c r="I3013" s="581" t="s">
        <v>5285</v>
      </c>
    </row>
    <row r="3014" spans="8:9" ht="16.3">
      <c r="H3014" s="580">
        <v>9312</v>
      </c>
      <c r="I3014" s="581" t="s">
        <v>5286</v>
      </c>
    </row>
    <row r="3015" spans="8:9" ht="16.3">
      <c r="H3015" s="580">
        <v>9313</v>
      </c>
      <c r="I3015" s="581" t="s">
        <v>5287</v>
      </c>
    </row>
    <row r="3016" spans="8:9" ht="16.3">
      <c r="H3016" s="580">
        <v>9314</v>
      </c>
      <c r="I3016" s="581" t="s">
        <v>5288</v>
      </c>
    </row>
    <row r="3017" spans="8:9" ht="16.3">
      <c r="H3017" s="580">
        <v>9315</v>
      </c>
      <c r="I3017" s="581" t="s">
        <v>5289</v>
      </c>
    </row>
    <row r="3018" spans="8:9" ht="16.3">
      <c r="H3018" s="580">
        <v>9316</v>
      </c>
      <c r="I3018" s="581" t="s">
        <v>5290</v>
      </c>
    </row>
    <row r="3019" spans="8:9" ht="16.3">
      <c r="H3019" s="580">
        <v>9317</v>
      </c>
      <c r="I3019" s="581" t="s">
        <v>5291</v>
      </c>
    </row>
    <row r="3020" spans="8:9" ht="16.3">
      <c r="H3020" s="580">
        <v>9321</v>
      </c>
      <c r="I3020" s="581" t="s">
        <v>5292</v>
      </c>
    </row>
    <row r="3021" spans="8:9" ht="16.3">
      <c r="H3021" s="580">
        <v>9322</v>
      </c>
      <c r="I3021" s="581" t="s">
        <v>5293</v>
      </c>
    </row>
    <row r="3022" spans="8:9" ht="16.3">
      <c r="H3022" s="580">
        <v>9323</v>
      </c>
      <c r="I3022" s="581" t="s">
        <v>5294</v>
      </c>
    </row>
    <row r="3023" spans="8:9" ht="16.3">
      <c r="H3023" s="580">
        <v>9324</v>
      </c>
      <c r="I3023" s="581" t="s">
        <v>5295</v>
      </c>
    </row>
    <row r="3024" spans="8:9" ht="16.3">
      <c r="H3024" s="580">
        <v>9324</v>
      </c>
      <c r="I3024" s="581" t="s">
        <v>5296</v>
      </c>
    </row>
    <row r="3025" spans="8:9" ht="16.3">
      <c r="H3025" s="580">
        <v>9325</v>
      </c>
      <c r="I3025" s="581" t="s">
        <v>5297</v>
      </c>
    </row>
    <row r="3026" spans="8:9" ht="16.3">
      <c r="H3026" s="580">
        <v>9326</v>
      </c>
      <c r="I3026" s="581" t="s">
        <v>5298</v>
      </c>
    </row>
    <row r="3027" spans="8:9" ht="16.3">
      <c r="H3027" s="580">
        <v>9327</v>
      </c>
      <c r="I3027" s="581" t="s">
        <v>5299</v>
      </c>
    </row>
    <row r="3028" spans="8:9" ht="16.3">
      <c r="H3028" s="580">
        <v>9327</v>
      </c>
      <c r="I3028" s="581" t="s">
        <v>5300</v>
      </c>
    </row>
    <row r="3029" spans="8:9" ht="16.3">
      <c r="H3029" s="580">
        <v>9330</v>
      </c>
      <c r="I3029" s="581" t="s">
        <v>5301</v>
      </c>
    </row>
    <row r="3030" spans="8:9" ht="16.3">
      <c r="H3030" s="580">
        <v>9339</v>
      </c>
      <c r="I3030" s="580" t="s">
        <v>5301</v>
      </c>
    </row>
    <row r="3031" spans="8:9" ht="16.3">
      <c r="H3031" s="580">
        <v>9341</v>
      </c>
      <c r="I3031" s="581" t="s">
        <v>5302</v>
      </c>
    </row>
    <row r="3032" spans="8:9" ht="16.3">
      <c r="H3032" s="580">
        <v>9342</v>
      </c>
      <c r="I3032" s="581" t="s">
        <v>5303</v>
      </c>
    </row>
    <row r="3033" spans="8:9" ht="16.3">
      <c r="H3033" s="580">
        <v>9343</v>
      </c>
      <c r="I3033" s="581" t="s">
        <v>5304</v>
      </c>
    </row>
    <row r="3034" spans="8:9" ht="16.3">
      <c r="H3034" s="580">
        <v>9343</v>
      </c>
      <c r="I3034" s="581" t="s">
        <v>5305</v>
      </c>
    </row>
    <row r="3035" spans="8:9" ht="16.3">
      <c r="H3035" s="580">
        <v>9343</v>
      </c>
      <c r="I3035" s="581" t="s">
        <v>5306</v>
      </c>
    </row>
    <row r="3036" spans="8:9" ht="16.3">
      <c r="H3036" s="580">
        <v>9344</v>
      </c>
      <c r="I3036" s="581" t="s">
        <v>5307</v>
      </c>
    </row>
    <row r="3037" spans="8:9" ht="16.3">
      <c r="H3037" s="580">
        <v>9345</v>
      </c>
      <c r="I3037" s="581" t="s">
        <v>5308</v>
      </c>
    </row>
    <row r="3038" spans="8:9" ht="16.3">
      <c r="H3038" s="580">
        <v>9346</v>
      </c>
      <c r="I3038" s="581" t="s">
        <v>5309</v>
      </c>
    </row>
    <row r="3039" spans="8:9" ht="16.3">
      <c r="H3039" s="580">
        <v>9346</v>
      </c>
      <c r="I3039" s="581" t="s">
        <v>5310</v>
      </c>
    </row>
    <row r="3040" spans="8:9" ht="16.3">
      <c r="H3040" s="580">
        <v>9346</v>
      </c>
      <c r="I3040" s="581" t="s">
        <v>5311</v>
      </c>
    </row>
    <row r="3041" spans="8:9" ht="16.3">
      <c r="H3041" s="580">
        <v>9351</v>
      </c>
      <c r="I3041" s="581" t="s">
        <v>5312</v>
      </c>
    </row>
    <row r="3042" spans="8:9" ht="16.3">
      <c r="H3042" s="580">
        <v>9352</v>
      </c>
      <c r="I3042" s="581" t="s">
        <v>5313</v>
      </c>
    </row>
    <row r="3043" spans="8:9" ht="16.3">
      <c r="H3043" s="580">
        <v>9353</v>
      </c>
      <c r="I3043" s="581" t="s">
        <v>2060</v>
      </c>
    </row>
    <row r="3044" spans="8:9" ht="16.3">
      <c r="H3044" s="580">
        <v>9354</v>
      </c>
      <c r="I3044" s="581" t="s">
        <v>5314</v>
      </c>
    </row>
    <row r="3045" spans="8:9" ht="16.3">
      <c r="H3045" s="580">
        <v>9361</v>
      </c>
      <c r="I3045" s="581" t="s">
        <v>5315</v>
      </c>
    </row>
    <row r="3046" spans="8:9" ht="16.3">
      <c r="H3046" s="580">
        <v>9362</v>
      </c>
      <c r="I3046" s="581" t="s">
        <v>5316</v>
      </c>
    </row>
    <row r="3047" spans="8:9" ht="16.3">
      <c r="H3047" s="580">
        <v>9363</v>
      </c>
      <c r="I3047" s="581" t="s">
        <v>5317</v>
      </c>
    </row>
    <row r="3048" spans="8:9" ht="16.3">
      <c r="H3048" s="580">
        <v>9364</v>
      </c>
      <c r="I3048" s="581" t="s">
        <v>5318</v>
      </c>
    </row>
    <row r="3049" spans="8:9" ht="16.3">
      <c r="H3049" s="580">
        <v>9365</v>
      </c>
      <c r="I3049" s="581" t="s">
        <v>5319</v>
      </c>
    </row>
    <row r="3050" spans="8:9" ht="16.3">
      <c r="H3050" s="580">
        <v>9371</v>
      </c>
      <c r="I3050" s="581" t="s">
        <v>5320</v>
      </c>
    </row>
    <row r="3051" spans="8:9" ht="16.3">
      <c r="H3051" s="580">
        <v>9372</v>
      </c>
      <c r="I3051" s="581" t="s">
        <v>5321</v>
      </c>
    </row>
    <row r="3052" spans="8:9" ht="16.3">
      <c r="H3052" s="580">
        <v>9373</v>
      </c>
      <c r="I3052" s="581" t="s">
        <v>5322</v>
      </c>
    </row>
    <row r="3053" spans="8:9" ht="16.3">
      <c r="H3053" s="580">
        <v>9374</v>
      </c>
      <c r="I3053" s="581" t="s">
        <v>5323</v>
      </c>
    </row>
    <row r="3054" spans="8:9" ht="16.3">
      <c r="H3054" s="580">
        <v>9375</v>
      </c>
      <c r="I3054" s="581" t="s">
        <v>5324</v>
      </c>
    </row>
    <row r="3055" spans="8:9" ht="16.3">
      <c r="H3055" s="580">
        <v>9375</v>
      </c>
      <c r="I3055" s="581" t="s">
        <v>5325</v>
      </c>
    </row>
    <row r="3056" spans="8:9" ht="16.3">
      <c r="H3056" s="580">
        <v>9375</v>
      </c>
      <c r="I3056" s="581" t="s">
        <v>5326</v>
      </c>
    </row>
    <row r="3057" spans="8:9" ht="16.3">
      <c r="H3057" s="580">
        <v>9400</v>
      </c>
      <c r="I3057" s="581" t="s">
        <v>2030</v>
      </c>
    </row>
    <row r="3058" spans="8:9" ht="16.3">
      <c r="H3058" s="580">
        <v>9407</v>
      </c>
      <c r="I3058" s="581" t="s">
        <v>2030</v>
      </c>
    </row>
    <row r="3059" spans="8:9" ht="16.3">
      <c r="H3059" s="580">
        <v>9408</v>
      </c>
      <c r="I3059" s="581" t="s">
        <v>2030</v>
      </c>
    </row>
    <row r="3060" spans="8:9" ht="16.3">
      <c r="H3060" s="580">
        <v>9421</v>
      </c>
      <c r="I3060" s="581" t="s">
        <v>5327</v>
      </c>
    </row>
    <row r="3061" spans="8:9" ht="16.3">
      <c r="H3061" s="580">
        <v>9422</v>
      </c>
      <c r="I3061" s="581" t="s">
        <v>5328</v>
      </c>
    </row>
    <row r="3062" spans="8:9" ht="16.3">
      <c r="H3062" s="580">
        <v>9423</v>
      </c>
      <c r="I3062" s="581" t="s">
        <v>5329</v>
      </c>
    </row>
    <row r="3063" spans="8:9" ht="16.3">
      <c r="H3063" s="580">
        <v>9431</v>
      </c>
      <c r="I3063" s="581" t="s">
        <v>5330</v>
      </c>
    </row>
    <row r="3064" spans="8:9" ht="16.3">
      <c r="H3064" s="580">
        <v>9433</v>
      </c>
      <c r="I3064" s="580" t="s">
        <v>5330</v>
      </c>
    </row>
    <row r="3065" spans="8:9" ht="16.3">
      <c r="H3065" s="580">
        <v>9434</v>
      </c>
      <c r="I3065" s="580" t="s">
        <v>5331</v>
      </c>
    </row>
    <row r="3066" spans="8:9" ht="16.3">
      <c r="H3066" s="580">
        <v>9435</v>
      </c>
      <c r="I3066" s="581" t="s">
        <v>5331</v>
      </c>
    </row>
    <row r="3067" spans="8:9" ht="16.3">
      <c r="H3067" s="580">
        <v>9436</v>
      </c>
      <c r="I3067" s="581" t="s">
        <v>5332</v>
      </c>
    </row>
    <row r="3068" spans="8:9" ht="16.3">
      <c r="H3068" s="580">
        <v>9437</v>
      </c>
      <c r="I3068" s="581" t="s">
        <v>5333</v>
      </c>
    </row>
    <row r="3069" spans="8:9" ht="16.3">
      <c r="H3069" s="580">
        <v>9438</v>
      </c>
      <c r="I3069" s="580" t="s">
        <v>5331</v>
      </c>
    </row>
    <row r="3070" spans="8:9" ht="16.3">
      <c r="H3070" s="580">
        <v>9441</v>
      </c>
      <c r="I3070" s="581" t="s">
        <v>5334</v>
      </c>
    </row>
    <row r="3071" spans="8:9" ht="16.3">
      <c r="H3071" s="580">
        <v>9442</v>
      </c>
      <c r="I3071" s="581" t="s">
        <v>5335</v>
      </c>
    </row>
    <row r="3072" spans="8:9" ht="16.3">
      <c r="H3072" s="580">
        <v>9443</v>
      </c>
      <c r="I3072" s="581" t="s">
        <v>5336</v>
      </c>
    </row>
    <row r="3073" spans="8:9" ht="16.3">
      <c r="H3073" s="580">
        <v>9444</v>
      </c>
      <c r="I3073" s="581" t="s">
        <v>5337</v>
      </c>
    </row>
    <row r="3074" spans="8:9" ht="16.3">
      <c r="H3074" s="580">
        <v>9451</v>
      </c>
      <c r="I3074" s="581" t="s">
        <v>5338</v>
      </c>
    </row>
    <row r="3075" spans="8:9" ht="16.3">
      <c r="H3075" s="580">
        <v>9451</v>
      </c>
      <c r="I3075" s="581" t="s">
        <v>5339</v>
      </c>
    </row>
    <row r="3076" spans="8:9" ht="16.3">
      <c r="H3076" s="580">
        <v>9461</v>
      </c>
      <c r="I3076" s="581" t="s">
        <v>5340</v>
      </c>
    </row>
    <row r="3077" spans="8:9" ht="16.3">
      <c r="H3077" s="580">
        <v>9462</v>
      </c>
      <c r="I3077" s="581" t="s">
        <v>5341</v>
      </c>
    </row>
    <row r="3078" spans="8:9" ht="16.3">
      <c r="H3078" s="580">
        <v>9463</v>
      </c>
      <c r="I3078" s="581" t="s">
        <v>5342</v>
      </c>
    </row>
    <row r="3079" spans="8:9" ht="16.3">
      <c r="H3079" s="580">
        <v>9464</v>
      </c>
      <c r="I3079" s="581" t="s">
        <v>5343</v>
      </c>
    </row>
    <row r="3080" spans="8:9" ht="16.3">
      <c r="H3080" s="580">
        <v>9471</v>
      </c>
      <c r="I3080" s="581" t="s">
        <v>5344</v>
      </c>
    </row>
    <row r="3081" spans="8:9" ht="16.3">
      <c r="H3081" s="580">
        <v>9472</v>
      </c>
      <c r="I3081" s="581" t="s">
        <v>5345</v>
      </c>
    </row>
    <row r="3082" spans="8:9" ht="16.3">
      <c r="H3082" s="580">
        <v>9473</v>
      </c>
      <c r="I3082" s="581" t="s">
        <v>5346</v>
      </c>
    </row>
    <row r="3083" spans="8:9" ht="16.3">
      <c r="H3083" s="580">
        <v>9474</v>
      </c>
      <c r="I3083" s="581" t="s">
        <v>5347</v>
      </c>
    </row>
    <row r="3084" spans="8:9" ht="16.3">
      <c r="H3084" s="580">
        <v>9474</v>
      </c>
      <c r="I3084" s="581" t="s">
        <v>5348</v>
      </c>
    </row>
    <row r="3085" spans="8:9" ht="16.3">
      <c r="H3085" s="580">
        <v>9475</v>
      </c>
      <c r="I3085" s="581" t="s">
        <v>5349</v>
      </c>
    </row>
    <row r="3086" spans="8:9" ht="16.3">
      <c r="H3086" s="580">
        <v>9476</v>
      </c>
      <c r="I3086" s="581" t="s">
        <v>5350</v>
      </c>
    </row>
    <row r="3087" spans="8:9" ht="16.3">
      <c r="H3087" s="580">
        <v>9481</v>
      </c>
      <c r="I3087" s="581" t="s">
        <v>5351</v>
      </c>
    </row>
    <row r="3088" spans="8:9" ht="16.3">
      <c r="H3088" s="580">
        <v>9482</v>
      </c>
      <c r="I3088" s="581" t="s">
        <v>5352</v>
      </c>
    </row>
    <row r="3089" spans="8:9" ht="16.3">
      <c r="H3089" s="580">
        <v>9483</v>
      </c>
      <c r="I3089" s="581" t="s">
        <v>5353</v>
      </c>
    </row>
    <row r="3090" spans="8:9" ht="16.3">
      <c r="H3090" s="580">
        <v>9484</v>
      </c>
      <c r="I3090" s="581" t="s">
        <v>5354</v>
      </c>
    </row>
    <row r="3091" spans="8:9" ht="16.3">
      <c r="H3091" s="580">
        <v>9485</v>
      </c>
      <c r="I3091" s="581" t="s">
        <v>5355</v>
      </c>
    </row>
    <row r="3092" spans="8:9" ht="16.3">
      <c r="H3092" s="580">
        <v>9491</v>
      </c>
      <c r="I3092" s="581" t="s">
        <v>5356</v>
      </c>
    </row>
    <row r="3093" spans="8:9" ht="16.3">
      <c r="H3093" s="580">
        <v>9492</v>
      </c>
      <c r="I3093" s="581" t="s">
        <v>5357</v>
      </c>
    </row>
    <row r="3094" spans="8:9" ht="16.3">
      <c r="H3094" s="580">
        <v>9493</v>
      </c>
      <c r="I3094" s="581" t="s">
        <v>5358</v>
      </c>
    </row>
    <row r="3095" spans="8:9" ht="16.3">
      <c r="H3095" s="580">
        <v>9494</v>
      </c>
      <c r="I3095" s="581" t="s">
        <v>2030</v>
      </c>
    </row>
    <row r="3096" spans="8:9" ht="16.3">
      <c r="H3096" s="580">
        <v>9495</v>
      </c>
      <c r="I3096" s="581" t="s">
        <v>5359</v>
      </c>
    </row>
    <row r="3097" spans="8:9" ht="16.3">
      <c r="H3097" s="580">
        <v>9500</v>
      </c>
      <c r="I3097" s="581" t="s">
        <v>5360</v>
      </c>
    </row>
    <row r="3098" spans="8:9" ht="16.3">
      <c r="H3098" s="580">
        <v>9511</v>
      </c>
      <c r="I3098" s="581" t="s">
        <v>5361</v>
      </c>
    </row>
    <row r="3099" spans="8:9" ht="16.3">
      <c r="H3099" s="580">
        <v>9512</v>
      </c>
      <c r="I3099" s="581" t="s">
        <v>5362</v>
      </c>
    </row>
    <row r="3100" spans="8:9" ht="16.3">
      <c r="H3100" s="580">
        <v>9513</v>
      </c>
      <c r="I3100" s="581" t="s">
        <v>5363</v>
      </c>
    </row>
    <row r="3101" spans="8:9" ht="16.3">
      <c r="H3101" s="580">
        <v>9514</v>
      </c>
      <c r="I3101" s="581" t="s">
        <v>5364</v>
      </c>
    </row>
    <row r="3102" spans="8:9" ht="16.3">
      <c r="H3102" s="580">
        <v>9515</v>
      </c>
      <c r="I3102" s="581" t="s">
        <v>5365</v>
      </c>
    </row>
    <row r="3103" spans="8:9" ht="16.3">
      <c r="H3103" s="580">
        <v>9516</v>
      </c>
      <c r="I3103" s="581" t="s">
        <v>5366</v>
      </c>
    </row>
    <row r="3104" spans="8:9" ht="16.3">
      <c r="H3104" s="580">
        <v>9517</v>
      </c>
      <c r="I3104" s="581" t="s">
        <v>5367</v>
      </c>
    </row>
    <row r="3105" spans="8:9" ht="16.3">
      <c r="H3105" s="580">
        <v>9521</v>
      </c>
      <c r="I3105" s="581" t="s">
        <v>5368</v>
      </c>
    </row>
    <row r="3106" spans="8:9" ht="16.3">
      <c r="H3106" s="580">
        <v>9522</v>
      </c>
      <c r="I3106" s="581" t="s">
        <v>5369</v>
      </c>
    </row>
    <row r="3107" spans="8:9" ht="16.3">
      <c r="H3107" s="580">
        <v>9523</v>
      </c>
      <c r="I3107" s="581" t="s">
        <v>5370</v>
      </c>
    </row>
    <row r="3108" spans="8:9" ht="16.3">
      <c r="H3108" s="580">
        <v>9531</v>
      </c>
      <c r="I3108" s="581" t="s">
        <v>5371</v>
      </c>
    </row>
    <row r="3109" spans="8:9" ht="16.3">
      <c r="H3109" s="580">
        <v>9532</v>
      </c>
      <c r="I3109" s="581" t="s">
        <v>5372</v>
      </c>
    </row>
    <row r="3110" spans="8:9" ht="16.3">
      <c r="H3110" s="580">
        <v>9533</v>
      </c>
      <c r="I3110" s="581" t="s">
        <v>5373</v>
      </c>
    </row>
    <row r="3111" spans="8:9" ht="16.3">
      <c r="H3111" s="580">
        <v>9534</v>
      </c>
      <c r="I3111" s="581" t="s">
        <v>5374</v>
      </c>
    </row>
    <row r="3112" spans="8:9" ht="16.3">
      <c r="H3112" s="580">
        <v>9534</v>
      </c>
      <c r="I3112" s="581" t="s">
        <v>5375</v>
      </c>
    </row>
    <row r="3113" spans="8:9" ht="16.3">
      <c r="H3113" s="580">
        <v>9541</v>
      </c>
      <c r="I3113" s="580" t="s">
        <v>5360</v>
      </c>
    </row>
    <row r="3114" spans="8:9" ht="16.3">
      <c r="H3114" s="580">
        <v>9542</v>
      </c>
      <c r="I3114" s="581" t="s">
        <v>5376</v>
      </c>
    </row>
    <row r="3115" spans="8:9" ht="16.3">
      <c r="H3115" s="580">
        <v>9542</v>
      </c>
      <c r="I3115" s="581" t="s">
        <v>5377</v>
      </c>
    </row>
    <row r="3116" spans="8:9" ht="16.3">
      <c r="H3116" s="580">
        <v>9544</v>
      </c>
      <c r="I3116" s="581" t="s">
        <v>5378</v>
      </c>
    </row>
    <row r="3117" spans="8:9" ht="16.3">
      <c r="H3117" s="580">
        <v>9545</v>
      </c>
      <c r="I3117" s="581" t="s">
        <v>1937</v>
      </c>
    </row>
    <row r="3118" spans="8:9" ht="16.3">
      <c r="H3118" s="580">
        <v>9547</v>
      </c>
      <c r="I3118" s="581" t="s">
        <v>5379</v>
      </c>
    </row>
    <row r="3119" spans="8:9" ht="16.3">
      <c r="H3119" s="580">
        <v>9548</v>
      </c>
      <c r="I3119" s="581" t="s">
        <v>5380</v>
      </c>
    </row>
    <row r="3120" spans="8:9" ht="16.3">
      <c r="H3120" s="580">
        <v>9549</v>
      </c>
      <c r="I3120" s="581" t="s">
        <v>5381</v>
      </c>
    </row>
    <row r="3121" spans="8:9" ht="16.3">
      <c r="H3121" s="580">
        <v>9551</v>
      </c>
      <c r="I3121" s="581" t="s">
        <v>5382</v>
      </c>
    </row>
    <row r="3122" spans="8:9" ht="16.3">
      <c r="H3122" s="580">
        <v>9552</v>
      </c>
      <c r="I3122" s="581" t="s">
        <v>5383</v>
      </c>
    </row>
    <row r="3123" spans="8:9" ht="16.3">
      <c r="H3123" s="580">
        <v>9553</v>
      </c>
      <c r="I3123" s="581" t="s">
        <v>5384</v>
      </c>
    </row>
    <row r="3124" spans="8:9" ht="16.3">
      <c r="H3124" s="580">
        <v>9553</v>
      </c>
      <c r="I3124" s="581" t="s">
        <v>5385</v>
      </c>
    </row>
    <row r="3125" spans="8:9" ht="16.3">
      <c r="H3125" s="580">
        <v>9554</v>
      </c>
      <c r="I3125" s="581" t="s">
        <v>5386</v>
      </c>
    </row>
    <row r="3126" spans="8:9" ht="16.3">
      <c r="H3126" s="580">
        <v>9554</v>
      </c>
      <c r="I3126" s="581" t="s">
        <v>5387</v>
      </c>
    </row>
    <row r="3127" spans="8:9" ht="16.3">
      <c r="H3127" s="580">
        <v>9555</v>
      </c>
      <c r="I3127" s="581" t="s">
        <v>2302</v>
      </c>
    </row>
    <row r="3128" spans="8:9" ht="16.3">
      <c r="H3128" s="580">
        <v>9556</v>
      </c>
      <c r="I3128" s="581" t="s">
        <v>5388</v>
      </c>
    </row>
    <row r="3129" spans="8:9" ht="16.3">
      <c r="H3129" s="580">
        <v>9561</v>
      </c>
      <c r="I3129" s="581" t="s">
        <v>5389</v>
      </c>
    </row>
    <row r="3130" spans="8:9" ht="16.3">
      <c r="H3130" s="580">
        <v>9561</v>
      </c>
      <c r="I3130" s="581" t="s">
        <v>5390</v>
      </c>
    </row>
    <row r="3131" spans="8:9" ht="16.3">
      <c r="H3131" s="580">
        <v>9600</v>
      </c>
      <c r="I3131" s="581" t="s">
        <v>2189</v>
      </c>
    </row>
    <row r="3132" spans="8:9" ht="16.3">
      <c r="H3132" s="580">
        <v>9608</v>
      </c>
      <c r="I3132" s="580" t="s">
        <v>2189</v>
      </c>
    </row>
    <row r="3133" spans="8:9" ht="16.3">
      <c r="H3133" s="580">
        <v>9609</v>
      </c>
      <c r="I3133" s="580" t="s">
        <v>2189</v>
      </c>
    </row>
    <row r="3134" spans="8:9" ht="16.3">
      <c r="H3134" s="580">
        <v>9611</v>
      </c>
      <c r="I3134" s="581" t="s">
        <v>5391</v>
      </c>
    </row>
    <row r="3135" spans="8:9" ht="16.3">
      <c r="H3135" s="580">
        <v>9612</v>
      </c>
      <c r="I3135" s="581" t="s">
        <v>5392</v>
      </c>
    </row>
    <row r="3136" spans="8:9" ht="16.3">
      <c r="H3136" s="580">
        <v>9612</v>
      </c>
      <c r="I3136" s="581" t="s">
        <v>5393</v>
      </c>
    </row>
    <row r="3137" spans="8:9" ht="16.3">
      <c r="H3137" s="580">
        <v>9621</v>
      </c>
      <c r="I3137" s="581" t="s">
        <v>5394</v>
      </c>
    </row>
    <row r="3138" spans="8:9" ht="16.3">
      <c r="H3138" s="580">
        <v>9622</v>
      </c>
      <c r="I3138" s="581" t="s">
        <v>5395</v>
      </c>
    </row>
    <row r="3139" spans="8:9" ht="16.3">
      <c r="H3139" s="580">
        <v>9623</v>
      </c>
      <c r="I3139" s="581" t="s">
        <v>5396</v>
      </c>
    </row>
    <row r="3140" spans="8:9" ht="16.3">
      <c r="H3140" s="580">
        <v>9624</v>
      </c>
      <c r="I3140" s="581" t="s">
        <v>5397</v>
      </c>
    </row>
    <row r="3141" spans="8:9" ht="16.3">
      <c r="H3141" s="580">
        <v>9625</v>
      </c>
      <c r="I3141" s="581" t="s">
        <v>5398</v>
      </c>
    </row>
    <row r="3142" spans="8:9" ht="16.3">
      <c r="H3142" s="580">
        <v>9625</v>
      </c>
      <c r="I3142" s="581" t="s">
        <v>5399</v>
      </c>
    </row>
    <row r="3143" spans="8:9" ht="16.3">
      <c r="H3143" s="580">
        <v>9631</v>
      </c>
      <c r="I3143" s="581" t="s">
        <v>5400</v>
      </c>
    </row>
    <row r="3144" spans="8:9" ht="16.3">
      <c r="H3144" s="580">
        <v>9632</v>
      </c>
      <c r="I3144" s="581" t="s">
        <v>5401</v>
      </c>
    </row>
    <row r="3145" spans="8:9" ht="16.3">
      <c r="H3145" s="580">
        <v>9633</v>
      </c>
      <c r="I3145" s="581" t="s">
        <v>5402</v>
      </c>
    </row>
    <row r="3146" spans="8:9" ht="16.3">
      <c r="H3146" s="580">
        <v>9634</v>
      </c>
      <c r="I3146" s="581" t="s">
        <v>5403</v>
      </c>
    </row>
    <row r="3147" spans="8:9" ht="16.3">
      <c r="H3147" s="580">
        <v>9634</v>
      </c>
      <c r="I3147" s="581" t="s">
        <v>5404</v>
      </c>
    </row>
    <row r="3148" spans="8:9" ht="16.3">
      <c r="H3148" s="580">
        <v>9635</v>
      </c>
      <c r="I3148" s="581" t="s">
        <v>5405</v>
      </c>
    </row>
    <row r="3149" spans="8:9" ht="16.3">
      <c r="H3149" s="580">
        <v>9636</v>
      </c>
      <c r="I3149" s="581" t="s">
        <v>5406</v>
      </c>
    </row>
    <row r="3150" spans="8:9" ht="16.3">
      <c r="H3150" s="580">
        <v>9641</v>
      </c>
      <c r="I3150" s="581" t="s">
        <v>5407</v>
      </c>
    </row>
    <row r="3151" spans="8:9" ht="16.3">
      <c r="H3151" s="580">
        <v>9643</v>
      </c>
      <c r="I3151" s="581" t="s">
        <v>5408</v>
      </c>
    </row>
    <row r="3152" spans="8:9" ht="16.3">
      <c r="H3152" s="580">
        <v>9651</v>
      </c>
      <c r="I3152" s="581" t="s">
        <v>5409</v>
      </c>
    </row>
    <row r="3153" spans="8:9" ht="16.3">
      <c r="H3153" s="580">
        <v>9652</v>
      </c>
      <c r="I3153" s="581" t="s">
        <v>5410</v>
      </c>
    </row>
    <row r="3154" spans="8:9" ht="16.3">
      <c r="H3154" s="580">
        <v>9653</v>
      </c>
      <c r="I3154" s="581" t="s">
        <v>5411</v>
      </c>
    </row>
    <row r="3155" spans="8:9" ht="16.3">
      <c r="H3155" s="580">
        <v>9654</v>
      </c>
      <c r="I3155" s="581" t="s">
        <v>5412</v>
      </c>
    </row>
    <row r="3156" spans="8:9" ht="16.3">
      <c r="H3156" s="580">
        <v>9661</v>
      </c>
      <c r="I3156" s="581" t="s">
        <v>5413</v>
      </c>
    </row>
    <row r="3157" spans="8:9" ht="16.3">
      <c r="H3157" s="580">
        <v>9662</v>
      </c>
      <c r="I3157" s="581" t="s">
        <v>5414</v>
      </c>
    </row>
    <row r="3158" spans="8:9" ht="16.3">
      <c r="H3158" s="580">
        <v>9662</v>
      </c>
      <c r="I3158" s="581" t="s">
        <v>5415</v>
      </c>
    </row>
    <row r="3159" spans="8:9" ht="16.3">
      <c r="H3159" s="580">
        <v>9663</v>
      </c>
      <c r="I3159" s="581" t="s">
        <v>5416</v>
      </c>
    </row>
    <row r="3160" spans="8:9" ht="16.3">
      <c r="H3160" s="580">
        <v>9664</v>
      </c>
      <c r="I3160" s="581" t="s">
        <v>5417</v>
      </c>
    </row>
    <row r="3161" spans="8:9" ht="16.3">
      <c r="H3161" s="580">
        <v>9665</v>
      </c>
      <c r="I3161" s="581" t="s">
        <v>5418</v>
      </c>
    </row>
    <row r="3162" spans="8:9" ht="16.3">
      <c r="H3162" s="580">
        <v>9671</v>
      </c>
      <c r="I3162" s="581" t="s">
        <v>5419</v>
      </c>
    </row>
    <row r="3163" spans="8:9" ht="16.3">
      <c r="H3163" s="580">
        <v>9672</v>
      </c>
      <c r="I3163" s="581" t="s">
        <v>5420</v>
      </c>
    </row>
    <row r="3164" spans="8:9" ht="16.3">
      <c r="H3164" s="580">
        <v>9673</v>
      </c>
      <c r="I3164" s="581" t="s">
        <v>2112</v>
      </c>
    </row>
    <row r="3165" spans="8:9" ht="16.3">
      <c r="H3165" s="580">
        <v>9674</v>
      </c>
      <c r="I3165" s="581" t="s">
        <v>5421</v>
      </c>
    </row>
    <row r="3166" spans="8:9" ht="16.3">
      <c r="H3166" s="580">
        <v>9675</v>
      </c>
      <c r="I3166" s="581" t="s">
        <v>5422</v>
      </c>
    </row>
    <row r="3167" spans="8:9" ht="16.3">
      <c r="H3167" s="580">
        <v>9676</v>
      </c>
      <c r="I3167" s="581" t="s">
        <v>5423</v>
      </c>
    </row>
    <row r="3168" spans="8:9" ht="16.3">
      <c r="H3168" s="580">
        <v>9681</v>
      </c>
      <c r="I3168" s="581" t="s">
        <v>5424</v>
      </c>
    </row>
    <row r="3169" spans="8:9" ht="16.3">
      <c r="H3169" s="580">
        <v>9682</v>
      </c>
      <c r="I3169" s="581" t="s">
        <v>5425</v>
      </c>
    </row>
    <row r="3170" spans="8:9" ht="16.3">
      <c r="H3170" s="580">
        <v>9683</v>
      </c>
      <c r="I3170" s="581" t="s">
        <v>5426</v>
      </c>
    </row>
    <row r="3171" spans="8:9" ht="16.3">
      <c r="H3171" s="580">
        <v>9684</v>
      </c>
      <c r="I3171" s="581" t="s">
        <v>5427</v>
      </c>
    </row>
    <row r="3172" spans="8:9" ht="16.3">
      <c r="H3172" s="580">
        <v>9685</v>
      </c>
      <c r="I3172" s="581" t="s">
        <v>5428</v>
      </c>
    </row>
    <row r="3173" spans="8:9" ht="16.3">
      <c r="H3173" s="580">
        <v>9700</v>
      </c>
      <c r="I3173" s="581" t="s">
        <v>1932</v>
      </c>
    </row>
    <row r="3174" spans="8:9" ht="16.3">
      <c r="H3174" s="580">
        <v>9707</v>
      </c>
      <c r="I3174" s="581" t="s">
        <v>1932</v>
      </c>
    </row>
    <row r="3175" spans="8:9" ht="16.3">
      <c r="H3175" s="580">
        <v>9721</v>
      </c>
      <c r="I3175" s="581" t="s">
        <v>5429</v>
      </c>
    </row>
    <row r="3176" spans="8:9" ht="16.3">
      <c r="H3176" s="580">
        <v>9722</v>
      </c>
      <c r="I3176" s="581" t="s">
        <v>5430</v>
      </c>
    </row>
    <row r="3177" spans="8:9" ht="16.3">
      <c r="H3177" s="580">
        <v>9723</v>
      </c>
      <c r="I3177" s="581" t="s">
        <v>5431</v>
      </c>
    </row>
    <row r="3178" spans="8:9" ht="16.3">
      <c r="H3178" s="580">
        <v>9724</v>
      </c>
      <c r="I3178" s="581" t="s">
        <v>5432</v>
      </c>
    </row>
    <row r="3179" spans="8:9" ht="16.3">
      <c r="H3179" s="580">
        <v>9725</v>
      </c>
      <c r="I3179" s="581" t="s">
        <v>5433</v>
      </c>
    </row>
    <row r="3180" spans="8:9" ht="16.3">
      <c r="H3180" s="580">
        <v>9725</v>
      </c>
      <c r="I3180" s="581" t="s">
        <v>5434</v>
      </c>
    </row>
    <row r="3181" spans="8:9" ht="16.3">
      <c r="H3181" s="580">
        <v>9725</v>
      </c>
      <c r="I3181" s="581" t="s">
        <v>5435</v>
      </c>
    </row>
    <row r="3182" spans="8:9" ht="16.3">
      <c r="H3182" s="580">
        <v>9726</v>
      </c>
      <c r="I3182" s="581" t="s">
        <v>5436</v>
      </c>
    </row>
    <row r="3183" spans="8:9" ht="16.3">
      <c r="H3183" s="580">
        <v>9727</v>
      </c>
      <c r="I3183" s="581" t="s">
        <v>5437</v>
      </c>
    </row>
    <row r="3184" spans="8:9" ht="16.3">
      <c r="H3184" s="580">
        <v>9730</v>
      </c>
      <c r="I3184" s="581" t="s">
        <v>2317</v>
      </c>
    </row>
    <row r="3185" spans="8:9" ht="16.3">
      <c r="H3185" s="580">
        <v>9733</v>
      </c>
      <c r="I3185" s="581" t="s">
        <v>5438</v>
      </c>
    </row>
    <row r="3186" spans="8:9" ht="16.3">
      <c r="H3186" s="580">
        <v>9733</v>
      </c>
      <c r="I3186" s="581" t="s">
        <v>5439</v>
      </c>
    </row>
    <row r="3187" spans="8:9" ht="16.3">
      <c r="H3187" s="580">
        <v>9733</v>
      </c>
      <c r="I3187" s="581" t="s">
        <v>5440</v>
      </c>
    </row>
    <row r="3188" spans="8:9" ht="16.3">
      <c r="H3188" s="580">
        <v>9734</v>
      </c>
      <c r="I3188" s="581" t="s">
        <v>5441</v>
      </c>
    </row>
    <row r="3189" spans="8:9" ht="16.3">
      <c r="H3189" s="580">
        <v>9735</v>
      </c>
      <c r="I3189" s="581" t="s">
        <v>2147</v>
      </c>
    </row>
    <row r="3190" spans="8:9" ht="16.3">
      <c r="H3190" s="580">
        <v>9736</v>
      </c>
      <c r="I3190" s="581" t="s">
        <v>5442</v>
      </c>
    </row>
    <row r="3191" spans="8:9" ht="16.3">
      <c r="H3191" s="580">
        <v>9737</v>
      </c>
      <c r="I3191" s="581" t="s">
        <v>5443</v>
      </c>
    </row>
    <row r="3192" spans="8:9" ht="16.3">
      <c r="H3192" s="580">
        <v>9738</v>
      </c>
      <c r="I3192" s="581" t="s">
        <v>5444</v>
      </c>
    </row>
    <row r="3193" spans="8:9" ht="16.3">
      <c r="H3193" s="580">
        <v>9739</v>
      </c>
      <c r="I3193" s="581" t="s">
        <v>5445</v>
      </c>
    </row>
    <row r="3194" spans="8:9" ht="16.3">
      <c r="H3194" s="580">
        <v>9739</v>
      </c>
      <c r="I3194" s="581" t="s">
        <v>5446</v>
      </c>
    </row>
    <row r="3195" spans="8:9" ht="16.3">
      <c r="H3195" s="580">
        <v>9739</v>
      </c>
      <c r="I3195" s="581" t="s">
        <v>5447</v>
      </c>
    </row>
    <row r="3196" spans="8:9" ht="16.3">
      <c r="H3196" s="580">
        <v>9740</v>
      </c>
      <c r="I3196" s="580" t="s">
        <v>5443</v>
      </c>
    </row>
    <row r="3197" spans="8:9" ht="16.3">
      <c r="H3197" s="580">
        <v>9741</v>
      </c>
      <c r="I3197" s="581" t="s">
        <v>5448</v>
      </c>
    </row>
    <row r="3198" spans="8:9" ht="16.3">
      <c r="H3198" s="580">
        <v>9742</v>
      </c>
      <c r="I3198" s="581" t="s">
        <v>5449</v>
      </c>
    </row>
    <row r="3199" spans="8:9" ht="16.3">
      <c r="H3199" s="580">
        <v>9743</v>
      </c>
      <c r="I3199" s="581" t="s">
        <v>5450</v>
      </c>
    </row>
    <row r="3200" spans="8:9" ht="16.3">
      <c r="H3200" s="580">
        <v>9744</v>
      </c>
      <c r="I3200" s="581" t="s">
        <v>5451</v>
      </c>
    </row>
    <row r="3201" spans="8:9" ht="16.3">
      <c r="H3201" s="580">
        <v>9745</v>
      </c>
      <c r="I3201" s="581" t="s">
        <v>5452</v>
      </c>
    </row>
    <row r="3202" spans="8:9" ht="16.3">
      <c r="H3202" s="580">
        <v>9746</v>
      </c>
      <c r="I3202" s="581" t="s">
        <v>5453</v>
      </c>
    </row>
    <row r="3203" spans="8:9" ht="16.3">
      <c r="H3203" s="580">
        <v>9747</v>
      </c>
      <c r="I3203" s="581" t="s">
        <v>5454</v>
      </c>
    </row>
    <row r="3204" spans="8:9" ht="16.3">
      <c r="H3204" s="580">
        <v>9748</v>
      </c>
      <c r="I3204" s="581" t="s">
        <v>5455</v>
      </c>
    </row>
    <row r="3205" spans="8:9" ht="16.3">
      <c r="H3205" s="580">
        <v>9749</v>
      </c>
      <c r="I3205" s="581" t="s">
        <v>5456</v>
      </c>
    </row>
    <row r="3206" spans="8:9" ht="16.3">
      <c r="H3206" s="580">
        <v>9751</v>
      </c>
      <c r="I3206" s="581" t="s">
        <v>5457</v>
      </c>
    </row>
    <row r="3207" spans="8:9" ht="16.3">
      <c r="H3207" s="580">
        <v>9752</v>
      </c>
      <c r="I3207" s="581" t="s">
        <v>5458</v>
      </c>
    </row>
    <row r="3208" spans="8:9" ht="16.3">
      <c r="H3208" s="580">
        <v>9752</v>
      </c>
      <c r="I3208" s="581" t="s">
        <v>5459</v>
      </c>
    </row>
    <row r="3209" spans="8:9" ht="16.3">
      <c r="H3209" s="580">
        <v>9754</v>
      </c>
      <c r="I3209" s="581" t="s">
        <v>5460</v>
      </c>
    </row>
    <row r="3210" spans="8:9" ht="16.3">
      <c r="H3210" s="580">
        <v>9754</v>
      </c>
      <c r="I3210" s="581" t="s">
        <v>5461</v>
      </c>
    </row>
    <row r="3211" spans="8:9" ht="16.3">
      <c r="H3211" s="580">
        <v>9756</v>
      </c>
      <c r="I3211" s="581" t="s">
        <v>5462</v>
      </c>
    </row>
    <row r="3212" spans="8:9" ht="16.3">
      <c r="H3212" s="580">
        <v>9757</v>
      </c>
      <c r="I3212" s="581" t="s">
        <v>5463</v>
      </c>
    </row>
    <row r="3213" spans="8:9" ht="16.3">
      <c r="H3213" s="580">
        <v>9761</v>
      </c>
      <c r="I3213" s="581" t="s">
        <v>5464</v>
      </c>
    </row>
    <row r="3214" spans="8:9" ht="16.3">
      <c r="H3214" s="580">
        <v>9762</v>
      </c>
      <c r="I3214" s="581" t="s">
        <v>5465</v>
      </c>
    </row>
    <row r="3215" spans="8:9" ht="16.3">
      <c r="H3215" s="580">
        <v>9763</v>
      </c>
      <c r="I3215" s="581" t="s">
        <v>5466</v>
      </c>
    </row>
    <row r="3216" spans="8:9" ht="16.3">
      <c r="H3216" s="580">
        <v>9764</v>
      </c>
      <c r="I3216" s="581" t="s">
        <v>5467</v>
      </c>
    </row>
    <row r="3217" spans="8:9" ht="16.3">
      <c r="H3217" s="580">
        <v>9764</v>
      </c>
      <c r="I3217" s="581" t="s">
        <v>5463</v>
      </c>
    </row>
    <row r="3218" spans="8:9" ht="16.3">
      <c r="H3218" s="580">
        <v>9766</v>
      </c>
      <c r="I3218" s="581" t="s">
        <v>5468</v>
      </c>
    </row>
    <row r="3219" spans="8:9" ht="16.3">
      <c r="H3219" s="580">
        <v>9766</v>
      </c>
      <c r="I3219" s="581" t="s">
        <v>5469</v>
      </c>
    </row>
    <row r="3220" spans="8:9" ht="16.3">
      <c r="H3220" s="580">
        <v>9766</v>
      </c>
      <c r="I3220" s="581" t="s">
        <v>5470</v>
      </c>
    </row>
    <row r="3221" spans="8:9" ht="16.3">
      <c r="H3221" s="580">
        <v>9771</v>
      </c>
      <c r="I3221" s="581" t="s">
        <v>5471</v>
      </c>
    </row>
    <row r="3222" spans="8:9" ht="16.3">
      <c r="H3222" s="580">
        <v>9772</v>
      </c>
      <c r="I3222" s="581" t="s">
        <v>5472</v>
      </c>
    </row>
    <row r="3223" spans="8:9" ht="16.3">
      <c r="H3223" s="580">
        <v>9773</v>
      </c>
      <c r="I3223" s="581" t="s">
        <v>5473</v>
      </c>
    </row>
    <row r="3224" spans="8:9" ht="16.3">
      <c r="H3224" s="580">
        <v>9774</v>
      </c>
      <c r="I3224" s="581" t="s">
        <v>5474</v>
      </c>
    </row>
    <row r="3225" spans="8:9" ht="16.3">
      <c r="H3225" s="580">
        <v>9774</v>
      </c>
      <c r="I3225" s="581" t="s">
        <v>5475</v>
      </c>
    </row>
    <row r="3226" spans="8:9" ht="16.3">
      <c r="H3226" s="580">
        <v>9774</v>
      </c>
      <c r="I3226" s="581" t="s">
        <v>5476</v>
      </c>
    </row>
    <row r="3227" spans="8:9" ht="16.3">
      <c r="H3227" s="580">
        <v>9775</v>
      </c>
      <c r="I3227" s="581" t="s">
        <v>5477</v>
      </c>
    </row>
    <row r="3228" spans="8:9" ht="16.3">
      <c r="H3228" s="580">
        <v>9776</v>
      </c>
      <c r="I3228" s="581" t="s">
        <v>5478</v>
      </c>
    </row>
    <row r="3229" spans="8:9" ht="16.3">
      <c r="H3229" s="580">
        <v>9777</v>
      </c>
      <c r="I3229" s="581" t="s">
        <v>5479</v>
      </c>
    </row>
    <row r="3230" spans="8:9" ht="16.3">
      <c r="H3230" s="580">
        <v>9781</v>
      </c>
      <c r="I3230" s="581" t="s">
        <v>5480</v>
      </c>
    </row>
    <row r="3231" spans="8:9" ht="16.3">
      <c r="H3231" s="580">
        <v>9782</v>
      </c>
      <c r="I3231" s="581" t="s">
        <v>5481</v>
      </c>
    </row>
    <row r="3232" spans="8:9" ht="16.3">
      <c r="H3232" s="580">
        <v>9783</v>
      </c>
      <c r="I3232" s="581" t="s">
        <v>5482</v>
      </c>
    </row>
    <row r="3233" spans="8:9" ht="16.3">
      <c r="H3233" s="580">
        <v>9784</v>
      </c>
      <c r="I3233" s="581" t="s">
        <v>5483</v>
      </c>
    </row>
    <row r="3234" spans="8:9" ht="16.3">
      <c r="H3234" s="580">
        <v>9784</v>
      </c>
      <c r="I3234" s="581" t="s">
        <v>5484</v>
      </c>
    </row>
    <row r="3235" spans="8:9" ht="16.3">
      <c r="H3235" s="580">
        <v>9784</v>
      </c>
      <c r="I3235" s="581" t="s">
        <v>5485</v>
      </c>
    </row>
    <row r="3236" spans="8:9" ht="16.3">
      <c r="H3236" s="580">
        <v>9789</v>
      </c>
      <c r="I3236" s="581" t="s">
        <v>5486</v>
      </c>
    </row>
    <row r="3237" spans="8:9" ht="16.3">
      <c r="H3237" s="580">
        <v>9791</v>
      </c>
      <c r="I3237" s="581" t="s">
        <v>5487</v>
      </c>
    </row>
    <row r="3238" spans="8:9" ht="16.3">
      <c r="H3238" s="580">
        <v>9791</v>
      </c>
      <c r="I3238" s="581" t="s">
        <v>5488</v>
      </c>
    </row>
    <row r="3239" spans="8:9" ht="16.3">
      <c r="H3239" s="580">
        <v>9792</v>
      </c>
      <c r="I3239" s="581" t="s">
        <v>5489</v>
      </c>
    </row>
    <row r="3240" spans="8:9" ht="16.3">
      <c r="H3240" s="580">
        <v>9793</v>
      </c>
      <c r="I3240" s="581" t="s">
        <v>5490</v>
      </c>
    </row>
    <row r="3241" spans="8:9" ht="16.3">
      <c r="H3241" s="580">
        <v>9794</v>
      </c>
      <c r="I3241" s="581" t="s">
        <v>5491</v>
      </c>
    </row>
    <row r="3242" spans="8:9" ht="16.3">
      <c r="H3242" s="580">
        <v>9795</v>
      </c>
      <c r="I3242" s="581" t="s">
        <v>5492</v>
      </c>
    </row>
    <row r="3243" spans="8:9" ht="16.3">
      <c r="H3243" s="580">
        <v>9796</v>
      </c>
      <c r="I3243" s="581" t="s">
        <v>5493</v>
      </c>
    </row>
    <row r="3244" spans="8:9" ht="16.3">
      <c r="H3244" s="580">
        <v>9796</v>
      </c>
      <c r="I3244" s="581" t="s">
        <v>5494</v>
      </c>
    </row>
    <row r="3245" spans="8:9" ht="16.3">
      <c r="H3245" s="580">
        <v>9797</v>
      </c>
      <c r="I3245" s="581" t="s">
        <v>5495</v>
      </c>
    </row>
    <row r="3246" spans="8:9" ht="16.3">
      <c r="H3246" s="580">
        <v>9798</v>
      </c>
      <c r="I3246" s="581" t="s">
        <v>5496</v>
      </c>
    </row>
    <row r="3247" spans="8:9" ht="16.3">
      <c r="H3247" s="580">
        <v>9799</v>
      </c>
      <c r="I3247" s="581" t="s">
        <v>5497</v>
      </c>
    </row>
    <row r="3248" spans="8:9" ht="16.3">
      <c r="H3248" s="580">
        <v>9800</v>
      </c>
      <c r="I3248" s="581" t="s">
        <v>5498</v>
      </c>
    </row>
    <row r="3249" spans="8:9" ht="16.3">
      <c r="H3249" s="580">
        <v>9811</v>
      </c>
      <c r="I3249" s="581" t="s">
        <v>5499</v>
      </c>
    </row>
    <row r="3250" spans="8:9" ht="16.3">
      <c r="H3250" s="580">
        <v>9812</v>
      </c>
      <c r="I3250" s="581" t="s">
        <v>5500</v>
      </c>
    </row>
    <row r="3251" spans="8:9" ht="16.3">
      <c r="H3251" s="580">
        <v>9813</v>
      </c>
      <c r="I3251" s="581" t="s">
        <v>5501</v>
      </c>
    </row>
    <row r="3252" spans="8:9" ht="16.3">
      <c r="H3252" s="580">
        <v>9813</v>
      </c>
      <c r="I3252" s="581" t="s">
        <v>5502</v>
      </c>
    </row>
    <row r="3253" spans="8:9" ht="16.3">
      <c r="H3253" s="580">
        <v>9814</v>
      </c>
      <c r="I3253" s="581" t="s">
        <v>5503</v>
      </c>
    </row>
    <row r="3254" spans="8:9" ht="16.3">
      <c r="H3254" s="580">
        <v>9821</v>
      </c>
      <c r="I3254" s="581" t="s">
        <v>5504</v>
      </c>
    </row>
    <row r="3255" spans="8:9" ht="16.3">
      <c r="H3255" s="580">
        <v>9821</v>
      </c>
      <c r="I3255" s="581" t="s">
        <v>5505</v>
      </c>
    </row>
    <row r="3256" spans="8:9" ht="16.3">
      <c r="H3256" s="580">
        <v>9823</v>
      </c>
      <c r="I3256" s="581" t="s">
        <v>5506</v>
      </c>
    </row>
    <row r="3257" spans="8:9" ht="16.3">
      <c r="H3257" s="580">
        <v>9824</v>
      </c>
      <c r="I3257" s="581" t="s">
        <v>2171</v>
      </c>
    </row>
    <row r="3258" spans="8:9" ht="16.3">
      <c r="H3258" s="580">
        <v>9825</v>
      </c>
      <c r="I3258" s="581" t="s">
        <v>5507</v>
      </c>
    </row>
    <row r="3259" spans="8:9" ht="16.3">
      <c r="H3259" s="580">
        <v>9826</v>
      </c>
      <c r="I3259" s="581" t="s">
        <v>5508</v>
      </c>
    </row>
    <row r="3260" spans="8:9" ht="16.3">
      <c r="H3260" s="580">
        <v>9831</v>
      </c>
      <c r="I3260" s="581" t="s">
        <v>5509</v>
      </c>
    </row>
    <row r="3261" spans="8:9" ht="16.3">
      <c r="H3261" s="580">
        <v>9832</v>
      </c>
      <c r="I3261" s="581" t="s">
        <v>5510</v>
      </c>
    </row>
    <row r="3262" spans="8:9" ht="16.3">
      <c r="H3262" s="580">
        <v>9833</v>
      </c>
      <c r="I3262" s="581" t="s">
        <v>5511</v>
      </c>
    </row>
    <row r="3263" spans="8:9" ht="16.3">
      <c r="H3263" s="580">
        <v>9834</v>
      </c>
      <c r="I3263" s="581" t="s">
        <v>5512</v>
      </c>
    </row>
    <row r="3264" spans="8:9" ht="16.3">
      <c r="H3264" s="580">
        <v>9835</v>
      </c>
      <c r="I3264" s="581" t="s">
        <v>5513</v>
      </c>
    </row>
    <row r="3265" spans="8:9" ht="16.3">
      <c r="H3265" s="580">
        <v>9836</v>
      </c>
      <c r="I3265" s="581" t="s">
        <v>5514</v>
      </c>
    </row>
    <row r="3266" spans="8:9" ht="16.3">
      <c r="H3266" s="580">
        <v>9841</v>
      </c>
      <c r="I3266" s="581" t="s">
        <v>5515</v>
      </c>
    </row>
    <row r="3267" spans="8:9" ht="16.3">
      <c r="H3267" s="580">
        <v>9842</v>
      </c>
      <c r="I3267" s="581" t="s">
        <v>5516</v>
      </c>
    </row>
    <row r="3268" spans="8:9" ht="16.3">
      <c r="H3268" s="580">
        <v>9900</v>
      </c>
      <c r="I3268" s="581" t="s">
        <v>2085</v>
      </c>
    </row>
    <row r="3269" spans="8:9" ht="16.3">
      <c r="H3269" s="580">
        <v>9909</v>
      </c>
      <c r="I3269" s="580" t="s">
        <v>2085</v>
      </c>
    </row>
    <row r="3270" spans="8:9" ht="16.3">
      <c r="H3270" s="580">
        <v>9909</v>
      </c>
      <c r="I3270" s="581" t="s">
        <v>5517</v>
      </c>
    </row>
    <row r="3271" spans="8:9" ht="16.3">
      <c r="H3271" s="580">
        <v>9912</v>
      </c>
      <c r="I3271" s="581" t="s">
        <v>5518</v>
      </c>
    </row>
    <row r="3272" spans="8:9" ht="16.3">
      <c r="H3272" s="580">
        <v>9912</v>
      </c>
      <c r="I3272" s="581" t="s">
        <v>5519</v>
      </c>
    </row>
    <row r="3273" spans="8:9" ht="16.3">
      <c r="H3273" s="580">
        <v>9913</v>
      </c>
      <c r="I3273" s="581" t="s">
        <v>5520</v>
      </c>
    </row>
    <row r="3274" spans="8:9" ht="16.3">
      <c r="H3274" s="580">
        <v>9913</v>
      </c>
      <c r="I3274" s="581" t="s">
        <v>5521</v>
      </c>
    </row>
    <row r="3275" spans="8:9" ht="16.3">
      <c r="H3275" s="580">
        <v>9913</v>
      </c>
      <c r="I3275" s="581" t="s">
        <v>5522</v>
      </c>
    </row>
    <row r="3276" spans="8:9" ht="16.3">
      <c r="H3276" s="580">
        <v>9914</v>
      </c>
      <c r="I3276" s="581" t="s">
        <v>5523</v>
      </c>
    </row>
    <row r="3277" spans="8:9" ht="16.3">
      <c r="H3277" s="580">
        <v>9915</v>
      </c>
      <c r="I3277" s="581" t="s">
        <v>5524</v>
      </c>
    </row>
    <row r="3278" spans="8:9" ht="16.3">
      <c r="H3278" s="580">
        <v>9915</v>
      </c>
      <c r="I3278" s="581" t="s">
        <v>5525</v>
      </c>
    </row>
    <row r="3279" spans="8:9" ht="16.3">
      <c r="H3279" s="580">
        <v>9915</v>
      </c>
      <c r="I3279" s="581" t="s">
        <v>5526</v>
      </c>
    </row>
    <row r="3280" spans="8:9" ht="16.3">
      <c r="H3280" s="580">
        <v>9915</v>
      </c>
      <c r="I3280" s="581" t="s">
        <v>5527</v>
      </c>
    </row>
    <row r="3281" spans="8:9" ht="16.3">
      <c r="H3281" s="580">
        <v>9917</v>
      </c>
      <c r="I3281" s="581" t="s">
        <v>5528</v>
      </c>
    </row>
    <row r="3282" spans="8:9" ht="16.3">
      <c r="H3282" s="580">
        <v>9917</v>
      </c>
      <c r="I3282" s="581" t="s">
        <v>5529</v>
      </c>
    </row>
    <row r="3283" spans="8:9" ht="16.3">
      <c r="H3283" s="580">
        <v>9918</v>
      </c>
      <c r="I3283" s="581" t="s">
        <v>5530</v>
      </c>
    </row>
    <row r="3284" spans="8:9" ht="16.3">
      <c r="H3284" s="580">
        <v>9919</v>
      </c>
      <c r="I3284" s="581" t="s">
        <v>5531</v>
      </c>
    </row>
    <row r="3285" spans="8:9" ht="16.3">
      <c r="H3285" s="580">
        <v>9921</v>
      </c>
      <c r="I3285" s="581" t="s">
        <v>5532</v>
      </c>
    </row>
    <row r="3286" spans="8:9" ht="16.3">
      <c r="H3286" s="580">
        <v>9922</v>
      </c>
      <c r="I3286" s="581" t="s">
        <v>5533</v>
      </c>
    </row>
    <row r="3287" spans="8:9" ht="16.3">
      <c r="H3287" s="580">
        <v>9923</v>
      </c>
      <c r="I3287" s="581" t="s">
        <v>5534</v>
      </c>
    </row>
    <row r="3288" spans="8:9" ht="16.3">
      <c r="H3288" s="580">
        <v>9931</v>
      </c>
      <c r="I3288" s="581" t="s">
        <v>5535</v>
      </c>
    </row>
    <row r="3289" spans="8:9" ht="16.3">
      <c r="H3289" s="580">
        <v>9931</v>
      </c>
      <c r="I3289" s="581" t="s">
        <v>5536</v>
      </c>
    </row>
    <row r="3290" spans="8:9" ht="16.3">
      <c r="H3290" s="580">
        <v>9932</v>
      </c>
      <c r="I3290" s="581" t="s">
        <v>5537</v>
      </c>
    </row>
    <row r="3291" spans="8:9" ht="16.3">
      <c r="H3291" s="580">
        <v>9933</v>
      </c>
      <c r="I3291" s="581" t="s">
        <v>5538</v>
      </c>
    </row>
    <row r="3292" spans="8:9" ht="16.3">
      <c r="H3292" s="580">
        <v>9934</v>
      </c>
      <c r="I3292" s="581" t="s">
        <v>5539</v>
      </c>
    </row>
    <row r="3293" spans="8:9" ht="16.3">
      <c r="H3293" s="580">
        <v>9934</v>
      </c>
      <c r="I3293" s="581" t="s">
        <v>5540</v>
      </c>
    </row>
    <row r="3294" spans="8:9" ht="16.3">
      <c r="H3294" s="580">
        <v>9934</v>
      </c>
      <c r="I3294" s="581" t="s">
        <v>5541</v>
      </c>
    </row>
    <row r="3295" spans="8:9" ht="16.3">
      <c r="H3295" s="580">
        <v>9935</v>
      </c>
      <c r="I3295" s="581" t="s">
        <v>5542</v>
      </c>
    </row>
    <row r="3296" spans="8:9" ht="16.3">
      <c r="H3296" s="580">
        <v>9936</v>
      </c>
      <c r="I3296" s="581" t="s">
        <v>5543</v>
      </c>
    </row>
    <row r="3297" spans="8:9" ht="16.3">
      <c r="H3297" s="580">
        <v>9937</v>
      </c>
      <c r="I3297" s="581" t="s">
        <v>5544</v>
      </c>
    </row>
    <row r="3298" spans="8:9" ht="16.3">
      <c r="H3298" s="580">
        <v>9938</v>
      </c>
      <c r="I3298" s="581" t="s">
        <v>5545</v>
      </c>
    </row>
    <row r="3299" spans="8:9" ht="16.3">
      <c r="H3299" s="580">
        <v>9938</v>
      </c>
      <c r="I3299" s="581" t="s">
        <v>5546</v>
      </c>
    </row>
    <row r="3300" spans="8:9" ht="16.3">
      <c r="H3300" s="580">
        <v>9941</v>
      </c>
      <c r="I3300" s="581" t="s">
        <v>5547</v>
      </c>
    </row>
    <row r="3301" spans="8:9" ht="16.3">
      <c r="H3301" s="580">
        <v>9941</v>
      </c>
      <c r="I3301" s="581" t="s">
        <v>5548</v>
      </c>
    </row>
    <row r="3302" spans="8:9" ht="16.3">
      <c r="H3302" s="580">
        <v>9942</v>
      </c>
      <c r="I3302" s="581" t="s">
        <v>5549</v>
      </c>
    </row>
    <row r="3303" spans="8:9" ht="16.3">
      <c r="H3303" s="580">
        <v>9943</v>
      </c>
      <c r="I3303" s="581" t="s">
        <v>5550</v>
      </c>
    </row>
    <row r="3304" spans="8:9" ht="16.3">
      <c r="H3304" s="580">
        <v>9944</v>
      </c>
      <c r="I3304" s="581" t="s">
        <v>5551</v>
      </c>
    </row>
    <row r="3305" spans="8:9" ht="16.3">
      <c r="H3305" s="580">
        <v>9944</v>
      </c>
      <c r="I3305" s="581" t="s">
        <v>5552</v>
      </c>
    </row>
    <row r="3306" spans="8:9" ht="16.3">
      <c r="H3306" s="580">
        <v>9945</v>
      </c>
      <c r="I3306" s="581" t="s">
        <v>5553</v>
      </c>
    </row>
    <row r="3307" spans="8:9" ht="16.3">
      <c r="H3307" s="580">
        <v>9946</v>
      </c>
      <c r="I3307" s="581" t="s">
        <v>5554</v>
      </c>
    </row>
    <row r="3308" spans="8:9" ht="16.3">
      <c r="H3308" s="580">
        <v>9946</v>
      </c>
      <c r="I3308" s="581" t="s">
        <v>5555</v>
      </c>
    </row>
    <row r="3309" spans="8:9" ht="16.3">
      <c r="H3309" s="580">
        <v>9951</v>
      </c>
      <c r="I3309" s="581" t="s">
        <v>5556</v>
      </c>
    </row>
    <row r="3310" spans="8:9" ht="16.3">
      <c r="H3310" s="580">
        <v>9952</v>
      </c>
      <c r="I3310" s="581" t="s">
        <v>5557</v>
      </c>
    </row>
    <row r="3311" spans="8:9" ht="16.3">
      <c r="H3311" s="580">
        <v>9953</v>
      </c>
      <c r="I3311" s="581" t="s">
        <v>5558</v>
      </c>
    </row>
    <row r="3312" spans="8:9" ht="16.3">
      <c r="H3312" s="580">
        <v>9953</v>
      </c>
      <c r="I3312" s="581" t="s">
        <v>5559</v>
      </c>
    </row>
    <row r="3313" spans="8:9" ht="16.3">
      <c r="H3313" s="580">
        <v>9954</v>
      </c>
      <c r="I3313" s="581" t="s">
        <v>5560</v>
      </c>
    </row>
    <row r="3314" spans="8:9" ht="16.3">
      <c r="H3314" s="580">
        <v>9955</v>
      </c>
      <c r="I3314" s="580" t="s">
        <v>2152</v>
      </c>
    </row>
    <row r="3315" spans="8:9" ht="16.3">
      <c r="H3315" s="580">
        <v>9961</v>
      </c>
      <c r="I3315" s="581" t="s">
        <v>5561</v>
      </c>
    </row>
    <row r="3316" spans="8:9" ht="16.3">
      <c r="H3316" s="580">
        <v>9962</v>
      </c>
      <c r="I3316" s="581" t="s">
        <v>5562</v>
      </c>
    </row>
    <row r="3317" spans="8:9" ht="16.3">
      <c r="H3317" s="580">
        <v>9962</v>
      </c>
      <c r="I3317" s="581" t="s">
        <v>5563</v>
      </c>
    </row>
    <row r="3318" spans="8:9" ht="16.3">
      <c r="H3318" s="580">
        <v>9970</v>
      </c>
      <c r="I3318" s="581" t="s">
        <v>2152</v>
      </c>
    </row>
    <row r="3319" spans="8:9" ht="16.3">
      <c r="H3319" s="580">
        <v>9981</v>
      </c>
      <c r="I3319" s="580" t="s">
        <v>2152</v>
      </c>
    </row>
    <row r="3320" spans="8:9" ht="16.3">
      <c r="H3320" s="580">
        <v>9982</v>
      </c>
      <c r="I3320" s="581" t="s">
        <v>5564</v>
      </c>
    </row>
    <row r="3321" spans="8:9" ht="16.3">
      <c r="H3321" s="580">
        <v>9982</v>
      </c>
      <c r="I3321" s="581" t="s">
        <v>5565</v>
      </c>
    </row>
    <row r="3322" spans="8:9" ht="16.3">
      <c r="H3322" s="580">
        <v>9982</v>
      </c>
      <c r="I3322" s="581" t="s">
        <v>5566</v>
      </c>
    </row>
    <row r="3323" spans="8:9" ht="16.3">
      <c r="H3323" s="580">
        <v>9983</v>
      </c>
      <c r="I3323" s="581" t="s">
        <v>5567</v>
      </c>
    </row>
    <row r="3324" spans="8:9" ht="16.3">
      <c r="H3324" s="580">
        <v>9983</v>
      </c>
      <c r="I3324" s="581" t="s">
        <v>5568</v>
      </c>
    </row>
    <row r="3325" spans="8:9" ht="16.3">
      <c r="H3325" s="580">
        <v>9985</v>
      </c>
      <c r="I3325" s="581" t="s">
        <v>5569</v>
      </c>
    </row>
    <row r="3326" spans="8:9" ht="16.3">
      <c r="H3326" s="582">
        <v>1011</v>
      </c>
      <c r="I3326" s="582" t="s">
        <v>1914</v>
      </c>
    </row>
    <row r="3327" spans="8:9" ht="16.3">
      <c r="H3327" s="582">
        <v>1012</v>
      </c>
      <c r="I3327" s="582" t="s">
        <v>1914</v>
      </c>
    </row>
    <row r="3328" spans="8:9" ht="16.3">
      <c r="H3328" s="582">
        <v>1013</v>
      </c>
      <c r="I3328" s="582" t="s">
        <v>1914</v>
      </c>
    </row>
    <row r="3329" spans="8:9" ht="16.3">
      <c r="H3329" s="582">
        <v>1014</v>
      </c>
      <c r="I3329" s="582" t="s">
        <v>1914</v>
      </c>
    </row>
    <row r="3330" spans="8:9" ht="16.3">
      <c r="H3330" s="582">
        <v>1015</v>
      </c>
      <c r="I3330" s="582" t="s">
        <v>1914</v>
      </c>
    </row>
    <row r="3331" spans="8:9" ht="16.3">
      <c r="H3331" s="582">
        <v>1016</v>
      </c>
      <c r="I3331" s="582" t="s">
        <v>1914</v>
      </c>
    </row>
    <row r="3332" spans="8:9" ht="16.3">
      <c r="H3332" s="582">
        <v>1020</v>
      </c>
      <c r="I3332" s="582" t="s">
        <v>1914</v>
      </c>
    </row>
    <row r="3333" spans="8:9" ht="16.3">
      <c r="H3333" s="582">
        <v>1022</v>
      </c>
      <c r="I3333" s="582" t="s">
        <v>1914</v>
      </c>
    </row>
    <row r="3334" spans="8:9" ht="16.3">
      <c r="H3334" s="582">
        <v>1023</v>
      </c>
      <c r="I3334" s="582" t="s">
        <v>1914</v>
      </c>
    </row>
    <row r="3335" spans="8:9" ht="16.3">
      <c r="H3335" s="582">
        <v>1024</v>
      </c>
      <c r="I3335" s="582" t="s">
        <v>1914</v>
      </c>
    </row>
    <row r="3336" spans="8:9" ht="16.3">
      <c r="H3336" s="582">
        <v>1025</v>
      </c>
      <c r="I3336" s="582" t="s">
        <v>1914</v>
      </c>
    </row>
    <row r="3337" spans="8:9" ht="16.3">
      <c r="H3337" s="582">
        <v>1026</v>
      </c>
      <c r="I3337" s="582" t="s">
        <v>1914</v>
      </c>
    </row>
    <row r="3338" spans="8:9" ht="16.3">
      <c r="H3338" s="582">
        <v>1027</v>
      </c>
      <c r="I3338" s="582" t="s">
        <v>1914</v>
      </c>
    </row>
    <row r="3339" spans="8:9" ht="16.3">
      <c r="H3339" s="582">
        <v>1029</v>
      </c>
      <c r="I3339" s="582" t="s">
        <v>1914</v>
      </c>
    </row>
    <row r="3340" spans="8:9" ht="16.3">
      <c r="H3340" s="582">
        <v>1030</v>
      </c>
      <c r="I3340" s="582" t="s">
        <v>1914</v>
      </c>
    </row>
    <row r="3341" spans="8:9" ht="16.3">
      <c r="H3341" s="582">
        <v>1031</v>
      </c>
      <c r="I3341" s="582" t="s">
        <v>1914</v>
      </c>
    </row>
    <row r="3342" spans="8:9" ht="16.3">
      <c r="H3342" s="582">
        <v>1032</v>
      </c>
      <c r="I3342" s="582" t="s">
        <v>1914</v>
      </c>
    </row>
    <row r="3343" spans="8:9" ht="16.3">
      <c r="H3343" s="582">
        <v>1033</v>
      </c>
      <c r="I3343" s="582" t="s">
        <v>1914</v>
      </c>
    </row>
    <row r="3344" spans="8:9" ht="16.3">
      <c r="H3344" s="582">
        <v>1034</v>
      </c>
      <c r="I3344" s="582" t="s">
        <v>1914</v>
      </c>
    </row>
    <row r="3345" spans="8:9" ht="16.3">
      <c r="H3345" s="582">
        <v>1035</v>
      </c>
      <c r="I3345" s="582" t="s">
        <v>1914</v>
      </c>
    </row>
    <row r="3346" spans="8:9" ht="16.3">
      <c r="H3346" s="582">
        <v>1036</v>
      </c>
      <c r="I3346" s="582" t="s">
        <v>1914</v>
      </c>
    </row>
    <row r="3347" spans="8:9" ht="16.3">
      <c r="H3347" s="582">
        <v>1037</v>
      </c>
      <c r="I3347" s="582" t="s">
        <v>1914</v>
      </c>
    </row>
    <row r="3348" spans="8:9" ht="16.3">
      <c r="H3348" s="582">
        <v>1038</v>
      </c>
      <c r="I3348" s="582" t="s">
        <v>1914</v>
      </c>
    </row>
    <row r="3349" spans="8:9" ht="16.3">
      <c r="H3349" s="582">
        <v>1039</v>
      </c>
      <c r="I3349" s="582" t="s">
        <v>1914</v>
      </c>
    </row>
    <row r="3350" spans="8:9" ht="16.3">
      <c r="H3350" s="582">
        <v>1041</v>
      </c>
      <c r="I3350" s="582" t="s">
        <v>1914</v>
      </c>
    </row>
    <row r="3351" spans="8:9" ht="16.3">
      <c r="H3351" s="582">
        <v>1042</v>
      </c>
      <c r="I3351" s="582" t="s">
        <v>1914</v>
      </c>
    </row>
    <row r="3352" spans="8:9" ht="16.3">
      <c r="H3352" s="582">
        <v>1043</v>
      </c>
      <c r="I3352" s="582" t="s">
        <v>1914</v>
      </c>
    </row>
    <row r="3353" spans="8:9" ht="16.3">
      <c r="H3353" s="582">
        <v>1044</v>
      </c>
      <c r="I3353" s="582" t="s">
        <v>1914</v>
      </c>
    </row>
    <row r="3354" spans="8:9" ht="16.3">
      <c r="H3354" s="582">
        <v>1045</v>
      </c>
      <c r="I3354" s="582" t="s">
        <v>1914</v>
      </c>
    </row>
    <row r="3355" spans="8:9" ht="16.3">
      <c r="H3355" s="582">
        <v>1046</v>
      </c>
      <c r="I3355" s="582" t="s">
        <v>1914</v>
      </c>
    </row>
    <row r="3356" spans="8:9" ht="16.3">
      <c r="H3356" s="582">
        <v>1047</v>
      </c>
      <c r="I3356" s="582" t="s">
        <v>1914</v>
      </c>
    </row>
    <row r="3357" spans="8:9" ht="16.3">
      <c r="H3357" s="582">
        <v>1048</v>
      </c>
      <c r="I3357" s="582" t="s">
        <v>1914</v>
      </c>
    </row>
    <row r="3358" spans="8:9" ht="16.3">
      <c r="H3358" s="582">
        <v>1051</v>
      </c>
      <c r="I3358" s="582" t="s">
        <v>1914</v>
      </c>
    </row>
    <row r="3359" spans="8:9" ht="16.3">
      <c r="H3359" s="582">
        <v>1052</v>
      </c>
      <c r="I3359" s="582" t="s">
        <v>1914</v>
      </c>
    </row>
    <row r="3360" spans="8:9" ht="16.3">
      <c r="H3360" s="582">
        <v>1053</v>
      </c>
      <c r="I3360" s="582" t="s">
        <v>1914</v>
      </c>
    </row>
    <row r="3361" spans="8:9" ht="16.3">
      <c r="H3361" s="582">
        <v>1054</v>
      </c>
      <c r="I3361" s="582" t="s">
        <v>1914</v>
      </c>
    </row>
    <row r="3362" spans="8:9" ht="16.3">
      <c r="H3362" s="582">
        <v>1055</v>
      </c>
      <c r="I3362" s="582" t="s">
        <v>1914</v>
      </c>
    </row>
    <row r="3363" spans="8:9" ht="16.3">
      <c r="H3363" s="582">
        <v>1056</v>
      </c>
      <c r="I3363" s="582" t="s">
        <v>1914</v>
      </c>
    </row>
    <row r="3364" spans="8:9" ht="16.3">
      <c r="H3364" s="582">
        <v>1060</v>
      </c>
      <c r="I3364" s="582" t="s">
        <v>1914</v>
      </c>
    </row>
    <row r="3365" spans="8:9" ht="16.3">
      <c r="H3365" s="582">
        <v>1061</v>
      </c>
      <c r="I3365" s="582" t="s">
        <v>1914</v>
      </c>
    </row>
    <row r="3366" spans="8:9" ht="16.3">
      <c r="H3366" s="582">
        <v>1062</v>
      </c>
      <c r="I3366" s="582" t="s">
        <v>1914</v>
      </c>
    </row>
    <row r="3367" spans="8:9" ht="16.3">
      <c r="H3367" s="582">
        <v>1063</v>
      </c>
      <c r="I3367" s="582" t="s">
        <v>1914</v>
      </c>
    </row>
    <row r="3368" spans="8:9" ht="16.3">
      <c r="H3368" s="582">
        <v>1064</v>
      </c>
      <c r="I3368" s="582" t="s">
        <v>1914</v>
      </c>
    </row>
    <row r="3369" spans="8:9" ht="16.3">
      <c r="H3369" s="582">
        <v>1065</v>
      </c>
      <c r="I3369" s="582" t="s">
        <v>1914</v>
      </c>
    </row>
    <row r="3370" spans="8:9" ht="16.3">
      <c r="H3370" s="582">
        <v>1066</v>
      </c>
      <c r="I3370" s="582" t="s">
        <v>1914</v>
      </c>
    </row>
    <row r="3371" spans="8:9" ht="16.3">
      <c r="H3371" s="582">
        <v>1067</v>
      </c>
      <c r="I3371" s="582" t="s">
        <v>1914</v>
      </c>
    </row>
    <row r="3372" spans="8:9" ht="16.3">
      <c r="H3372" s="582">
        <v>1068</v>
      </c>
      <c r="I3372" s="582" t="s">
        <v>1914</v>
      </c>
    </row>
    <row r="3373" spans="8:9" ht="16.3">
      <c r="H3373" s="582">
        <v>1069</v>
      </c>
      <c r="I3373" s="582" t="s">
        <v>1914</v>
      </c>
    </row>
    <row r="3374" spans="8:9" ht="16.3">
      <c r="H3374" s="582">
        <v>1070</v>
      </c>
      <c r="I3374" s="582" t="s">
        <v>1914</v>
      </c>
    </row>
    <row r="3375" spans="8:9" ht="16.3">
      <c r="H3375" s="582">
        <v>1071</v>
      </c>
      <c r="I3375" s="582" t="s">
        <v>1914</v>
      </c>
    </row>
    <row r="3376" spans="8:9" ht="16.3">
      <c r="H3376" s="582">
        <v>1072</v>
      </c>
      <c r="I3376" s="582" t="s">
        <v>1914</v>
      </c>
    </row>
    <row r="3377" spans="8:9" ht="16.3">
      <c r="H3377" s="582">
        <v>1073</v>
      </c>
      <c r="I3377" s="582" t="s">
        <v>1914</v>
      </c>
    </row>
    <row r="3378" spans="8:9" ht="16.3">
      <c r="H3378" s="582">
        <v>1074</v>
      </c>
      <c r="I3378" s="582" t="s">
        <v>1914</v>
      </c>
    </row>
    <row r="3379" spans="8:9" ht="16.3">
      <c r="H3379" s="582">
        <v>1075</v>
      </c>
      <c r="I3379" s="582" t="s">
        <v>1914</v>
      </c>
    </row>
    <row r="3380" spans="8:9" ht="16.3">
      <c r="H3380" s="582">
        <v>1076</v>
      </c>
      <c r="I3380" s="582" t="s">
        <v>1914</v>
      </c>
    </row>
    <row r="3381" spans="8:9" ht="16.3">
      <c r="H3381" s="582">
        <v>1077</v>
      </c>
      <c r="I3381" s="582" t="s">
        <v>1914</v>
      </c>
    </row>
    <row r="3382" spans="8:9" ht="16.3">
      <c r="H3382" s="582">
        <v>1078</v>
      </c>
      <c r="I3382" s="582" t="s">
        <v>1914</v>
      </c>
    </row>
    <row r="3383" spans="8:9" ht="16.3">
      <c r="H3383" s="582">
        <v>1080</v>
      </c>
      <c r="I3383" s="582" t="s">
        <v>1914</v>
      </c>
    </row>
    <row r="3384" spans="8:9" ht="16.3">
      <c r="H3384" s="582">
        <v>1081</v>
      </c>
      <c r="I3384" s="582" t="s">
        <v>1914</v>
      </c>
    </row>
    <row r="3385" spans="8:9" ht="16.3">
      <c r="H3385" s="582">
        <v>1082</v>
      </c>
      <c r="I3385" s="582" t="s">
        <v>1914</v>
      </c>
    </row>
    <row r="3386" spans="8:9" ht="16.3">
      <c r="H3386" s="582">
        <v>1083</v>
      </c>
      <c r="I3386" s="582" t="s">
        <v>1914</v>
      </c>
    </row>
    <row r="3387" spans="8:9" ht="16.3">
      <c r="H3387" s="582">
        <v>1084</v>
      </c>
      <c r="I3387" s="582" t="s">
        <v>1914</v>
      </c>
    </row>
    <row r="3388" spans="8:9" ht="16.3">
      <c r="H3388" s="582">
        <v>1085</v>
      </c>
      <c r="I3388" s="582" t="s">
        <v>1914</v>
      </c>
    </row>
    <row r="3389" spans="8:9" ht="16.3">
      <c r="H3389" s="582">
        <v>1086</v>
      </c>
      <c r="I3389" s="582" t="s">
        <v>1914</v>
      </c>
    </row>
    <row r="3390" spans="8:9" ht="16.3">
      <c r="H3390" s="582">
        <v>1087</v>
      </c>
      <c r="I3390" s="582" t="s">
        <v>1914</v>
      </c>
    </row>
    <row r="3391" spans="8:9" ht="16.3">
      <c r="H3391" s="582">
        <v>1088</v>
      </c>
      <c r="I3391" s="582" t="s">
        <v>1914</v>
      </c>
    </row>
    <row r="3392" spans="8:9" ht="16.3">
      <c r="H3392" s="582">
        <v>1089</v>
      </c>
      <c r="I3392" s="582" t="s">
        <v>1914</v>
      </c>
    </row>
    <row r="3393" spans="8:9" ht="16.3">
      <c r="H3393" s="582">
        <v>1091</v>
      </c>
      <c r="I3393" s="582" t="s">
        <v>1914</v>
      </c>
    </row>
    <row r="3394" spans="8:9" ht="16.3">
      <c r="H3394" s="582">
        <v>1092</v>
      </c>
      <c r="I3394" s="582" t="s">
        <v>1914</v>
      </c>
    </row>
    <row r="3395" spans="8:9" ht="16.3">
      <c r="H3395" s="582">
        <v>1093</v>
      </c>
      <c r="I3395" s="582" t="s">
        <v>1914</v>
      </c>
    </row>
    <row r="3396" spans="8:9" ht="16.3">
      <c r="H3396" s="582">
        <v>1094</v>
      </c>
      <c r="I3396" s="582" t="s">
        <v>1914</v>
      </c>
    </row>
    <row r="3397" spans="8:9" ht="16.3">
      <c r="H3397" s="582">
        <v>1095</v>
      </c>
      <c r="I3397" s="582" t="s">
        <v>1914</v>
      </c>
    </row>
    <row r="3398" spans="8:9" ht="16.3">
      <c r="H3398" s="582">
        <v>1096</v>
      </c>
      <c r="I3398" s="582" t="s">
        <v>1914</v>
      </c>
    </row>
    <row r="3399" spans="8:9" ht="16.3">
      <c r="H3399" s="582">
        <v>1097</v>
      </c>
      <c r="I3399" s="582" t="s">
        <v>1914</v>
      </c>
    </row>
    <row r="3400" spans="8:9" ht="16.3">
      <c r="H3400" s="582">
        <v>1098</v>
      </c>
      <c r="I3400" s="582" t="s">
        <v>1914</v>
      </c>
    </row>
    <row r="3401" spans="8:9" ht="16.3">
      <c r="H3401" s="582">
        <v>1101</v>
      </c>
      <c r="I3401" s="582" t="s">
        <v>1914</v>
      </c>
    </row>
    <row r="3402" spans="8:9" ht="16.3">
      <c r="H3402" s="582">
        <v>1102</v>
      </c>
      <c r="I3402" s="582" t="s">
        <v>1914</v>
      </c>
    </row>
    <row r="3403" spans="8:9" ht="16.3">
      <c r="H3403" s="582">
        <v>1103</v>
      </c>
      <c r="I3403" s="582" t="s">
        <v>1914</v>
      </c>
    </row>
    <row r="3404" spans="8:9" ht="16.3">
      <c r="H3404" s="582">
        <v>1104</v>
      </c>
      <c r="I3404" s="582" t="s">
        <v>1914</v>
      </c>
    </row>
    <row r="3405" spans="8:9" ht="16.3">
      <c r="H3405" s="582">
        <v>1105</v>
      </c>
      <c r="I3405" s="582" t="s">
        <v>1914</v>
      </c>
    </row>
    <row r="3406" spans="8:9" ht="16.3">
      <c r="H3406" s="582">
        <v>1106</v>
      </c>
      <c r="I3406" s="582" t="s">
        <v>1914</v>
      </c>
    </row>
    <row r="3407" spans="8:9" ht="16.3">
      <c r="H3407" s="582">
        <v>1107</v>
      </c>
      <c r="I3407" s="582" t="s">
        <v>1914</v>
      </c>
    </row>
    <row r="3408" spans="8:9" ht="16.3">
      <c r="H3408" s="582">
        <v>1108</v>
      </c>
      <c r="I3408" s="582" t="s">
        <v>1914</v>
      </c>
    </row>
    <row r="3409" spans="8:9" ht="16.3">
      <c r="H3409" s="582">
        <v>1110</v>
      </c>
      <c r="I3409" s="582" t="s">
        <v>1914</v>
      </c>
    </row>
    <row r="3410" spans="8:9" ht="16.3">
      <c r="H3410" s="582">
        <v>1111</v>
      </c>
      <c r="I3410" s="582" t="s">
        <v>1914</v>
      </c>
    </row>
    <row r="3411" spans="8:9" ht="16.3">
      <c r="H3411" s="582">
        <v>1112</v>
      </c>
      <c r="I3411" s="582" t="s">
        <v>1914</v>
      </c>
    </row>
    <row r="3412" spans="8:9" ht="16.3">
      <c r="H3412" s="582">
        <v>1113</v>
      </c>
      <c r="I3412" s="582" t="s">
        <v>1914</v>
      </c>
    </row>
    <row r="3413" spans="8:9" ht="16.3">
      <c r="H3413" s="582">
        <v>1114</v>
      </c>
      <c r="I3413" s="582" t="s">
        <v>1914</v>
      </c>
    </row>
    <row r="3414" spans="8:9" ht="16.3">
      <c r="H3414" s="582">
        <v>1115</v>
      </c>
      <c r="I3414" s="582" t="s">
        <v>1914</v>
      </c>
    </row>
    <row r="3415" spans="8:9" ht="16.3">
      <c r="H3415" s="582">
        <v>1116</v>
      </c>
      <c r="I3415" s="582" t="s">
        <v>1914</v>
      </c>
    </row>
    <row r="3416" spans="8:9" ht="16.3">
      <c r="H3416" s="582">
        <v>1117</v>
      </c>
      <c r="I3416" s="582" t="s">
        <v>1914</v>
      </c>
    </row>
    <row r="3417" spans="8:9" ht="16.3">
      <c r="H3417" s="582">
        <v>1118</v>
      </c>
      <c r="I3417" s="582" t="s">
        <v>1914</v>
      </c>
    </row>
    <row r="3418" spans="8:9" ht="16.3">
      <c r="H3418" s="582">
        <v>1119</v>
      </c>
      <c r="I3418" s="582" t="s">
        <v>1914</v>
      </c>
    </row>
    <row r="3419" spans="8:9" ht="16.3">
      <c r="H3419" s="582">
        <v>1120</v>
      </c>
      <c r="I3419" s="582" t="s">
        <v>1914</v>
      </c>
    </row>
    <row r="3420" spans="8:9" ht="16.3">
      <c r="H3420" s="582">
        <v>1121</v>
      </c>
      <c r="I3420" s="582" t="s">
        <v>1914</v>
      </c>
    </row>
    <row r="3421" spans="8:9" ht="16.3">
      <c r="H3421" s="582">
        <v>1122</v>
      </c>
      <c r="I3421" s="582" t="s">
        <v>1914</v>
      </c>
    </row>
    <row r="3422" spans="8:9" ht="16.3">
      <c r="H3422" s="582">
        <v>1123</v>
      </c>
      <c r="I3422" s="582" t="s">
        <v>1914</v>
      </c>
    </row>
    <row r="3423" spans="8:9" ht="16.3">
      <c r="H3423" s="582">
        <v>1124</v>
      </c>
      <c r="I3423" s="582" t="s">
        <v>1914</v>
      </c>
    </row>
    <row r="3424" spans="8:9" ht="16.3">
      <c r="H3424" s="582">
        <v>1125</v>
      </c>
      <c r="I3424" s="582" t="s">
        <v>1914</v>
      </c>
    </row>
    <row r="3425" spans="8:9" ht="16.3">
      <c r="H3425" s="582">
        <v>1126</v>
      </c>
      <c r="I3425" s="582" t="s">
        <v>1914</v>
      </c>
    </row>
    <row r="3426" spans="8:9" ht="16.3">
      <c r="H3426" s="582">
        <v>1130</v>
      </c>
      <c r="I3426" s="582" t="s">
        <v>1914</v>
      </c>
    </row>
    <row r="3427" spans="8:9" ht="16.3">
      <c r="H3427" s="582">
        <v>1131</v>
      </c>
      <c r="I3427" s="582" t="s">
        <v>1914</v>
      </c>
    </row>
    <row r="3428" spans="8:9" ht="16.3">
      <c r="H3428" s="582">
        <v>1132</v>
      </c>
      <c r="I3428" s="582" t="s">
        <v>1914</v>
      </c>
    </row>
    <row r="3429" spans="8:9" ht="16.3">
      <c r="H3429" s="582">
        <v>1133</v>
      </c>
      <c r="I3429" s="582" t="s">
        <v>1914</v>
      </c>
    </row>
    <row r="3430" spans="8:9" ht="16.3">
      <c r="H3430" s="582">
        <v>1134</v>
      </c>
      <c r="I3430" s="582" t="s">
        <v>1914</v>
      </c>
    </row>
    <row r="3431" spans="8:9" ht="16.3">
      <c r="H3431" s="582">
        <v>1135</v>
      </c>
      <c r="I3431" s="582" t="s">
        <v>1914</v>
      </c>
    </row>
    <row r="3432" spans="8:9" ht="16.3">
      <c r="H3432" s="582">
        <v>1136</v>
      </c>
      <c r="I3432" s="582" t="s">
        <v>1914</v>
      </c>
    </row>
    <row r="3433" spans="8:9" ht="16.3">
      <c r="H3433" s="582">
        <v>1137</v>
      </c>
      <c r="I3433" s="582" t="s">
        <v>1914</v>
      </c>
    </row>
    <row r="3434" spans="8:9" ht="16.3">
      <c r="H3434" s="582">
        <v>1138</v>
      </c>
      <c r="I3434" s="582" t="s">
        <v>1914</v>
      </c>
    </row>
    <row r="3435" spans="8:9" ht="16.3">
      <c r="H3435" s="582">
        <v>1139</v>
      </c>
      <c r="I3435" s="582" t="s">
        <v>1914</v>
      </c>
    </row>
    <row r="3436" spans="8:9" ht="16.3">
      <c r="H3436" s="582">
        <v>1140</v>
      </c>
      <c r="I3436" s="582" t="s">
        <v>1914</v>
      </c>
    </row>
    <row r="3437" spans="8:9" ht="16.3">
      <c r="H3437" s="582">
        <v>1141</v>
      </c>
      <c r="I3437" s="582" t="s">
        <v>1914</v>
      </c>
    </row>
    <row r="3438" spans="8:9" ht="16.3">
      <c r="H3438" s="582">
        <v>1142</v>
      </c>
      <c r="I3438" s="582" t="s">
        <v>1914</v>
      </c>
    </row>
    <row r="3439" spans="8:9" ht="16.3">
      <c r="H3439" s="582">
        <v>1143</v>
      </c>
      <c r="I3439" s="582" t="s">
        <v>1914</v>
      </c>
    </row>
    <row r="3440" spans="8:9" ht="16.3">
      <c r="H3440" s="582">
        <v>1144</v>
      </c>
      <c r="I3440" s="582" t="s">
        <v>1914</v>
      </c>
    </row>
    <row r="3441" spans="8:9" ht="16.3">
      <c r="H3441" s="582">
        <v>1145</v>
      </c>
      <c r="I3441" s="582" t="s">
        <v>1914</v>
      </c>
    </row>
    <row r="3442" spans="8:9" ht="16.3">
      <c r="H3442" s="582">
        <v>1146</v>
      </c>
      <c r="I3442" s="582" t="s">
        <v>1914</v>
      </c>
    </row>
    <row r="3443" spans="8:9" ht="16.3">
      <c r="H3443" s="582">
        <v>1147</v>
      </c>
      <c r="I3443" s="582" t="s">
        <v>1914</v>
      </c>
    </row>
    <row r="3444" spans="8:9" ht="16.3">
      <c r="H3444" s="582">
        <v>1148</v>
      </c>
      <c r="I3444" s="582" t="s">
        <v>1914</v>
      </c>
    </row>
    <row r="3445" spans="8:9" ht="16.3">
      <c r="H3445" s="582">
        <v>1149</v>
      </c>
      <c r="I3445" s="582" t="s">
        <v>1914</v>
      </c>
    </row>
    <row r="3446" spans="8:9" ht="16.3">
      <c r="H3446" s="582">
        <v>1151</v>
      </c>
      <c r="I3446" s="582" t="s">
        <v>1914</v>
      </c>
    </row>
    <row r="3447" spans="8:9" ht="16.3">
      <c r="H3447" s="582">
        <v>1153</v>
      </c>
      <c r="I3447" s="582" t="s">
        <v>1914</v>
      </c>
    </row>
    <row r="3448" spans="8:9" ht="16.3">
      <c r="H3448" s="582">
        <v>1154</v>
      </c>
      <c r="I3448" s="582" t="s">
        <v>1914</v>
      </c>
    </row>
    <row r="3449" spans="8:9" ht="16.3">
      <c r="H3449" s="582">
        <v>1155</v>
      </c>
      <c r="I3449" s="582" t="s">
        <v>1914</v>
      </c>
    </row>
    <row r="3450" spans="8:9" ht="16.3">
      <c r="H3450" s="582">
        <v>1156</v>
      </c>
      <c r="I3450" s="582" t="s">
        <v>1914</v>
      </c>
    </row>
    <row r="3451" spans="8:9" ht="16.3">
      <c r="H3451" s="582">
        <v>1157</v>
      </c>
      <c r="I3451" s="582" t="s">
        <v>1914</v>
      </c>
    </row>
    <row r="3452" spans="8:9" ht="16.3">
      <c r="H3452" s="582">
        <v>1158</v>
      </c>
      <c r="I3452" s="582" t="s">
        <v>1914</v>
      </c>
    </row>
    <row r="3453" spans="8:9" ht="16.3">
      <c r="H3453" s="582">
        <v>1161</v>
      </c>
      <c r="I3453" s="582" t="s">
        <v>1914</v>
      </c>
    </row>
    <row r="3454" spans="8:9" ht="16.3">
      <c r="H3454" s="582">
        <v>1162</v>
      </c>
      <c r="I3454" s="582" t="s">
        <v>1914</v>
      </c>
    </row>
    <row r="3455" spans="8:9" ht="16.3">
      <c r="H3455" s="582">
        <v>1163</v>
      </c>
      <c r="I3455" s="582" t="s">
        <v>1914</v>
      </c>
    </row>
    <row r="3456" spans="8:9" ht="16.3">
      <c r="H3456" s="582">
        <v>1164</v>
      </c>
      <c r="I3456" s="582" t="s">
        <v>1914</v>
      </c>
    </row>
    <row r="3457" spans="8:9" ht="16.3">
      <c r="H3457" s="582">
        <v>1165</v>
      </c>
      <c r="I3457" s="582" t="s">
        <v>1914</v>
      </c>
    </row>
    <row r="3458" spans="8:9" ht="16.3">
      <c r="H3458" s="582">
        <v>1171</v>
      </c>
      <c r="I3458" s="582" t="s">
        <v>1914</v>
      </c>
    </row>
    <row r="3459" spans="8:9" ht="16.3">
      <c r="H3459" s="582">
        <v>1172</v>
      </c>
      <c r="I3459" s="582" t="s">
        <v>1914</v>
      </c>
    </row>
    <row r="3460" spans="8:9" ht="16.3">
      <c r="H3460" s="582">
        <v>1173</v>
      </c>
      <c r="I3460" s="582" t="s">
        <v>1914</v>
      </c>
    </row>
    <row r="3461" spans="8:9" ht="16.3">
      <c r="H3461" s="582">
        <v>1181</v>
      </c>
      <c r="I3461" s="582" t="s">
        <v>1914</v>
      </c>
    </row>
    <row r="3462" spans="8:9" ht="16.3">
      <c r="H3462" s="582">
        <v>1182</v>
      </c>
      <c r="I3462" s="582" t="s">
        <v>1914</v>
      </c>
    </row>
    <row r="3463" spans="8:9" ht="16.3">
      <c r="H3463" s="582">
        <v>1183</v>
      </c>
      <c r="I3463" s="582" t="s">
        <v>1914</v>
      </c>
    </row>
    <row r="3464" spans="8:9" ht="16.3">
      <c r="H3464" s="582">
        <v>1184</v>
      </c>
      <c r="I3464" s="582" t="s">
        <v>1914</v>
      </c>
    </row>
    <row r="3465" spans="8:9" ht="16.3">
      <c r="H3465" s="582">
        <v>1185</v>
      </c>
      <c r="I3465" s="582" t="s">
        <v>1914</v>
      </c>
    </row>
    <row r="3466" spans="8:9" ht="16.3">
      <c r="H3466" s="582">
        <v>1186</v>
      </c>
      <c r="I3466" s="582" t="s">
        <v>1914</v>
      </c>
    </row>
    <row r="3467" spans="8:9" ht="16.3">
      <c r="H3467" s="582">
        <v>1188</v>
      </c>
      <c r="I3467" s="582" t="s">
        <v>1914</v>
      </c>
    </row>
    <row r="3468" spans="8:9" ht="16.3">
      <c r="H3468" s="582">
        <v>1191</v>
      </c>
      <c r="I3468" s="582" t="s">
        <v>1914</v>
      </c>
    </row>
    <row r="3469" spans="8:9" ht="16.3">
      <c r="H3469" s="582">
        <v>1192</v>
      </c>
      <c r="I3469" s="582" t="s">
        <v>1914</v>
      </c>
    </row>
    <row r="3470" spans="8:9" ht="16.3">
      <c r="H3470" s="582">
        <v>1193</v>
      </c>
      <c r="I3470" s="582" t="s">
        <v>1914</v>
      </c>
    </row>
    <row r="3471" spans="8:9" ht="16.3">
      <c r="H3471" s="582">
        <v>1194</v>
      </c>
      <c r="I3471" s="582" t="s">
        <v>1914</v>
      </c>
    </row>
    <row r="3472" spans="8:9" ht="16.3">
      <c r="H3472" s="582">
        <v>1195</v>
      </c>
      <c r="I3472" s="582" t="s">
        <v>1914</v>
      </c>
    </row>
    <row r="3473" spans="8:9" ht="16.3">
      <c r="H3473" s="582">
        <v>1196</v>
      </c>
      <c r="I3473" s="582" t="s">
        <v>1914</v>
      </c>
    </row>
    <row r="3474" spans="8:9" ht="16.3">
      <c r="H3474" s="582">
        <v>1201</v>
      </c>
      <c r="I3474" s="582" t="s">
        <v>1914</v>
      </c>
    </row>
    <row r="3475" spans="8:9" ht="16.3">
      <c r="H3475" s="582">
        <v>1202</v>
      </c>
      <c r="I3475" s="582" t="s">
        <v>1914</v>
      </c>
    </row>
    <row r="3476" spans="8:9" ht="16.3">
      <c r="H3476" s="582">
        <v>1203</v>
      </c>
      <c r="I3476" s="582" t="s">
        <v>1914</v>
      </c>
    </row>
    <row r="3477" spans="8:9" ht="16.3">
      <c r="H3477" s="582">
        <v>1204</v>
      </c>
      <c r="I3477" s="582" t="s">
        <v>1914</v>
      </c>
    </row>
    <row r="3478" spans="8:9" ht="16.3">
      <c r="H3478" s="582">
        <v>1205</v>
      </c>
      <c r="I3478" s="582" t="s">
        <v>1914</v>
      </c>
    </row>
    <row r="3479" spans="8:9" ht="16.3">
      <c r="H3479" s="582">
        <v>1211</v>
      </c>
      <c r="I3479" s="582" t="s">
        <v>1914</v>
      </c>
    </row>
    <row r="3480" spans="8:9" ht="16.3">
      <c r="H3480" s="582">
        <v>1212</v>
      </c>
      <c r="I3480" s="582" t="s">
        <v>1914</v>
      </c>
    </row>
    <row r="3481" spans="8:9" ht="16.3">
      <c r="H3481" s="582">
        <v>1213</v>
      </c>
      <c r="I3481" s="582" t="s">
        <v>1914</v>
      </c>
    </row>
    <row r="3482" spans="8:9" ht="16.3">
      <c r="H3482" s="582">
        <v>1214</v>
      </c>
      <c r="I3482" s="582" t="s">
        <v>1914</v>
      </c>
    </row>
    <row r="3483" spans="8:9" ht="16.3">
      <c r="H3483" s="582">
        <v>1215</v>
      </c>
      <c r="I3483" s="582" t="s">
        <v>1914</v>
      </c>
    </row>
    <row r="3484" spans="8:9" ht="16.3">
      <c r="H3484" s="582">
        <v>1221</v>
      </c>
      <c r="I3484" s="582" t="s">
        <v>1914</v>
      </c>
    </row>
    <row r="3485" spans="8:9" ht="16.3">
      <c r="H3485" s="582">
        <v>1222</v>
      </c>
      <c r="I3485" s="582" t="s">
        <v>1914</v>
      </c>
    </row>
    <row r="3486" spans="8:9" ht="16.3">
      <c r="H3486" s="582">
        <v>1223</v>
      </c>
      <c r="I3486" s="582" t="s">
        <v>1914</v>
      </c>
    </row>
    <row r="3487" spans="8:9" ht="16.3">
      <c r="H3487" s="582">
        <v>1225</v>
      </c>
      <c r="I3487" s="582" t="s">
        <v>1914</v>
      </c>
    </row>
    <row r="3488" spans="8:9" ht="16.3">
      <c r="H3488" s="582">
        <v>1237</v>
      </c>
      <c r="I3488" s="582" t="s">
        <v>1914</v>
      </c>
    </row>
    <row r="3489" spans="8:9" ht="16.3">
      <c r="H3489" s="582">
        <v>1239</v>
      </c>
      <c r="I3489" s="582" t="s">
        <v>1914</v>
      </c>
    </row>
    <row r="3490" spans="8:9" ht="16.3">
      <c r="H3490" s="582">
        <v>1339</v>
      </c>
      <c r="I3490" s="582" t="s">
        <v>1914</v>
      </c>
    </row>
    <row r="3491" spans="8:9" ht="16.3">
      <c r="H3491" s="582">
        <v>1358</v>
      </c>
      <c r="I3491" s="582" t="s">
        <v>1914</v>
      </c>
    </row>
    <row r="3492" spans="8:9" ht="16.3">
      <c r="H3492" s="582">
        <v>1421</v>
      </c>
      <c r="I3492" s="582" t="s">
        <v>1914</v>
      </c>
    </row>
    <row r="3493" spans="8:9" ht="16.3">
      <c r="H3493" s="582">
        <v>1529</v>
      </c>
      <c r="I3493" s="582" t="s">
        <v>1914</v>
      </c>
    </row>
    <row r="3494" spans="8:9" ht="16.3">
      <c r="H3494" s="582">
        <v>1658</v>
      </c>
      <c r="I3494" s="582" t="s">
        <v>1914</v>
      </c>
    </row>
    <row r="3495" spans="8:9" ht="16.3">
      <c r="H3495" s="582">
        <v>1806</v>
      </c>
      <c r="I3495" s="582" t="s">
        <v>1914</v>
      </c>
    </row>
  </sheetData>
  <phoneticPr fontId="116" type="noConversion"/>
  <pageMargins left="0.7" right="0.7" top="0.75" bottom="0.75" header="0.3" footer="0.3"/>
  <pageSetup paperSize="9" orientation="portrait" verticalDpi="0" r:id="rId1"/>
  <tableParts count="4">
    <tablePart r:id="rId2"/>
    <tablePart r:id="rId3"/>
    <tablePart r:id="rId4"/>
    <tablePart r:id="rId5"/>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37F5C3-DD5D-4C3E-9BEA-0D6890EF3367}">
  <sheetPr codeName="Munka15"/>
  <dimension ref="A1:H60"/>
  <sheetViews>
    <sheetView workbookViewId="0">
      <selection sqref="A1:XFD1048576"/>
    </sheetView>
  </sheetViews>
  <sheetFormatPr defaultColWidth="7.77734375" defaultRowHeight="21.1"/>
  <cols>
    <col min="1" max="2" width="2.33203125" style="685" customWidth="1"/>
    <col min="3" max="3" width="35.6640625" style="689" customWidth="1"/>
    <col min="4" max="4" width="17" style="690" bestFit="1" customWidth="1"/>
    <col min="5" max="5" width="24" style="685" customWidth="1"/>
    <col min="6" max="6" width="44" style="685" customWidth="1"/>
    <col min="7" max="8" width="2.33203125" style="685" customWidth="1"/>
    <col min="9" max="16384" width="7.77734375" style="685"/>
  </cols>
  <sheetData>
    <row r="1" spans="1:8">
      <c r="A1" s="682"/>
      <c r="B1" s="682"/>
      <c r="C1" s="683"/>
      <c r="D1" s="699"/>
      <c r="E1" s="682"/>
      <c r="F1" s="682"/>
      <c r="G1" s="682"/>
      <c r="H1" s="682"/>
    </row>
    <row r="2" spans="1:8" ht="45.7" customHeight="1">
      <c r="A2" s="682"/>
      <c r="B2" s="682"/>
      <c r="C2" s="700" t="s">
        <v>5647</v>
      </c>
      <c r="D2" s="1578" t="e">
        <v>#VALUE!</v>
      </c>
      <c r="E2" s="1578"/>
      <c r="F2" s="682" t="e">
        <v>#VALUE!</v>
      </c>
      <c r="G2" s="682"/>
      <c r="H2" s="682"/>
    </row>
    <row r="3" spans="1:8" ht="20.399999999999999" customHeight="1">
      <c r="A3" s="682"/>
      <c r="B3" s="682"/>
      <c r="C3" s="701" t="s">
        <v>5648</v>
      </c>
      <c r="D3" s="702"/>
      <c r="E3" s="682"/>
      <c r="F3" s="682"/>
      <c r="G3" s="682"/>
      <c r="H3" s="682"/>
    </row>
    <row r="4" spans="1:8" ht="14.95" customHeight="1">
      <c r="A4" s="682"/>
      <c r="B4" s="686"/>
      <c r="C4" s="687"/>
      <c r="D4" s="703"/>
      <c r="E4" s="686"/>
      <c r="F4" s="686"/>
      <c r="G4" s="686"/>
      <c r="H4" s="682"/>
    </row>
    <row r="5" spans="1:8" ht="42.65" customHeight="1">
      <c r="A5" s="682"/>
      <c r="B5" s="686"/>
      <c r="C5" s="704" t="s">
        <v>5583</v>
      </c>
      <c r="D5" s="705" t="s">
        <v>5649</v>
      </c>
      <c r="E5" s="704" t="s">
        <v>5650</v>
      </c>
      <c r="F5" s="704" t="s">
        <v>2784</v>
      </c>
      <c r="G5" s="686"/>
      <c r="H5" s="682"/>
    </row>
    <row r="6" spans="1:8" ht="84.25">
      <c r="A6" s="682"/>
      <c r="B6" s="686"/>
      <c r="C6" s="706" t="s">
        <v>5651</v>
      </c>
      <c r="D6" s="707">
        <v>3090</v>
      </c>
      <c r="E6" s="708" t="s">
        <v>5652</v>
      </c>
      <c r="F6" s="709" t="s">
        <v>5653</v>
      </c>
      <c r="G6" s="686"/>
      <c r="H6" s="682"/>
    </row>
    <row r="7" spans="1:8" ht="75.599999999999994" customHeight="1">
      <c r="A7" s="682"/>
      <c r="B7" s="686"/>
      <c r="C7" s="706" t="s">
        <v>5654</v>
      </c>
      <c r="D7" s="707">
        <v>6500</v>
      </c>
      <c r="E7" s="708" t="s">
        <v>5655</v>
      </c>
      <c r="F7" s="709"/>
      <c r="G7" s="686"/>
      <c r="H7" s="682"/>
    </row>
    <row r="8" spans="1:8" ht="105.3">
      <c r="A8" s="682"/>
      <c r="B8" s="686"/>
      <c r="C8" s="706" t="s">
        <v>5656</v>
      </c>
      <c r="D8" s="707">
        <v>7000</v>
      </c>
      <c r="E8" s="708" t="s">
        <v>5655</v>
      </c>
      <c r="F8" s="709"/>
      <c r="G8" s="686"/>
      <c r="H8" s="682"/>
    </row>
    <row r="9" spans="1:8" ht="63.2">
      <c r="A9" s="682"/>
      <c r="B9" s="686"/>
      <c r="C9" s="710" t="s">
        <v>5657</v>
      </c>
      <c r="D9" s="707">
        <v>8900</v>
      </c>
      <c r="E9" s="708" t="s">
        <v>5655</v>
      </c>
      <c r="F9" s="709" t="s">
        <v>5658</v>
      </c>
      <c r="G9" s="686"/>
      <c r="H9" s="682"/>
    </row>
    <row r="10" spans="1:8" ht="84.25">
      <c r="A10" s="682"/>
      <c r="B10" s="686"/>
      <c r="C10" s="710" t="s">
        <v>5659</v>
      </c>
      <c r="D10" s="707">
        <v>13900</v>
      </c>
      <c r="E10" s="708" t="s">
        <v>5655</v>
      </c>
      <c r="F10" s="709" t="s">
        <v>5660</v>
      </c>
      <c r="G10" s="686"/>
      <c r="H10" s="682"/>
    </row>
    <row r="11" spans="1:8" ht="84.25">
      <c r="A11" s="682"/>
      <c r="B11" s="686"/>
      <c r="C11" s="710" t="s">
        <v>5661</v>
      </c>
      <c r="D11" s="707">
        <v>12900</v>
      </c>
      <c r="E11" s="708" t="s">
        <v>5655</v>
      </c>
      <c r="F11" s="709" t="s">
        <v>5662</v>
      </c>
      <c r="G11" s="686"/>
      <c r="H11" s="682"/>
    </row>
    <row r="12" spans="1:8" ht="168.45">
      <c r="A12" s="682"/>
      <c r="B12" s="686"/>
      <c r="C12" s="706" t="s">
        <v>5663</v>
      </c>
      <c r="D12" s="707">
        <v>11990</v>
      </c>
      <c r="E12" s="708" t="s">
        <v>5664</v>
      </c>
      <c r="F12" s="709" t="s">
        <v>5658</v>
      </c>
      <c r="G12" s="686"/>
      <c r="H12" s="682"/>
    </row>
    <row r="13" spans="1:8" ht="168.45">
      <c r="A13" s="682"/>
      <c r="B13" s="686"/>
      <c r="C13" s="706" t="s">
        <v>5665</v>
      </c>
      <c r="D13" s="707">
        <v>15590</v>
      </c>
      <c r="E13" s="708" t="s">
        <v>5664</v>
      </c>
      <c r="F13" s="709" t="s">
        <v>5660</v>
      </c>
      <c r="G13" s="686"/>
      <c r="H13" s="682"/>
    </row>
    <row r="14" spans="1:8" ht="168.45">
      <c r="A14" s="682"/>
      <c r="B14" s="686"/>
      <c r="C14" s="706" t="s">
        <v>5666</v>
      </c>
      <c r="D14" s="707">
        <v>15990</v>
      </c>
      <c r="E14" s="708" t="s">
        <v>5664</v>
      </c>
      <c r="F14" s="709" t="s">
        <v>5667</v>
      </c>
      <c r="G14" s="686"/>
      <c r="H14" s="682"/>
    </row>
    <row r="15" spans="1:8" ht="63.2">
      <c r="A15" s="682"/>
      <c r="B15" s="686"/>
      <c r="C15" s="710" t="s">
        <v>5668</v>
      </c>
      <c r="D15" s="707">
        <v>15990</v>
      </c>
      <c r="E15" s="708" t="s">
        <v>5664</v>
      </c>
      <c r="F15" s="709" t="s">
        <v>5658</v>
      </c>
      <c r="G15" s="686"/>
      <c r="H15" s="682"/>
    </row>
    <row r="16" spans="1:8" ht="84.25">
      <c r="A16" s="682"/>
      <c r="B16" s="686"/>
      <c r="C16" s="710" t="s">
        <v>5669</v>
      </c>
      <c r="D16" s="707">
        <v>19900</v>
      </c>
      <c r="E16" s="708" t="s">
        <v>5664</v>
      </c>
      <c r="F16" s="709" t="s">
        <v>5660</v>
      </c>
      <c r="G16" s="686"/>
      <c r="H16" s="682"/>
    </row>
    <row r="17" spans="1:8" ht="84.25">
      <c r="A17" s="682"/>
      <c r="B17" s="686"/>
      <c r="C17" s="710" t="s">
        <v>5670</v>
      </c>
      <c r="D17" s="707">
        <v>20000</v>
      </c>
      <c r="E17" s="708" t="s">
        <v>5664</v>
      </c>
      <c r="F17" s="709" t="s">
        <v>5667</v>
      </c>
      <c r="G17" s="686"/>
      <c r="H17" s="682"/>
    </row>
    <row r="18" spans="1:8" ht="63.2">
      <c r="A18" s="682"/>
      <c r="B18" s="686"/>
      <c r="C18" s="710" t="s">
        <v>5671</v>
      </c>
      <c r="D18" s="707">
        <v>15990</v>
      </c>
      <c r="E18" s="708" t="s">
        <v>5664</v>
      </c>
      <c r="F18" s="709" t="s">
        <v>5672</v>
      </c>
      <c r="G18" s="686"/>
      <c r="H18" s="682"/>
    </row>
    <row r="19" spans="1:8" ht="379.05">
      <c r="A19" s="682"/>
      <c r="B19" s="686"/>
      <c r="C19" s="706" t="s">
        <v>5673</v>
      </c>
      <c r="D19" s="707">
        <v>33000</v>
      </c>
      <c r="E19" s="708" t="s">
        <v>5674</v>
      </c>
      <c r="F19" s="709" t="s">
        <v>5675</v>
      </c>
      <c r="G19" s="686"/>
      <c r="H19" s="682"/>
    </row>
    <row r="20" spans="1:8" ht="126.35">
      <c r="A20" s="682"/>
      <c r="B20" s="686"/>
      <c r="C20" s="706" t="s">
        <v>5676</v>
      </c>
      <c r="D20" s="707">
        <v>12990</v>
      </c>
      <c r="E20" s="708" t="s">
        <v>5677</v>
      </c>
      <c r="F20" s="709" t="s">
        <v>5678</v>
      </c>
      <c r="G20" s="686"/>
      <c r="H20" s="682"/>
    </row>
    <row r="21" spans="1:8">
      <c r="A21" s="682"/>
      <c r="B21" s="686"/>
      <c r="C21" s="710" t="s">
        <v>5679</v>
      </c>
      <c r="D21" s="707">
        <v>39990</v>
      </c>
      <c r="E21" s="708" t="s">
        <v>5677</v>
      </c>
      <c r="F21" s="709"/>
      <c r="G21" s="686"/>
      <c r="H21" s="682"/>
    </row>
    <row r="22" spans="1:8" ht="105.3">
      <c r="A22" s="682"/>
      <c r="B22" s="686"/>
      <c r="C22" s="706" t="s">
        <v>5680</v>
      </c>
      <c r="D22" s="707">
        <v>29900</v>
      </c>
      <c r="E22" s="708" t="s">
        <v>5677</v>
      </c>
      <c r="F22" s="709" t="s">
        <v>5681</v>
      </c>
      <c r="G22" s="686"/>
      <c r="H22" s="682"/>
    </row>
    <row r="23" spans="1:8" ht="118.4" customHeight="1">
      <c r="A23" s="682"/>
      <c r="B23" s="686"/>
      <c r="C23" s="706" t="s">
        <v>5682</v>
      </c>
      <c r="D23" s="707">
        <v>44900</v>
      </c>
      <c r="E23" s="708" t="s">
        <v>5677</v>
      </c>
      <c r="F23" s="709" t="s">
        <v>5681</v>
      </c>
      <c r="G23" s="686"/>
      <c r="H23" s="682"/>
    </row>
    <row r="24" spans="1:8" ht="126.35">
      <c r="A24" s="682"/>
      <c r="B24" s="686"/>
      <c r="C24" s="706" t="s">
        <v>5683</v>
      </c>
      <c r="D24" s="707">
        <v>74900</v>
      </c>
      <c r="E24" s="708" t="s">
        <v>5677</v>
      </c>
      <c r="F24" s="709" t="s">
        <v>5681</v>
      </c>
      <c r="G24" s="686"/>
      <c r="H24" s="682"/>
    </row>
    <row r="25" spans="1:8" ht="105.3">
      <c r="A25" s="682"/>
      <c r="B25" s="686"/>
      <c r="C25" s="706" t="s">
        <v>5684</v>
      </c>
      <c r="D25" s="707">
        <v>98900</v>
      </c>
      <c r="E25" s="708" t="s">
        <v>5685</v>
      </c>
      <c r="F25" s="709" t="s">
        <v>5681</v>
      </c>
      <c r="G25" s="686"/>
      <c r="H25" s="682"/>
    </row>
    <row r="26" spans="1:8" ht="84.25">
      <c r="A26" s="682"/>
      <c r="B26" s="686"/>
      <c r="C26" s="710" t="s">
        <v>5686</v>
      </c>
      <c r="D26" s="707">
        <v>109900</v>
      </c>
      <c r="E26" s="708" t="s">
        <v>5677</v>
      </c>
      <c r="F26" s="709" t="s">
        <v>5681</v>
      </c>
      <c r="G26" s="686"/>
      <c r="H26" s="682"/>
    </row>
    <row r="27" spans="1:8" ht="105.3">
      <c r="A27" s="682"/>
      <c r="B27" s="686"/>
      <c r="C27" s="706" t="s">
        <v>5687</v>
      </c>
      <c r="D27" s="707">
        <v>139900</v>
      </c>
      <c r="E27" s="708" t="s">
        <v>5685</v>
      </c>
      <c r="F27" s="709" t="s">
        <v>5688</v>
      </c>
      <c r="G27" s="686"/>
      <c r="H27" s="682"/>
    </row>
    <row r="28" spans="1:8">
      <c r="A28" s="682"/>
      <c r="B28" s="686"/>
      <c r="C28" s="710" t="s">
        <v>5689</v>
      </c>
      <c r="D28" s="711">
        <v>7490</v>
      </c>
      <c r="E28" s="708"/>
      <c r="F28" s="708" t="s">
        <v>5690</v>
      </c>
      <c r="G28" s="686"/>
      <c r="H28" s="682"/>
    </row>
    <row r="29" spans="1:8">
      <c r="A29" s="682"/>
      <c r="B29" s="686"/>
      <c r="C29" s="710" t="s">
        <v>5691</v>
      </c>
      <c r="D29" s="711">
        <v>30000</v>
      </c>
      <c r="E29" s="712" t="s">
        <v>548</v>
      </c>
      <c r="F29" s="712" t="s">
        <v>548</v>
      </c>
      <c r="G29" s="686"/>
      <c r="H29" s="682"/>
    </row>
    <row r="30" spans="1:8" ht="42.15">
      <c r="A30" s="682"/>
      <c r="B30" s="686"/>
      <c r="C30" s="710" t="s">
        <v>5692</v>
      </c>
      <c r="D30" s="707">
        <v>85000</v>
      </c>
      <c r="E30" s="708" t="s">
        <v>5677</v>
      </c>
      <c r="F30" s="709" t="s">
        <v>5693</v>
      </c>
      <c r="G30" s="686"/>
      <c r="H30" s="682"/>
    </row>
    <row r="31" spans="1:8" ht="42.15">
      <c r="A31" s="682"/>
      <c r="B31" s="686"/>
      <c r="C31" s="706" t="s">
        <v>5694</v>
      </c>
      <c r="D31" s="707">
        <v>125000</v>
      </c>
      <c r="E31" s="708" t="s">
        <v>5677</v>
      </c>
      <c r="F31" s="709" t="s">
        <v>5693</v>
      </c>
      <c r="G31" s="686"/>
      <c r="H31" s="682"/>
    </row>
    <row r="32" spans="1:8" ht="63.2">
      <c r="A32" s="682"/>
      <c r="B32" s="686"/>
      <c r="C32" s="706" t="s">
        <v>5695</v>
      </c>
      <c r="D32" s="707">
        <v>150000</v>
      </c>
      <c r="E32" s="708" t="s">
        <v>5696</v>
      </c>
      <c r="F32" s="709" t="s">
        <v>5697</v>
      </c>
      <c r="G32" s="686"/>
      <c r="H32" s="682"/>
    </row>
    <row r="33" spans="1:8" ht="42.15">
      <c r="A33" s="682"/>
      <c r="B33" s="686"/>
      <c r="C33" s="706" t="s">
        <v>5698</v>
      </c>
      <c r="D33" s="707" t="s">
        <v>5699</v>
      </c>
      <c r="E33" s="708"/>
      <c r="F33" s="708" t="s">
        <v>5688</v>
      </c>
      <c r="G33" s="686"/>
      <c r="H33" s="682"/>
    </row>
    <row r="34" spans="1:8" ht="77.099999999999994" customHeight="1">
      <c r="A34" s="682"/>
      <c r="B34" s="686"/>
      <c r="C34" s="706" t="s">
        <v>5700</v>
      </c>
      <c r="D34" s="707">
        <v>19900</v>
      </c>
      <c r="E34" s="708" t="s">
        <v>5677</v>
      </c>
      <c r="F34" s="709" t="s">
        <v>5693</v>
      </c>
      <c r="G34" s="686"/>
      <c r="H34" s="682"/>
    </row>
    <row r="35" spans="1:8" ht="84.25">
      <c r="A35" s="682"/>
      <c r="B35" s="686"/>
      <c r="C35" s="706" t="s">
        <v>5701</v>
      </c>
      <c r="D35" s="707">
        <v>7390</v>
      </c>
      <c r="E35" s="708" t="s">
        <v>5702</v>
      </c>
      <c r="F35" s="709" t="s">
        <v>5703</v>
      </c>
      <c r="G35" s="686"/>
      <c r="H35" s="682"/>
    </row>
    <row r="36" spans="1:8" ht="63.2">
      <c r="A36" s="682"/>
      <c r="B36" s="686"/>
      <c r="C36" s="710" t="s">
        <v>5704</v>
      </c>
      <c r="D36" s="707">
        <v>7390</v>
      </c>
      <c r="E36" s="708"/>
      <c r="F36" s="709"/>
      <c r="G36" s="686"/>
      <c r="H36" s="682"/>
    </row>
    <row r="37" spans="1:8" ht="63.2">
      <c r="A37" s="682"/>
      <c r="B37" s="686"/>
      <c r="C37" s="710" t="s">
        <v>5705</v>
      </c>
      <c r="D37" s="707">
        <v>4500</v>
      </c>
      <c r="E37" s="708" t="s">
        <v>5652</v>
      </c>
      <c r="F37" s="709"/>
      <c r="G37" s="686"/>
      <c r="H37" s="682"/>
    </row>
    <row r="38" spans="1:8" ht="84.25">
      <c r="A38" s="682"/>
      <c r="B38" s="686"/>
      <c r="C38" s="710" t="s">
        <v>5706</v>
      </c>
      <c r="D38" s="707">
        <v>8000</v>
      </c>
      <c r="E38" s="708" t="s">
        <v>5652</v>
      </c>
      <c r="F38" s="709"/>
      <c r="G38" s="686"/>
      <c r="H38" s="682"/>
    </row>
    <row r="39" spans="1:8" ht="42.15">
      <c r="A39" s="682"/>
      <c r="B39" s="686"/>
      <c r="C39" s="710" t="s">
        <v>5707</v>
      </c>
      <c r="D39" s="707" t="s">
        <v>5699</v>
      </c>
      <c r="E39" s="708"/>
      <c r="F39" s="708" t="s">
        <v>5688</v>
      </c>
      <c r="G39" s="686"/>
      <c r="H39" s="682"/>
    </row>
    <row r="40" spans="1:8">
      <c r="A40" s="682"/>
      <c r="B40" s="686"/>
      <c r="C40" s="710" t="s">
        <v>5708</v>
      </c>
      <c r="D40" s="707" t="s">
        <v>5699</v>
      </c>
      <c r="E40" s="708"/>
      <c r="F40" s="708" t="s">
        <v>5688</v>
      </c>
      <c r="G40" s="686"/>
      <c r="H40" s="682"/>
    </row>
    <row r="41" spans="1:8" ht="63.2">
      <c r="A41" s="682"/>
      <c r="B41" s="686"/>
      <c r="C41" s="710" t="s">
        <v>5709</v>
      </c>
      <c r="D41" s="707">
        <v>4485</v>
      </c>
      <c r="E41" s="708" t="s">
        <v>5710</v>
      </c>
      <c r="F41" s="709" t="s">
        <v>5711</v>
      </c>
      <c r="G41" s="686"/>
      <c r="H41" s="682"/>
    </row>
    <row r="42" spans="1:8" ht="63.2">
      <c r="A42" s="682"/>
      <c r="B42" s="686"/>
      <c r="C42" s="710" t="s">
        <v>5712</v>
      </c>
      <c r="D42" s="707">
        <v>4485</v>
      </c>
      <c r="E42" s="708" t="s">
        <v>5710</v>
      </c>
      <c r="F42" s="709" t="s">
        <v>5711</v>
      </c>
      <c r="G42" s="686"/>
      <c r="H42" s="682"/>
    </row>
    <row r="43" spans="1:8" ht="63.2">
      <c r="A43" s="682"/>
      <c r="B43" s="686"/>
      <c r="C43" s="710" t="s">
        <v>5713</v>
      </c>
      <c r="D43" s="707">
        <v>4600</v>
      </c>
      <c r="E43" s="708" t="s">
        <v>5710</v>
      </c>
      <c r="F43" s="709" t="s">
        <v>5711</v>
      </c>
      <c r="G43" s="686"/>
      <c r="H43" s="682"/>
    </row>
    <row r="44" spans="1:8" ht="63.2">
      <c r="A44" s="682"/>
      <c r="B44" s="686"/>
      <c r="C44" s="710" t="s">
        <v>5714</v>
      </c>
      <c r="D44" s="707">
        <v>4600</v>
      </c>
      <c r="E44" s="708" t="s">
        <v>5710</v>
      </c>
      <c r="F44" s="709" t="s">
        <v>5711</v>
      </c>
      <c r="G44" s="686"/>
      <c r="H44" s="682"/>
    </row>
    <row r="45" spans="1:8" ht="63.2">
      <c r="A45" s="682"/>
      <c r="B45" s="686"/>
      <c r="C45" s="710" t="s">
        <v>5715</v>
      </c>
      <c r="D45" s="707">
        <v>7500</v>
      </c>
      <c r="E45" s="708" t="s">
        <v>5710</v>
      </c>
      <c r="F45" s="709" t="s">
        <v>5711</v>
      </c>
      <c r="G45" s="686"/>
      <c r="H45" s="682"/>
    </row>
    <row r="46" spans="1:8" ht="63.2">
      <c r="A46" s="682"/>
      <c r="B46" s="686"/>
      <c r="C46" s="710" t="s">
        <v>5716</v>
      </c>
      <c r="D46" s="707">
        <v>5500</v>
      </c>
      <c r="E46" s="708" t="s">
        <v>5710</v>
      </c>
      <c r="F46" s="709" t="s">
        <v>5711</v>
      </c>
      <c r="G46" s="686"/>
      <c r="H46" s="682"/>
    </row>
    <row r="47" spans="1:8" ht="63.2">
      <c r="A47" s="682"/>
      <c r="B47" s="686"/>
      <c r="C47" s="710" t="s">
        <v>5717</v>
      </c>
      <c r="D47" s="707">
        <v>4750</v>
      </c>
      <c r="E47" s="708" t="s">
        <v>5710</v>
      </c>
      <c r="F47" s="709" t="s">
        <v>5711</v>
      </c>
      <c r="G47" s="686"/>
      <c r="H47" s="682"/>
    </row>
    <row r="48" spans="1:8" ht="63.2">
      <c r="A48" s="682"/>
      <c r="B48" s="686"/>
      <c r="C48" s="710" t="s">
        <v>5718</v>
      </c>
      <c r="D48" s="707">
        <v>6900</v>
      </c>
      <c r="E48" s="708" t="s">
        <v>5710</v>
      </c>
      <c r="F48" s="709" t="s">
        <v>5711</v>
      </c>
      <c r="G48" s="686"/>
      <c r="H48" s="682"/>
    </row>
    <row r="49" spans="1:8" ht="63.2">
      <c r="A49" s="682"/>
      <c r="B49" s="686"/>
      <c r="C49" s="710" t="s">
        <v>5719</v>
      </c>
      <c r="D49" s="707">
        <v>4750</v>
      </c>
      <c r="E49" s="708" t="s">
        <v>5710</v>
      </c>
      <c r="F49" s="709" t="s">
        <v>5711</v>
      </c>
      <c r="G49" s="686"/>
      <c r="H49" s="682"/>
    </row>
    <row r="50" spans="1:8" ht="63.2">
      <c r="A50" s="682"/>
      <c r="B50" s="686"/>
      <c r="C50" s="710" t="s">
        <v>5720</v>
      </c>
      <c r="D50" s="707">
        <v>11385</v>
      </c>
      <c r="E50" s="708" t="s">
        <v>5710</v>
      </c>
      <c r="F50" s="709" t="s">
        <v>5711</v>
      </c>
      <c r="G50" s="686"/>
      <c r="H50" s="682"/>
    </row>
    <row r="51" spans="1:8" ht="63.2">
      <c r="C51" s="710" t="s">
        <v>825</v>
      </c>
      <c r="D51" s="690">
        <v>14990</v>
      </c>
      <c r="E51" s="708" t="s">
        <v>5710</v>
      </c>
      <c r="F51" s="709" t="s">
        <v>5711</v>
      </c>
    </row>
    <row r="52" spans="1:8" ht="84.25">
      <c r="A52" s="682"/>
      <c r="B52" s="686"/>
      <c r="C52" s="710" t="s">
        <v>5721</v>
      </c>
      <c r="D52" s="707">
        <v>15180</v>
      </c>
      <c r="E52" s="708" t="s">
        <v>5710</v>
      </c>
      <c r="F52" s="709" t="s">
        <v>5711</v>
      </c>
      <c r="G52" s="686"/>
      <c r="H52" s="682"/>
    </row>
    <row r="53" spans="1:8" ht="63.2">
      <c r="A53" s="682"/>
      <c r="B53" s="686"/>
      <c r="C53" s="710" t="s">
        <v>1216</v>
      </c>
      <c r="D53" s="707">
        <v>11385</v>
      </c>
      <c r="E53" s="708" t="s">
        <v>5710</v>
      </c>
      <c r="F53" s="709" t="s">
        <v>5722</v>
      </c>
      <c r="G53" s="686"/>
      <c r="H53" s="682"/>
    </row>
    <row r="54" spans="1:8" ht="358">
      <c r="A54" s="682"/>
      <c r="B54" s="686"/>
      <c r="C54" s="710" t="s">
        <v>5723</v>
      </c>
      <c r="D54" s="707">
        <v>25300</v>
      </c>
      <c r="E54" s="708" t="s">
        <v>5710</v>
      </c>
      <c r="F54" s="709" t="s">
        <v>5711</v>
      </c>
      <c r="G54" s="686"/>
      <c r="H54" s="682"/>
    </row>
    <row r="55" spans="1:8" ht="14.95" customHeight="1">
      <c r="A55" s="682"/>
      <c r="B55" s="686"/>
      <c r="C55" s="687"/>
      <c r="D55" s="703"/>
      <c r="E55" s="686"/>
      <c r="F55" s="686"/>
      <c r="G55" s="686"/>
      <c r="H55" s="682"/>
    </row>
    <row r="56" spans="1:8" ht="14.95" customHeight="1">
      <c r="A56" s="682"/>
      <c r="B56" s="682"/>
      <c r="C56" s="683"/>
      <c r="D56" s="699"/>
      <c r="E56" s="682"/>
      <c r="F56" s="682"/>
      <c r="G56" s="682"/>
      <c r="H56" s="682"/>
    </row>
    <row r="58" spans="1:8" ht="41.1" customHeight="1">
      <c r="C58" s="1579" t="s">
        <v>5724</v>
      </c>
      <c r="D58" s="1579"/>
      <c r="E58" s="1579"/>
      <c r="F58" s="1579"/>
    </row>
    <row r="59" spans="1:8">
      <c r="C59" s="1580" t="s">
        <v>5725</v>
      </c>
      <c r="D59" s="1580"/>
      <c r="E59" s="1580"/>
      <c r="F59" s="1580"/>
    </row>
    <row r="60" spans="1:8" ht="46.7" customHeight="1">
      <c r="C60" s="1580"/>
      <c r="D60" s="1580"/>
      <c r="E60" s="1580"/>
      <c r="F60" s="1580"/>
    </row>
  </sheetData>
  <mergeCells count="3">
    <mergeCell ref="D2:E2"/>
    <mergeCell ref="C58:F58"/>
    <mergeCell ref="C59:F60"/>
  </mergeCell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F00876-E545-E546-9125-C64D7607AFFA}">
  <sheetPr codeName="Munka3"/>
  <dimension ref="A1:BD1100"/>
  <sheetViews>
    <sheetView topLeftCell="A28" zoomScale="150" zoomScaleNormal="120" workbookViewId="0">
      <pane xSplit="1" topLeftCell="B1" activePane="topRight" state="frozen"/>
      <selection pane="topRight" activeCell="C28" sqref="C1:R1048576"/>
    </sheetView>
  </sheetViews>
  <sheetFormatPr defaultColWidth="12.44140625" defaultRowHeight="14.95" customHeight="1"/>
  <cols>
    <col min="1" max="1" width="62.21875" style="5" customWidth="1"/>
    <col min="2" max="2" width="9.21875" style="5" customWidth="1"/>
    <col min="3" max="3" width="52.77734375" style="5" customWidth="1"/>
    <col min="4" max="4" width="10.21875" style="5" hidden="1" customWidth="1"/>
    <col min="5" max="5" width="12.77734375" style="5" hidden="1" customWidth="1"/>
    <col min="6" max="6" width="5" style="5" hidden="1" customWidth="1"/>
    <col min="7" max="7" width="7.21875" style="5" hidden="1" customWidth="1"/>
    <col min="8" max="8" width="9.21875" style="5" hidden="1" customWidth="1"/>
    <col min="9" max="9" width="7.21875" style="5" hidden="1" customWidth="1"/>
    <col min="10" max="10" width="2.77734375" style="5" hidden="1" customWidth="1"/>
    <col min="11" max="11" width="14.77734375" style="69" hidden="1" customWidth="1"/>
    <col min="12" max="12" width="19.77734375" style="69" hidden="1" customWidth="1"/>
    <col min="13" max="13" width="10.21875" style="69" hidden="1" customWidth="1"/>
    <col min="14" max="15" width="14.77734375" style="69" hidden="1" customWidth="1"/>
    <col min="16" max="16" width="11.77734375" style="154" hidden="1" customWidth="1"/>
    <col min="17" max="17" width="10.77734375" style="7" bestFit="1" customWidth="1"/>
    <col min="18" max="18" width="9" style="5" customWidth="1"/>
    <col min="19" max="20" width="12.44140625" style="5" customWidth="1"/>
    <col min="21" max="21" width="67.77734375" style="5" customWidth="1"/>
    <col min="22" max="24" width="12.44140625" style="5" hidden="1" customWidth="1"/>
    <col min="25" max="25" width="12.44140625" style="318" customWidth="1"/>
    <col min="26" max="27" width="12.44140625" style="5" customWidth="1"/>
    <col min="28" max="28" width="33.77734375" style="5" customWidth="1"/>
    <col min="29" max="34" width="12.44140625" style="5" customWidth="1"/>
    <col min="35" max="16384" width="12.44140625" style="5"/>
  </cols>
  <sheetData>
    <row r="1" spans="1:28" s="16" customFormat="1" ht="36" customHeight="1">
      <c r="A1" s="76" t="s">
        <v>439</v>
      </c>
      <c r="B1" s="76"/>
      <c r="C1" s="76"/>
      <c r="D1" s="76" t="s">
        <v>557</v>
      </c>
      <c r="E1" s="232">
        <v>0.3</v>
      </c>
      <c r="F1" s="76"/>
      <c r="G1" s="76"/>
      <c r="H1" s="76"/>
      <c r="I1" s="76"/>
      <c r="J1" s="78" t="s">
        <v>440</v>
      </c>
      <c r="K1" s="66" t="s">
        <v>1866</v>
      </c>
      <c r="L1" s="66" t="s">
        <v>1867</v>
      </c>
      <c r="M1" s="66" t="s">
        <v>1869</v>
      </c>
      <c r="N1" s="66" t="s">
        <v>1870</v>
      </c>
      <c r="O1" s="66"/>
      <c r="P1" s="146" t="s">
        <v>0</v>
      </c>
      <c r="Q1" s="77" t="s">
        <v>448</v>
      </c>
      <c r="R1" s="76" t="s">
        <v>449</v>
      </c>
      <c r="S1" s="76" t="s">
        <v>462</v>
      </c>
      <c r="T1" s="78" t="s">
        <v>491</v>
      </c>
      <c r="W1" s="16" t="s">
        <v>557</v>
      </c>
      <c r="Y1" s="317" t="s">
        <v>1876</v>
      </c>
    </row>
    <row r="2" spans="1:28" ht="15.8" customHeight="1">
      <c r="A2" s="1" t="s">
        <v>549</v>
      </c>
      <c r="B2" s="176" t="s">
        <v>1358</v>
      </c>
      <c r="C2" s="177" t="s">
        <v>549</v>
      </c>
      <c r="D2" s="178">
        <v>10350</v>
      </c>
      <c r="E2" s="178">
        <f>D2*1.3</f>
        <v>13455</v>
      </c>
      <c r="F2" s="179" t="s">
        <v>550</v>
      </c>
      <c r="G2" s="180"/>
      <c r="H2" s="181" t="s">
        <v>551</v>
      </c>
      <c r="I2" s="182">
        <v>17</v>
      </c>
      <c r="J2" s="1" t="s">
        <v>550</v>
      </c>
      <c r="K2" s="67">
        <v>13500</v>
      </c>
      <c r="L2" s="67">
        <v>13500</v>
      </c>
      <c r="M2" s="67"/>
      <c r="N2" s="67"/>
      <c r="O2" s="67"/>
      <c r="P2" s="18" t="s">
        <v>552</v>
      </c>
      <c r="Q2" s="71"/>
      <c r="R2" s="5" t="str">
        <f>IF(Q2="x",CONCATENATE(A2,"; "),"")</f>
        <v/>
      </c>
      <c r="S2" s="62" t="s">
        <v>551</v>
      </c>
      <c r="T2" s="5" t="str">
        <f>IF(Q2="x",S2,"")</f>
        <v/>
      </c>
      <c r="U2" s="5" t="s">
        <v>1262</v>
      </c>
      <c r="V2" s="69">
        <f>L2-X2</f>
        <v>40</v>
      </c>
      <c r="W2" s="5">
        <v>10350</v>
      </c>
      <c r="X2" s="5">
        <v>13460</v>
      </c>
    </row>
    <row r="3" spans="1:28" s="231" customFormat="1" ht="15.8" customHeight="1">
      <c r="A3" s="217" t="s">
        <v>556</v>
      </c>
      <c r="B3" s="218" t="s">
        <v>1359</v>
      </c>
      <c r="C3" s="219" t="s">
        <v>1865</v>
      </c>
      <c r="D3" s="220">
        <v>25299.999999999996</v>
      </c>
      <c r="E3" s="178">
        <f t="shared" ref="E3:E64" si="0">D3*1.3</f>
        <v>32890</v>
      </c>
      <c r="F3" s="222" t="s">
        <v>553</v>
      </c>
      <c r="G3" s="223"/>
      <c r="H3" s="224" t="s">
        <v>554</v>
      </c>
      <c r="I3" s="225">
        <v>5</v>
      </c>
      <c r="J3" s="217" t="s">
        <v>553</v>
      </c>
      <c r="K3" s="226">
        <v>32890</v>
      </c>
      <c r="L3" s="226">
        <v>32890</v>
      </c>
      <c r="M3" s="160"/>
      <c r="N3" s="160"/>
      <c r="O3" s="160"/>
      <c r="P3" s="161" t="s">
        <v>555</v>
      </c>
      <c r="Q3" s="227"/>
      <c r="R3" s="228" t="str">
        <f>IF(Q3="x",CONCATENATE(A3,"; "),"")</f>
        <v/>
      </c>
      <c r="S3" s="229" t="s">
        <v>554</v>
      </c>
      <c r="T3" s="228" t="str">
        <f t="shared" ref="T3:T78" si="1">IF(Q3="x",S3,"")</f>
        <v/>
      </c>
      <c r="U3" s="228"/>
      <c r="V3" s="230" t="e">
        <f>L3-X3</f>
        <v>#VALUE!</v>
      </c>
      <c r="W3" s="228">
        <v>25299.999999999996</v>
      </c>
      <c r="X3" s="228" t="s">
        <v>1311</v>
      </c>
      <c r="Y3" s="319"/>
      <c r="Z3" s="228"/>
      <c r="AA3" s="228"/>
      <c r="AB3" s="228"/>
    </row>
    <row r="4" spans="1:28" ht="15.8" customHeight="1">
      <c r="A4" s="143"/>
      <c r="B4" s="176" t="s">
        <v>1360</v>
      </c>
      <c r="C4" s="177" t="s">
        <v>1361</v>
      </c>
      <c r="D4" s="178">
        <v>12649.999999999998</v>
      </c>
      <c r="E4" s="178">
        <f t="shared" si="0"/>
        <v>16445</v>
      </c>
      <c r="F4" s="179" t="s">
        <v>559</v>
      </c>
      <c r="G4" s="180"/>
      <c r="H4" s="181" t="s">
        <v>551</v>
      </c>
      <c r="I4" s="182">
        <v>5</v>
      </c>
      <c r="J4" s="143"/>
      <c r="K4" s="144"/>
      <c r="L4" s="144">
        <v>16500</v>
      </c>
      <c r="M4" s="67"/>
      <c r="N4" s="67"/>
      <c r="O4" s="67"/>
      <c r="P4" s="147"/>
      <c r="Q4" s="165"/>
      <c r="R4" s="166"/>
      <c r="S4" s="167"/>
      <c r="T4" s="166"/>
      <c r="U4" s="166"/>
      <c r="V4" s="168"/>
      <c r="W4" s="166"/>
      <c r="X4" s="166"/>
      <c r="Y4" s="320"/>
      <c r="Z4" s="166"/>
      <c r="AA4" s="166"/>
      <c r="AB4" s="166"/>
    </row>
    <row r="5" spans="1:28" ht="15.8" customHeight="1">
      <c r="A5" s="1" t="s">
        <v>558</v>
      </c>
      <c r="B5" s="189" t="s">
        <v>1362</v>
      </c>
      <c r="C5" s="190" t="s">
        <v>558</v>
      </c>
      <c r="D5" s="191">
        <v>3449.9999999999995</v>
      </c>
      <c r="E5" s="178">
        <f t="shared" si="0"/>
        <v>4485</v>
      </c>
      <c r="F5" s="192" t="s">
        <v>559</v>
      </c>
      <c r="G5" s="193" t="s">
        <v>1363</v>
      </c>
      <c r="H5" s="194" t="s">
        <v>551</v>
      </c>
      <c r="I5" s="195">
        <v>9</v>
      </c>
      <c r="J5" s="1" t="s">
        <v>559</v>
      </c>
      <c r="K5" s="67">
        <v>4500</v>
      </c>
      <c r="L5" s="67">
        <v>4500</v>
      </c>
      <c r="M5" s="67"/>
      <c r="N5" s="67"/>
      <c r="O5" s="67"/>
      <c r="P5" s="18" t="s">
        <v>560</v>
      </c>
      <c r="Q5" s="71"/>
      <c r="R5" s="5" t="str">
        <f>IF(Q5="x",CONCATENATE(A5,"; "),"")</f>
        <v/>
      </c>
      <c r="S5" s="62" t="s">
        <v>551</v>
      </c>
      <c r="T5" s="5" t="str">
        <f t="shared" si="1"/>
        <v/>
      </c>
      <c r="U5" s="5" t="s">
        <v>1262</v>
      </c>
      <c r="V5" s="69">
        <f>L5-X5</f>
        <v>10</v>
      </c>
      <c r="W5" s="5">
        <v>3449.9999999999995</v>
      </c>
      <c r="X5" s="5">
        <v>4490</v>
      </c>
    </row>
    <row r="6" spans="1:28" s="173" customFormat="1" ht="15.8" customHeight="1">
      <c r="A6" s="233"/>
      <c r="B6" s="234" t="s">
        <v>1364</v>
      </c>
      <c r="C6" s="235" t="s">
        <v>1365</v>
      </c>
      <c r="D6" s="236">
        <v>69</v>
      </c>
      <c r="E6" s="237">
        <f t="shared" si="0"/>
        <v>89.7</v>
      </c>
      <c r="F6" s="238" t="s">
        <v>550</v>
      </c>
      <c r="G6" s="239" t="s">
        <v>1363</v>
      </c>
      <c r="H6" s="240" t="s">
        <v>551</v>
      </c>
      <c r="I6" s="241">
        <v>1</v>
      </c>
      <c r="J6" s="233"/>
      <c r="K6" s="145"/>
      <c r="L6" s="145"/>
      <c r="M6" s="67"/>
      <c r="N6" s="67"/>
      <c r="O6" s="67"/>
      <c r="P6" s="242"/>
      <c r="Q6" s="169"/>
      <c r="S6" s="243"/>
      <c r="V6" s="170"/>
      <c r="Y6" s="321"/>
    </row>
    <row r="7" spans="1:28" s="173" customFormat="1" ht="15.8" customHeight="1">
      <c r="A7" s="233"/>
      <c r="B7" s="244" t="s">
        <v>1366</v>
      </c>
      <c r="C7" s="245" t="s">
        <v>1367</v>
      </c>
      <c r="D7" s="246">
        <v>138</v>
      </c>
      <c r="E7" s="237">
        <f t="shared" si="0"/>
        <v>179.4</v>
      </c>
      <c r="F7" s="247" t="s">
        <v>550</v>
      </c>
      <c r="G7" s="248" t="s">
        <v>1363</v>
      </c>
      <c r="H7" s="249" t="s">
        <v>551</v>
      </c>
      <c r="I7" s="250">
        <v>1</v>
      </c>
      <c r="J7" s="233"/>
      <c r="K7" s="145"/>
      <c r="L7" s="145"/>
      <c r="M7" s="67"/>
      <c r="N7" s="67"/>
      <c r="O7" s="67"/>
      <c r="P7" s="242"/>
      <c r="Q7" s="169"/>
      <c r="S7" s="243"/>
      <c r="V7" s="170"/>
      <c r="Y7" s="321"/>
    </row>
    <row r="8" spans="1:28" ht="15.8" customHeight="1">
      <c r="A8" s="143" t="s">
        <v>561</v>
      </c>
      <c r="B8" s="176" t="s">
        <v>1368</v>
      </c>
      <c r="C8" s="177" t="s">
        <v>561</v>
      </c>
      <c r="D8" s="178">
        <v>11500</v>
      </c>
      <c r="E8" s="178">
        <f t="shared" si="0"/>
        <v>14950</v>
      </c>
      <c r="F8" s="179" t="s">
        <v>562</v>
      </c>
      <c r="G8" s="180"/>
      <c r="H8" s="181" t="s">
        <v>476</v>
      </c>
      <c r="I8" s="182">
        <v>14</v>
      </c>
      <c r="J8" s="143" t="s">
        <v>562</v>
      </c>
      <c r="K8" s="144">
        <v>14950</v>
      </c>
      <c r="L8" s="144">
        <v>14950</v>
      </c>
      <c r="M8" s="67"/>
      <c r="N8" s="67"/>
      <c r="O8" s="67"/>
      <c r="P8" s="147" t="s">
        <v>563</v>
      </c>
      <c r="Q8" s="165"/>
      <c r="R8" s="166" t="str">
        <f>IF(Q8="x",CONCATENATE(A8,"; "),"")</f>
        <v/>
      </c>
      <c r="S8" s="167" t="s">
        <v>476</v>
      </c>
      <c r="T8" s="166" t="str">
        <f t="shared" si="1"/>
        <v/>
      </c>
      <c r="U8" s="166"/>
      <c r="V8" s="168" t="e">
        <f>L8-X8</f>
        <v>#VALUE!</v>
      </c>
      <c r="W8" s="166">
        <v>11500</v>
      </c>
      <c r="X8" s="166" t="s">
        <v>1311</v>
      </c>
      <c r="Y8" s="320"/>
      <c r="Z8" s="166"/>
      <c r="AA8" s="166"/>
      <c r="AB8" s="166"/>
    </row>
    <row r="9" spans="1:28" ht="15.8" customHeight="1">
      <c r="A9" s="143"/>
      <c r="B9" s="183" t="s">
        <v>1369</v>
      </c>
      <c r="C9" s="203" t="s">
        <v>1370</v>
      </c>
      <c r="D9" s="184">
        <v>5500</v>
      </c>
      <c r="E9" s="178">
        <f t="shared" si="0"/>
        <v>7150</v>
      </c>
      <c r="F9" s="185" t="s">
        <v>559</v>
      </c>
      <c r="G9" s="186"/>
      <c r="H9" s="187" t="s">
        <v>476</v>
      </c>
      <c r="I9" s="188">
        <v>17</v>
      </c>
      <c r="J9" s="143"/>
      <c r="K9" s="144"/>
      <c r="L9" s="144">
        <v>7200</v>
      </c>
      <c r="M9" s="67"/>
      <c r="N9" s="67"/>
      <c r="O9" s="67"/>
      <c r="P9" s="147"/>
      <c r="Q9" s="165"/>
      <c r="R9" s="166"/>
      <c r="S9" s="167"/>
      <c r="T9" s="166"/>
      <c r="U9" s="166"/>
      <c r="V9" s="168"/>
      <c r="W9" s="166"/>
      <c r="X9" s="166"/>
      <c r="Y9" s="320"/>
      <c r="Z9" s="166"/>
      <c r="AA9" s="166"/>
      <c r="AB9" s="166"/>
    </row>
    <row r="10" spans="1:28" ht="15.8" customHeight="1">
      <c r="A10" s="143"/>
      <c r="B10" s="176" t="s">
        <v>1371</v>
      </c>
      <c r="C10" s="179" t="s">
        <v>1372</v>
      </c>
      <c r="D10" s="178">
        <v>2415</v>
      </c>
      <c r="E10" s="178">
        <f t="shared" si="0"/>
        <v>3139.5</v>
      </c>
      <c r="F10" s="179" t="s">
        <v>550</v>
      </c>
      <c r="G10" s="180"/>
      <c r="H10" s="181" t="s">
        <v>551</v>
      </c>
      <c r="I10" s="182">
        <v>1</v>
      </c>
      <c r="J10" s="143"/>
      <c r="K10" s="144"/>
      <c r="L10" s="144">
        <v>3200</v>
      </c>
      <c r="M10" s="67"/>
      <c r="N10" s="67"/>
      <c r="O10" s="67"/>
      <c r="P10" s="147"/>
      <c r="Q10" s="165"/>
      <c r="R10" s="166"/>
      <c r="S10" s="167"/>
      <c r="T10" s="166"/>
      <c r="U10" s="166"/>
      <c r="V10" s="168"/>
      <c r="W10" s="166"/>
      <c r="X10" s="166"/>
      <c r="Y10" s="320"/>
      <c r="Z10" s="166"/>
      <c r="AA10" s="166"/>
      <c r="AB10" s="166"/>
    </row>
    <row r="11" spans="1:28" ht="15.8" customHeight="1">
      <c r="A11" s="143"/>
      <c r="B11" s="189" t="s">
        <v>1373</v>
      </c>
      <c r="C11" s="190" t="s">
        <v>1374</v>
      </c>
      <c r="D11" s="191">
        <v>207</v>
      </c>
      <c r="E11" s="178">
        <f t="shared" si="0"/>
        <v>269.10000000000002</v>
      </c>
      <c r="F11" s="192" t="s">
        <v>550</v>
      </c>
      <c r="G11" s="193" t="s">
        <v>1363</v>
      </c>
      <c r="H11" s="194" t="s">
        <v>551</v>
      </c>
      <c r="I11" s="195">
        <v>1</v>
      </c>
      <c r="J11" s="143"/>
      <c r="K11" s="144"/>
      <c r="L11" s="144" t="s">
        <v>1217</v>
      </c>
      <c r="M11" s="67"/>
      <c r="N11" s="67"/>
      <c r="O11" s="67"/>
      <c r="P11" s="147"/>
      <c r="Q11" s="165"/>
      <c r="R11" s="166"/>
      <c r="S11" s="167"/>
      <c r="T11" s="166"/>
      <c r="U11" s="166"/>
      <c r="V11" s="168"/>
      <c r="W11" s="166"/>
      <c r="X11" s="166"/>
      <c r="Y11" s="320"/>
      <c r="Z11" s="166"/>
      <c r="AA11" s="166"/>
      <c r="AB11" s="166"/>
    </row>
    <row r="12" spans="1:28" ht="15.8" customHeight="1">
      <c r="A12" s="157" t="s">
        <v>564</v>
      </c>
      <c r="B12" s="176" t="s">
        <v>1375</v>
      </c>
      <c r="C12" s="177" t="s">
        <v>1376</v>
      </c>
      <c r="D12" s="178">
        <v>11385</v>
      </c>
      <c r="E12" s="178">
        <f t="shared" si="0"/>
        <v>14800.5</v>
      </c>
      <c r="F12" s="179" t="s">
        <v>553</v>
      </c>
      <c r="G12" s="180"/>
      <c r="H12" s="181" t="s">
        <v>554</v>
      </c>
      <c r="I12" s="182">
        <v>5</v>
      </c>
      <c r="J12" s="157" t="s">
        <v>553</v>
      </c>
      <c r="K12" s="160">
        <v>14800</v>
      </c>
      <c r="L12" s="160">
        <v>14800</v>
      </c>
      <c r="M12" s="160"/>
      <c r="N12" s="160"/>
      <c r="O12" s="160"/>
      <c r="P12" s="161" t="s">
        <v>1270</v>
      </c>
      <c r="Q12" s="71"/>
      <c r="R12" s="5" t="str">
        <f>IF(Q12="x",CONCATENATE(A12,"; "),"")</f>
        <v/>
      </c>
      <c r="S12" s="62" t="s">
        <v>554</v>
      </c>
      <c r="T12" s="5" t="str">
        <f t="shared" si="1"/>
        <v/>
      </c>
      <c r="V12" s="69"/>
      <c r="W12" s="5">
        <v>11385</v>
      </c>
    </row>
    <row r="13" spans="1:28" ht="15.8" customHeight="1">
      <c r="A13" s="157" t="s">
        <v>565</v>
      </c>
      <c r="B13" s="183" t="s">
        <v>1375</v>
      </c>
      <c r="C13" s="203" t="s">
        <v>1377</v>
      </c>
      <c r="D13" s="184">
        <v>11385</v>
      </c>
      <c r="E13" s="178">
        <f t="shared" si="0"/>
        <v>14800.5</v>
      </c>
      <c r="F13" s="185" t="s">
        <v>553</v>
      </c>
      <c r="G13" s="186"/>
      <c r="H13" s="187" t="s">
        <v>476</v>
      </c>
      <c r="I13" s="188">
        <v>5</v>
      </c>
      <c r="J13" s="157" t="s">
        <v>553</v>
      </c>
      <c r="K13" s="160">
        <v>14800</v>
      </c>
      <c r="L13" s="160">
        <v>14800</v>
      </c>
      <c r="M13" s="160"/>
      <c r="N13" s="160"/>
      <c r="O13" s="160"/>
      <c r="P13" s="161" t="s">
        <v>1270</v>
      </c>
      <c r="Q13" s="71"/>
      <c r="R13" s="5" t="str">
        <f>IF(Q13="x",CONCATENATE(A13,"; "),"")</f>
        <v/>
      </c>
      <c r="S13" s="62" t="s">
        <v>476</v>
      </c>
      <c r="T13" s="5" t="str">
        <f t="shared" si="1"/>
        <v/>
      </c>
      <c r="V13" s="69"/>
      <c r="W13" s="5">
        <v>11385</v>
      </c>
    </row>
    <row r="14" spans="1:28" ht="15.8" customHeight="1">
      <c r="A14" s="1" t="s">
        <v>566</v>
      </c>
      <c r="B14" s="176" t="s">
        <v>1378</v>
      </c>
      <c r="C14" s="179" t="s">
        <v>1379</v>
      </c>
      <c r="D14" s="178">
        <v>17200</v>
      </c>
      <c r="E14" s="178">
        <f t="shared" si="0"/>
        <v>22360</v>
      </c>
      <c r="F14" s="179" t="s">
        <v>567</v>
      </c>
      <c r="G14" s="180"/>
      <c r="H14" s="204" t="s">
        <v>551</v>
      </c>
      <c r="I14" s="182">
        <v>5</v>
      </c>
      <c r="J14" s="1" t="s">
        <v>567</v>
      </c>
      <c r="K14" s="67">
        <v>22360</v>
      </c>
      <c r="L14" s="145">
        <v>22400</v>
      </c>
      <c r="M14" s="67"/>
      <c r="N14" s="67"/>
      <c r="O14" s="67"/>
      <c r="P14" s="18" t="s">
        <v>555</v>
      </c>
      <c r="Q14" s="71"/>
      <c r="R14" s="5" t="str">
        <f>IF(Q14="x",CONCATENATE(A14,"; "),"")</f>
        <v/>
      </c>
      <c r="S14" s="62" t="s">
        <v>551</v>
      </c>
      <c r="T14" s="5" t="str">
        <f t="shared" si="1"/>
        <v/>
      </c>
      <c r="U14" s="5" t="s">
        <v>1262</v>
      </c>
      <c r="V14" s="69">
        <f>L14-X14</f>
        <v>40</v>
      </c>
      <c r="W14" s="5">
        <v>17200</v>
      </c>
      <c r="X14" s="5">
        <v>22360</v>
      </c>
    </row>
    <row r="15" spans="1:28" ht="15.8" customHeight="1">
      <c r="A15" s="1"/>
      <c r="B15" s="189" t="s">
        <v>1380</v>
      </c>
      <c r="C15" s="190" t="s">
        <v>1381</v>
      </c>
      <c r="D15" s="191">
        <v>345</v>
      </c>
      <c r="E15" s="178">
        <f t="shared" si="0"/>
        <v>448.5</v>
      </c>
      <c r="F15" s="192" t="s">
        <v>550</v>
      </c>
      <c r="G15" s="193" t="s">
        <v>1363</v>
      </c>
      <c r="H15" s="194" t="s">
        <v>551</v>
      </c>
      <c r="I15" s="195">
        <v>1</v>
      </c>
      <c r="J15" s="1"/>
      <c r="K15" s="67"/>
      <c r="L15" s="67" t="s">
        <v>1217</v>
      </c>
      <c r="M15" s="67"/>
      <c r="N15" s="67"/>
      <c r="O15" s="67"/>
      <c r="P15" s="18"/>
      <c r="Q15" s="71"/>
      <c r="S15" s="62"/>
      <c r="V15" s="69"/>
    </row>
    <row r="16" spans="1:28" ht="15.8" customHeight="1">
      <c r="A16" s="143" t="s">
        <v>568</v>
      </c>
      <c r="B16" s="176" t="s">
        <v>1382</v>
      </c>
      <c r="C16" s="177" t="s">
        <v>1383</v>
      </c>
      <c r="D16" s="178">
        <v>15179.999999999998</v>
      </c>
      <c r="E16" s="178">
        <f t="shared" si="0"/>
        <v>19734</v>
      </c>
      <c r="F16" s="179" t="s">
        <v>553</v>
      </c>
      <c r="G16" s="180"/>
      <c r="H16" s="181" t="s">
        <v>554</v>
      </c>
      <c r="I16" s="182">
        <v>5</v>
      </c>
      <c r="J16" s="143" t="s">
        <v>553</v>
      </c>
      <c r="K16" s="144">
        <v>19740</v>
      </c>
      <c r="L16" s="145">
        <v>19800</v>
      </c>
      <c r="M16" s="67"/>
      <c r="N16" s="67"/>
      <c r="O16" s="67"/>
      <c r="P16" s="147" t="s">
        <v>1270</v>
      </c>
      <c r="Q16" s="165"/>
      <c r="R16" s="166" t="str">
        <f t="shared" ref="R16:R37" si="2">IF(Q16="x",CONCATENATE(A16,"; "),"")</f>
        <v/>
      </c>
      <c r="S16" s="167" t="s">
        <v>554</v>
      </c>
      <c r="T16" s="166" t="str">
        <f t="shared" si="1"/>
        <v/>
      </c>
      <c r="U16" s="166"/>
      <c r="V16" s="168" t="e">
        <f t="shared" ref="V16:V34" si="3">L16-X16</f>
        <v>#VALUE!</v>
      </c>
      <c r="W16" s="166">
        <v>15179.999999999998</v>
      </c>
      <c r="X16" s="166" t="s">
        <v>1311</v>
      </c>
      <c r="Y16" s="320"/>
      <c r="Z16" s="166"/>
      <c r="AA16" s="166"/>
      <c r="AB16" s="166"/>
    </row>
    <row r="17" spans="1:28" ht="15.8" customHeight="1">
      <c r="A17" s="1" t="s">
        <v>569</v>
      </c>
      <c r="B17" s="183" t="s">
        <v>1382</v>
      </c>
      <c r="C17" s="203" t="s">
        <v>1384</v>
      </c>
      <c r="D17" s="184">
        <v>15179.999999999998</v>
      </c>
      <c r="E17" s="178">
        <f t="shared" si="0"/>
        <v>19734</v>
      </c>
      <c r="F17" s="185" t="s">
        <v>553</v>
      </c>
      <c r="G17" s="186"/>
      <c r="H17" s="187" t="s">
        <v>476</v>
      </c>
      <c r="I17" s="188">
        <v>5</v>
      </c>
      <c r="J17" s="1" t="s">
        <v>553</v>
      </c>
      <c r="K17" s="67">
        <v>19740</v>
      </c>
      <c r="L17" s="145">
        <v>19800</v>
      </c>
      <c r="M17" s="67"/>
      <c r="N17" s="67"/>
      <c r="O17" s="67"/>
      <c r="P17" s="18" t="s">
        <v>1270</v>
      </c>
      <c r="Q17" s="71"/>
      <c r="R17" s="5" t="str">
        <f t="shared" si="2"/>
        <v/>
      </c>
      <c r="S17" s="62" t="s">
        <v>476</v>
      </c>
      <c r="T17" s="5" t="str">
        <f t="shared" si="1"/>
        <v/>
      </c>
      <c r="V17" s="69">
        <f t="shared" si="3"/>
        <v>60</v>
      </c>
      <c r="W17" s="5">
        <v>15179.999999999998</v>
      </c>
      <c r="X17" s="5">
        <v>19740</v>
      </c>
    </row>
    <row r="18" spans="1:28" ht="15.8" customHeight="1">
      <c r="A18" s="1" t="s">
        <v>570</v>
      </c>
      <c r="B18" s="176" t="s">
        <v>1385</v>
      </c>
      <c r="C18" s="177" t="s">
        <v>570</v>
      </c>
      <c r="D18" s="178">
        <v>9000</v>
      </c>
      <c r="E18" s="178">
        <f t="shared" si="0"/>
        <v>11700</v>
      </c>
      <c r="F18" s="179" t="s">
        <v>562</v>
      </c>
      <c r="G18" s="180"/>
      <c r="H18" s="181" t="s">
        <v>551</v>
      </c>
      <c r="I18" s="182">
        <v>17</v>
      </c>
      <c r="J18" s="1" t="s">
        <v>562</v>
      </c>
      <c r="K18" s="67">
        <v>11700</v>
      </c>
      <c r="L18" s="67">
        <v>11700</v>
      </c>
      <c r="M18" s="67"/>
      <c r="N18" s="67"/>
      <c r="O18" s="67"/>
      <c r="P18" s="18" t="s">
        <v>552</v>
      </c>
      <c r="Q18" s="71"/>
      <c r="R18" s="5" t="str">
        <f t="shared" si="2"/>
        <v/>
      </c>
      <c r="S18" s="62" t="s">
        <v>551</v>
      </c>
      <c r="T18" s="5" t="str">
        <f t="shared" si="1"/>
        <v/>
      </c>
      <c r="U18" s="5" t="s">
        <v>1262</v>
      </c>
      <c r="V18" s="69">
        <f t="shared" si="3"/>
        <v>0</v>
      </c>
      <c r="W18" s="5">
        <v>9000</v>
      </c>
      <c r="X18" s="5">
        <v>11700</v>
      </c>
    </row>
    <row r="19" spans="1:28" ht="15.8" customHeight="1">
      <c r="A19" s="1" t="s">
        <v>571</v>
      </c>
      <c r="B19" s="183" t="s">
        <v>1386</v>
      </c>
      <c r="C19" s="203" t="s">
        <v>571</v>
      </c>
      <c r="D19" s="184">
        <v>8900</v>
      </c>
      <c r="E19" s="178">
        <f t="shared" si="0"/>
        <v>11570</v>
      </c>
      <c r="F19" s="185" t="s">
        <v>88</v>
      </c>
      <c r="G19" s="186"/>
      <c r="H19" s="187" t="s">
        <v>551</v>
      </c>
      <c r="I19" s="188">
        <v>17</v>
      </c>
      <c r="J19" s="1" t="s">
        <v>88</v>
      </c>
      <c r="K19" s="67">
        <v>11570</v>
      </c>
      <c r="L19" s="145">
        <v>11600</v>
      </c>
      <c r="M19" s="67"/>
      <c r="N19" s="67"/>
      <c r="O19" s="67"/>
      <c r="P19" s="18" t="s">
        <v>552</v>
      </c>
      <c r="Q19" s="71"/>
      <c r="R19" s="5" t="str">
        <f t="shared" si="2"/>
        <v/>
      </c>
      <c r="S19" s="62" t="s">
        <v>551</v>
      </c>
      <c r="T19" s="5" t="str">
        <f t="shared" si="1"/>
        <v/>
      </c>
      <c r="U19" s="5" t="s">
        <v>1262</v>
      </c>
      <c r="V19" s="69">
        <f t="shared" si="3"/>
        <v>30</v>
      </c>
      <c r="W19" s="5">
        <v>8900</v>
      </c>
      <c r="X19" s="5">
        <v>11570</v>
      </c>
    </row>
    <row r="20" spans="1:28" ht="15.8" customHeight="1">
      <c r="A20" s="1" t="s">
        <v>572</v>
      </c>
      <c r="B20" s="196" t="s">
        <v>1387</v>
      </c>
      <c r="C20" s="197" t="s">
        <v>572</v>
      </c>
      <c r="D20" s="198">
        <v>12650</v>
      </c>
      <c r="E20" s="178">
        <f t="shared" si="0"/>
        <v>16445</v>
      </c>
      <c r="F20" s="199" t="s">
        <v>559</v>
      </c>
      <c r="G20" s="200" t="s">
        <v>1363</v>
      </c>
      <c r="H20" s="201" t="s">
        <v>551</v>
      </c>
      <c r="I20" s="202">
        <v>17</v>
      </c>
      <c r="J20" s="1" t="s">
        <v>559</v>
      </c>
      <c r="K20" s="67">
        <v>16450</v>
      </c>
      <c r="L20" s="145">
        <v>16500</v>
      </c>
      <c r="M20" s="67"/>
      <c r="N20" s="67"/>
      <c r="O20" s="67"/>
      <c r="P20" s="18" t="s">
        <v>552</v>
      </c>
      <c r="Q20" s="71"/>
      <c r="R20" s="5" t="str">
        <f t="shared" si="2"/>
        <v/>
      </c>
      <c r="S20" s="62" t="s">
        <v>551</v>
      </c>
      <c r="T20" s="5" t="str">
        <f t="shared" si="1"/>
        <v/>
      </c>
      <c r="U20" s="5" t="s">
        <v>1262</v>
      </c>
      <c r="V20" s="69">
        <f t="shared" si="3"/>
        <v>50</v>
      </c>
      <c r="W20" s="5">
        <v>12650</v>
      </c>
      <c r="X20" s="5">
        <v>16450</v>
      </c>
    </row>
    <row r="21" spans="1:28" ht="15.8" customHeight="1">
      <c r="A21" s="1" t="s">
        <v>573</v>
      </c>
      <c r="B21" s="189" t="s">
        <v>1388</v>
      </c>
      <c r="C21" s="190" t="s">
        <v>573</v>
      </c>
      <c r="D21" s="191">
        <v>15000</v>
      </c>
      <c r="E21" s="178">
        <f t="shared" si="0"/>
        <v>19500</v>
      </c>
      <c r="F21" s="192" t="s">
        <v>559</v>
      </c>
      <c r="G21" s="193" t="s">
        <v>1363</v>
      </c>
      <c r="H21" s="194" t="s">
        <v>551</v>
      </c>
      <c r="I21" s="195">
        <v>17</v>
      </c>
      <c r="J21" s="1" t="s">
        <v>559</v>
      </c>
      <c r="K21" s="67">
        <v>19500</v>
      </c>
      <c r="L21" s="67">
        <v>19500</v>
      </c>
      <c r="M21" s="67"/>
      <c r="N21" s="67"/>
      <c r="O21" s="67"/>
      <c r="P21" s="18" t="s">
        <v>552</v>
      </c>
      <c r="Q21" s="71"/>
      <c r="R21" s="5" t="str">
        <f t="shared" si="2"/>
        <v/>
      </c>
      <c r="S21" s="62" t="s">
        <v>551</v>
      </c>
      <c r="T21" s="5" t="str">
        <f t="shared" si="1"/>
        <v/>
      </c>
      <c r="U21" s="5" t="s">
        <v>1262</v>
      </c>
      <c r="V21" s="69">
        <f t="shared" si="3"/>
        <v>0</v>
      </c>
      <c r="W21" s="5">
        <v>15000</v>
      </c>
      <c r="X21" s="5">
        <v>19500</v>
      </c>
    </row>
    <row r="22" spans="1:28" ht="15.8" customHeight="1">
      <c r="A22" s="1" t="s">
        <v>1312</v>
      </c>
      <c r="B22" s="176" t="s">
        <v>75</v>
      </c>
      <c r="C22" s="177" t="s">
        <v>574</v>
      </c>
      <c r="D22" s="178">
        <v>4400</v>
      </c>
      <c r="E22" s="178">
        <f t="shared" si="0"/>
        <v>5720</v>
      </c>
      <c r="F22" s="179" t="s">
        <v>559</v>
      </c>
      <c r="G22" s="180"/>
      <c r="H22" s="181" t="s">
        <v>575</v>
      </c>
      <c r="I22" s="182">
        <v>17</v>
      </c>
      <c r="J22" s="1" t="s">
        <v>559</v>
      </c>
      <c r="K22" s="67">
        <v>5720</v>
      </c>
      <c r="L22" s="251">
        <v>5700</v>
      </c>
      <c r="M22" s="67"/>
      <c r="N22" s="67"/>
      <c r="O22" s="67"/>
      <c r="P22" s="18" t="s">
        <v>552</v>
      </c>
      <c r="Q22" s="71"/>
      <c r="R22" s="5" t="str">
        <f t="shared" si="2"/>
        <v/>
      </c>
      <c r="S22" s="62" t="s">
        <v>575</v>
      </c>
      <c r="T22" s="5" t="str">
        <f t="shared" si="1"/>
        <v/>
      </c>
      <c r="U22" s="5" t="s">
        <v>1259</v>
      </c>
      <c r="V22" s="69">
        <f t="shared" si="3"/>
        <v>-20</v>
      </c>
      <c r="W22" s="5">
        <v>4400</v>
      </c>
      <c r="X22" s="5">
        <v>5720</v>
      </c>
    </row>
    <row r="23" spans="1:28" ht="15.8" customHeight="1">
      <c r="A23" s="1" t="s">
        <v>576</v>
      </c>
      <c r="B23" s="183" t="s">
        <v>576</v>
      </c>
      <c r="C23" s="203" t="s">
        <v>1389</v>
      </c>
      <c r="D23" s="184">
        <v>1954.9999999999998</v>
      </c>
      <c r="E23" s="178">
        <f t="shared" si="0"/>
        <v>2541.5</v>
      </c>
      <c r="F23" s="185" t="s">
        <v>103</v>
      </c>
      <c r="G23" s="186"/>
      <c r="H23" s="187" t="s">
        <v>551</v>
      </c>
      <c r="I23" s="188">
        <v>1</v>
      </c>
      <c r="J23" s="1" t="s">
        <v>103</v>
      </c>
      <c r="K23" s="67">
        <v>3200</v>
      </c>
      <c r="L23" s="251">
        <v>2800</v>
      </c>
      <c r="M23" s="67"/>
      <c r="N23" s="67"/>
      <c r="O23" s="67"/>
      <c r="P23" s="18" t="s">
        <v>1271</v>
      </c>
      <c r="Q23" s="71"/>
      <c r="R23" s="5" t="str">
        <f t="shared" si="2"/>
        <v/>
      </c>
      <c r="S23" s="62" t="s">
        <v>551</v>
      </c>
      <c r="T23" s="5" t="str">
        <f t="shared" si="1"/>
        <v/>
      </c>
      <c r="U23" s="5" t="s">
        <v>1261</v>
      </c>
      <c r="V23" s="69">
        <f t="shared" si="3"/>
        <v>-400</v>
      </c>
      <c r="W23" s="5">
        <v>2061</v>
      </c>
      <c r="X23" s="5">
        <v>3200</v>
      </c>
    </row>
    <row r="24" spans="1:28" ht="15.8" customHeight="1">
      <c r="A24" s="143" t="s">
        <v>577</v>
      </c>
      <c r="B24" s="176" t="s">
        <v>1390</v>
      </c>
      <c r="C24" s="177" t="s">
        <v>577</v>
      </c>
      <c r="D24" s="178">
        <v>7000</v>
      </c>
      <c r="E24" s="178">
        <f t="shared" si="0"/>
        <v>9100</v>
      </c>
      <c r="F24" s="179" t="s">
        <v>562</v>
      </c>
      <c r="G24" s="180"/>
      <c r="H24" s="181" t="s">
        <v>551</v>
      </c>
      <c r="I24" s="182">
        <v>17</v>
      </c>
      <c r="J24" s="143" t="s">
        <v>562</v>
      </c>
      <c r="K24" s="144">
        <v>9100</v>
      </c>
      <c r="L24" s="144">
        <v>9100</v>
      </c>
      <c r="M24" s="67"/>
      <c r="N24" s="67"/>
      <c r="O24" s="67"/>
      <c r="P24" s="147" t="s">
        <v>552</v>
      </c>
      <c r="Q24" s="165"/>
      <c r="R24" s="166" t="str">
        <f t="shared" si="2"/>
        <v/>
      </c>
      <c r="S24" s="167" t="s">
        <v>551</v>
      </c>
      <c r="T24" s="166" t="str">
        <f t="shared" si="1"/>
        <v/>
      </c>
      <c r="U24" s="166"/>
      <c r="V24" s="168" t="e">
        <f t="shared" si="3"/>
        <v>#VALUE!</v>
      </c>
      <c r="W24" s="166">
        <v>7000</v>
      </c>
      <c r="X24" s="166" t="s">
        <v>1311</v>
      </c>
      <c r="Y24" s="320"/>
      <c r="Z24" s="166"/>
      <c r="AA24" s="166"/>
      <c r="AB24" s="166"/>
    </row>
    <row r="25" spans="1:28" ht="15.8" customHeight="1">
      <c r="A25" s="1" t="s">
        <v>26</v>
      </c>
      <c r="B25" s="189" t="s">
        <v>1391</v>
      </c>
      <c r="C25" s="190" t="s">
        <v>1392</v>
      </c>
      <c r="D25" s="191">
        <v>69</v>
      </c>
      <c r="E25" s="178">
        <f t="shared" si="0"/>
        <v>89.7</v>
      </c>
      <c r="F25" s="192" t="s">
        <v>550</v>
      </c>
      <c r="G25" s="193" t="s">
        <v>1363</v>
      </c>
      <c r="H25" s="194" t="s">
        <v>551</v>
      </c>
      <c r="I25" s="195">
        <v>1</v>
      </c>
      <c r="J25" s="1" t="s">
        <v>550</v>
      </c>
      <c r="K25" s="67">
        <v>400</v>
      </c>
      <c r="L25" s="252">
        <v>400</v>
      </c>
      <c r="M25" s="67"/>
      <c r="N25" s="67"/>
      <c r="O25" s="67"/>
      <c r="P25" s="18" t="s">
        <v>1271</v>
      </c>
      <c r="Q25" s="71"/>
      <c r="R25" s="5" t="str">
        <f t="shared" si="2"/>
        <v/>
      </c>
      <c r="S25" s="62" t="s">
        <v>551</v>
      </c>
      <c r="T25" s="5" t="str">
        <f t="shared" si="1"/>
        <v/>
      </c>
      <c r="U25" s="5" t="s">
        <v>1261</v>
      </c>
      <c r="V25" s="69">
        <f t="shared" si="3"/>
        <v>0</v>
      </c>
      <c r="W25" s="5">
        <v>146</v>
      </c>
      <c r="X25" s="5">
        <v>400</v>
      </c>
    </row>
    <row r="26" spans="1:28" ht="15.8" customHeight="1">
      <c r="A26" s="1" t="s">
        <v>76</v>
      </c>
      <c r="B26" s="176" t="s">
        <v>1393</v>
      </c>
      <c r="C26" s="177" t="s">
        <v>76</v>
      </c>
      <c r="D26" s="178">
        <v>8800</v>
      </c>
      <c r="E26" s="178">
        <f t="shared" si="0"/>
        <v>11440</v>
      </c>
      <c r="F26" s="179" t="s">
        <v>559</v>
      </c>
      <c r="G26" s="180"/>
      <c r="H26" s="181" t="s">
        <v>551</v>
      </c>
      <c r="I26" s="182">
        <v>17</v>
      </c>
      <c r="J26" s="1" t="s">
        <v>559</v>
      </c>
      <c r="K26" s="67">
        <v>11440</v>
      </c>
      <c r="L26" s="251">
        <v>11400</v>
      </c>
      <c r="M26" s="67"/>
      <c r="N26" s="67"/>
      <c r="O26" s="67"/>
      <c r="P26" s="18" t="s">
        <v>552</v>
      </c>
      <c r="Q26" s="71"/>
      <c r="R26" s="5" t="str">
        <f t="shared" si="2"/>
        <v/>
      </c>
      <c r="S26" s="62" t="s">
        <v>551</v>
      </c>
      <c r="T26" s="5" t="str">
        <f t="shared" si="1"/>
        <v/>
      </c>
      <c r="U26" s="5" t="s">
        <v>1262</v>
      </c>
      <c r="V26" s="69">
        <f t="shared" si="3"/>
        <v>-40</v>
      </c>
      <c r="W26" s="5">
        <v>8800</v>
      </c>
      <c r="X26" s="5">
        <v>11440</v>
      </c>
    </row>
    <row r="27" spans="1:28" ht="15.8" customHeight="1">
      <c r="A27" s="1" t="s">
        <v>578</v>
      </c>
      <c r="B27" s="183" t="s">
        <v>1394</v>
      </c>
      <c r="C27" s="203" t="s">
        <v>578</v>
      </c>
      <c r="D27" s="184">
        <v>2100</v>
      </c>
      <c r="E27" s="178">
        <f t="shared" si="0"/>
        <v>2730</v>
      </c>
      <c r="F27" s="185" t="s">
        <v>550</v>
      </c>
      <c r="G27" s="186"/>
      <c r="H27" s="187" t="s">
        <v>551</v>
      </c>
      <c r="I27" s="188">
        <v>17</v>
      </c>
      <c r="J27" s="1" t="s">
        <v>550</v>
      </c>
      <c r="K27" s="67">
        <v>2730</v>
      </c>
      <c r="L27" s="251">
        <v>2700</v>
      </c>
      <c r="M27" s="67"/>
      <c r="N27" s="67"/>
      <c r="O27" s="67"/>
      <c r="P27" s="18" t="s">
        <v>552</v>
      </c>
      <c r="Q27" s="71"/>
      <c r="R27" s="5" t="str">
        <f t="shared" si="2"/>
        <v/>
      </c>
      <c r="S27" s="62" t="s">
        <v>551</v>
      </c>
      <c r="T27" s="5" t="str">
        <f t="shared" si="1"/>
        <v/>
      </c>
      <c r="U27" s="5" t="s">
        <v>1262</v>
      </c>
      <c r="V27" s="69">
        <f t="shared" si="3"/>
        <v>-30</v>
      </c>
      <c r="W27" s="5">
        <v>2100</v>
      </c>
      <c r="X27" s="5">
        <v>2730</v>
      </c>
    </row>
    <row r="28" spans="1:28" ht="15.8" customHeight="1">
      <c r="A28" s="1" t="s">
        <v>18</v>
      </c>
      <c r="B28" s="196" t="s">
        <v>1395</v>
      </c>
      <c r="C28" s="197" t="s">
        <v>1396</v>
      </c>
      <c r="D28" s="198">
        <v>69</v>
      </c>
      <c r="E28" s="178">
        <f t="shared" si="0"/>
        <v>89.7</v>
      </c>
      <c r="F28" s="199" t="s">
        <v>550</v>
      </c>
      <c r="G28" s="200" t="s">
        <v>1363</v>
      </c>
      <c r="H28" s="201" t="s">
        <v>551</v>
      </c>
      <c r="I28" s="202">
        <v>1</v>
      </c>
      <c r="J28" s="1" t="s">
        <v>550</v>
      </c>
      <c r="K28" s="67">
        <v>400</v>
      </c>
      <c r="L28" s="252">
        <v>400</v>
      </c>
      <c r="M28" s="67"/>
      <c r="N28" s="67"/>
      <c r="O28" s="67"/>
      <c r="P28" s="18" t="s">
        <v>1271</v>
      </c>
      <c r="Q28" s="71"/>
      <c r="R28" s="5" t="str">
        <f t="shared" si="2"/>
        <v/>
      </c>
      <c r="S28" s="62" t="s">
        <v>551</v>
      </c>
      <c r="T28" s="5" t="str">
        <f t="shared" si="1"/>
        <v/>
      </c>
      <c r="U28" s="5" t="s">
        <v>1261</v>
      </c>
      <c r="V28" s="69">
        <f t="shared" si="3"/>
        <v>0</v>
      </c>
      <c r="W28" s="5">
        <v>104</v>
      </c>
      <c r="X28" s="5">
        <v>400</v>
      </c>
    </row>
    <row r="29" spans="1:28" ht="15.8" customHeight="1">
      <c r="A29" s="1" t="s">
        <v>38</v>
      </c>
      <c r="B29" s="183" t="s">
        <v>1397</v>
      </c>
      <c r="C29" s="203" t="s">
        <v>38</v>
      </c>
      <c r="D29" s="184">
        <v>345</v>
      </c>
      <c r="E29" s="178">
        <f t="shared" si="0"/>
        <v>448.5</v>
      </c>
      <c r="F29" s="185" t="s">
        <v>550</v>
      </c>
      <c r="G29" s="186"/>
      <c r="H29" s="187" t="s">
        <v>551</v>
      </c>
      <c r="I29" s="188">
        <v>1</v>
      </c>
      <c r="J29" s="1" t="s">
        <v>550</v>
      </c>
      <c r="K29" s="67">
        <v>550</v>
      </c>
      <c r="L29" s="251">
        <v>500</v>
      </c>
      <c r="M29" s="67"/>
      <c r="N29" s="67"/>
      <c r="O29" s="67"/>
      <c r="P29" s="18" t="s">
        <v>254</v>
      </c>
      <c r="Q29" s="71"/>
      <c r="R29" s="5" t="str">
        <f t="shared" si="2"/>
        <v/>
      </c>
      <c r="S29" s="62" t="s">
        <v>551</v>
      </c>
      <c r="T29" s="5" t="str">
        <f t="shared" si="1"/>
        <v/>
      </c>
      <c r="U29" s="5" t="s">
        <v>1261</v>
      </c>
      <c r="V29" s="69">
        <f t="shared" si="3"/>
        <v>-50</v>
      </c>
      <c r="W29" s="5">
        <v>186</v>
      </c>
      <c r="X29" s="5">
        <v>550</v>
      </c>
    </row>
    <row r="30" spans="1:28" ht="15.8" customHeight="1">
      <c r="A30" s="1" t="s">
        <v>580</v>
      </c>
      <c r="B30" s="196" t="s">
        <v>1398</v>
      </c>
      <c r="C30" s="197" t="s">
        <v>580</v>
      </c>
      <c r="D30" s="198">
        <v>4370</v>
      </c>
      <c r="E30" s="178">
        <f t="shared" si="0"/>
        <v>5681</v>
      </c>
      <c r="F30" s="199" t="s">
        <v>88</v>
      </c>
      <c r="G30" s="200" t="s">
        <v>1363</v>
      </c>
      <c r="H30" s="201" t="s">
        <v>551</v>
      </c>
      <c r="I30" s="202" t="s">
        <v>1399</v>
      </c>
      <c r="J30" s="1" t="s">
        <v>88</v>
      </c>
      <c r="K30" s="67">
        <v>5800</v>
      </c>
      <c r="L30" s="251">
        <v>5700</v>
      </c>
      <c r="M30" s="67"/>
      <c r="N30" s="67"/>
      <c r="O30" s="67"/>
      <c r="P30" s="18" t="s">
        <v>1272</v>
      </c>
      <c r="Q30" s="71"/>
      <c r="R30" s="5" t="str">
        <f t="shared" si="2"/>
        <v/>
      </c>
      <c r="S30" s="62" t="s">
        <v>551</v>
      </c>
      <c r="T30" s="5" t="str">
        <f t="shared" si="1"/>
        <v/>
      </c>
      <c r="U30" s="5" t="s">
        <v>1262</v>
      </c>
      <c r="V30" s="69">
        <f t="shared" si="3"/>
        <v>20</v>
      </c>
      <c r="W30" s="5">
        <v>4370</v>
      </c>
      <c r="X30" s="5">
        <v>5680</v>
      </c>
    </row>
    <row r="31" spans="1:28" ht="15.8" customHeight="1">
      <c r="A31" s="1" t="s">
        <v>1314</v>
      </c>
      <c r="B31" s="183" t="s">
        <v>1400</v>
      </c>
      <c r="C31" s="203" t="s">
        <v>582</v>
      </c>
      <c r="D31" s="184">
        <v>4485</v>
      </c>
      <c r="E31" s="178">
        <f t="shared" si="0"/>
        <v>5830.5</v>
      </c>
      <c r="F31" s="185" t="s">
        <v>88</v>
      </c>
      <c r="G31" s="186"/>
      <c r="H31" s="187" t="s">
        <v>551</v>
      </c>
      <c r="I31" s="205" t="s">
        <v>1399</v>
      </c>
      <c r="J31" s="1" t="s">
        <v>88</v>
      </c>
      <c r="K31" s="67">
        <v>6900</v>
      </c>
      <c r="L31" s="251">
        <v>5800</v>
      </c>
      <c r="M31" s="67">
        <v>8900</v>
      </c>
      <c r="N31" s="67"/>
      <c r="O31" s="67">
        <v>5700</v>
      </c>
      <c r="P31" s="18" t="s">
        <v>581</v>
      </c>
      <c r="Q31" s="71"/>
      <c r="R31" s="5" t="str">
        <f t="shared" si="2"/>
        <v/>
      </c>
      <c r="S31" s="62" t="s">
        <v>551</v>
      </c>
      <c r="T31" s="5" t="str">
        <f t="shared" si="1"/>
        <v/>
      </c>
      <c r="U31" s="5" t="s">
        <v>1262</v>
      </c>
      <c r="V31" s="69">
        <f t="shared" si="3"/>
        <v>-30</v>
      </c>
      <c r="W31" s="5">
        <v>4485</v>
      </c>
      <c r="X31" s="5">
        <v>5830</v>
      </c>
    </row>
    <row r="32" spans="1:28" ht="15.8" customHeight="1">
      <c r="A32" s="1" t="s">
        <v>223</v>
      </c>
      <c r="B32" s="196" t="s">
        <v>1401</v>
      </c>
      <c r="C32" s="197" t="s">
        <v>223</v>
      </c>
      <c r="D32" s="198">
        <v>15900</v>
      </c>
      <c r="E32" s="178">
        <f t="shared" si="0"/>
        <v>20670</v>
      </c>
      <c r="F32" s="199" t="s">
        <v>88</v>
      </c>
      <c r="G32" s="200" t="s">
        <v>1363</v>
      </c>
      <c r="H32" s="201" t="s">
        <v>551</v>
      </c>
      <c r="I32" s="202">
        <v>9</v>
      </c>
      <c r="J32" s="1" t="s">
        <v>88</v>
      </c>
      <c r="K32" s="67">
        <v>20700</v>
      </c>
      <c r="L32" s="67">
        <v>20700</v>
      </c>
      <c r="M32" s="67"/>
      <c r="N32" s="67"/>
      <c r="O32" s="67"/>
      <c r="P32" s="18" t="s">
        <v>1273</v>
      </c>
      <c r="Q32" s="71"/>
      <c r="R32" s="5" t="str">
        <f t="shared" si="2"/>
        <v/>
      </c>
      <c r="S32" s="62" t="s">
        <v>551</v>
      </c>
      <c r="T32" s="5" t="str">
        <f t="shared" si="1"/>
        <v/>
      </c>
      <c r="U32" s="5" t="s">
        <v>1262</v>
      </c>
      <c r="V32" s="69">
        <f t="shared" si="3"/>
        <v>30</v>
      </c>
      <c r="W32" s="5">
        <v>15900</v>
      </c>
      <c r="X32" s="5">
        <v>20670</v>
      </c>
    </row>
    <row r="33" spans="1:28" ht="15.8" customHeight="1">
      <c r="A33" s="143" t="s">
        <v>583</v>
      </c>
      <c r="B33" s="183" t="s">
        <v>1402</v>
      </c>
      <c r="C33" s="203" t="s">
        <v>583</v>
      </c>
      <c r="D33" s="184">
        <v>8000</v>
      </c>
      <c r="E33" s="178">
        <f t="shared" si="0"/>
        <v>10400</v>
      </c>
      <c r="F33" s="185" t="s">
        <v>88</v>
      </c>
      <c r="G33" s="186"/>
      <c r="H33" s="187" t="s">
        <v>551</v>
      </c>
      <c r="I33" s="188">
        <v>7</v>
      </c>
      <c r="J33" s="143" t="s">
        <v>88</v>
      </c>
      <c r="K33" s="144">
        <v>10400</v>
      </c>
      <c r="L33" s="144">
        <v>10400</v>
      </c>
      <c r="M33" s="67"/>
      <c r="N33" s="67"/>
      <c r="O33" s="67"/>
      <c r="P33" s="147" t="s">
        <v>1274</v>
      </c>
      <c r="Q33" s="165"/>
      <c r="R33" s="166" t="str">
        <f t="shared" si="2"/>
        <v/>
      </c>
      <c r="S33" s="167" t="s">
        <v>551</v>
      </c>
      <c r="T33" s="166" t="str">
        <f t="shared" si="1"/>
        <v/>
      </c>
      <c r="U33" s="166"/>
      <c r="V33" s="168" t="e">
        <f t="shared" si="3"/>
        <v>#VALUE!</v>
      </c>
      <c r="W33" s="166">
        <v>8000</v>
      </c>
      <c r="X33" s="166" t="s">
        <v>1311</v>
      </c>
      <c r="Y33" s="320"/>
      <c r="Z33" s="166"/>
      <c r="AA33" s="166"/>
      <c r="AB33" s="166"/>
    </row>
    <row r="34" spans="1:28" ht="15.8" customHeight="1">
      <c r="A34" s="1" t="s">
        <v>77</v>
      </c>
      <c r="B34" s="176" t="s">
        <v>1403</v>
      </c>
      <c r="C34" s="177" t="s">
        <v>77</v>
      </c>
      <c r="D34" s="178">
        <v>4350</v>
      </c>
      <c r="E34" s="178">
        <f t="shared" si="0"/>
        <v>5655</v>
      </c>
      <c r="F34" s="179" t="s">
        <v>559</v>
      </c>
      <c r="G34" s="180"/>
      <c r="H34" s="181" t="s">
        <v>551</v>
      </c>
      <c r="I34" s="182">
        <v>17</v>
      </c>
      <c r="J34" s="1" t="s">
        <v>559</v>
      </c>
      <c r="K34" s="67">
        <v>5500</v>
      </c>
      <c r="L34" s="67">
        <v>5500</v>
      </c>
      <c r="M34" s="67"/>
      <c r="N34" s="67"/>
      <c r="O34" s="67"/>
      <c r="P34" s="18" t="s">
        <v>552</v>
      </c>
      <c r="Q34" s="71"/>
      <c r="R34" s="5" t="str">
        <f t="shared" si="2"/>
        <v/>
      </c>
      <c r="S34" s="62" t="s">
        <v>551</v>
      </c>
      <c r="T34" s="5" t="str">
        <f t="shared" si="1"/>
        <v/>
      </c>
      <c r="V34" s="69">
        <f t="shared" si="3"/>
        <v>0</v>
      </c>
      <c r="W34" s="5">
        <v>4350</v>
      </c>
      <c r="X34" s="5">
        <v>5500</v>
      </c>
    </row>
    <row r="35" spans="1:28" ht="15.8" customHeight="1">
      <c r="A35" s="253" t="s">
        <v>585</v>
      </c>
      <c r="B35" s="183" t="s">
        <v>1404</v>
      </c>
      <c r="C35" s="203" t="s">
        <v>585</v>
      </c>
      <c r="D35" s="184">
        <v>9900</v>
      </c>
      <c r="E35" s="178">
        <f t="shared" si="0"/>
        <v>12870</v>
      </c>
      <c r="F35" s="185" t="s">
        <v>586</v>
      </c>
      <c r="G35" s="186"/>
      <c r="H35" s="206" t="s">
        <v>548</v>
      </c>
      <c r="I35" s="205">
        <v>3</v>
      </c>
      <c r="J35" s="253" t="s">
        <v>586</v>
      </c>
      <c r="K35" s="254">
        <v>12870</v>
      </c>
      <c r="L35" s="254">
        <v>12870</v>
      </c>
      <c r="M35" s="67"/>
      <c r="N35" s="67"/>
      <c r="O35" s="67"/>
      <c r="P35" s="255" t="s">
        <v>587</v>
      </c>
      <c r="Q35" s="71"/>
      <c r="R35" s="5" t="str">
        <f t="shared" si="2"/>
        <v/>
      </c>
      <c r="S35" s="70" t="s">
        <v>548</v>
      </c>
      <c r="T35" s="5" t="str">
        <f t="shared" si="1"/>
        <v/>
      </c>
      <c r="V35" s="69"/>
      <c r="W35" s="5">
        <v>9900</v>
      </c>
    </row>
    <row r="36" spans="1:28" ht="15.8" customHeight="1">
      <c r="A36" s="157" t="s">
        <v>224</v>
      </c>
      <c r="B36" s="176" t="s">
        <v>1405</v>
      </c>
      <c r="C36" s="177" t="s">
        <v>224</v>
      </c>
      <c r="D36" s="178">
        <v>3794.9999999999995</v>
      </c>
      <c r="E36" s="178">
        <f t="shared" si="0"/>
        <v>4933.5</v>
      </c>
      <c r="F36" s="179" t="s">
        <v>88</v>
      </c>
      <c r="G36" s="180"/>
      <c r="H36" s="181" t="s">
        <v>551</v>
      </c>
      <c r="I36" s="182">
        <v>7</v>
      </c>
      <c r="J36" s="157" t="s">
        <v>88</v>
      </c>
      <c r="K36" s="158">
        <v>4934</v>
      </c>
      <c r="L36" s="251">
        <v>4900</v>
      </c>
      <c r="M36" s="67"/>
      <c r="N36" s="67"/>
      <c r="O36" s="67"/>
      <c r="P36" s="159" t="s">
        <v>584</v>
      </c>
      <c r="Q36" s="71"/>
      <c r="R36" s="5" t="str">
        <f t="shared" si="2"/>
        <v/>
      </c>
      <c r="S36" s="62" t="s">
        <v>551</v>
      </c>
      <c r="T36" s="5" t="str">
        <f t="shared" si="1"/>
        <v/>
      </c>
      <c r="V36" s="69"/>
      <c r="W36" s="5">
        <v>3794.9999999999995</v>
      </c>
    </row>
    <row r="37" spans="1:28" ht="15.8" customHeight="1">
      <c r="A37" s="157" t="s">
        <v>225</v>
      </c>
      <c r="B37" s="183" t="s">
        <v>1406</v>
      </c>
      <c r="C37" s="203" t="s">
        <v>225</v>
      </c>
      <c r="D37" s="184">
        <v>3794.9999999999995</v>
      </c>
      <c r="E37" s="178">
        <f t="shared" si="0"/>
        <v>4933.5</v>
      </c>
      <c r="F37" s="185" t="s">
        <v>88</v>
      </c>
      <c r="G37" s="186"/>
      <c r="H37" s="187" t="s">
        <v>551</v>
      </c>
      <c r="I37" s="188">
        <v>7</v>
      </c>
      <c r="J37" s="157" t="s">
        <v>88</v>
      </c>
      <c r="K37" s="158">
        <v>4934</v>
      </c>
      <c r="L37" s="251">
        <v>4900</v>
      </c>
      <c r="M37" s="67"/>
      <c r="N37" s="67"/>
      <c r="O37" s="67"/>
      <c r="P37" s="159" t="s">
        <v>584</v>
      </c>
      <c r="Q37" s="71"/>
      <c r="R37" s="5" t="str">
        <f t="shared" si="2"/>
        <v/>
      </c>
      <c r="S37" s="62" t="s">
        <v>551</v>
      </c>
      <c r="T37" s="5" t="str">
        <f t="shared" si="1"/>
        <v/>
      </c>
      <c r="V37" s="69"/>
      <c r="W37" s="5">
        <v>3794.9999999999995</v>
      </c>
    </row>
    <row r="38" spans="1:28" ht="15.8" customHeight="1">
      <c r="A38" s="157"/>
      <c r="B38" s="176" t="s">
        <v>1407</v>
      </c>
      <c r="C38" s="177" t="s">
        <v>1408</v>
      </c>
      <c r="D38" s="178">
        <v>8000</v>
      </c>
      <c r="E38" s="178">
        <f t="shared" si="0"/>
        <v>10400</v>
      </c>
      <c r="F38" s="179" t="s">
        <v>88</v>
      </c>
      <c r="G38" s="180"/>
      <c r="H38" s="181" t="s">
        <v>551</v>
      </c>
      <c r="I38" s="207" t="s">
        <v>664</v>
      </c>
      <c r="J38" s="157"/>
      <c r="K38" s="158"/>
      <c r="L38" s="158"/>
      <c r="M38" s="160"/>
      <c r="N38" s="160"/>
      <c r="O38" s="160"/>
      <c r="P38" s="159"/>
      <c r="Q38" s="71"/>
      <c r="S38" s="62"/>
      <c r="V38" s="69"/>
    </row>
    <row r="39" spans="1:28" ht="15.8" customHeight="1">
      <c r="A39" s="157" t="s">
        <v>588</v>
      </c>
      <c r="B39" s="183" t="s">
        <v>1409</v>
      </c>
      <c r="C39" s="203" t="s">
        <v>588</v>
      </c>
      <c r="D39" s="184">
        <v>5060</v>
      </c>
      <c r="E39" s="178">
        <f t="shared" si="0"/>
        <v>6578</v>
      </c>
      <c r="F39" s="185" t="s">
        <v>88</v>
      </c>
      <c r="G39" s="186"/>
      <c r="H39" s="187" t="s">
        <v>551</v>
      </c>
      <c r="I39" s="188">
        <v>7</v>
      </c>
      <c r="J39" s="157" t="s">
        <v>88</v>
      </c>
      <c r="K39" s="158">
        <v>6578</v>
      </c>
      <c r="L39" s="251">
        <v>6600</v>
      </c>
      <c r="M39" s="67"/>
      <c r="N39" s="67"/>
      <c r="O39" s="67"/>
      <c r="P39" s="159" t="s">
        <v>584</v>
      </c>
      <c r="Q39" s="71"/>
      <c r="R39" s="5" t="str">
        <f t="shared" ref="R39:R47" si="4">IF(Q39="x",CONCATENATE(A39,"; "),"")</f>
        <v/>
      </c>
      <c r="S39" s="62" t="s">
        <v>551</v>
      </c>
      <c r="T39" s="5" t="str">
        <f t="shared" si="1"/>
        <v/>
      </c>
      <c r="V39" s="69"/>
      <c r="W39" s="5">
        <v>5060</v>
      </c>
    </row>
    <row r="40" spans="1:28" ht="15.8" customHeight="1">
      <c r="A40" s="1" t="s">
        <v>589</v>
      </c>
      <c r="B40" s="176" t="s">
        <v>1410</v>
      </c>
      <c r="C40" s="177" t="s">
        <v>589</v>
      </c>
      <c r="D40" s="178">
        <v>10005</v>
      </c>
      <c r="E40" s="178">
        <f t="shared" si="0"/>
        <v>13006.5</v>
      </c>
      <c r="F40" s="179" t="s">
        <v>88</v>
      </c>
      <c r="G40" s="180"/>
      <c r="H40" s="181" t="s">
        <v>551</v>
      </c>
      <c r="I40" s="207" t="s">
        <v>1399</v>
      </c>
      <c r="J40" s="1" t="s">
        <v>88</v>
      </c>
      <c r="K40" s="67">
        <v>13000</v>
      </c>
      <c r="L40" s="67">
        <v>13000</v>
      </c>
      <c r="M40" s="67"/>
      <c r="N40" s="67"/>
      <c r="O40" s="67"/>
      <c r="P40" s="18" t="s">
        <v>560</v>
      </c>
      <c r="Q40" s="71"/>
      <c r="R40" s="5" t="str">
        <f t="shared" si="4"/>
        <v/>
      </c>
      <c r="S40" s="62" t="s">
        <v>551</v>
      </c>
      <c r="T40" s="5" t="str">
        <f t="shared" si="1"/>
        <v/>
      </c>
      <c r="U40" s="5" t="s">
        <v>1262</v>
      </c>
      <c r="V40" s="69">
        <f t="shared" ref="V40:V55" si="5">L40-X40</f>
        <v>0</v>
      </c>
      <c r="W40" s="5">
        <v>10005</v>
      </c>
      <c r="X40" s="5">
        <v>13000</v>
      </c>
    </row>
    <row r="41" spans="1:28" ht="15.8" customHeight="1">
      <c r="A41" s="1" t="s">
        <v>1315</v>
      </c>
      <c r="B41" s="183" t="s">
        <v>1127</v>
      </c>
      <c r="C41" s="203" t="s">
        <v>72</v>
      </c>
      <c r="D41" s="184">
        <v>8500</v>
      </c>
      <c r="E41" s="178">
        <f t="shared" si="0"/>
        <v>11050</v>
      </c>
      <c r="F41" s="185" t="s">
        <v>559</v>
      </c>
      <c r="G41" s="186"/>
      <c r="H41" s="187" t="s">
        <v>551</v>
      </c>
      <c r="I41" s="188">
        <v>5</v>
      </c>
      <c r="J41" s="1" t="s">
        <v>559</v>
      </c>
      <c r="K41" s="67">
        <v>10000</v>
      </c>
      <c r="L41" s="67">
        <v>10000</v>
      </c>
      <c r="M41" s="67"/>
      <c r="N41" s="67"/>
      <c r="O41" s="67"/>
      <c r="P41" s="18" t="s">
        <v>1275</v>
      </c>
      <c r="Q41" s="71"/>
      <c r="R41" s="5" t="str">
        <f t="shared" si="4"/>
        <v/>
      </c>
      <c r="S41" s="62" t="s">
        <v>551</v>
      </c>
      <c r="T41" s="5" t="str">
        <f t="shared" si="1"/>
        <v/>
      </c>
      <c r="U41" s="5" t="s">
        <v>1262</v>
      </c>
      <c r="V41" s="69">
        <f t="shared" si="5"/>
        <v>0</v>
      </c>
      <c r="W41" s="5">
        <v>8500</v>
      </c>
      <c r="X41" s="5">
        <v>10000</v>
      </c>
    </row>
    <row r="42" spans="1:28" ht="15.8" customHeight="1">
      <c r="A42" s="143" t="s">
        <v>590</v>
      </c>
      <c r="B42" s="183" t="s">
        <v>1416</v>
      </c>
      <c r="C42" s="203" t="s">
        <v>590</v>
      </c>
      <c r="D42" s="184">
        <v>18400</v>
      </c>
      <c r="E42" s="178">
        <f>D42*1.3</f>
        <v>23920</v>
      </c>
      <c r="F42" s="185" t="s">
        <v>88</v>
      </c>
      <c r="G42" s="186"/>
      <c r="H42" s="187" t="s">
        <v>551</v>
      </c>
      <c r="I42" s="205" t="s">
        <v>1399</v>
      </c>
      <c r="J42" s="143" t="s">
        <v>88</v>
      </c>
      <c r="K42" s="144">
        <v>23920</v>
      </c>
      <c r="L42" s="251">
        <v>23900</v>
      </c>
      <c r="M42" s="67"/>
      <c r="N42" s="67"/>
      <c r="O42" s="67"/>
      <c r="P42" s="147" t="s">
        <v>560</v>
      </c>
      <c r="Q42" s="165"/>
      <c r="R42" s="166" t="str">
        <f t="shared" si="4"/>
        <v/>
      </c>
      <c r="S42" s="167" t="s">
        <v>551</v>
      </c>
      <c r="T42" s="166" t="str">
        <f t="shared" si="1"/>
        <v/>
      </c>
      <c r="U42" s="166"/>
      <c r="V42" s="168" t="e">
        <f t="shared" si="5"/>
        <v>#VALUE!</v>
      </c>
      <c r="W42" s="166">
        <v>18400</v>
      </c>
      <c r="X42" s="166" t="s">
        <v>1311</v>
      </c>
      <c r="Y42" s="320"/>
      <c r="Z42" s="166"/>
      <c r="AA42" s="166"/>
      <c r="AB42" s="166"/>
    </row>
    <row r="43" spans="1:28" ht="15.8" customHeight="1">
      <c r="A43" s="1" t="s">
        <v>87</v>
      </c>
      <c r="B43" s="176" t="s">
        <v>1411</v>
      </c>
      <c r="C43" s="177" t="s">
        <v>1412</v>
      </c>
      <c r="D43" s="178">
        <v>1200</v>
      </c>
      <c r="E43" s="178">
        <f>D43*1.3</f>
        <v>1560</v>
      </c>
      <c r="F43" s="179" t="s">
        <v>550</v>
      </c>
      <c r="G43" s="180"/>
      <c r="H43" s="181" t="s">
        <v>551</v>
      </c>
      <c r="I43" s="182">
        <v>3</v>
      </c>
      <c r="J43" s="1" t="s">
        <v>550</v>
      </c>
      <c r="K43" s="67">
        <v>2000</v>
      </c>
      <c r="L43" s="251">
        <v>1900</v>
      </c>
      <c r="M43" s="67"/>
      <c r="N43" s="67"/>
      <c r="O43" s="67"/>
      <c r="P43" s="18" t="s">
        <v>350</v>
      </c>
      <c r="Q43" s="71"/>
      <c r="R43" s="5" t="str">
        <f t="shared" si="4"/>
        <v/>
      </c>
      <c r="S43" s="62" t="s">
        <v>551</v>
      </c>
      <c r="T43" s="5" t="str">
        <f t="shared" si="1"/>
        <v/>
      </c>
      <c r="U43" s="5" t="s">
        <v>1261</v>
      </c>
      <c r="V43" s="69">
        <f t="shared" si="5"/>
        <v>-100</v>
      </c>
      <c r="W43" s="5">
        <v>616</v>
      </c>
      <c r="X43" s="5">
        <v>2000</v>
      </c>
    </row>
    <row r="44" spans="1:28" ht="15.8" customHeight="1">
      <c r="A44" s="1" t="s">
        <v>591</v>
      </c>
      <c r="B44" s="183" t="s">
        <v>1413</v>
      </c>
      <c r="C44" s="203" t="s">
        <v>1414</v>
      </c>
      <c r="D44" s="184">
        <v>2300</v>
      </c>
      <c r="E44" s="178">
        <f t="shared" si="0"/>
        <v>2990</v>
      </c>
      <c r="F44" s="185" t="s">
        <v>559</v>
      </c>
      <c r="G44" s="186"/>
      <c r="H44" s="187" t="s">
        <v>551</v>
      </c>
      <c r="I44" s="188">
        <v>1</v>
      </c>
      <c r="J44" s="1" t="s">
        <v>103</v>
      </c>
      <c r="K44" s="67">
        <v>4200</v>
      </c>
      <c r="L44" s="251">
        <v>3900</v>
      </c>
      <c r="M44" s="67"/>
      <c r="N44" s="67">
        <v>2760</v>
      </c>
      <c r="O44" s="67"/>
      <c r="P44" s="18" t="s">
        <v>254</v>
      </c>
      <c r="Q44" s="71"/>
      <c r="R44" s="5" t="str">
        <f t="shared" si="4"/>
        <v/>
      </c>
      <c r="S44" s="62" t="s">
        <v>551</v>
      </c>
      <c r="T44" s="5" t="str">
        <f t="shared" si="1"/>
        <v/>
      </c>
      <c r="U44" s="5" t="s">
        <v>1261</v>
      </c>
      <c r="V44" s="69">
        <f t="shared" si="5"/>
        <v>-300</v>
      </c>
      <c r="W44" s="5">
        <v>3320</v>
      </c>
      <c r="X44" s="5">
        <v>4200</v>
      </c>
    </row>
    <row r="45" spans="1:28" ht="15.8" customHeight="1">
      <c r="A45" s="143" t="s">
        <v>592</v>
      </c>
      <c r="B45" s="196" t="s">
        <v>1417</v>
      </c>
      <c r="C45" s="197" t="s">
        <v>592</v>
      </c>
      <c r="D45" s="198">
        <v>4900</v>
      </c>
      <c r="E45" s="178">
        <f t="shared" si="0"/>
        <v>6370</v>
      </c>
      <c r="F45" s="199" t="s">
        <v>593</v>
      </c>
      <c r="G45" s="200" t="s">
        <v>1363</v>
      </c>
      <c r="H45" s="201" t="s">
        <v>595</v>
      </c>
      <c r="I45" s="202">
        <v>21</v>
      </c>
      <c r="J45" s="143" t="s">
        <v>593</v>
      </c>
      <c r="K45" s="144">
        <v>6370</v>
      </c>
      <c r="L45" s="251">
        <v>6000</v>
      </c>
      <c r="M45" s="67"/>
      <c r="N45" s="67"/>
      <c r="O45" s="67"/>
      <c r="P45" s="147" t="s">
        <v>594</v>
      </c>
      <c r="Q45" s="169"/>
      <c r="R45" s="166" t="str">
        <f t="shared" si="4"/>
        <v/>
      </c>
      <c r="S45" s="167" t="s">
        <v>595</v>
      </c>
      <c r="T45" s="166" t="str">
        <f t="shared" si="1"/>
        <v/>
      </c>
      <c r="U45" s="166"/>
      <c r="V45" s="168" t="e">
        <f t="shared" si="5"/>
        <v>#VALUE!</v>
      </c>
      <c r="W45" s="166">
        <v>4900</v>
      </c>
      <c r="X45" s="166" t="s">
        <v>1311</v>
      </c>
      <c r="Y45" s="320"/>
      <c r="Z45" s="166"/>
      <c r="AA45" s="166"/>
      <c r="AB45" s="166"/>
    </row>
    <row r="46" spans="1:28" ht="15.8" customHeight="1">
      <c r="A46" s="1" t="s">
        <v>57</v>
      </c>
      <c r="B46" s="5" t="s">
        <v>1792</v>
      </c>
      <c r="C46" s="203" t="s">
        <v>1868</v>
      </c>
      <c r="D46" s="184">
        <v>2530</v>
      </c>
      <c r="E46" s="178">
        <f>D46*1.3</f>
        <v>3289</v>
      </c>
      <c r="F46" s="185" t="s">
        <v>559</v>
      </c>
      <c r="G46" s="186"/>
      <c r="H46" s="187" t="s">
        <v>551</v>
      </c>
      <c r="I46" s="188">
        <v>1</v>
      </c>
      <c r="J46" s="1" t="s">
        <v>559</v>
      </c>
      <c r="K46" s="67">
        <v>3200</v>
      </c>
      <c r="L46" s="67">
        <v>3200</v>
      </c>
      <c r="M46" s="67"/>
      <c r="N46" s="67">
        <v>2875</v>
      </c>
      <c r="O46" s="67"/>
      <c r="P46" s="18" t="s">
        <v>423</v>
      </c>
      <c r="Q46" s="71"/>
      <c r="R46" s="5" t="str">
        <f t="shared" si="4"/>
        <v/>
      </c>
      <c r="S46" s="62" t="s">
        <v>551</v>
      </c>
      <c r="T46" s="5" t="str">
        <f t="shared" si="1"/>
        <v/>
      </c>
      <c r="U46" s="5" t="s">
        <v>1261</v>
      </c>
      <c r="V46" s="69">
        <f t="shared" si="5"/>
        <v>200</v>
      </c>
      <c r="W46" s="5">
        <v>2600</v>
      </c>
      <c r="X46" s="5">
        <v>3000</v>
      </c>
    </row>
    <row r="47" spans="1:28" ht="15.8" customHeight="1">
      <c r="A47" s="1" t="s">
        <v>596</v>
      </c>
      <c r="B47" s="196" t="s">
        <v>1415</v>
      </c>
      <c r="C47" s="197" t="s">
        <v>596</v>
      </c>
      <c r="D47" s="198">
        <v>9500</v>
      </c>
      <c r="E47" s="178">
        <f t="shared" si="0"/>
        <v>12350</v>
      </c>
      <c r="F47" s="199" t="s">
        <v>593</v>
      </c>
      <c r="G47" s="200" t="s">
        <v>1363</v>
      </c>
      <c r="H47" s="201" t="s">
        <v>595</v>
      </c>
      <c r="I47" s="208" t="s">
        <v>361</v>
      </c>
      <c r="J47" s="1" t="s">
        <v>593</v>
      </c>
      <c r="K47" s="67">
        <v>12350</v>
      </c>
      <c r="L47" s="67">
        <v>12350</v>
      </c>
      <c r="M47" s="67"/>
      <c r="N47" s="67"/>
      <c r="O47" s="67"/>
      <c r="P47" s="18" t="s">
        <v>1276</v>
      </c>
      <c r="Q47" s="71"/>
      <c r="R47" s="5" t="str">
        <f t="shared" si="4"/>
        <v/>
      </c>
      <c r="S47" s="62" t="s">
        <v>595</v>
      </c>
      <c r="T47" s="5" t="str">
        <f t="shared" si="1"/>
        <v/>
      </c>
      <c r="V47" s="69">
        <f t="shared" si="5"/>
        <v>12350</v>
      </c>
      <c r="W47" s="5">
        <v>9500</v>
      </c>
    </row>
    <row r="48" spans="1:28" ht="15.8" customHeight="1">
      <c r="A48" s="1" t="s">
        <v>597</v>
      </c>
      <c r="B48" s="189" t="s">
        <v>1418</v>
      </c>
      <c r="C48" s="190" t="s">
        <v>597</v>
      </c>
      <c r="D48" s="191">
        <v>4000</v>
      </c>
      <c r="E48" s="178">
        <f t="shared" si="0"/>
        <v>5200</v>
      </c>
      <c r="F48" s="192" t="s">
        <v>593</v>
      </c>
      <c r="G48" s="193" t="s">
        <v>1363</v>
      </c>
      <c r="H48" s="194" t="s">
        <v>595</v>
      </c>
      <c r="I48" s="195">
        <v>7</v>
      </c>
      <c r="J48" s="1" t="s">
        <v>593</v>
      </c>
      <c r="K48" s="67">
        <v>5200</v>
      </c>
      <c r="L48" s="67">
        <v>5200</v>
      </c>
      <c r="M48" s="67"/>
      <c r="N48" s="67"/>
      <c r="O48" s="67"/>
      <c r="P48" s="18" t="s">
        <v>584</v>
      </c>
      <c r="Q48" s="71"/>
      <c r="R48" s="5" t="str">
        <f t="shared" ref="R48:R69" si="6">IF(Q48="x",CONCATENATE(A48,"; "),"")</f>
        <v/>
      </c>
      <c r="S48" s="62" t="s">
        <v>595</v>
      </c>
      <c r="T48" s="5" t="str">
        <f t="shared" si="1"/>
        <v/>
      </c>
      <c r="U48" s="5" t="s">
        <v>1316</v>
      </c>
      <c r="V48" s="69">
        <f t="shared" si="5"/>
        <v>0</v>
      </c>
      <c r="W48" s="5">
        <v>4000</v>
      </c>
      <c r="X48" s="5">
        <v>5200</v>
      </c>
    </row>
    <row r="49" spans="1:28" ht="15.8" customHeight="1">
      <c r="A49" s="1" t="s">
        <v>185</v>
      </c>
      <c r="B49" s="176" t="s">
        <v>1419</v>
      </c>
      <c r="C49" s="177" t="s">
        <v>185</v>
      </c>
      <c r="D49" s="178">
        <v>5979.9999999999991</v>
      </c>
      <c r="E49" s="178">
        <f t="shared" si="0"/>
        <v>7773.9999999999991</v>
      </c>
      <c r="F49" s="179" t="s">
        <v>550</v>
      </c>
      <c r="G49" s="180"/>
      <c r="H49" s="181" t="s">
        <v>551</v>
      </c>
      <c r="I49" s="182">
        <v>15</v>
      </c>
      <c r="J49" s="1" t="s">
        <v>550</v>
      </c>
      <c r="K49" s="67">
        <v>7800</v>
      </c>
      <c r="L49" s="67">
        <v>7800</v>
      </c>
      <c r="M49" s="67"/>
      <c r="N49" s="67"/>
      <c r="O49" s="67"/>
      <c r="P49" s="18" t="s">
        <v>552</v>
      </c>
      <c r="Q49" s="71"/>
      <c r="R49" s="5" t="str">
        <f t="shared" si="6"/>
        <v/>
      </c>
      <c r="S49" s="62" t="s">
        <v>551</v>
      </c>
      <c r="T49" s="5" t="str">
        <f t="shared" si="1"/>
        <v/>
      </c>
      <c r="U49" s="5" t="s">
        <v>1262</v>
      </c>
      <c r="V49" s="69">
        <f t="shared" si="5"/>
        <v>20</v>
      </c>
      <c r="W49" s="5">
        <v>5979.9999999999991</v>
      </c>
      <c r="X49" s="5">
        <v>7780</v>
      </c>
    </row>
    <row r="50" spans="1:28" ht="15.8" customHeight="1">
      <c r="A50" s="1" t="s">
        <v>186</v>
      </c>
      <c r="B50" s="183" t="s">
        <v>1420</v>
      </c>
      <c r="C50" s="203" t="s">
        <v>186</v>
      </c>
      <c r="D50" s="184">
        <v>5979.9999999999991</v>
      </c>
      <c r="E50" s="178">
        <f t="shared" si="0"/>
        <v>7773.9999999999991</v>
      </c>
      <c r="F50" s="185" t="s">
        <v>550</v>
      </c>
      <c r="G50" s="186"/>
      <c r="H50" s="187" t="s">
        <v>551</v>
      </c>
      <c r="I50" s="188">
        <v>15</v>
      </c>
      <c r="J50" s="1" t="s">
        <v>550</v>
      </c>
      <c r="K50" s="67">
        <v>7800</v>
      </c>
      <c r="L50" s="67">
        <v>7800</v>
      </c>
      <c r="M50" s="67"/>
      <c r="N50" s="67"/>
      <c r="O50" s="67"/>
      <c r="P50" s="18" t="s">
        <v>552</v>
      </c>
      <c r="Q50" s="71"/>
      <c r="R50" s="5" t="str">
        <f t="shared" si="6"/>
        <v/>
      </c>
      <c r="S50" s="62" t="s">
        <v>551</v>
      </c>
      <c r="T50" s="5" t="str">
        <f t="shared" si="1"/>
        <v/>
      </c>
      <c r="V50" s="69">
        <f t="shared" si="5"/>
        <v>20</v>
      </c>
      <c r="W50" s="5">
        <v>5979.9999999999991</v>
      </c>
      <c r="X50" s="5">
        <v>7780</v>
      </c>
    </row>
    <row r="51" spans="1:28" ht="15.8" customHeight="1">
      <c r="A51" s="1" t="s">
        <v>187</v>
      </c>
      <c r="B51" s="176" t="s">
        <v>1421</v>
      </c>
      <c r="C51" s="177" t="s">
        <v>187</v>
      </c>
      <c r="D51" s="178">
        <v>5979.9999999999991</v>
      </c>
      <c r="E51" s="178">
        <f t="shared" si="0"/>
        <v>7773.9999999999991</v>
      </c>
      <c r="F51" s="179" t="s">
        <v>550</v>
      </c>
      <c r="G51" s="180"/>
      <c r="H51" s="181" t="s">
        <v>551</v>
      </c>
      <c r="I51" s="182">
        <v>15</v>
      </c>
      <c r="J51" s="1" t="s">
        <v>550</v>
      </c>
      <c r="K51" s="67">
        <v>7800</v>
      </c>
      <c r="L51" s="67">
        <v>7800</v>
      </c>
      <c r="M51" s="67"/>
      <c r="N51" s="67"/>
      <c r="O51" s="67"/>
      <c r="P51" s="18" t="s">
        <v>552</v>
      </c>
      <c r="Q51" s="71"/>
      <c r="R51" s="5" t="str">
        <f t="shared" si="6"/>
        <v/>
      </c>
      <c r="S51" s="62" t="s">
        <v>551</v>
      </c>
      <c r="T51" s="5" t="str">
        <f t="shared" si="1"/>
        <v/>
      </c>
      <c r="V51" s="170">
        <f t="shared" si="5"/>
        <v>-70</v>
      </c>
      <c r="W51" s="5">
        <v>5979.9999999999991</v>
      </c>
      <c r="X51" s="5">
        <v>7870</v>
      </c>
    </row>
    <row r="52" spans="1:28" s="7" customFormat="1" ht="15.8" customHeight="1">
      <c r="A52" s="1" t="s">
        <v>598</v>
      </c>
      <c r="B52" s="183" t="s">
        <v>598</v>
      </c>
      <c r="C52" s="203" t="s">
        <v>598</v>
      </c>
      <c r="D52" s="184">
        <v>590</v>
      </c>
      <c r="E52" s="178">
        <f t="shared" si="0"/>
        <v>767</v>
      </c>
      <c r="F52" s="185" t="s">
        <v>593</v>
      </c>
      <c r="G52" s="186"/>
      <c r="H52" s="187" t="s">
        <v>599</v>
      </c>
      <c r="I52" s="188">
        <v>1</v>
      </c>
      <c r="J52" s="1" t="s">
        <v>593</v>
      </c>
      <c r="K52" s="67">
        <v>800</v>
      </c>
      <c r="L52" s="67">
        <v>800</v>
      </c>
      <c r="M52" s="67"/>
      <c r="N52" s="67"/>
      <c r="O52" s="67"/>
      <c r="P52" s="18" t="s">
        <v>1277</v>
      </c>
      <c r="Q52" s="71"/>
      <c r="R52" s="5" t="str">
        <f t="shared" si="6"/>
        <v/>
      </c>
      <c r="S52" s="62" t="s">
        <v>599</v>
      </c>
      <c r="T52" s="5" t="str">
        <f t="shared" si="1"/>
        <v/>
      </c>
      <c r="U52" s="5"/>
      <c r="V52" s="69">
        <f t="shared" si="5"/>
        <v>30</v>
      </c>
      <c r="W52" s="5">
        <v>590</v>
      </c>
      <c r="X52" s="7">
        <v>770</v>
      </c>
      <c r="Y52" s="323"/>
    </row>
    <row r="53" spans="1:28" s="7" customFormat="1" ht="15.8" customHeight="1">
      <c r="A53" s="1" t="s">
        <v>600</v>
      </c>
      <c r="B53" s="176" t="s">
        <v>1422</v>
      </c>
      <c r="C53" s="177" t="s">
        <v>600</v>
      </c>
      <c r="D53" s="178">
        <v>9900</v>
      </c>
      <c r="E53" s="178">
        <f t="shared" si="0"/>
        <v>12870</v>
      </c>
      <c r="F53" s="179" t="s">
        <v>88</v>
      </c>
      <c r="G53" s="180"/>
      <c r="H53" s="181" t="s">
        <v>551</v>
      </c>
      <c r="I53" s="182">
        <v>17</v>
      </c>
      <c r="J53" s="1" t="s">
        <v>88</v>
      </c>
      <c r="K53" s="67">
        <v>12900</v>
      </c>
      <c r="L53" s="67">
        <v>12900</v>
      </c>
      <c r="M53" s="67">
        <v>26000</v>
      </c>
      <c r="N53" s="67"/>
      <c r="O53" s="67">
        <v>12600</v>
      </c>
      <c r="P53" s="18" t="s">
        <v>552</v>
      </c>
      <c r="Q53" s="71"/>
      <c r="R53" s="5" t="str">
        <f t="shared" si="6"/>
        <v/>
      </c>
      <c r="S53" s="62" t="s">
        <v>551</v>
      </c>
      <c r="T53" s="5" t="str">
        <f t="shared" si="1"/>
        <v/>
      </c>
      <c r="U53" s="5"/>
      <c r="V53" s="69" t="e">
        <f t="shared" si="5"/>
        <v>#VALUE!</v>
      </c>
      <c r="W53" s="5">
        <v>9900</v>
      </c>
      <c r="X53" s="7" t="s">
        <v>1311</v>
      </c>
      <c r="Y53" s="323" t="s">
        <v>1317</v>
      </c>
    </row>
    <row r="54" spans="1:28" s="7" customFormat="1" ht="15.8" customHeight="1">
      <c r="A54" s="1" t="s">
        <v>222</v>
      </c>
      <c r="B54" s="183" t="s">
        <v>1423</v>
      </c>
      <c r="C54" s="203" t="s">
        <v>222</v>
      </c>
      <c r="D54" s="184">
        <v>3219.9999999999995</v>
      </c>
      <c r="E54" s="178">
        <f t="shared" si="0"/>
        <v>4186</v>
      </c>
      <c r="F54" s="185" t="s">
        <v>88</v>
      </c>
      <c r="G54" s="186"/>
      <c r="H54" s="187" t="s">
        <v>551</v>
      </c>
      <c r="I54" s="188">
        <v>5</v>
      </c>
      <c r="J54" s="1" t="s">
        <v>88</v>
      </c>
      <c r="K54" s="67">
        <v>4200</v>
      </c>
      <c r="L54" s="67">
        <v>4200</v>
      </c>
      <c r="M54" s="67"/>
      <c r="N54" s="67"/>
      <c r="O54" s="67"/>
      <c r="P54" s="18" t="s">
        <v>1278</v>
      </c>
      <c r="Q54" s="71"/>
      <c r="R54" s="5" t="str">
        <f t="shared" si="6"/>
        <v/>
      </c>
      <c r="S54" s="62" t="s">
        <v>551</v>
      </c>
      <c r="T54" s="5" t="str">
        <f t="shared" si="1"/>
        <v/>
      </c>
      <c r="U54" s="5"/>
      <c r="V54" s="69">
        <f t="shared" si="5"/>
        <v>10</v>
      </c>
      <c r="W54" s="5">
        <v>3219.9999999999995</v>
      </c>
      <c r="X54" s="7">
        <v>4190</v>
      </c>
      <c r="Y54" s="323"/>
    </row>
    <row r="55" spans="1:28" s="8" customFormat="1" ht="15.8" customHeight="1">
      <c r="A55" s="1" t="s">
        <v>221</v>
      </c>
      <c r="B55" s="176" t="s">
        <v>1424</v>
      </c>
      <c r="C55" s="177" t="s">
        <v>221</v>
      </c>
      <c r="D55" s="178">
        <v>3219.9999999999995</v>
      </c>
      <c r="E55" s="178">
        <f t="shared" si="0"/>
        <v>4186</v>
      </c>
      <c r="F55" s="179" t="s">
        <v>88</v>
      </c>
      <c r="G55" s="180"/>
      <c r="H55" s="181" t="s">
        <v>551</v>
      </c>
      <c r="I55" s="182">
        <v>5</v>
      </c>
      <c r="J55" s="1" t="s">
        <v>88</v>
      </c>
      <c r="K55" s="67">
        <v>4200</v>
      </c>
      <c r="L55" s="67">
        <v>4200</v>
      </c>
      <c r="M55" s="67"/>
      <c r="N55" s="67"/>
      <c r="O55" s="67"/>
      <c r="P55" s="18" t="s">
        <v>1278</v>
      </c>
      <c r="Q55" s="71"/>
      <c r="R55" s="5" t="str">
        <f t="shared" si="6"/>
        <v/>
      </c>
      <c r="S55" s="62" t="s">
        <v>551</v>
      </c>
      <c r="T55" s="5" t="str">
        <f t="shared" si="1"/>
        <v/>
      </c>
      <c r="U55" s="5"/>
      <c r="V55" s="69">
        <f t="shared" si="5"/>
        <v>10</v>
      </c>
      <c r="W55" s="5">
        <v>3219.9999999999995</v>
      </c>
      <c r="X55" s="8">
        <v>4190</v>
      </c>
      <c r="Y55" s="324"/>
    </row>
    <row r="56" spans="1:28" ht="15.8" customHeight="1">
      <c r="A56" s="157" t="s">
        <v>601</v>
      </c>
      <c r="B56" s="183" t="s">
        <v>1425</v>
      </c>
      <c r="C56" s="203" t="s">
        <v>601</v>
      </c>
      <c r="D56" s="184">
        <v>5060</v>
      </c>
      <c r="E56" s="178">
        <f t="shared" si="0"/>
        <v>6578</v>
      </c>
      <c r="F56" s="185" t="s">
        <v>602</v>
      </c>
      <c r="G56" s="186"/>
      <c r="H56" s="187" t="s">
        <v>551</v>
      </c>
      <c r="I56" s="188">
        <v>17</v>
      </c>
      <c r="J56" s="157" t="s">
        <v>602</v>
      </c>
      <c r="K56" s="158">
        <v>6578</v>
      </c>
      <c r="L56" s="251">
        <v>6500</v>
      </c>
      <c r="M56" s="67"/>
      <c r="N56" s="67"/>
      <c r="O56" s="67"/>
      <c r="P56" s="159" t="s">
        <v>552</v>
      </c>
      <c r="Q56" s="71"/>
      <c r="R56" s="5" t="str">
        <f t="shared" si="6"/>
        <v/>
      </c>
      <c r="S56" s="62" t="s">
        <v>551</v>
      </c>
      <c r="T56" s="5" t="str">
        <f t="shared" si="1"/>
        <v/>
      </c>
      <c r="V56" s="69"/>
      <c r="W56" s="5">
        <v>5060</v>
      </c>
    </row>
    <row r="57" spans="1:28" s="7" customFormat="1" ht="15.8" customHeight="1">
      <c r="A57" s="157" t="s">
        <v>603</v>
      </c>
      <c r="B57" s="176" t="s">
        <v>1426</v>
      </c>
      <c r="C57" s="177" t="s">
        <v>1427</v>
      </c>
      <c r="D57" s="178">
        <v>31500</v>
      </c>
      <c r="E57" s="178">
        <f t="shared" si="0"/>
        <v>40950</v>
      </c>
      <c r="F57" s="179" t="s">
        <v>562</v>
      </c>
      <c r="G57" s="180"/>
      <c r="H57" s="181" t="s">
        <v>604</v>
      </c>
      <c r="I57" s="182">
        <v>17</v>
      </c>
      <c r="J57" s="157" t="s">
        <v>562</v>
      </c>
      <c r="K57" s="158">
        <v>40950</v>
      </c>
      <c r="L57" s="254">
        <v>40950</v>
      </c>
      <c r="M57" s="67"/>
      <c r="N57" s="67"/>
      <c r="O57" s="67"/>
      <c r="P57" s="159" t="s">
        <v>552</v>
      </c>
      <c r="Q57" s="71"/>
      <c r="R57" s="5" t="str">
        <f t="shared" si="6"/>
        <v/>
      </c>
      <c r="S57" s="62" t="s">
        <v>604</v>
      </c>
      <c r="T57" s="5" t="str">
        <f t="shared" si="1"/>
        <v/>
      </c>
      <c r="U57" s="5"/>
      <c r="V57" s="69"/>
      <c r="W57" s="5">
        <v>31500</v>
      </c>
      <c r="Y57" s="323"/>
    </row>
    <row r="58" spans="1:28" ht="15.8" customHeight="1">
      <c r="A58" s="1" t="s">
        <v>605</v>
      </c>
      <c r="B58" s="183" t="s">
        <v>1428</v>
      </c>
      <c r="C58" s="203" t="s">
        <v>605</v>
      </c>
      <c r="D58" s="184">
        <v>4024.9999999999995</v>
      </c>
      <c r="E58" s="178">
        <f t="shared" si="0"/>
        <v>5232.5</v>
      </c>
      <c r="F58" s="185" t="s">
        <v>88</v>
      </c>
      <c r="G58" s="186"/>
      <c r="H58" s="187" t="s">
        <v>551</v>
      </c>
      <c r="I58" s="188">
        <v>5</v>
      </c>
      <c r="J58" s="1" t="s">
        <v>88</v>
      </c>
      <c r="K58" s="67">
        <v>5300</v>
      </c>
      <c r="L58" s="67">
        <v>5300</v>
      </c>
      <c r="M58" s="67">
        <v>9100</v>
      </c>
      <c r="N58" s="67"/>
      <c r="O58" s="67">
        <v>7600</v>
      </c>
      <c r="P58" s="18" t="s">
        <v>1278</v>
      </c>
      <c r="Q58" s="71"/>
      <c r="R58" s="5" t="str">
        <f t="shared" si="6"/>
        <v/>
      </c>
      <c r="S58" s="62" t="s">
        <v>551</v>
      </c>
      <c r="T58" s="5" t="str">
        <f t="shared" si="1"/>
        <v/>
      </c>
      <c r="V58" s="69"/>
      <c r="W58" s="5">
        <v>4024.9999999999995</v>
      </c>
      <c r="Y58" s="323" t="s">
        <v>1317</v>
      </c>
    </row>
    <row r="59" spans="1:28" ht="15.8" customHeight="1">
      <c r="A59" s="1" t="s">
        <v>419</v>
      </c>
      <c r="B59" s="176" t="s">
        <v>1429</v>
      </c>
      <c r="C59" s="177" t="s">
        <v>419</v>
      </c>
      <c r="D59" s="178">
        <v>10350</v>
      </c>
      <c r="E59" s="178">
        <f t="shared" si="0"/>
        <v>13455</v>
      </c>
      <c r="F59" s="179" t="s">
        <v>88</v>
      </c>
      <c r="G59" s="180"/>
      <c r="H59" s="181" t="s">
        <v>551</v>
      </c>
      <c r="I59" s="182">
        <v>5</v>
      </c>
      <c r="J59" s="1" t="s">
        <v>88</v>
      </c>
      <c r="K59" s="67">
        <v>13500</v>
      </c>
      <c r="L59" s="67">
        <v>13500</v>
      </c>
      <c r="M59" s="67">
        <v>12500</v>
      </c>
      <c r="N59" s="67"/>
      <c r="O59" s="67">
        <v>14000</v>
      </c>
      <c r="P59" s="18" t="s">
        <v>1278</v>
      </c>
      <c r="Q59" s="71"/>
      <c r="R59" s="5" t="str">
        <f t="shared" si="6"/>
        <v/>
      </c>
      <c r="S59" s="62" t="s">
        <v>551</v>
      </c>
      <c r="T59" s="5" t="str">
        <f t="shared" si="1"/>
        <v/>
      </c>
      <c r="V59" s="69"/>
      <c r="W59" s="5">
        <v>10350</v>
      </c>
      <c r="Y59" s="323" t="s">
        <v>1317</v>
      </c>
    </row>
    <row r="60" spans="1:28" s="9" customFormat="1" ht="15.8" customHeight="1">
      <c r="A60" s="1" t="s">
        <v>606</v>
      </c>
      <c r="B60" s="183" t="s">
        <v>1430</v>
      </c>
      <c r="C60" s="203" t="s">
        <v>606</v>
      </c>
      <c r="D60" s="184">
        <v>4000</v>
      </c>
      <c r="E60" s="178">
        <f t="shared" si="0"/>
        <v>5200</v>
      </c>
      <c r="F60" s="185" t="s">
        <v>607</v>
      </c>
      <c r="G60" s="186"/>
      <c r="H60" s="187" t="s">
        <v>608</v>
      </c>
      <c r="I60" s="205" t="s">
        <v>350</v>
      </c>
      <c r="J60" s="1" t="s">
        <v>607</v>
      </c>
      <c r="K60" s="67">
        <v>5200</v>
      </c>
      <c r="L60" s="67">
        <v>5200</v>
      </c>
      <c r="M60" s="67"/>
      <c r="N60" s="67"/>
      <c r="O60" s="67"/>
      <c r="P60" s="18" t="s">
        <v>587</v>
      </c>
      <c r="Q60" s="71"/>
      <c r="R60" s="5" t="str">
        <f t="shared" si="6"/>
        <v/>
      </c>
      <c r="S60" s="62" t="s">
        <v>608</v>
      </c>
      <c r="T60" s="5" t="str">
        <f t="shared" si="1"/>
        <v/>
      </c>
      <c r="U60" s="5"/>
      <c r="V60" s="69">
        <f>L60-X60</f>
        <v>0</v>
      </c>
      <c r="W60" s="5">
        <v>4000</v>
      </c>
      <c r="X60" s="171">
        <v>5200</v>
      </c>
      <c r="Y60" s="325"/>
    </row>
    <row r="61" spans="1:28" ht="15.8" customHeight="1">
      <c r="A61" s="1" t="s">
        <v>507</v>
      </c>
      <c r="B61" s="176" t="s">
        <v>1431</v>
      </c>
      <c r="C61" s="177" t="s">
        <v>40</v>
      </c>
      <c r="D61" s="178">
        <v>2070</v>
      </c>
      <c r="E61" s="178">
        <f t="shared" si="0"/>
        <v>2691</v>
      </c>
      <c r="F61" s="179" t="s">
        <v>562</v>
      </c>
      <c r="G61" s="180"/>
      <c r="H61" s="181" t="s">
        <v>551</v>
      </c>
      <c r="I61" s="182">
        <v>1</v>
      </c>
      <c r="J61" s="1" t="s">
        <v>550</v>
      </c>
      <c r="K61" s="67">
        <v>5200</v>
      </c>
      <c r="L61" s="251">
        <v>4500</v>
      </c>
      <c r="M61" s="67">
        <v>4600</v>
      </c>
      <c r="N61" s="67">
        <v>3335</v>
      </c>
      <c r="O61" s="67"/>
      <c r="P61" s="18" t="s">
        <v>254</v>
      </c>
      <c r="Q61" s="71"/>
      <c r="R61" s="5" t="str">
        <f t="shared" si="6"/>
        <v/>
      </c>
      <c r="S61" s="62" t="s">
        <v>551</v>
      </c>
      <c r="T61" s="5" t="str">
        <f t="shared" si="1"/>
        <v/>
      </c>
      <c r="U61" s="5" t="s">
        <v>1261</v>
      </c>
      <c r="V61" s="69">
        <f>L61-X61</f>
        <v>-700</v>
      </c>
      <c r="W61" s="5">
        <v>3947</v>
      </c>
      <c r="X61" s="5">
        <v>5200</v>
      </c>
    </row>
    <row r="62" spans="1:28" s="7" customFormat="1" ht="15.8" customHeight="1">
      <c r="A62" s="157" t="s">
        <v>609</v>
      </c>
      <c r="B62" s="183" t="s">
        <v>1432</v>
      </c>
      <c r="C62" s="203" t="s">
        <v>1433</v>
      </c>
      <c r="D62" s="184">
        <v>13799.999999999998</v>
      </c>
      <c r="E62" s="178">
        <f t="shared" si="0"/>
        <v>17940</v>
      </c>
      <c r="F62" s="185" t="s">
        <v>567</v>
      </c>
      <c r="G62" s="186"/>
      <c r="H62" s="187" t="s">
        <v>604</v>
      </c>
      <c r="I62" s="188">
        <v>12</v>
      </c>
      <c r="J62" s="157" t="s">
        <v>567</v>
      </c>
      <c r="K62" s="158">
        <v>17940</v>
      </c>
      <c r="L62" s="251">
        <v>17900</v>
      </c>
      <c r="M62" s="160"/>
      <c r="N62" s="160"/>
      <c r="O62" s="160"/>
      <c r="P62" s="159" t="s">
        <v>610</v>
      </c>
      <c r="Q62" s="71"/>
      <c r="R62" s="5" t="str">
        <f t="shared" si="6"/>
        <v/>
      </c>
      <c r="S62" s="62" t="s">
        <v>604</v>
      </c>
      <c r="T62" s="5" t="str">
        <f t="shared" si="1"/>
        <v/>
      </c>
      <c r="U62" s="5"/>
      <c r="V62" s="69"/>
      <c r="W62" s="5">
        <v>13799.999999999998</v>
      </c>
      <c r="Y62" s="323"/>
    </row>
    <row r="63" spans="1:28" ht="15.8" customHeight="1">
      <c r="A63" s="1" t="s">
        <v>611</v>
      </c>
      <c r="B63" s="176" t="s">
        <v>1436</v>
      </c>
      <c r="C63" s="177" t="s">
        <v>1437</v>
      </c>
      <c r="D63" s="178">
        <v>2200</v>
      </c>
      <c r="E63" s="178">
        <f t="shared" si="0"/>
        <v>2860</v>
      </c>
      <c r="F63" s="179" t="s">
        <v>559</v>
      </c>
      <c r="G63" s="180"/>
      <c r="H63" s="181" t="s">
        <v>551</v>
      </c>
      <c r="I63" s="182">
        <v>1</v>
      </c>
      <c r="J63" s="1" t="s">
        <v>559</v>
      </c>
      <c r="K63" s="67">
        <v>4200</v>
      </c>
      <c r="L63" s="251">
        <v>3900</v>
      </c>
      <c r="M63" s="67"/>
      <c r="N63" s="67">
        <v>3335</v>
      </c>
      <c r="O63" s="67"/>
      <c r="P63" s="18" t="s">
        <v>254</v>
      </c>
      <c r="Q63" s="71"/>
      <c r="R63" s="5" t="str">
        <f t="shared" si="6"/>
        <v/>
      </c>
      <c r="S63" s="62" t="s">
        <v>551</v>
      </c>
      <c r="T63" s="5" t="str">
        <f t="shared" si="1"/>
        <v/>
      </c>
      <c r="U63" s="5" t="s">
        <v>1261</v>
      </c>
      <c r="V63" s="69">
        <f t="shared" ref="V63:V69" si="7">L63-X63</f>
        <v>-300</v>
      </c>
      <c r="W63" s="5">
        <v>2922</v>
      </c>
      <c r="X63" s="5">
        <v>4200</v>
      </c>
    </row>
    <row r="64" spans="1:28" ht="15.8" customHeight="1">
      <c r="A64" s="143" t="s">
        <v>115</v>
      </c>
      <c r="B64" s="176" t="s">
        <v>1434</v>
      </c>
      <c r="C64" s="177" t="s">
        <v>115</v>
      </c>
      <c r="D64" s="178">
        <v>6899.9999999999991</v>
      </c>
      <c r="E64" s="178">
        <f t="shared" si="0"/>
        <v>8970</v>
      </c>
      <c r="F64" s="179" t="s">
        <v>103</v>
      </c>
      <c r="G64" s="180"/>
      <c r="H64" s="181" t="s">
        <v>551</v>
      </c>
      <c r="I64" s="182">
        <v>3</v>
      </c>
      <c r="J64" s="143" t="s">
        <v>103</v>
      </c>
      <c r="K64" s="144">
        <v>8970</v>
      </c>
      <c r="L64" s="251">
        <v>8900</v>
      </c>
      <c r="M64" s="67"/>
      <c r="N64" s="67"/>
      <c r="O64" s="67"/>
      <c r="P64" s="147" t="s">
        <v>1275</v>
      </c>
      <c r="Q64" s="165"/>
      <c r="R64" s="166" t="str">
        <f t="shared" si="6"/>
        <v/>
      </c>
      <c r="S64" s="167" t="s">
        <v>551</v>
      </c>
      <c r="T64" s="166" t="str">
        <f t="shared" si="1"/>
        <v/>
      </c>
      <c r="U64" s="166"/>
      <c r="V64" s="168" t="e">
        <f t="shared" si="7"/>
        <v>#VALUE!</v>
      </c>
      <c r="W64" s="166">
        <v>6899.9999999999991</v>
      </c>
      <c r="X64" s="166" t="s">
        <v>1311</v>
      </c>
      <c r="Y64" s="320"/>
      <c r="Z64" s="166"/>
      <c r="AA64" s="166"/>
      <c r="AB64" s="166"/>
    </row>
    <row r="65" spans="1:28" ht="15.8" customHeight="1">
      <c r="A65" s="143" t="s">
        <v>612</v>
      </c>
      <c r="B65" s="189" t="s">
        <v>1435</v>
      </c>
      <c r="C65" s="190" t="s">
        <v>612</v>
      </c>
      <c r="D65" s="191">
        <v>5990</v>
      </c>
      <c r="E65" s="178">
        <f t="shared" ref="E65:E124" si="8">D65*1.3</f>
        <v>7787</v>
      </c>
      <c r="F65" s="192" t="s">
        <v>550</v>
      </c>
      <c r="G65" s="193" t="s">
        <v>1363</v>
      </c>
      <c r="H65" s="193" t="s">
        <v>575</v>
      </c>
      <c r="I65" s="195">
        <v>3</v>
      </c>
      <c r="J65" s="143" t="s">
        <v>550</v>
      </c>
      <c r="K65" s="144">
        <v>7800</v>
      </c>
      <c r="L65" s="144">
        <v>7800</v>
      </c>
      <c r="M65" s="67"/>
      <c r="N65" s="67">
        <v>6440</v>
      </c>
      <c r="O65" s="67"/>
      <c r="P65" s="147" t="s">
        <v>1275</v>
      </c>
      <c r="Q65" s="165"/>
      <c r="R65" s="166" t="str">
        <f t="shared" si="6"/>
        <v/>
      </c>
      <c r="S65" s="167" t="s">
        <v>575</v>
      </c>
      <c r="T65" s="166" t="str">
        <f t="shared" si="1"/>
        <v/>
      </c>
      <c r="U65" s="166"/>
      <c r="V65" s="168" t="e">
        <f t="shared" si="7"/>
        <v>#VALUE!</v>
      </c>
      <c r="W65" s="166">
        <v>5990</v>
      </c>
      <c r="X65" s="166" t="s">
        <v>1311</v>
      </c>
      <c r="Y65" s="320"/>
      <c r="Z65" s="166"/>
      <c r="AA65" s="166"/>
      <c r="AB65" s="166"/>
    </row>
    <row r="66" spans="1:28" s="173" customFormat="1" ht="15.8" customHeight="1">
      <c r="A66" s="259" t="s">
        <v>1318</v>
      </c>
      <c r="E66" s="237">
        <f t="shared" si="8"/>
        <v>0</v>
      </c>
      <c r="J66" s="233" t="s">
        <v>559</v>
      </c>
      <c r="K66" s="145">
        <v>9700</v>
      </c>
      <c r="L66" s="145">
        <v>9700</v>
      </c>
      <c r="M66" s="145"/>
      <c r="N66" s="145"/>
      <c r="O66" s="145"/>
      <c r="P66" s="242" t="s">
        <v>254</v>
      </c>
      <c r="Q66" s="169"/>
      <c r="R66" s="173" t="str">
        <f t="shared" si="6"/>
        <v/>
      </c>
      <c r="S66" s="243" t="s">
        <v>551</v>
      </c>
      <c r="T66" s="173" t="str">
        <f t="shared" si="1"/>
        <v/>
      </c>
      <c r="U66" s="173" t="s">
        <v>1263</v>
      </c>
      <c r="V66" s="170">
        <f t="shared" si="7"/>
        <v>0</v>
      </c>
      <c r="W66" s="173">
        <v>0</v>
      </c>
      <c r="X66" s="173">
        <v>9700</v>
      </c>
      <c r="Y66" s="321"/>
    </row>
    <row r="67" spans="1:28" ht="15.8" customHeight="1">
      <c r="A67" s="172" t="s">
        <v>17</v>
      </c>
      <c r="B67" s="189" t="s">
        <v>1438</v>
      </c>
      <c r="C67" s="190" t="s">
        <v>1439</v>
      </c>
      <c r="D67" s="280">
        <v>69</v>
      </c>
      <c r="E67" s="277">
        <f t="shared" si="8"/>
        <v>89.7</v>
      </c>
      <c r="F67" s="192" t="s">
        <v>550</v>
      </c>
      <c r="G67" s="193" t="s">
        <v>1363</v>
      </c>
      <c r="H67" s="194" t="s">
        <v>551</v>
      </c>
      <c r="I67" s="195">
        <v>1</v>
      </c>
      <c r="J67" s="1" t="s">
        <v>550</v>
      </c>
      <c r="K67" s="67">
        <v>650</v>
      </c>
      <c r="L67" s="67">
        <v>650</v>
      </c>
      <c r="M67" s="67"/>
      <c r="N67" s="67">
        <v>200</v>
      </c>
      <c r="O67" s="67">
        <v>800</v>
      </c>
      <c r="P67" s="18" t="s">
        <v>254</v>
      </c>
      <c r="Q67" s="279"/>
      <c r="R67" s="5" t="str">
        <f t="shared" si="6"/>
        <v/>
      </c>
      <c r="S67" s="62" t="s">
        <v>551</v>
      </c>
      <c r="T67" s="5" t="str">
        <f t="shared" si="1"/>
        <v/>
      </c>
      <c r="U67" s="5" t="s">
        <v>1261</v>
      </c>
      <c r="V67" s="69">
        <f t="shared" si="7"/>
        <v>150</v>
      </c>
      <c r="W67" s="5">
        <v>500</v>
      </c>
      <c r="X67" s="5">
        <v>500</v>
      </c>
    </row>
    <row r="68" spans="1:28" ht="15.8" customHeight="1">
      <c r="A68" s="172" t="s">
        <v>16</v>
      </c>
      <c r="B68" s="189" t="s">
        <v>1440</v>
      </c>
      <c r="C68" s="190" t="s">
        <v>1441</v>
      </c>
      <c r="D68" s="280">
        <v>69</v>
      </c>
      <c r="E68" s="277">
        <f t="shared" si="8"/>
        <v>89.7</v>
      </c>
      <c r="F68" s="192" t="s">
        <v>550</v>
      </c>
      <c r="G68" s="193" t="s">
        <v>1363</v>
      </c>
      <c r="H68" s="194" t="s">
        <v>551</v>
      </c>
      <c r="I68" s="195">
        <v>1</v>
      </c>
      <c r="J68" s="1" t="s">
        <v>550</v>
      </c>
      <c r="K68" s="67">
        <v>500</v>
      </c>
      <c r="L68" s="67">
        <v>500</v>
      </c>
      <c r="M68" s="67"/>
      <c r="N68" s="67">
        <v>200</v>
      </c>
      <c r="O68" s="67">
        <v>800</v>
      </c>
      <c r="P68" s="18" t="s">
        <v>254</v>
      </c>
      <c r="Q68" s="279"/>
      <c r="R68" s="5" t="str">
        <f t="shared" si="6"/>
        <v/>
      </c>
      <c r="S68" s="62" t="s">
        <v>551</v>
      </c>
      <c r="T68" s="5" t="str">
        <f t="shared" si="1"/>
        <v/>
      </c>
      <c r="V68" s="69">
        <f t="shared" si="7"/>
        <v>500</v>
      </c>
      <c r="W68" s="5">
        <v>254</v>
      </c>
    </row>
    <row r="69" spans="1:28" ht="15.8" customHeight="1">
      <c r="A69" s="143" t="s">
        <v>613</v>
      </c>
      <c r="B69" s="183" t="s">
        <v>1442</v>
      </c>
      <c r="C69" s="203" t="s">
        <v>613</v>
      </c>
      <c r="D69" s="184">
        <v>12649.999999999998</v>
      </c>
      <c r="E69" s="178">
        <f t="shared" si="8"/>
        <v>16445</v>
      </c>
      <c r="F69" s="185" t="s">
        <v>103</v>
      </c>
      <c r="G69" s="186"/>
      <c r="H69" s="187" t="s">
        <v>551</v>
      </c>
      <c r="I69" s="188">
        <v>17</v>
      </c>
      <c r="J69" s="143" t="s">
        <v>103</v>
      </c>
      <c r="K69" s="144">
        <v>16500</v>
      </c>
      <c r="L69" s="144">
        <v>16500</v>
      </c>
      <c r="M69" s="67"/>
      <c r="N69" s="67"/>
      <c r="O69" s="67">
        <v>17300</v>
      </c>
      <c r="P69" s="147" t="s">
        <v>552</v>
      </c>
      <c r="Q69" s="165"/>
      <c r="R69" s="166" t="str">
        <f t="shared" si="6"/>
        <v/>
      </c>
      <c r="S69" s="167" t="s">
        <v>551</v>
      </c>
      <c r="T69" s="166" t="str">
        <f t="shared" si="1"/>
        <v/>
      </c>
      <c r="U69" s="166"/>
      <c r="V69" s="168" t="e">
        <f t="shared" si="7"/>
        <v>#VALUE!</v>
      </c>
      <c r="W69" s="166">
        <v>12649.999999999998</v>
      </c>
      <c r="X69" s="166" t="s">
        <v>1311</v>
      </c>
      <c r="Y69" s="320"/>
      <c r="Z69" s="166"/>
      <c r="AA69" s="166"/>
      <c r="AB69" s="166"/>
    </row>
    <row r="70" spans="1:28" ht="15.8" customHeight="1">
      <c r="A70" s="143"/>
      <c r="B70" s="176" t="s">
        <v>1443</v>
      </c>
      <c r="C70" s="177" t="s">
        <v>1444</v>
      </c>
      <c r="D70" s="178">
        <v>9500</v>
      </c>
      <c r="E70" s="178">
        <f t="shared" si="8"/>
        <v>12350</v>
      </c>
      <c r="F70" s="179" t="s">
        <v>602</v>
      </c>
      <c r="G70" s="180"/>
      <c r="H70" s="181" t="s">
        <v>551</v>
      </c>
      <c r="I70" s="182">
        <v>2</v>
      </c>
      <c r="J70" s="143"/>
      <c r="K70" s="144"/>
      <c r="L70" s="144">
        <v>11000</v>
      </c>
      <c r="M70" s="67"/>
      <c r="N70" s="67"/>
      <c r="O70" s="67">
        <v>11000</v>
      </c>
      <c r="P70" s="147"/>
      <c r="Q70" s="165"/>
      <c r="R70" s="166"/>
      <c r="S70" s="167"/>
      <c r="T70" s="166"/>
      <c r="U70" s="166"/>
      <c r="V70" s="168"/>
      <c r="W70" s="166"/>
      <c r="X70" s="166"/>
      <c r="Y70" s="320"/>
      <c r="Z70" s="166"/>
      <c r="AA70" s="166"/>
      <c r="AB70" s="166"/>
    </row>
    <row r="71" spans="1:28" ht="15.8" customHeight="1">
      <c r="A71" s="143"/>
      <c r="B71" s="209" t="s">
        <v>1445</v>
      </c>
      <c r="C71" s="203" t="s">
        <v>1446</v>
      </c>
      <c r="D71" s="184">
        <v>8000</v>
      </c>
      <c r="E71" s="178">
        <f t="shared" si="8"/>
        <v>10400</v>
      </c>
      <c r="F71" s="185" t="s">
        <v>553</v>
      </c>
      <c r="G71" s="186"/>
      <c r="H71" s="187" t="s">
        <v>1447</v>
      </c>
      <c r="I71" s="188">
        <v>1</v>
      </c>
      <c r="J71" s="143"/>
      <c r="K71" s="144"/>
      <c r="L71" s="144">
        <v>9900</v>
      </c>
      <c r="M71" s="67"/>
      <c r="N71" s="67"/>
      <c r="O71" s="67">
        <v>9900</v>
      </c>
      <c r="P71" s="147"/>
      <c r="Q71" s="165"/>
      <c r="R71" s="166"/>
      <c r="S71" s="167"/>
      <c r="T71" s="166"/>
      <c r="U71" s="166"/>
      <c r="V71" s="168"/>
      <c r="W71" s="166"/>
      <c r="X71" s="166"/>
      <c r="Y71" s="320"/>
      <c r="Z71" s="166"/>
      <c r="AA71" s="166"/>
      <c r="AB71" s="166"/>
    </row>
    <row r="72" spans="1:28" ht="15.8" customHeight="1">
      <c r="A72" s="143"/>
      <c r="B72" s="176"/>
      <c r="C72" s="177" t="s">
        <v>1448</v>
      </c>
      <c r="D72" s="178">
        <v>13000</v>
      </c>
      <c r="E72" s="178">
        <f t="shared" si="8"/>
        <v>16900</v>
      </c>
      <c r="F72" s="179" t="s">
        <v>553</v>
      </c>
      <c r="G72" s="180"/>
      <c r="H72" s="181" t="s">
        <v>1447</v>
      </c>
      <c r="I72" s="182">
        <v>1</v>
      </c>
      <c r="J72" s="143"/>
      <c r="K72" s="144"/>
      <c r="L72" s="144">
        <v>14900</v>
      </c>
      <c r="M72" s="67"/>
      <c r="N72" s="67"/>
      <c r="O72" s="67">
        <v>14900</v>
      </c>
      <c r="P72" s="147"/>
      <c r="Q72" s="165"/>
      <c r="R72" s="166"/>
      <c r="S72" s="167"/>
      <c r="T72" s="166"/>
      <c r="U72" s="166"/>
      <c r="V72" s="168"/>
      <c r="W72" s="166"/>
      <c r="X72" s="166"/>
      <c r="Y72" s="320"/>
      <c r="Z72" s="166"/>
      <c r="AA72" s="166"/>
      <c r="AB72" s="166"/>
    </row>
    <row r="73" spans="1:28" ht="15.8" customHeight="1">
      <c r="A73" s="1" t="s">
        <v>614</v>
      </c>
      <c r="B73" s="183" t="s">
        <v>1449</v>
      </c>
      <c r="C73" s="203" t="s">
        <v>614</v>
      </c>
      <c r="D73" s="184">
        <v>4600</v>
      </c>
      <c r="E73" s="178">
        <f t="shared" si="8"/>
        <v>5980</v>
      </c>
      <c r="F73" s="185" t="s">
        <v>602</v>
      </c>
      <c r="G73" s="186"/>
      <c r="H73" s="187" t="s">
        <v>551</v>
      </c>
      <c r="I73" s="188">
        <v>7</v>
      </c>
      <c r="J73" s="1" t="s">
        <v>602</v>
      </c>
      <c r="K73" s="67">
        <v>5980</v>
      </c>
      <c r="L73" s="67">
        <v>6000</v>
      </c>
      <c r="M73" s="67"/>
      <c r="N73" s="67"/>
      <c r="O73" s="67"/>
      <c r="P73" s="18" t="s">
        <v>1274</v>
      </c>
      <c r="Q73" s="71"/>
      <c r="R73" s="5" t="str">
        <f t="shared" ref="R73:R99" si="9">IF(Q73="x",CONCATENATE(A73,"; "),"")</f>
        <v/>
      </c>
      <c r="S73" s="62" t="s">
        <v>551</v>
      </c>
      <c r="T73" s="5" t="str">
        <f t="shared" si="1"/>
        <v/>
      </c>
      <c r="U73" s="5" t="s">
        <v>1262</v>
      </c>
      <c r="V73" s="69">
        <f>L73-X73</f>
        <v>20</v>
      </c>
      <c r="W73" s="5">
        <v>4600</v>
      </c>
      <c r="X73" s="5">
        <v>5980</v>
      </c>
    </row>
    <row r="74" spans="1:28" ht="15.8" customHeight="1">
      <c r="A74" s="1" t="s">
        <v>615</v>
      </c>
      <c r="B74" s="196" t="s">
        <v>1450</v>
      </c>
      <c r="C74" s="197" t="s">
        <v>615</v>
      </c>
      <c r="D74" s="198">
        <v>11000</v>
      </c>
      <c r="E74" s="178">
        <f t="shared" si="8"/>
        <v>14300</v>
      </c>
      <c r="F74" s="199" t="s">
        <v>602</v>
      </c>
      <c r="G74" s="200" t="s">
        <v>1363</v>
      </c>
      <c r="H74" s="201" t="s">
        <v>551</v>
      </c>
      <c r="I74" s="202">
        <v>14</v>
      </c>
      <c r="J74" s="1" t="s">
        <v>602</v>
      </c>
      <c r="K74" s="67">
        <v>14300</v>
      </c>
      <c r="L74" s="67">
        <v>14300</v>
      </c>
      <c r="M74" s="67"/>
      <c r="N74" s="67"/>
      <c r="O74" s="67">
        <v>20400</v>
      </c>
      <c r="P74" s="18" t="s">
        <v>1279</v>
      </c>
      <c r="Q74" s="71"/>
      <c r="R74" s="5" t="str">
        <f t="shared" si="9"/>
        <v/>
      </c>
      <c r="S74" s="62" t="s">
        <v>551</v>
      </c>
      <c r="T74" s="5" t="str">
        <f t="shared" si="1"/>
        <v/>
      </c>
      <c r="U74" s="5" t="s">
        <v>1262</v>
      </c>
      <c r="V74" s="69">
        <f>L74-X74</f>
        <v>0</v>
      </c>
      <c r="W74" s="5">
        <v>11000</v>
      </c>
      <c r="X74" s="5">
        <v>14300</v>
      </c>
    </row>
    <row r="75" spans="1:28" ht="15.8" customHeight="1">
      <c r="A75" s="157" t="s">
        <v>616</v>
      </c>
      <c r="B75" s="183" t="s">
        <v>1451</v>
      </c>
      <c r="C75" s="203" t="s">
        <v>616</v>
      </c>
      <c r="D75" s="184">
        <v>10000</v>
      </c>
      <c r="E75" s="178">
        <f t="shared" si="8"/>
        <v>13000</v>
      </c>
      <c r="F75" s="185" t="s">
        <v>553</v>
      </c>
      <c r="G75" s="186"/>
      <c r="H75" s="187" t="s">
        <v>604</v>
      </c>
      <c r="I75" s="188">
        <v>5</v>
      </c>
      <c r="J75" s="157" t="s">
        <v>553</v>
      </c>
      <c r="K75" s="158">
        <v>13000</v>
      </c>
      <c r="L75" s="254">
        <v>13000</v>
      </c>
      <c r="M75" s="67">
        <v>19500</v>
      </c>
      <c r="N75" s="160"/>
      <c r="O75" s="160"/>
      <c r="P75" s="159" t="s">
        <v>1278</v>
      </c>
      <c r="Q75" s="71"/>
      <c r="R75" s="5" t="str">
        <f t="shared" si="9"/>
        <v/>
      </c>
      <c r="S75" s="62" t="s">
        <v>604</v>
      </c>
      <c r="T75" s="5" t="str">
        <f t="shared" si="1"/>
        <v/>
      </c>
      <c r="V75" s="69"/>
      <c r="W75" s="5">
        <v>10000</v>
      </c>
    </row>
    <row r="76" spans="1:28" ht="15.8" customHeight="1">
      <c r="A76" s="157" t="s">
        <v>617</v>
      </c>
      <c r="B76" s="176" t="s">
        <v>1452</v>
      </c>
      <c r="C76" s="177" t="s">
        <v>617</v>
      </c>
      <c r="D76" s="178">
        <v>5175</v>
      </c>
      <c r="E76" s="178">
        <f t="shared" si="8"/>
        <v>6727.5</v>
      </c>
      <c r="F76" s="179" t="s">
        <v>607</v>
      </c>
      <c r="G76" s="180"/>
      <c r="H76" s="181" t="s">
        <v>608</v>
      </c>
      <c r="I76" s="182">
        <v>3</v>
      </c>
      <c r="J76" s="157" t="s">
        <v>607</v>
      </c>
      <c r="K76" s="158">
        <v>6728</v>
      </c>
      <c r="L76" s="251">
        <v>6700</v>
      </c>
      <c r="M76" s="160"/>
      <c r="N76" s="160"/>
      <c r="O76" s="67">
        <v>12500</v>
      </c>
      <c r="P76" s="159" t="s">
        <v>587</v>
      </c>
      <c r="Q76" s="71"/>
      <c r="R76" s="5" t="str">
        <f t="shared" si="9"/>
        <v/>
      </c>
      <c r="S76" s="62" t="s">
        <v>608</v>
      </c>
      <c r="T76" s="5" t="str">
        <f t="shared" si="1"/>
        <v/>
      </c>
      <c r="V76" s="69"/>
      <c r="W76" s="5">
        <v>5175</v>
      </c>
    </row>
    <row r="77" spans="1:28" s="173" customFormat="1" ht="15.8" customHeight="1">
      <c r="A77" s="281" t="s">
        <v>618</v>
      </c>
      <c r="B77" s="244" t="s">
        <v>1453</v>
      </c>
      <c r="C77" s="245" t="s">
        <v>618</v>
      </c>
      <c r="D77" s="246">
        <v>6500</v>
      </c>
      <c r="E77" s="237">
        <f t="shared" si="8"/>
        <v>8450</v>
      </c>
      <c r="F77" s="247" t="s">
        <v>607</v>
      </c>
      <c r="G77" s="248" t="s">
        <v>1363</v>
      </c>
      <c r="H77" s="249" t="s">
        <v>608</v>
      </c>
      <c r="I77" s="282" t="s">
        <v>350</v>
      </c>
      <c r="J77" s="281" t="s">
        <v>607</v>
      </c>
      <c r="K77" s="283">
        <v>8450</v>
      </c>
      <c r="L77" s="145">
        <v>8400</v>
      </c>
      <c r="M77" s="283"/>
      <c r="N77" s="283"/>
      <c r="O77" s="283">
        <v>5900</v>
      </c>
      <c r="P77" s="284" t="s">
        <v>350</v>
      </c>
      <c r="Q77" s="169"/>
      <c r="R77" s="173" t="str">
        <f t="shared" si="9"/>
        <v/>
      </c>
      <c r="S77" s="243" t="s">
        <v>608</v>
      </c>
      <c r="T77" s="173" t="str">
        <f t="shared" si="1"/>
        <v/>
      </c>
      <c r="V77" s="170"/>
      <c r="W77" s="173">
        <v>6500</v>
      </c>
      <c r="Y77" s="321"/>
    </row>
    <row r="78" spans="1:28" ht="15.8" customHeight="1">
      <c r="A78" s="143" t="s">
        <v>1319</v>
      </c>
      <c r="B78" s="176" t="s">
        <v>1454</v>
      </c>
      <c r="C78" s="177" t="s">
        <v>619</v>
      </c>
      <c r="D78" s="178">
        <v>70000</v>
      </c>
      <c r="E78" s="178">
        <f t="shared" si="8"/>
        <v>91000</v>
      </c>
      <c r="F78" s="179" t="s">
        <v>553</v>
      </c>
      <c r="G78" s="180"/>
      <c r="H78" s="181" t="s">
        <v>604</v>
      </c>
      <c r="I78" s="182">
        <v>12</v>
      </c>
      <c r="J78" s="143" t="s">
        <v>553</v>
      </c>
      <c r="K78" s="144">
        <v>91000</v>
      </c>
      <c r="L78" s="144">
        <v>91000</v>
      </c>
      <c r="M78" s="67"/>
      <c r="N78" s="67"/>
      <c r="O78" s="67"/>
      <c r="P78" s="147" t="s">
        <v>1280</v>
      </c>
      <c r="Q78" s="165"/>
      <c r="R78" s="166" t="str">
        <f t="shared" si="9"/>
        <v/>
      </c>
      <c r="S78" s="167" t="s">
        <v>604</v>
      </c>
      <c r="T78" s="166" t="str">
        <f t="shared" si="1"/>
        <v/>
      </c>
      <c r="U78" s="166"/>
      <c r="V78" s="168" t="e">
        <f>L78-X78</f>
        <v>#VALUE!</v>
      </c>
      <c r="W78" s="166">
        <v>70000</v>
      </c>
      <c r="X78" s="166" t="s">
        <v>1311</v>
      </c>
      <c r="Y78" s="320"/>
      <c r="Z78" s="166"/>
      <c r="AA78" s="166"/>
      <c r="AB78" s="166"/>
    </row>
    <row r="79" spans="1:28" s="9" customFormat="1" ht="15.8" customHeight="1">
      <c r="A79" s="157" t="s">
        <v>620</v>
      </c>
      <c r="B79" s="183" t="s">
        <v>1455</v>
      </c>
      <c r="C79" s="203" t="s">
        <v>620</v>
      </c>
      <c r="D79" s="184">
        <v>5175</v>
      </c>
      <c r="E79" s="178">
        <f t="shared" si="8"/>
        <v>6727.5</v>
      </c>
      <c r="F79" s="185" t="s">
        <v>607</v>
      </c>
      <c r="G79" s="186"/>
      <c r="H79" s="187" t="s">
        <v>608</v>
      </c>
      <c r="I79" s="205" t="s">
        <v>350</v>
      </c>
      <c r="J79" s="157" t="s">
        <v>607</v>
      </c>
      <c r="K79" s="158">
        <v>6728</v>
      </c>
      <c r="L79" s="254">
        <v>6700</v>
      </c>
      <c r="M79" s="160"/>
      <c r="N79" s="160"/>
      <c r="O79" s="160"/>
      <c r="P79" s="159" t="s">
        <v>350</v>
      </c>
      <c r="Q79" s="71"/>
      <c r="R79" s="5" t="str">
        <f t="shared" si="9"/>
        <v/>
      </c>
      <c r="S79" s="62" t="s">
        <v>608</v>
      </c>
      <c r="T79" s="5" t="str">
        <f t="shared" ref="T79:T142" si="10">IF(Q79="x",S79,"")</f>
        <v/>
      </c>
      <c r="U79" s="5"/>
      <c r="V79" s="69"/>
      <c r="W79" s="5">
        <v>5175</v>
      </c>
      <c r="Y79" s="325"/>
    </row>
    <row r="80" spans="1:28" s="9" customFormat="1" ht="15.8" customHeight="1">
      <c r="A80" s="1" t="s">
        <v>621</v>
      </c>
      <c r="B80" s="176" t="s">
        <v>1456</v>
      </c>
      <c r="C80" s="177" t="s">
        <v>621</v>
      </c>
      <c r="D80" s="178">
        <v>4500</v>
      </c>
      <c r="E80" s="178">
        <f t="shared" si="8"/>
        <v>5850</v>
      </c>
      <c r="F80" s="179" t="s">
        <v>559</v>
      </c>
      <c r="G80" s="180"/>
      <c r="H80" s="181" t="s">
        <v>551</v>
      </c>
      <c r="I80" s="182">
        <v>5</v>
      </c>
      <c r="J80" s="1" t="s">
        <v>559</v>
      </c>
      <c r="K80" s="67">
        <v>5850</v>
      </c>
      <c r="L80" s="251">
        <v>5800</v>
      </c>
      <c r="M80" s="67">
        <v>7800</v>
      </c>
      <c r="N80" s="67">
        <v>4025</v>
      </c>
      <c r="O80" s="67"/>
      <c r="P80" s="18" t="s">
        <v>1278</v>
      </c>
      <c r="Q80" s="71"/>
      <c r="R80" s="5" t="str">
        <f t="shared" si="9"/>
        <v/>
      </c>
      <c r="S80" s="62" t="s">
        <v>551</v>
      </c>
      <c r="T80" s="5" t="str">
        <f t="shared" si="10"/>
        <v/>
      </c>
      <c r="U80" s="5" t="s">
        <v>1262</v>
      </c>
      <c r="V80" s="69">
        <f t="shared" ref="V80:V86" si="11">L80-X80</f>
        <v>-50</v>
      </c>
      <c r="W80" s="5">
        <v>4500</v>
      </c>
      <c r="X80" s="9">
        <v>5850</v>
      </c>
      <c r="Y80" s="325"/>
    </row>
    <row r="81" spans="1:28" s="9" customFormat="1" ht="15.8" customHeight="1">
      <c r="A81" s="143" t="s">
        <v>622</v>
      </c>
      <c r="B81" s="183" t="s">
        <v>1457</v>
      </c>
      <c r="C81" s="203" t="s">
        <v>622</v>
      </c>
      <c r="D81" s="184">
        <v>11385</v>
      </c>
      <c r="E81" s="178">
        <f t="shared" si="8"/>
        <v>14800.5</v>
      </c>
      <c r="F81" s="185" t="s">
        <v>562</v>
      </c>
      <c r="G81" s="186"/>
      <c r="H81" s="187" t="s">
        <v>551</v>
      </c>
      <c r="I81" s="188">
        <v>17</v>
      </c>
      <c r="J81" s="143" t="s">
        <v>562</v>
      </c>
      <c r="K81" s="144">
        <v>14800</v>
      </c>
      <c r="L81" s="144">
        <v>14800</v>
      </c>
      <c r="M81" s="67">
        <v>8900</v>
      </c>
      <c r="N81" s="67"/>
      <c r="O81" s="67"/>
      <c r="P81" s="147" t="s">
        <v>552</v>
      </c>
      <c r="Q81" s="165"/>
      <c r="R81" s="166" t="str">
        <f t="shared" si="9"/>
        <v/>
      </c>
      <c r="S81" s="167" t="s">
        <v>551</v>
      </c>
      <c r="T81" s="166" t="str">
        <f t="shared" si="10"/>
        <v/>
      </c>
      <c r="U81" s="166"/>
      <c r="V81" s="168" t="e">
        <f t="shared" si="11"/>
        <v>#VALUE!</v>
      </c>
      <c r="W81" s="166">
        <v>11385</v>
      </c>
      <c r="X81" s="174" t="s">
        <v>1311</v>
      </c>
      <c r="Y81" s="326"/>
      <c r="Z81" s="174"/>
      <c r="AA81" s="174"/>
      <c r="AB81" s="174"/>
    </row>
    <row r="82" spans="1:28" s="9" customFormat="1" ht="15.8" customHeight="1">
      <c r="A82" s="1" t="s">
        <v>226</v>
      </c>
      <c r="B82" s="176" t="s">
        <v>1458</v>
      </c>
      <c r="C82" s="177" t="s">
        <v>226</v>
      </c>
      <c r="D82" s="178">
        <v>1265</v>
      </c>
      <c r="E82" s="178">
        <f t="shared" si="8"/>
        <v>1644.5</v>
      </c>
      <c r="F82" s="179" t="s">
        <v>550</v>
      </c>
      <c r="G82" s="180"/>
      <c r="H82" s="181" t="s">
        <v>551</v>
      </c>
      <c r="I82" s="182">
        <v>3</v>
      </c>
      <c r="J82" s="1" t="s">
        <v>550</v>
      </c>
      <c r="K82" s="67">
        <v>1650</v>
      </c>
      <c r="L82" s="251">
        <v>1600</v>
      </c>
      <c r="M82" s="67"/>
      <c r="N82" s="67"/>
      <c r="O82" s="67"/>
      <c r="P82" s="18" t="s">
        <v>1275</v>
      </c>
      <c r="Q82" s="71"/>
      <c r="R82" s="5" t="str">
        <f t="shared" si="9"/>
        <v/>
      </c>
      <c r="S82" s="62" t="s">
        <v>551</v>
      </c>
      <c r="T82" s="5" t="str">
        <f t="shared" si="10"/>
        <v/>
      </c>
      <c r="U82" s="5" t="s">
        <v>1262</v>
      </c>
      <c r="V82" s="69">
        <f t="shared" si="11"/>
        <v>-50</v>
      </c>
      <c r="W82" s="5">
        <v>1265</v>
      </c>
      <c r="X82" s="9">
        <v>1650</v>
      </c>
      <c r="Y82" s="325"/>
    </row>
    <row r="83" spans="1:28" ht="15.8" customHeight="1">
      <c r="A83" s="1" t="s">
        <v>227</v>
      </c>
      <c r="B83" s="183" t="s">
        <v>1459</v>
      </c>
      <c r="C83" s="203" t="s">
        <v>227</v>
      </c>
      <c r="D83" s="184">
        <v>1265</v>
      </c>
      <c r="E83" s="178">
        <f t="shared" si="8"/>
        <v>1644.5</v>
      </c>
      <c r="F83" s="185" t="s">
        <v>550</v>
      </c>
      <c r="G83" s="186"/>
      <c r="H83" s="187" t="s">
        <v>551</v>
      </c>
      <c r="I83" s="188">
        <v>3</v>
      </c>
      <c r="J83" s="1" t="s">
        <v>550</v>
      </c>
      <c r="K83" s="67">
        <v>1650</v>
      </c>
      <c r="L83" s="251">
        <v>1600</v>
      </c>
      <c r="M83" s="67"/>
      <c r="N83" s="67"/>
      <c r="O83" s="67"/>
      <c r="P83" s="18" t="s">
        <v>1275</v>
      </c>
      <c r="Q83" s="71"/>
      <c r="R83" s="5" t="str">
        <f t="shared" si="9"/>
        <v/>
      </c>
      <c r="S83" s="62" t="s">
        <v>551</v>
      </c>
      <c r="T83" s="5" t="str">
        <f t="shared" si="10"/>
        <v/>
      </c>
      <c r="U83" s="5" t="s">
        <v>1262</v>
      </c>
      <c r="V83" s="69">
        <f t="shared" si="11"/>
        <v>-50</v>
      </c>
      <c r="W83" s="5">
        <v>1265</v>
      </c>
      <c r="X83" s="5">
        <v>1650</v>
      </c>
    </row>
    <row r="84" spans="1:28" ht="15.8" customHeight="1">
      <c r="A84" s="1" t="s">
        <v>106</v>
      </c>
      <c r="B84" s="176" t="s">
        <v>1460</v>
      </c>
      <c r="C84" s="177" t="s">
        <v>1461</v>
      </c>
      <c r="D84" s="178">
        <v>2875</v>
      </c>
      <c r="E84" s="178">
        <f t="shared" si="8"/>
        <v>3737.5</v>
      </c>
      <c r="F84" s="179" t="s">
        <v>103</v>
      </c>
      <c r="G84" s="180"/>
      <c r="H84" s="181" t="s">
        <v>551</v>
      </c>
      <c r="I84" s="182">
        <v>5</v>
      </c>
      <c r="J84" s="1" t="s">
        <v>103</v>
      </c>
      <c r="K84" s="67">
        <v>5500</v>
      </c>
      <c r="L84" s="251">
        <v>5100</v>
      </c>
      <c r="M84" s="67">
        <v>6500</v>
      </c>
      <c r="N84" s="67">
        <v>5175</v>
      </c>
      <c r="O84" s="67">
        <v>8900</v>
      </c>
      <c r="P84" s="18" t="s">
        <v>254</v>
      </c>
      <c r="Q84" s="71"/>
      <c r="R84" s="5" t="str">
        <f t="shared" si="9"/>
        <v/>
      </c>
      <c r="S84" s="62" t="s">
        <v>551</v>
      </c>
      <c r="T84" s="5" t="str">
        <f t="shared" si="10"/>
        <v/>
      </c>
      <c r="U84" s="5" t="s">
        <v>1261</v>
      </c>
      <c r="V84" s="69">
        <f t="shared" si="11"/>
        <v>-400</v>
      </c>
      <c r="W84" s="5">
        <v>3745.3</v>
      </c>
      <c r="X84" s="5">
        <v>5500</v>
      </c>
    </row>
    <row r="85" spans="1:28" ht="15.8" customHeight="1">
      <c r="A85" s="1" t="s">
        <v>108</v>
      </c>
      <c r="B85" s="183" t="s">
        <v>1462</v>
      </c>
      <c r="C85" s="203" t="s">
        <v>1463</v>
      </c>
      <c r="D85" s="184">
        <v>2530</v>
      </c>
      <c r="E85" s="178">
        <f t="shared" si="8"/>
        <v>3289</v>
      </c>
      <c r="F85" s="185" t="s">
        <v>103</v>
      </c>
      <c r="G85" s="186"/>
      <c r="H85" s="187" t="s">
        <v>551</v>
      </c>
      <c r="I85" s="188">
        <v>3</v>
      </c>
      <c r="J85" s="1" t="s">
        <v>103</v>
      </c>
      <c r="K85" s="67">
        <v>5500</v>
      </c>
      <c r="L85" s="251">
        <v>4800</v>
      </c>
      <c r="M85" s="67">
        <v>5900</v>
      </c>
      <c r="N85" s="67">
        <v>4830</v>
      </c>
      <c r="O85" s="67"/>
      <c r="P85" s="18" t="s">
        <v>254</v>
      </c>
      <c r="Q85" s="71"/>
      <c r="R85" s="5" t="str">
        <f t="shared" si="9"/>
        <v/>
      </c>
      <c r="S85" s="62" t="s">
        <v>551</v>
      </c>
      <c r="T85" s="5" t="str">
        <f t="shared" si="10"/>
        <v/>
      </c>
      <c r="U85" s="5" t="s">
        <v>1261</v>
      </c>
      <c r="V85" s="69">
        <f t="shared" si="11"/>
        <v>-700</v>
      </c>
      <c r="W85" s="5">
        <v>4165.2</v>
      </c>
      <c r="X85" s="5">
        <v>5500</v>
      </c>
    </row>
    <row r="86" spans="1:28" ht="15.8" customHeight="1">
      <c r="A86" s="1" t="s">
        <v>107</v>
      </c>
      <c r="B86" s="176" t="s">
        <v>1464</v>
      </c>
      <c r="C86" s="177" t="s">
        <v>1465</v>
      </c>
      <c r="D86" s="178">
        <v>1724.9999999999998</v>
      </c>
      <c r="E86" s="178">
        <f t="shared" si="8"/>
        <v>2242.5</v>
      </c>
      <c r="F86" s="179" t="s">
        <v>103</v>
      </c>
      <c r="G86" s="180"/>
      <c r="H86" s="181" t="s">
        <v>551</v>
      </c>
      <c r="I86" s="182">
        <v>3</v>
      </c>
      <c r="J86" s="1" t="s">
        <v>103</v>
      </c>
      <c r="K86" s="67">
        <v>5500</v>
      </c>
      <c r="L86" s="251">
        <v>4800</v>
      </c>
      <c r="M86" s="67">
        <v>5900</v>
      </c>
      <c r="N86" s="67">
        <v>4830</v>
      </c>
      <c r="O86" s="67"/>
      <c r="P86" s="18" t="s">
        <v>254</v>
      </c>
      <c r="Q86" s="71"/>
      <c r="R86" s="5" t="str">
        <f t="shared" si="9"/>
        <v/>
      </c>
      <c r="S86" s="62" t="s">
        <v>551</v>
      </c>
      <c r="T86" s="5" t="str">
        <f t="shared" si="10"/>
        <v/>
      </c>
      <c r="U86" s="5" t="s">
        <v>1261</v>
      </c>
      <c r="V86" s="69">
        <f t="shared" si="11"/>
        <v>-700</v>
      </c>
      <c r="W86" s="5">
        <v>4737.2</v>
      </c>
      <c r="X86" s="5">
        <v>5500</v>
      </c>
    </row>
    <row r="87" spans="1:28" ht="15.8" customHeight="1">
      <c r="A87" s="253" t="s">
        <v>623</v>
      </c>
      <c r="B87" s="189" t="s">
        <v>1466</v>
      </c>
      <c r="C87" s="190" t="s">
        <v>623</v>
      </c>
      <c r="D87" s="191">
        <v>5175</v>
      </c>
      <c r="E87" s="178">
        <f t="shared" si="8"/>
        <v>6727.5</v>
      </c>
      <c r="F87" s="192" t="s">
        <v>103</v>
      </c>
      <c r="G87" s="193" t="s">
        <v>1363</v>
      </c>
      <c r="H87" s="194" t="s">
        <v>551</v>
      </c>
      <c r="I87" s="195">
        <v>17</v>
      </c>
      <c r="J87" s="253" t="s">
        <v>103</v>
      </c>
      <c r="K87" s="254">
        <v>6728</v>
      </c>
      <c r="L87" s="251">
        <v>6700</v>
      </c>
      <c r="M87" s="67">
        <v>7500</v>
      </c>
      <c r="N87" s="67">
        <v>4830</v>
      </c>
      <c r="O87" s="67"/>
      <c r="P87" s="255" t="s">
        <v>552</v>
      </c>
      <c r="Q87" s="71"/>
      <c r="R87" s="5" t="str">
        <f t="shared" si="9"/>
        <v/>
      </c>
      <c r="S87" s="70" t="s">
        <v>551</v>
      </c>
      <c r="T87" s="5" t="str">
        <f t="shared" si="10"/>
        <v/>
      </c>
      <c r="V87" s="69"/>
      <c r="W87" s="5">
        <v>5175</v>
      </c>
    </row>
    <row r="88" spans="1:28" ht="15.8" customHeight="1">
      <c r="A88" s="253" t="s">
        <v>624</v>
      </c>
      <c r="B88" s="176" t="s">
        <v>1467</v>
      </c>
      <c r="C88" s="177" t="s">
        <v>624</v>
      </c>
      <c r="D88" s="178">
        <v>14949.999999999998</v>
      </c>
      <c r="E88" s="178">
        <f t="shared" si="8"/>
        <v>19435</v>
      </c>
      <c r="F88" s="179" t="s">
        <v>553</v>
      </c>
      <c r="G88" s="180"/>
      <c r="H88" s="181" t="s">
        <v>604</v>
      </c>
      <c r="I88" s="182">
        <v>12</v>
      </c>
      <c r="J88" s="253" t="s">
        <v>553</v>
      </c>
      <c r="K88" s="254">
        <v>19435</v>
      </c>
      <c r="L88" s="251">
        <v>19400</v>
      </c>
      <c r="M88" s="67"/>
      <c r="N88" s="67"/>
      <c r="O88" s="67"/>
      <c r="P88" s="255" t="s">
        <v>563</v>
      </c>
      <c r="Q88" s="71"/>
      <c r="R88" s="5" t="str">
        <f t="shared" si="9"/>
        <v/>
      </c>
      <c r="S88" s="70" t="s">
        <v>604</v>
      </c>
      <c r="T88" s="5" t="str">
        <f t="shared" si="10"/>
        <v/>
      </c>
      <c r="V88" s="69"/>
      <c r="W88" s="5">
        <v>14949.999999999998</v>
      </c>
    </row>
    <row r="89" spans="1:28" ht="15.8" customHeight="1">
      <c r="A89" s="1" t="s">
        <v>625</v>
      </c>
      <c r="B89" s="183" t="s">
        <v>1468</v>
      </c>
      <c r="C89" s="203" t="s">
        <v>625</v>
      </c>
      <c r="D89" s="184">
        <v>2530</v>
      </c>
      <c r="E89" s="178">
        <f t="shared" si="8"/>
        <v>3289</v>
      </c>
      <c r="F89" s="185" t="s">
        <v>88</v>
      </c>
      <c r="G89" s="186"/>
      <c r="H89" s="187" t="s">
        <v>551</v>
      </c>
      <c r="I89" s="188">
        <v>5</v>
      </c>
      <c r="J89" s="1" t="s">
        <v>88</v>
      </c>
      <c r="K89" s="67">
        <v>5900</v>
      </c>
      <c r="L89" s="67">
        <v>5700</v>
      </c>
      <c r="M89" s="67">
        <v>6900</v>
      </c>
      <c r="N89" s="67">
        <v>6070</v>
      </c>
      <c r="O89" s="67">
        <v>5700</v>
      </c>
      <c r="P89" s="18" t="s">
        <v>1278</v>
      </c>
      <c r="Q89" s="71"/>
      <c r="R89" s="5" t="str">
        <f t="shared" si="9"/>
        <v/>
      </c>
      <c r="S89" s="62" t="s">
        <v>551</v>
      </c>
      <c r="T89" s="5" t="str">
        <f t="shared" si="10"/>
        <v/>
      </c>
      <c r="U89" s="5" t="s">
        <v>1262</v>
      </c>
      <c r="V89" s="69">
        <f>L89-X89</f>
        <v>2410</v>
      </c>
      <c r="W89" s="5">
        <v>2530</v>
      </c>
      <c r="X89" s="5">
        <v>3290</v>
      </c>
    </row>
    <row r="90" spans="1:28" ht="15.8" customHeight="1">
      <c r="A90" s="1" t="s">
        <v>102</v>
      </c>
      <c r="B90" s="176" t="s">
        <v>102</v>
      </c>
      <c r="C90" s="177" t="s">
        <v>1469</v>
      </c>
      <c r="D90" s="178">
        <v>2500</v>
      </c>
      <c r="E90" s="178">
        <f t="shared" si="8"/>
        <v>3250</v>
      </c>
      <c r="F90" s="179" t="s">
        <v>103</v>
      </c>
      <c r="G90" s="180"/>
      <c r="H90" s="181" t="s">
        <v>551</v>
      </c>
      <c r="I90" s="182">
        <v>3</v>
      </c>
      <c r="J90" s="1" t="s">
        <v>103</v>
      </c>
      <c r="K90" s="67">
        <v>5500</v>
      </c>
      <c r="L90" s="251">
        <v>4400</v>
      </c>
      <c r="M90" s="67">
        <v>4500</v>
      </c>
      <c r="N90" s="67">
        <v>3680</v>
      </c>
      <c r="O90" s="67"/>
      <c r="P90" s="18" t="s">
        <v>254</v>
      </c>
      <c r="Q90" s="71"/>
      <c r="R90" s="5" t="str">
        <f t="shared" si="9"/>
        <v/>
      </c>
      <c r="S90" s="62" t="s">
        <v>551</v>
      </c>
      <c r="T90" s="5" t="str">
        <f t="shared" si="10"/>
        <v/>
      </c>
      <c r="U90" s="5" t="s">
        <v>1261</v>
      </c>
      <c r="V90" s="69">
        <f>L90-X90</f>
        <v>-1100</v>
      </c>
      <c r="W90" s="5">
        <v>4800</v>
      </c>
      <c r="X90" s="5">
        <v>5500</v>
      </c>
    </row>
    <row r="91" spans="1:28" ht="15.8" customHeight="1">
      <c r="A91" s="253" t="s">
        <v>626</v>
      </c>
      <c r="B91" s="183" t="s">
        <v>1470</v>
      </c>
      <c r="C91" s="203" t="s">
        <v>1471</v>
      </c>
      <c r="D91" s="184">
        <v>46805</v>
      </c>
      <c r="E91" s="178">
        <f t="shared" si="8"/>
        <v>60846.5</v>
      </c>
      <c r="F91" s="185" t="s">
        <v>88</v>
      </c>
      <c r="G91" s="186"/>
      <c r="H91" s="187" t="s">
        <v>627</v>
      </c>
      <c r="I91" s="188">
        <v>7</v>
      </c>
      <c r="J91" s="253" t="s">
        <v>88</v>
      </c>
      <c r="K91" s="254">
        <v>60847</v>
      </c>
      <c r="L91" s="251">
        <v>60000</v>
      </c>
      <c r="M91" s="67">
        <v>60000</v>
      </c>
      <c r="N91" s="67" t="s">
        <v>548</v>
      </c>
      <c r="O91" s="67"/>
      <c r="P91" s="255" t="s">
        <v>584</v>
      </c>
      <c r="Q91" s="71"/>
      <c r="R91" s="5" t="str">
        <f t="shared" si="9"/>
        <v/>
      </c>
      <c r="S91" s="70" t="s">
        <v>627</v>
      </c>
      <c r="T91" s="5" t="str">
        <f t="shared" si="10"/>
        <v/>
      </c>
      <c r="V91" s="69"/>
      <c r="W91" s="5">
        <v>46805</v>
      </c>
    </row>
    <row r="92" spans="1:28" s="7" customFormat="1" ht="15.8" customHeight="1">
      <c r="A92" s="253" t="s">
        <v>628</v>
      </c>
      <c r="B92" s="176" t="s">
        <v>1472</v>
      </c>
      <c r="C92" s="177" t="s">
        <v>1473</v>
      </c>
      <c r="D92" s="178">
        <v>22900</v>
      </c>
      <c r="E92" s="178">
        <f t="shared" si="8"/>
        <v>29770</v>
      </c>
      <c r="F92" s="179" t="s">
        <v>88</v>
      </c>
      <c r="G92" s="180"/>
      <c r="H92" s="181" t="s">
        <v>627</v>
      </c>
      <c r="I92" s="182">
        <v>7</v>
      </c>
      <c r="J92" s="253" t="s">
        <v>88</v>
      </c>
      <c r="K92" s="254">
        <v>29770</v>
      </c>
      <c r="L92" s="251">
        <v>29700</v>
      </c>
      <c r="M92" s="67">
        <v>35000</v>
      </c>
      <c r="N92" s="67"/>
      <c r="O92" s="67"/>
      <c r="P92" s="255" t="s">
        <v>584</v>
      </c>
      <c r="Q92" s="71"/>
      <c r="R92" s="5" t="str">
        <f t="shared" si="9"/>
        <v/>
      </c>
      <c r="S92" s="70" t="s">
        <v>627</v>
      </c>
      <c r="T92" s="5" t="str">
        <f t="shared" si="10"/>
        <v/>
      </c>
      <c r="U92" s="5"/>
      <c r="V92" s="69"/>
      <c r="W92" s="5">
        <v>22900</v>
      </c>
      <c r="Y92" s="323"/>
    </row>
    <row r="93" spans="1:28" s="231" customFormat="1" ht="15.8" customHeight="1">
      <c r="A93" s="157" t="s">
        <v>629</v>
      </c>
      <c r="B93" s="218" t="s">
        <v>1474</v>
      </c>
      <c r="C93" s="260" t="s">
        <v>629</v>
      </c>
      <c r="D93" s="220">
        <v>4500</v>
      </c>
      <c r="E93" s="221">
        <f t="shared" si="8"/>
        <v>5850</v>
      </c>
      <c r="F93" s="222" t="s">
        <v>607</v>
      </c>
      <c r="G93" s="223"/>
      <c r="H93" s="224" t="s">
        <v>608</v>
      </c>
      <c r="I93" s="261" t="s">
        <v>350</v>
      </c>
      <c r="J93" s="157" t="s">
        <v>607</v>
      </c>
      <c r="K93" s="158">
        <v>5850</v>
      </c>
      <c r="L93" s="158">
        <v>5850</v>
      </c>
      <c r="M93" s="160"/>
      <c r="N93" s="160"/>
      <c r="O93" s="160"/>
      <c r="P93" s="159" t="s">
        <v>350</v>
      </c>
      <c r="Q93" s="262"/>
      <c r="R93" s="231" t="str">
        <f t="shared" si="9"/>
        <v/>
      </c>
      <c r="S93" s="263" t="s">
        <v>608</v>
      </c>
      <c r="T93" s="231" t="str">
        <f t="shared" si="10"/>
        <v/>
      </c>
      <c r="V93" s="264"/>
      <c r="W93" s="231">
        <v>4500</v>
      </c>
      <c r="Y93" s="327"/>
    </row>
    <row r="94" spans="1:28" s="7" customFormat="1" ht="15.8" customHeight="1">
      <c r="A94" s="143" t="s">
        <v>391</v>
      </c>
      <c r="B94" s="196" t="s">
        <v>391</v>
      </c>
      <c r="C94" s="197" t="s">
        <v>391</v>
      </c>
      <c r="D94" s="198">
        <v>6000</v>
      </c>
      <c r="E94" s="178">
        <f t="shared" si="8"/>
        <v>7800</v>
      </c>
      <c r="F94" s="199" t="s">
        <v>88</v>
      </c>
      <c r="G94" s="200" t="s">
        <v>1363</v>
      </c>
      <c r="H94" s="201" t="s">
        <v>551</v>
      </c>
      <c r="I94" s="202">
        <v>21</v>
      </c>
      <c r="J94" s="143" t="s">
        <v>88</v>
      </c>
      <c r="K94" s="144">
        <v>7800</v>
      </c>
      <c r="L94" s="144">
        <v>7800</v>
      </c>
      <c r="M94" s="67">
        <v>9300</v>
      </c>
      <c r="N94" s="67">
        <v>8280</v>
      </c>
      <c r="O94" s="67"/>
      <c r="P94" s="147" t="s">
        <v>1281</v>
      </c>
      <c r="Q94" s="165"/>
      <c r="R94" s="166" t="str">
        <f t="shared" si="9"/>
        <v/>
      </c>
      <c r="S94" s="167" t="s">
        <v>551</v>
      </c>
      <c r="T94" s="166" t="str">
        <f t="shared" si="10"/>
        <v/>
      </c>
      <c r="U94" s="166"/>
      <c r="V94" s="168" t="e">
        <f t="shared" ref="V94:V99" si="12">L94-X94</f>
        <v>#VALUE!</v>
      </c>
      <c r="W94" s="166">
        <v>6000</v>
      </c>
      <c r="X94" s="175" t="s">
        <v>1311</v>
      </c>
      <c r="Y94" s="328"/>
      <c r="Z94" s="175"/>
      <c r="AA94" s="175"/>
      <c r="AB94" s="175"/>
    </row>
    <row r="95" spans="1:28" ht="15.8" customHeight="1">
      <c r="A95" s="143" t="s">
        <v>630</v>
      </c>
      <c r="B95" s="183" t="s">
        <v>1475</v>
      </c>
      <c r="C95" s="203" t="s">
        <v>630</v>
      </c>
      <c r="D95" s="184">
        <v>7900</v>
      </c>
      <c r="E95" s="178">
        <f t="shared" si="8"/>
        <v>10270</v>
      </c>
      <c r="F95" s="185" t="s">
        <v>602</v>
      </c>
      <c r="G95" s="186"/>
      <c r="H95" s="187" t="s">
        <v>551</v>
      </c>
      <c r="I95" s="188">
        <v>5</v>
      </c>
      <c r="J95" s="143" t="s">
        <v>602</v>
      </c>
      <c r="K95" s="144">
        <v>10270</v>
      </c>
      <c r="L95" s="144">
        <v>10270</v>
      </c>
      <c r="M95" s="67">
        <v>10450</v>
      </c>
      <c r="N95" s="67">
        <v>8280</v>
      </c>
      <c r="O95" s="67"/>
      <c r="P95" s="147" t="s">
        <v>1278</v>
      </c>
      <c r="Q95" s="165"/>
      <c r="R95" s="166" t="str">
        <f t="shared" si="9"/>
        <v/>
      </c>
      <c r="S95" s="167" t="s">
        <v>551</v>
      </c>
      <c r="T95" s="166" t="str">
        <f t="shared" si="10"/>
        <v/>
      </c>
      <c r="U95" s="166"/>
      <c r="V95" s="168" t="e">
        <f t="shared" si="12"/>
        <v>#VALUE!</v>
      </c>
      <c r="W95" s="166">
        <v>7900</v>
      </c>
      <c r="X95" s="166" t="s">
        <v>1311</v>
      </c>
      <c r="Y95" s="320"/>
      <c r="Z95" s="166"/>
      <c r="AA95" s="166"/>
      <c r="AB95" s="166"/>
    </row>
    <row r="96" spans="1:28" ht="15.8" customHeight="1">
      <c r="A96" s="143" t="s">
        <v>631</v>
      </c>
      <c r="B96" s="196" t="s">
        <v>1476</v>
      </c>
      <c r="C96" s="197" t="s">
        <v>631</v>
      </c>
      <c r="D96" s="198">
        <v>4485</v>
      </c>
      <c r="E96" s="178">
        <f t="shared" si="8"/>
        <v>5830.5</v>
      </c>
      <c r="F96" s="199" t="s">
        <v>553</v>
      </c>
      <c r="G96" s="200" t="s">
        <v>1363</v>
      </c>
      <c r="H96" s="201" t="s">
        <v>554</v>
      </c>
      <c r="I96" s="202">
        <v>5</v>
      </c>
      <c r="J96" s="143" t="s">
        <v>553</v>
      </c>
      <c r="K96" s="144">
        <v>5850</v>
      </c>
      <c r="L96" s="144">
        <v>5850</v>
      </c>
      <c r="M96" s="67">
        <v>6100</v>
      </c>
      <c r="N96" s="67"/>
      <c r="O96" s="67"/>
      <c r="P96" s="147" t="s">
        <v>1278</v>
      </c>
      <c r="Q96" s="165"/>
      <c r="R96" s="166" t="str">
        <f t="shared" si="9"/>
        <v/>
      </c>
      <c r="S96" s="167" t="s">
        <v>554</v>
      </c>
      <c r="T96" s="166" t="str">
        <f t="shared" si="10"/>
        <v/>
      </c>
      <c r="U96" s="166"/>
      <c r="V96" s="168" t="e">
        <f t="shared" si="12"/>
        <v>#VALUE!</v>
      </c>
      <c r="W96" s="166">
        <v>4485</v>
      </c>
      <c r="X96" s="166" t="s">
        <v>1311</v>
      </c>
      <c r="Y96" s="320"/>
      <c r="Z96" s="166"/>
      <c r="AA96" s="166"/>
      <c r="AB96" s="166"/>
    </row>
    <row r="97" spans="1:28" ht="15.8" customHeight="1">
      <c r="A97" s="143" t="s">
        <v>632</v>
      </c>
      <c r="B97" s="183" t="s">
        <v>1477</v>
      </c>
      <c r="C97" s="203" t="s">
        <v>632</v>
      </c>
      <c r="D97" s="184">
        <v>6324.9999999999991</v>
      </c>
      <c r="E97" s="178">
        <f t="shared" si="8"/>
        <v>8222.5</v>
      </c>
      <c r="F97" s="185" t="s">
        <v>602</v>
      </c>
      <c r="G97" s="186"/>
      <c r="H97" s="187" t="s">
        <v>551</v>
      </c>
      <c r="I97" s="188">
        <v>5</v>
      </c>
      <c r="J97" s="143" t="s">
        <v>602</v>
      </c>
      <c r="K97" s="144">
        <v>8250</v>
      </c>
      <c r="L97" s="144">
        <v>8250</v>
      </c>
      <c r="M97" s="67">
        <v>10450</v>
      </c>
      <c r="N97" s="67"/>
      <c r="O97" s="67"/>
      <c r="P97" s="147" t="s">
        <v>1278</v>
      </c>
      <c r="Q97" s="165"/>
      <c r="R97" s="166" t="str">
        <f t="shared" si="9"/>
        <v/>
      </c>
      <c r="S97" s="167" t="s">
        <v>551</v>
      </c>
      <c r="T97" s="166" t="str">
        <f t="shared" si="10"/>
        <v/>
      </c>
      <c r="U97" s="166"/>
      <c r="V97" s="168" t="e">
        <f t="shared" si="12"/>
        <v>#VALUE!</v>
      </c>
      <c r="W97" s="166">
        <v>6324.9999999999991</v>
      </c>
      <c r="X97" s="166" t="s">
        <v>1311</v>
      </c>
      <c r="Y97" s="320"/>
      <c r="Z97" s="166"/>
      <c r="AA97" s="166"/>
      <c r="AB97" s="166"/>
    </row>
    <row r="98" spans="1:28" ht="15.8" customHeight="1">
      <c r="A98" s="143" t="s">
        <v>633</v>
      </c>
      <c r="B98" s="196" t="s">
        <v>1478</v>
      </c>
      <c r="C98" s="197" t="s">
        <v>1479</v>
      </c>
      <c r="D98" s="198">
        <v>4485</v>
      </c>
      <c r="E98" s="178">
        <f t="shared" si="8"/>
        <v>5830.5</v>
      </c>
      <c r="F98" s="199" t="s">
        <v>553</v>
      </c>
      <c r="G98" s="200" t="s">
        <v>1363</v>
      </c>
      <c r="H98" s="201" t="s">
        <v>634</v>
      </c>
      <c r="I98" s="202">
        <v>5</v>
      </c>
      <c r="J98" s="143" t="s">
        <v>553</v>
      </c>
      <c r="K98" s="144">
        <v>5850</v>
      </c>
      <c r="L98" s="251">
        <v>5800</v>
      </c>
      <c r="M98" s="67"/>
      <c r="N98" s="67"/>
      <c r="O98" s="67"/>
      <c r="P98" s="147" t="s">
        <v>1278</v>
      </c>
      <c r="Q98" s="165"/>
      <c r="R98" s="166" t="str">
        <f t="shared" si="9"/>
        <v/>
      </c>
      <c r="S98" s="167" t="s">
        <v>634</v>
      </c>
      <c r="T98" s="166" t="str">
        <f t="shared" si="10"/>
        <v/>
      </c>
      <c r="U98" s="166"/>
      <c r="V98" s="168" t="e">
        <f t="shared" si="12"/>
        <v>#VALUE!</v>
      </c>
      <c r="W98" s="166">
        <v>4485</v>
      </c>
      <c r="X98" s="166" t="s">
        <v>1311</v>
      </c>
      <c r="Y98" s="320"/>
      <c r="Z98" s="166"/>
      <c r="AA98" s="166"/>
      <c r="AB98" s="166"/>
    </row>
    <row r="99" spans="1:28" s="7" customFormat="1" ht="15.8" customHeight="1">
      <c r="A99" s="143" t="s">
        <v>635</v>
      </c>
      <c r="B99" s="189" t="s">
        <v>1480</v>
      </c>
      <c r="C99" s="190" t="s">
        <v>635</v>
      </c>
      <c r="D99" s="191">
        <v>13914.999999999998</v>
      </c>
      <c r="E99" s="178">
        <f t="shared" si="8"/>
        <v>18089.5</v>
      </c>
      <c r="F99" s="192" t="s">
        <v>103</v>
      </c>
      <c r="G99" s="193" t="s">
        <v>1363</v>
      </c>
      <c r="H99" s="194" t="s">
        <v>551</v>
      </c>
      <c r="I99" s="195">
        <v>15</v>
      </c>
      <c r="J99" s="143" t="s">
        <v>103</v>
      </c>
      <c r="K99" s="144">
        <v>18090</v>
      </c>
      <c r="L99" s="251">
        <v>17200</v>
      </c>
      <c r="M99" s="67">
        <v>17300</v>
      </c>
      <c r="N99" s="67"/>
      <c r="O99" s="67"/>
      <c r="P99" s="147" t="s">
        <v>1282</v>
      </c>
      <c r="Q99" s="165"/>
      <c r="R99" s="166" t="str">
        <f t="shared" si="9"/>
        <v/>
      </c>
      <c r="S99" s="167" t="s">
        <v>551</v>
      </c>
      <c r="T99" s="166" t="str">
        <f t="shared" si="10"/>
        <v/>
      </c>
      <c r="U99" s="166"/>
      <c r="V99" s="168" t="e">
        <f t="shared" si="12"/>
        <v>#VALUE!</v>
      </c>
      <c r="W99" s="166">
        <v>13914.999999999998</v>
      </c>
      <c r="X99" s="175" t="s">
        <v>1311</v>
      </c>
      <c r="Y99" s="328"/>
      <c r="Z99" s="175"/>
      <c r="AA99" s="175"/>
      <c r="AB99" s="175"/>
    </row>
    <row r="100" spans="1:28" s="7" customFormat="1" ht="15.8" customHeight="1">
      <c r="A100" s="177" t="s">
        <v>1482</v>
      </c>
      <c r="B100" s="176" t="s">
        <v>1481</v>
      </c>
      <c r="C100" s="177" t="s">
        <v>1482</v>
      </c>
      <c r="D100" s="178">
        <v>1609.9999999999998</v>
      </c>
      <c r="E100" s="178">
        <f t="shared" si="8"/>
        <v>2093</v>
      </c>
      <c r="F100" s="179" t="s">
        <v>559</v>
      </c>
      <c r="G100" s="180"/>
      <c r="H100" s="181" t="s">
        <v>551</v>
      </c>
      <c r="I100" s="182">
        <v>1</v>
      </c>
      <c r="J100" s="143"/>
      <c r="K100" s="144"/>
      <c r="L100" s="144"/>
      <c r="M100" s="67"/>
      <c r="N100" s="67"/>
      <c r="O100" s="67"/>
      <c r="P100" s="147"/>
      <c r="Q100" s="165"/>
      <c r="R100" s="166"/>
      <c r="S100" s="167"/>
      <c r="T100" s="166"/>
      <c r="U100" s="166"/>
      <c r="V100" s="168"/>
      <c r="W100" s="166"/>
      <c r="X100" s="175"/>
      <c r="Y100" s="328"/>
      <c r="Z100" s="175"/>
      <c r="AA100" s="175"/>
      <c r="AB100" s="175"/>
    </row>
    <row r="101" spans="1:28" s="7" customFormat="1" ht="15.8" customHeight="1">
      <c r="A101" s="203" t="s">
        <v>1484</v>
      </c>
      <c r="B101" s="183" t="s">
        <v>1483</v>
      </c>
      <c r="C101" s="203" t="s">
        <v>1484</v>
      </c>
      <c r="D101" s="184">
        <v>15285</v>
      </c>
      <c r="E101" s="178">
        <f t="shared" si="8"/>
        <v>19870.5</v>
      </c>
      <c r="F101" s="185" t="s">
        <v>559</v>
      </c>
      <c r="G101" s="186"/>
      <c r="H101" s="187" t="s">
        <v>551</v>
      </c>
      <c r="I101" s="188">
        <v>3</v>
      </c>
      <c r="J101" s="143"/>
      <c r="K101" s="144"/>
      <c r="L101" s="144"/>
      <c r="M101" s="67"/>
      <c r="N101" s="67"/>
      <c r="O101" s="67"/>
      <c r="P101" s="147"/>
      <c r="Q101" s="165"/>
      <c r="R101" s="166"/>
      <c r="S101" s="167"/>
      <c r="T101" s="166"/>
      <c r="U101" s="166"/>
      <c r="V101" s="168"/>
      <c r="W101" s="166"/>
      <c r="X101" s="175"/>
      <c r="Y101" s="328"/>
      <c r="Z101" s="175"/>
      <c r="AA101" s="175"/>
      <c r="AB101" s="175"/>
    </row>
    <row r="102" spans="1:28" ht="15.8" customHeight="1">
      <c r="A102" s="1" t="s">
        <v>636</v>
      </c>
      <c r="B102" s="176" t="s">
        <v>1485</v>
      </c>
      <c r="C102" s="177" t="s">
        <v>636</v>
      </c>
      <c r="D102" s="178">
        <v>3500</v>
      </c>
      <c r="E102" s="178">
        <f t="shared" si="8"/>
        <v>4550</v>
      </c>
      <c r="F102" s="179" t="s">
        <v>550</v>
      </c>
      <c r="G102" s="180"/>
      <c r="H102" s="181" t="s">
        <v>551</v>
      </c>
      <c r="I102" s="182">
        <v>3</v>
      </c>
      <c r="J102" s="1" t="s">
        <v>550</v>
      </c>
      <c r="K102" s="67">
        <v>11400</v>
      </c>
      <c r="L102" s="67">
        <v>11400</v>
      </c>
      <c r="M102" s="67">
        <v>10560</v>
      </c>
      <c r="N102" s="67">
        <v>9545</v>
      </c>
      <c r="O102" s="67">
        <v>13700</v>
      </c>
      <c r="P102" s="18" t="s">
        <v>1275</v>
      </c>
      <c r="Q102" s="71"/>
      <c r="R102" s="5" t="str">
        <f>IF(Q102="x",CONCATENATE(A102,"; "),"")</f>
        <v/>
      </c>
      <c r="S102" s="62" t="s">
        <v>551</v>
      </c>
      <c r="T102" s="5" t="str">
        <f t="shared" si="10"/>
        <v/>
      </c>
      <c r="U102" s="5" t="s">
        <v>1262</v>
      </c>
      <c r="V102" s="69">
        <f>L102-X102</f>
        <v>0</v>
      </c>
      <c r="W102" s="5">
        <v>3500</v>
      </c>
      <c r="X102" s="5">
        <v>11400</v>
      </c>
    </row>
    <row r="103" spans="1:28" ht="15.8" customHeight="1">
      <c r="A103" s="143" t="s">
        <v>637</v>
      </c>
      <c r="B103" s="183" t="s">
        <v>1486</v>
      </c>
      <c r="C103" s="203" t="s">
        <v>637</v>
      </c>
      <c r="D103" s="184">
        <v>13900</v>
      </c>
      <c r="E103" s="178">
        <f t="shared" si="8"/>
        <v>18070</v>
      </c>
      <c r="F103" s="185" t="s">
        <v>88</v>
      </c>
      <c r="G103" s="186"/>
      <c r="H103" s="187" t="s">
        <v>551</v>
      </c>
      <c r="I103" s="188">
        <v>17</v>
      </c>
      <c r="J103" s="143" t="s">
        <v>88</v>
      </c>
      <c r="K103" s="144">
        <v>18070</v>
      </c>
      <c r="L103" s="251">
        <v>17000</v>
      </c>
      <c r="M103" s="67"/>
      <c r="N103" s="67"/>
      <c r="O103" s="67">
        <v>17000</v>
      </c>
      <c r="P103" s="147" t="s">
        <v>1283</v>
      </c>
      <c r="Q103" s="165"/>
      <c r="R103" s="166" t="str">
        <f>IF(Q103="x",CONCATENATE(A103,"; "),"")</f>
        <v/>
      </c>
      <c r="S103" s="167" t="s">
        <v>551</v>
      </c>
      <c r="T103" s="166" t="str">
        <f t="shared" si="10"/>
        <v/>
      </c>
      <c r="U103" s="166"/>
      <c r="V103" s="168" t="e">
        <f>L103-X103</f>
        <v>#VALUE!</v>
      </c>
      <c r="W103" s="166">
        <v>13900</v>
      </c>
      <c r="X103" s="166" t="s">
        <v>1311</v>
      </c>
      <c r="Y103" s="320"/>
      <c r="Z103" s="166"/>
      <c r="AA103" s="166"/>
      <c r="AB103" s="166"/>
    </row>
    <row r="104" spans="1:28" ht="15.8" customHeight="1">
      <c r="A104" s="177" t="s">
        <v>1487</v>
      </c>
      <c r="B104" s="176"/>
      <c r="C104" s="177" t="s">
        <v>1487</v>
      </c>
      <c r="D104" s="178">
        <v>60000</v>
      </c>
      <c r="E104" s="178">
        <f t="shared" si="8"/>
        <v>78000</v>
      </c>
      <c r="F104" s="179" t="s">
        <v>553</v>
      </c>
      <c r="G104" s="180"/>
      <c r="H104" s="181" t="s">
        <v>604</v>
      </c>
      <c r="I104" s="182" t="s">
        <v>1488</v>
      </c>
      <c r="J104" s="143"/>
      <c r="K104" s="144"/>
      <c r="L104" s="251">
        <v>65000</v>
      </c>
      <c r="M104" s="67">
        <v>65000</v>
      </c>
      <c r="N104" s="67"/>
      <c r="O104" s="67">
        <v>65000</v>
      </c>
      <c r="P104" s="147"/>
      <c r="Q104" s="165"/>
      <c r="R104" s="166"/>
      <c r="S104" s="167"/>
      <c r="T104" s="166"/>
      <c r="U104" s="166"/>
      <c r="V104" s="168"/>
      <c r="W104" s="166"/>
      <c r="X104" s="166"/>
      <c r="Y104" s="320"/>
      <c r="Z104" s="166"/>
      <c r="AA104" s="166"/>
      <c r="AB104" s="166"/>
    </row>
    <row r="105" spans="1:28" ht="15.8" customHeight="1">
      <c r="A105" s="1" t="s">
        <v>297</v>
      </c>
      <c r="B105" s="183" t="s">
        <v>1489</v>
      </c>
      <c r="C105" s="203" t="s">
        <v>297</v>
      </c>
      <c r="D105" s="184">
        <v>5979.9999999999991</v>
      </c>
      <c r="E105" s="178">
        <f t="shared" si="8"/>
        <v>7773.9999999999991</v>
      </c>
      <c r="F105" s="185" t="s">
        <v>550</v>
      </c>
      <c r="G105" s="186"/>
      <c r="H105" s="187" t="s">
        <v>551</v>
      </c>
      <c r="I105" s="188">
        <v>15</v>
      </c>
      <c r="J105" s="1" t="s">
        <v>550</v>
      </c>
      <c r="K105" s="67">
        <v>7800</v>
      </c>
      <c r="L105" s="251">
        <v>6900</v>
      </c>
      <c r="M105" s="67">
        <v>5300</v>
      </c>
      <c r="N105" s="67"/>
      <c r="O105" s="67">
        <v>7900</v>
      </c>
      <c r="P105" s="18" t="s">
        <v>1283</v>
      </c>
      <c r="Q105" s="71"/>
      <c r="R105" s="5" t="str">
        <f t="shared" ref="R105:R144" si="13">IF(Q105="x",CONCATENATE(A105,"; "),"")</f>
        <v/>
      </c>
      <c r="S105" s="62" t="s">
        <v>551</v>
      </c>
      <c r="T105" s="5" t="str">
        <f t="shared" si="10"/>
        <v/>
      </c>
      <c r="U105" s="5" t="s">
        <v>1262</v>
      </c>
      <c r="V105" s="69">
        <f t="shared" ref="V105:V119" si="14">L105-X105</f>
        <v>-874</v>
      </c>
      <c r="W105" s="5">
        <v>5979.9999999999991</v>
      </c>
      <c r="X105" s="5">
        <v>7774</v>
      </c>
    </row>
    <row r="106" spans="1:28" ht="15.8" customHeight="1">
      <c r="A106" s="143" t="s">
        <v>638</v>
      </c>
      <c r="B106" s="196" t="s">
        <v>1490</v>
      </c>
      <c r="C106" s="197" t="s">
        <v>1491</v>
      </c>
      <c r="D106" s="198">
        <v>30900</v>
      </c>
      <c r="E106" s="178">
        <f t="shared" si="8"/>
        <v>40170</v>
      </c>
      <c r="F106" s="199" t="s">
        <v>553</v>
      </c>
      <c r="G106" s="200" t="s">
        <v>1363</v>
      </c>
      <c r="H106" s="201" t="s">
        <v>627</v>
      </c>
      <c r="I106" s="202" t="s">
        <v>639</v>
      </c>
      <c r="J106" s="143" t="s">
        <v>553</v>
      </c>
      <c r="K106" s="144">
        <v>40200</v>
      </c>
      <c r="L106" s="144">
        <v>40200</v>
      </c>
      <c r="M106" s="67"/>
      <c r="N106" s="67"/>
      <c r="O106" s="67">
        <v>43000</v>
      </c>
      <c r="P106" s="147" t="s">
        <v>639</v>
      </c>
      <c r="Q106" s="165"/>
      <c r="R106" s="166" t="str">
        <f t="shared" si="13"/>
        <v/>
      </c>
      <c r="S106" s="167" t="s">
        <v>627</v>
      </c>
      <c r="T106" s="166" t="str">
        <f t="shared" si="10"/>
        <v/>
      </c>
      <c r="U106" s="166"/>
      <c r="V106" s="168">
        <f t="shared" si="14"/>
        <v>40200</v>
      </c>
      <c r="W106" s="166">
        <v>30900</v>
      </c>
      <c r="X106" s="166"/>
      <c r="Y106" s="320"/>
      <c r="Z106" s="166"/>
      <c r="AA106" s="166"/>
      <c r="AB106" s="166"/>
    </row>
    <row r="107" spans="1:28" ht="15.8" customHeight="1">
      <c r="A107" s="1" t="s">
        <v>37</v>
      </c>
      <c r="B107" s="183" t="s">
        <v>1492</v>
      </c>
      <c r="C107" s="203" t="s">
        <v>1873</v>
      </c>
      <c r="D107" s="277">
        <v>252.99999999999997</v>
      </c>
      <c r="E107" s="277">
        <f t="shared" si="8"/>
        <v>328.9</v>
      </c>
      <c r="F107" s="185" t="s">
        <v>550</v>
      </c>
      <c r="G107" s="278"/>
      <c r="H107" s="187" t="s">
        <v>551</v>
      </c>
      <c r="I107" s="188">
        <v>1</v>
      </c>
      <c r="J107" s="1" t="s">
        <v>550</v>
      </c>
      <c r="K107" s="67">
        <v>500</v>
      </c>
      <c r="L107" s="67">
        <v>500</v>
      </c>
      <c r="M107" s="67"/>
      <c r="N107" s="67">
        <v>316</v>
      </c>
      <c r="O107" s="67">
        <v>1000</v>
      </c>
      <c r="P107" s="18" t="s">
        <v>254</v>
      </c>
      <c r="Q107" s="71"/>
      <c r="R107" s="5" t="str">
        <f t="shared" si="13"/>
        <v/>
      </c>
      <c r="S107" s="62" t="s">
        <v>551</v>
      </c>
      <c r="T107" s="5" t="str">
        <f t="shared" si="10"/>
        <v/>
      </c>
      <c r="V107" s="69">
        <f t="shared" si="14"/>
        <v>500</v>
      </c>
      <c r="W107" s="5">
        <v>221</v>
      </c>
    </row>
    <row r="108" spans="1:28" s="173" customFormat="1" ht="15.8" customHeight="1">
      <c r="A108" s="233" t="s">
        <v>509</v>
      </c>
      <c r="B108" s="270" t="s">
        <v>1493</v>
      </c>
      <c r="C108" s="273" t="s">
        <v>509</v>
      </c>
      <c r="D108" s="272">
        <v>3600</v>
      </c>
      <c r="E108" s="272">
        <f t="shared" si="8"/>
        <v>4680</v>
      </c>
      <c r="F108" s="273" t="s">
        <v>550</v>
      </c>
      <c r="G108" s="274"/>
      <c r="H108" s="275" t="s">
        <v>551</v>
      </c>
      <c r="I108" s="276">
        <v>1</v>
      </c>
      <c r="J108" s="233" t="s">
        <v>550</v>
      </c>
      <c r="K108" s="145">
        <v>4000</v>
      </c>
      <c r="L108" s="145">
        <v>4500</v>
      </c>
      <c r="M108" s="145">
        <v>3000</v>
      </c>
      <c r="N108" s="145">
        <v>1725</v>
      </c>
      <c r="O108" s="145">
        <v>4500</v>
      </c>
      <c r="P108" s="242" t="s">
        <v>254</v>
      </c>
      <c r="Q108" s="169"/>
      <c r="R108" s="173" t="str">
        <f t="shared" si="13"/>
        <v/>
      </c>
      <c r="S108" s="243" t="s">
        <v>551</v>
      </c>
      <c r="T108" s="173" t="str">
        <f t="shared" si="10"/>
        <v/>
      </c>
      <c r="U108" s="173" t="s">
        <v>1261</v>
      </c>
      <c r="V108" s="170">
        <f t="shared" si="14"/>
        <v>2000</v>
      </c>
      <c r="W108" s="173">
        <v>1986</v>
      </c>
      <c r="X108" s="173">
        <v>2500</v>
      </c>
      <c r="Y108" s="321"/>
    </row>
    <row r="109" spans="1:28" s="173" customFormat="1" ht="15.8" customHeight="1">
      <c r="A109" s="233" t="s">
        <v>1333</v>
      </c>
      <c r="E109" s="237">
        <f t="shared" si="8"/>
        <v>0</v>
      </c>
      <c r="J109" s="233" t="s">
        <v>550</v>
      </c>
      <c r="K109" s="145">
        <v>200</v>
      </c>
      <c r="L109" s="145">
        <v>200</v>
      </c>
      <c r="M109" s="145">
        <v>290</v>
      </c>
      <c r="N109" s="145"/>
      <c r="O109" s="145"/>
      <c r="P109" s="242" t="s">
        <v>254</v>
      </c>
      <c r="Q109" s="169"/>
      <c r="R109" s="173" t="str">
        <f t="shared" si="13"/>
        <v/>
      </c>
      <c r="S109" s="243" t="s">
        <v>551</v>
      </c>
      <c r="T109" s="173" t="str">
        <f t="shared" si="10"/>
        <v/>
      </c>
      <c r="U109" s="173" t="s">
        <v>1261</v>
      </c>
      <c r="V109" s="170">
        <f t="shared" si="14"/>
        <v>0</v>
      </c>
      <c r="W109" s="173">
        <v>120</v>
      </c>
      <c r="X109" s="173">
        <v>200</v>
      </c>
      <c r="Y109" s="321"/>
    </row>
    <row r="110" spans="1:28" ht="15.8" customHeight="1">
      <c r="A110" s="143" t="s">
        <v>640</v>
      </c>
      <c r="B110" s="183" t="s">
        <v>1494</v>
      </c>
      <c r="C110" s="203" t="s">
        <v>640</v>
      </c>
      <c r="D110" s="184">
        <v>14000</v>
      </c>
      <c r="E110" s="178">
        <f t="shared" si="8"/>
        <v>18200</v>
      </c>
      <c r="F110" s="185" t="s">
        <v>553</v>
      </c>
      <c r="G110" s="186"/>
      <c r="H110" s="187" t="s">
        <v>604</v>
      </c>
      <c r="I110" s="188">
        <v>12</v>
      </c>
      <c r="J110" s="143" t="s">
        <v>553</v>
      </c>
      <c r="K110" s="144">
        <v>18200</v>
      </c>
      <c r="L110" s="144">
        <v>18200</v>
      </c>
      <c r="M110" s="67"/>
      <c r="N110" s="67"/>
      <c r="O110" s="67"/>
      <c r="P110" s="147" t="s">
        <v>563</v>
      </c>
      <c r="Q110" s="165"/>
      <c r="R110" s="166" t="str">
        <f t="shared" si="13"/>
        <v/>
      </c>
      <c r="S110" s="167" t="s">
        <v>604</v>
      </c>
      <c r="T110" s="166" t="str">
        <f t="shared" si="10"/>
        <v/>
      </c>
      <c r="U110" s="166"/>
      <c r="V110" s="168">
        <f t="shared" si="14"/>
        <v>18200</v>
      </c>
      <c r="W110" s="166">
        <v>14000</v>
      </c>
      <c r="X110" s="166"/>
      <c r="Y110" s="320"/>
      <c r="Z110" s="166"/>
      <c r="AA110" s="166"/>
      <c r="AB110" s="166"/>
    </row>
    <row r="111" spans="1:28" ht="15.8" customHeight="1">
      <c r="A111" s="1" t="s">
        <v>1320</v>
      </c>
      <c r="B111" s="176" t="s">
        <v>1495</v>
      </c>
      <c r="C111" s="177" t="s">
        <v>641</v>
      </c>
      <c r="D111" s="178">
        <v>8500</v>
      </c>
      <c r="E111" s="178">
        <f t="shared" si="8"/>
        <v>11050</v>
      </c>
      <c r="F111" s="179" t="s">
        <v>602</v>
      </c>
      <c r="G111" s="180"/>
      <c r="H111" s="181" t="s">
        <v>642</v>
      </c>
      <c r="I111" s="182">
        <v>2</v>
      </c>
      <c r="J111" s="1" t="s">
        <v>602</v>
      </c>
      <c r="K111" s="67">
        <v>11050</v>
      </c>
      <c r="L111" s="67">
        <v>11050</v>
      </c>
      <c r="M111" s="67"/>
      <c r="N111" s="67"/>
      <c r="O111" s="67"/>
      <c r="P111" s="18" t="s">
        <v>423</v>
      </c>
      <c r="Q111" s="71"/>
      <c r="R111" s="5" t="str">
        <f t="shared" si="13"/>
        <v/>
      </c>
      <c r="S111" s="62" t="s">
        <v>642</v>
      </c>
      <c r="T111" s="5" t="str">
        <f t="shared" si="10"/>
        <v/>
      </c>
      <c r="V111" s="69">
        <f t="shared" si="14"/>
        <v>50</v>
      </c>
      <c r="W111" s="5">
        <v>8500</v>
      </c>
      <c r="X111" s="5">
        <v>11000</v>
      </c>
    </row>
    <row r="112" spans="1:28" s="7" customFormat="1" ht="15.8" customHeight="1">
      <c r="A112" s="143" t="s">
        <v>643</v>
      </c>
      <c r="B112" s="183" t="s">
        <v>1496</v>
      </c>
      <c r="C112" s="203" t="s">
        <v>643</v>
      </c>
      <c r="D112" s="184">
        <v>13000</v>
      </c>
      <c r="E112" s="178">
        <f t="shared" si="8"/>
        <v>16900</v>
      </c>
      <c r="F112" s="185" t="s">
        <v>562</v>
      </c>
      <c r="G112" s="186"/>
      <c r="H112" s="187" t="s">
        <v>551</v>
      </c>
      <c r="I112" s="188">
        <v>17</v>
      </c>
      <c r="J112" s="143" t="s">
        <v>562</v>
      </c>
      <c r="K112" s="144">
        <v>16900</v>
      </c>
      <c r="L112" s="144">
        <v>16900</v>
      </c>
      <c r="M112" s="67"/>
      <c r="N112" s="67"/>
      <c r="O112" s="67"/>
      <c r="P112" s="147" t="s">
        <v>1283</v>
      </c>
      <c r="Q112" s="165"/>
      <c r="R112" s="166" t="str">
        <f t="shared" si="13"/>
        <v/>
      </c>
      <c r="S112" s="167" t="s">
        <v>551</v>
      </c>
      <c r="T112" s="166" t="str">
        <f t="shared" si="10"/>
        <v/>
      </c>
      <c r="U112" s="166"/>
      <c r="V112" s="168" t="e">
        <f t="shared" si="14"/>
        <v>#VALUE!</v>
      </c>
      <c r="W112" s="166">
        <v>13000</v>
      </c>
      <c r="X112" s="175" t="s">
        <v>1311</v>
      </c>
      <c r="Y112" s="328"/>
      <c r="Z112" s="175"/>
      <c r="AA112" s="175"/>
      <c r="AB112" s="175"/>
    </row>
    <row r="113" spans="1:28" ht="15.8" customHeight="1">
      <c r="A113" s="1" t="s">
        <v>644</v>
      </c>
      <c r="B113" s="176" t="s">
        <v>1497</v>
      </c>
      <c r="C113" s="177" t="s">
        <v>644</v>
      </c>
      <c r="D113" s="178">
        <v>2790</v>
      </c>
      <c r="E113" s="178">
        <f t="shared" si="8"/>
        <v>3627</v>
      </c>
      <c r="F113" s="179" t="s">
        <v>550</v>
      </c>
      <c r="G113" s="180"/>
      <c r="H113" s="181" t="s">
        <v>551</v>
      </c>
      <c r="I113" s="182">
        <v>17</v>
      </c>
      <c r="J113" s="1" t="s">
        <v>550</v>
      </c>
      <c r="K113" s="67">
        <v>3700</v>
      </c>
      <c r="L113" s="67">
        <v>3700</v>
      </c>
      <c r="M113" s="67"/>
      <c r="N113" s="67"/>
      <c r="O113" s="67"/>
      <c r="P113" s="18" t="s">
        <v>552</v>
      </c>
      <c r="Q113" s="71"/>
      <c r="R113" s="5" t="str">
        <f t="shared" si="13"/>
        <v/>
      </c>
      <c r="S113" s="62" t="s">
        <v>551</v>
      </c>
      <c r="T113" s="5" t="str">
        <f t="shared" si="10"/>
        <v/>
      </c>
      <c r="U113" s="5" t="s">
        <v>1264</v>
      </c>
      <c r="V113" s="69">
        <f t="shared" si="14"/>
        <v>70</v>
      </c>
      <c r="W113" s="5">
        <v>2790</v>
      </c>
      <c r="X113" s="5">
        <v>3630</v>
      </c>
    </row>
    <row r="114" spans="1:28" ht="15.8" customHeight="1">
      <c r="A114" s="1" t="s">
        <v>734</v>
      </c>
      <c r="B114" s="183" t="s">
        <v>1498</v>
      </c>
      <c r="C114" s="203" t="s">
        <v>1499</v>
      </c>
      <c r="D114" s="184">
        <v>1724.9999999999998</v>
      </c>
      <c r="E114" s="178">
        <f t="shared" si="8"/>
        <v>2242.5</v>
      </c>
      <c r="F114" s="185" t="s">
        <v>559</v>
      </c>
      <c r="G114" s="186"/>
      <c r="H114" s="187" t="s">
        <v>551</v>
      </c>
      <c r="I114" s="188">
        <v>2</v>
      </c>
      <c r="J114" s="1" t="s">
        <v>559</v>
      </c>
      <c r="K114" s="67">
        <v>5000</v>
      </c>
      <c r="L114" s="251">
        <v>3500</v>
      </c>
      <c r="M114" s="67">
        <v>4400</v>
      </c>
      <c r="N114" s="67">
        <v>3335</v>
      </c>
      <c r="O114" s="67">
        <v>5700</v>
      </c>
      <c r="P114" s="18" t="s">
        <v>254</v>
      </c>
      <c r="Q114" s="71"/>
      <c r="R114" s="5" t="str">
        <f t="shared" si="13"/>
        <v/>
      </c>
      <c r="S114" s="62" t="s">
        <v>551</v>
      </c>
      <c r="T114" s="5" t="str">
        <f t="shared" si="10"/>
        <v/>
      </c>
      <c r="V114" s="69">
        <f t="shared" si="14"/>
        <v>3500</v>
      </c>
      <c r="W114" s="5">
        <v>3021</v>
      </c>
    </row>
    <row r="115" spans="1:28" ht="15.8" customHeight="1">
      <c r="A115" s="1" t="s">
        <v>1321</v>
      </c>
      <c r="B115" s="189" t="s">
        <v>1749</v>
      </c>
      <c r="C115" s="192" t="s">
        <v>1750</v>
      </c>
      <c r="D115" s="280">
        <v>48000</v>
      </c>
      <c r="E115" s="277">
        <f t="shared" si="8"/>
        <v>62400</v>
      </c>
      <c r="F115" s="192" t="s">
        <v>553</v>
      </c>
      <c r="G115" s="193" t="s">
        <v>1363</v>
      </c>
      <c r="H115" s="193" t="s">
        <v>1751</v>
      </c>
      <c r="I115" s="335" t="s">
        <v>581</v>
      </c>
      <c r="J115" s="1" t="s">
        <v>553</v>
      </c>
      <c r="K115" s="67">
        <v>55000</v>
      </c>
      <c r="L115" s="67">
        <v>50000</v>
      </c>
      <c r="M115" s="67">
        <v>60000</v>
      </c>
      <c r="N115" s="67"/>
      <c r="O115" s="67">
        <v>53900</v>
      </c>
      <c r="P115" s="18" t="s">
        <v>646</v>
      </c>
      <c r="Q115" s="279"/>
      <c r="R115" s="5" t="str">
        <f t="shared" si="13"/>
        <v/>
      </c>
      <c r="S115" s="70" t="s">
        <v>604</v>
      </c>
      <c r="T115" s="5" t="str">
        <f t="shared" si="10"/>
        <v/>
      </c>
      <c r="U115" s="5" t="s">
        <v>1265</v>
      </c>
      <c r="V115" s="69">
        <f t="shared" si="14"/>
        <v>-5000</v>
      </c>
      <c r="W115" s="5">
        <v>45500</v>
      </c>
      <c r="X115" s="7">
        <v>55000</v>
      </c>
      <c r="Y115" s="323"/>
      <c r="Z115" s="7"/>
    </row>
    <row r="116" spans="1:28" ht="15.8" customHeight="1">
      <c r="A116" s="143" t="s">
        <v>1322</v>
      </c>
      <c r="B116" s="176" t="s">
        <v>1500</v>
      </c>
      <c r="C116" s="177" t="s">
        <v>647</v>
      </c>
      <c r="D116" s="178">
        <v>27599.999999999996</v>
      </c>
      <c r="E116" s="178">
        <f t="shared" si="8"/>
        <v>35880</v>
      </c>
      <c r="F116" s="179" t="s">
        <v>553</v>
      </c>
      <c r="G116" s="180"/>
      <c r="H116" s="181" t="s">
        <v>604</v>
      </c>
      <c r="I116" s="182">
        <v>12</v>
      </c>
      <c r="J116" s="143" t="s">
        <v>553</v>
      </c>
      <c r="K116" s="144">
        <v>35880</v>
      </c>
      <c r="L116" s="144">
        <v>35880</v>
      </c>
      <c r="M116" s="67"/>
      <c r="N116" s="67"/>
      <c r="O116" s="67"/>
      <c r="P116" s="147" t="s">
        <v>1284</v>
      </c>
      <c r="Q116" s="71"/>
      <c r="R116" s="5" t="str">
        <f t="shared" si="13"/>
        <v/>
      </c>
      <c r="S116" s="62" t="s">
        <v>604</v>
      </c>
      <c r="T116" s="5" t="str">
        <f t="shared" si="10"/>
        <v/>
      </c>
      <c r="V116" s="69" t="e">
        <f t="shared" si="14"/>
        <v>#VALUE!</v>
      </c>
      <c r="W116" s="5">
        <v>27599.999999999996</v>
      </c>
      <c r="X116" s="5" t="s">
        <v>1323</v>
      </c>
    </row>
    <row r="117" spans="1:28" ht="15.8" customHeight="1">
      <c r="A117" s="1" t="s">
        <v>649</v>
      </c>
      <c r="B117" s="183" t="s">
        <v>649</v>
      </c>
      <c r="C117" s="203" t="s">
        <v>649</v>
      </c>
      <c r="D117" s="184">
        <v>459.99999999999994</v>
      </c>
      <c r="E117" s="178">
        <f t="shared" si="8"/>
        <v>598</v>
      </c>
      <c r="F117" s="185" t="s">
        <v>550</v>
      </c>
      <c r="G117" s="186"/>
      <c r="H117" s="187" t="s">
        <v>551</v>
      </c>
      <c r="I117" s="188">
        <v>1</v>
      </c>
      <c r="J117" s="1" t="s">
        <v>550</v>
      </c>
      <c r="K117" s="67">
        <v>1400</v>
      </c>
      <c r="L117" s="67">
        <v>1400</v>
      </c>
      <c r="M117" s="67">
        <v>1900</v>
      </c>
      <c r="N117" s="67"/>
      <c r="O117" s="67">
        <v>1500</v>
      </c>
      <c r="P117" s="18" t="s">
        <v>254</v>
      </c>
      <c r="Q117" s="71"/>
      <c r="R117" s="5" t="str">
        <f t="shared" si="13"/>
        <v/>
      </c>
      <c r="S117" s="62" t="s">
        <v>551</v>
      </c>
      <c r="T117" s="5" t="str">
        <f t="shared" si="10"/>
        <v/>
      </c>
      <c r="U117" s="5" t="s">
        <v>1261</v>
      </c>
      <c r="V117" s="69">
        <f t="shared" si="14"/>
        <v>0</v>
      </c>
      <c r="W117" s="5">
        <v>598</v>
      </c>
      <c r="X117" s="5">
        <v>1400</v>
      </c>
    </row>
    <row r="118" spans="1:28" ht="15.8" customHeight="1">
      <c r="A118" s="143" t="s">
        <v>650</v>
      </c>
      <c r="B118" s="176" t="s">
        <v>1501</v>
      </c>
      <c r="C118" s="177" t="s">
        <v>650</v>
      </c>
      <c r="D118" s="178">
        <v>9900</v>
      </c>
      <c r="E118" s="178">
        <f t="shared" si="8"/>
        <v>12870</v>
      </c>
      <c r="F118" s="179" t="s">
        <v>103</v>
      </c>
      <c r="G118" s="180"/>
      <c r="H118" s="181" t="s">
        <v>551</v>
      </c>
      <c r="I118" s="182">
        <v>17</v>
      </c>
      <c r="J118" s="143" t="s">
        <v>103</v>
      </c>
      <c r="K118" s="144">
        <v>12870</v>
      </c>
      <c r="L118" s="251">
        <v>12000</v>
      </c>
      <c r="M118" s="67">
        <v>9600</v>
      </c>
      <c r="N118" s="67"/>
      <c r="O118" s="67">
        <v>12500</v>
      </c>
      <c r="P118" s="147" t="s">
        <v>552</v>
      </c>
      <c r="Q118" s="165"/>
      <c r="R118" s="166" t="str">
        <f t="shared" si="13"/>
        <v/>
      </c>
      <c r="S118" s="167" t="s">
        <v>551</v>
      </c>
      <c r="T118" s="166" t="str">
        <f t="shared" si="10"/>
        <v/>
      </c>
      <c r="U118" s="166"/>
      <c r="V118" s="168" t="e">
        <f t="shared" si="14"/>
        <v>#VALUE!</v>
      </c>
      <c r="W118" s="166">
        <v>9900</v>
      </c>
      <c r="X118" s="166" t="s">
        <v>1311</v>
      </c>
      <c r="Y118" s="320"/>
      <c r="Z118" s="166"/>
      <c r="AA118" s="166"/>
      <c r="AB118" s="166"/>
    </row>
    <row r="119" spans="1:28" ht="15.8" customHeight="1">
      <c r="A119" s="1" t="s">
        <v>651</v>
      </c>
      <c r="B119" s="183" t="s">
        <v>1502</v>
      </c>
      <c r="C119" s="203" t="s">
        <v>651</v>
      </c>
      <c r="D119" s="184">
        <v>4024.9999999999995</v>
      </c>
      <c r="E119" s="178">
        <f t="shared" si="8"/>
        <v>5232.5</v>
      </c>
      <c r="F119" s="185" t="s">
        <v>602</v>
      </c>
      <c r="G119" s="186"/>
      <c r="H119" s="187" t="s">
        <v>551</v>
      </c>
      <c r="I119" s="188">
        <v>3</v>
      </c>
      <c r="J119" s="1" t="s">
        <v>602</v>
      </c>
      <c r="K119" s="67">
        <v>8800</v>
      </c>
      <c r="L119" s="67">
        <v>6800</v>
      </c>
      <c r="M119" s="67">
        <v>9500</v>
      </c>
      <c r="N119" s="67"/>
      <c r="O119" s="67">
        <v>6800</v>
      </c>
      <c r="P119" s="18" t="s">
        <v>1275</v>
      </c>
      <c r="Q119" s="71"/>
      <c r="R119" s="5" t="str">
        <f t="shared" si="13"/>
        <v/>
      </c>
      <c r="S119" s="62" t="s">
        <v>551</v>
      </c>
      <c r="T119" s="5" t="str">
        <f t="shared" si="10"/>
        <v/>
      </c>
      <c r="U119" s="5" t="s">
        <v>1262</v>
      </c>
      <c r="V119" s="69">
        <f t="shared" si="14"/>
        <v>1560</v>
      </c>
      <c r="W119" s="5">
        <v>4024.9999999999995</v>
      </c>
      <c r="X119" s="5">
        <v>5240</v>
      </c>
    </row>
    <row r="120" spans="1:28" s="7" customFormat="1" ht="15.8" customHeight="1">
      <c r="A120" s="157" t="s">
        <v>652</v>
      </c>
      <c r="B120" s="183" t="s">
        <v>1505</v>
      </c>
      <c r="C120" s="203" t="s">
        <v>652</v>
      </c>
      <c r="D120" s="184">
        <v>48299.999999999993</v>
      </c>
      <c r="E120" s="178">
        <f t="shared" si="8"/>
        <v>62789.999999999993</v>
      </c>
      <c r="F120" s="185" t="s">
        <v>553</v>
      </c>
      <c r="G120" s="186"/>
      <c r="H120" s="187" t="s">
        <v>604</v>
      </c>
      <c r="I120" s="188">
        <v>10</v>
      </c>
      <c r="J120" s="157" t="s">
        <v>553</v>
      </c>
      <c r="K120" s="158">
        <v>62790</v>
      </c>
      <c r="L120" s="158">
        <v>62790</v>
      </c>
      <c r="M120" s="160"/>
      <c r="N120" s="160"/>
      <c r="O120" s="160"/>
      <c r="P120" s="159" t="s">
        <v>653</v>
      </c>
      <c r="Q120" s="71"/>
      <c r="R120" s="5" t="str">
        <f t="shared" si="13"/>
        <v/>
      </c>
      <c r="S120" s="62" t="s">
        <v>604</v>
      </c>
      <c r="T120" s="5" t="str">
        <f t="shared" si="10"/>
        <v/>
      </c>
      <c r="U120" s="5"/>
      <c r="V120" s="69"/>
      <c r="W120" s="5">
        <v>48299.999999999993</v>
      </c>
      <c r="Y120" s="323"/>
    </row>
    <row r="121" spans="1:28" s="7" customFormat="1" ht="15.8" customHeight="1">
      <c r="A121" s="1" t="s">
        <v>654</v>
      </c>
      <c r="B121" s="176" t="s">
        <v>1506</v>
      </c>
      <c r="C121" s="177" t="s">
        <v>654</v>
      </c>
      <c r="D121" s="178">
        <v>10000</v>
      </c>
      <c r="E121" s="178">
        <f t="shared" si="8"/>
        <v>13000</v>
      </c>
      <c r="F121" s="179" t="s">
        <v>567</v>
      </c>
      <c r="G121" s="180"/>
      <c r="H121" s="181" t="s">
        <v>551</v>
      </c>
      <c r="I121" s="182">
        <v>17</v>
      </c>
      <c r="J121" s="1" t="s">
        <v>567</v>
      </c>
      <c r="K121" s="67">
        <v>17700</v>
      </c>
      <c r="L121" s="251">
        <v>15000</v>
      </c>
      <c r="M121" s="67">
        <v>19300</v>
      </c>
      <c r="N121" s="67">
        <v>15800</v>
      </c>
      <c r="O121" s="67">
        <v>17700</v>
      </c>
      <c r="P121" s="18" t="s">
        <v>552</v>
      </c>
      <c r="Q121" s="71"/>
      <c r="R121" s="5" t="str">
        <f t="shared" si="13"/>
        <v/>
      </c>
      <c r="S121" s="62" t="s">
        <v>551</v>
      </c>
      <c r="T121" s="5" t="str">
        <f t="shared" si="10"/>
        <v/>
      </c>
      <c r="U121" s="5" t="s">
        <v>1262</v>
      </c>
      <c r="V121" s="69">
        <f t="shared" ref="V121:V144" si="15">L121-X121</f>
        <v>-2700</v>
      </c>
      <c r="W121" s="5">
        <v>10000</v>
      </c>
      <c r="X121" s="7">
        <v>17700</v>
      </c>
      <c r="Y121" s="323"/>
    </row>
    <row r="122" spans="1:28" ht="15.8" customHeight="1">
      <c r="A122" s="1" t="s">
        <v>10</v>
      </c>
      <c r="B122" s="176" t="s">
        <v>1503</v>
      </c>
      <c r="C122" s="177" t="s">
        <v>1504</v>
      </c>
      <c r="D122" s="178">
        <v>4485</v>
      </c>
      <c r="E122" s="178">
        <f t="shared" si="8"/>
        <v>5830.5</v>
      </c>
      <c r="F122" s="179" t="s">
        <v>593</v>
      </c>
      <c r="G122" s="180"/>
      <c r="H122" s="181" t="s">
        <v>599</v>
      </c>
      <c r="I122" s="182">
        <v>1</v>
      </c>
      <c r="J122" s="1" t="s">
        <v>593</v>
      </c>
      <c r="K122" s="67">
        <v>6500</v>
      </c>
      <c r="L122" s="251">
        <v>6500</v>
      </c>
      <c r="M122" s="67">
        <v>7400</v>
      </c>
      <c r="N122" s="67">
        <v>5750</v>
      </c>
      <c r="O122" s="67">
        <v>9000</v>
      </c>
      <c r="P122" s="18" t="s">
        <v>254</v>
      </c>
      <c r="Q122" s="71"/>
      <c r="R122" s="5" t="str">
        <f t="shared" si="13"/>
        <v/>
      </c>
      <c r="S122" s="62" t="s">
        <v>599</v>
      </c>
      <c r="T122" s="5" t="str">
        <f t="shared" si="10"/>
        <v/>
      </c>
      <c r="U122" s="5" t="s">
        <v>1266</v>
      </c>
      <c r="V122" s="69">
        <f t="shared" si="15"/>
        <v>0</v>
      </c>
      <c r="W122" s="5">
        <v>5000</v>
      </c>
      <c r="X122" s="5">
        <v>6500</v>
      </c>
    </row>
    <row r="123" spans="1:28" ht="15.8" customHeight="1">
      <c r="A123" s="1" t="s">
        <v>1324</v>
      </c>
      <c r="B123" s="183" t="s">
        <v>1507</v>
      </c>
      <c r="C123" s="203" t="s">
        <v>1508</v>
      </c>
      <c r="D123" s="184">
        <v>1380</v>
      </c>
      <c r="E123" s="178">
        <f t="shared" si="8"/>
        <v>1794</v>
      </c>
      <c r="F123" s="185" t="s">
        <v>559</v>
      </c>
      <c r="G123" s="186"/>
      <c r="H123" s="187" t="s">
        <v>551</v>
      </c>
      <c r="I123" s="188">
        <v>1</v>
      </c>
      <c r="J123" s="1" t="s">
        <v>550</v>
      </c>
      <c r="K123" s="67">
        <v>4500</v>
      </c>
      <c r="L123" s="251">
        <v>3500</v>
      </c>
      <c r="M123" s="67">
        <v>4900</v>
      </c>
      <c r="N123" s="67">
        <v>3565</v>
      </c>
      <c r="O123" s="67">
        <v>5700</v>
      </c>
      <c r="P123" s="18" t="s">
        <v>254</v>
      </c>
      <c r="Q123" s="71"/>
      <c r="R123" s="5" t="str">
        <f t="shared" si="13"/>
        <v/>
      </c>
      <c r="S123" s="62" t="s">
        <v>551</v>
      </c>
      <c r="T123" s="5" t="str">
        <f t="shared" si="10"/>
        <v/>
      </c>
      <c r="U123" s="5" t="s">
        <v>1261</v>
      </c>
      <c r="V123" s="69">
        <f t="shared" si="15"/>
        <v>-1000</v>
      </c>
      <c r="W123" s="5">
        <v>1235</v>
      </c>
      <c r="X123" s="5">
        <v>4500</v>
      </c>
    </row>
    <row r="124" spans="1:28" ht="15.8" customHeight="1">
      <c r="A124" s="1" t="s">
        <v>655</v>
      </c>
      <c r="B124" s="176" t="s">
        <v>1509</v>
      </c>
      <c r="C124" s="177" t="s">
        <v>655</v>
      </c>
      <c r="D124" s="178">
        <v>5060</v>
      </c>
      <c r="E124" s="178">
        <f t="shared" si="8"/>
        <v>6578</v>
      </c>
      <c r="F124" s="179" t="s">
        <v>656</v>
      </c>
      <c r="G124" s="180"/>
      <c r="H124" s="181" t="s">
        <v>551</v>
      </c>
      <c r="I124" s="207" t="s">
        <v>361</v>
      </c>
      <c r="J124" s="1" t="s">
        <v>656</v>
      </c>
      <c r="K124" s="67">
        <v>6600</v>
      </c>
      <c r="L124" s="67">
        <v>6600</v>
      </c>
      <c r="M124" s="67"/>
      <c r="N124" s="67"/>
      <c r="O124" s="67"/>
      <c r="P124" s="18" t="s">
        <v>1275</v>
      </c>
      <c r="Q124" s="71"/>
      <c r="R124" s="5" t="str">
        <f t="shared" si="13"/>
        <v/>
      </c>
      <c r="S124" s="62" t="s">
        <v>551</v>
      </c>
      <c r="T124" s="5" t="str">
        <f t="shared" si="10"/>
        <v/>
      </c>
      <c r="U124" s="5" t="s">
        <v>1262</v>
      </c>
      <c r="V124" s="69">
        <f t="shared" si="15"/>
        <v>20</v>
      </c>
      <c r="W124" s="5">
        <v>5060</v>
      </c>
      <c r="X124" s="5">
        <v>6580</v>
      </c>
    </row>
    <row r="125" spans="1:28" ht="15.8" customHeight="1">
      <c r="A125" s="1" t="s">
        <v>657</v>
      </c>
      <c r="B125" s="189" t="s">
        <v>1510</v>
      </c>
      <c r="C125" s="190" t="s">
        <v>657</v>
      </c>
      <c r="D125" s="191">
        <v>18400</v>
      </c>
      <c r="E125" s="178">
        <f t="shared" ref="E125:E184" si="16">D125*1.3</f>
        <v>23920</v>
      </c>
      <c r="F125" s="192" t="s">
        <v>559</v>
      </c>
      <c r="G125" s="193" t="s">
        <v>1363</v>
      </c>
      <c r="H125" s="194" t="s">
        <v>551</v>
      </c>
      <c r="I125" s="195">
        <v>17</v>
      </c>
      <c r="J125" s="1" t="s">
        <v>559</v>
      </c>
      <c r="K125" s="67">
        <v>23920</v>
      </c>
      <c r="L125" s="251">
        <v>22000</v>
      </c>
      <c r="M125" s="67">
        <v>18500</v>
      </c>
      <c r="N125" s="67"/>
      <c r="O125" s="67">
        <v>22300</v>
      </c>
      <c r="P125" s="18" t="s">
        <v>552</v>
      </c>
      <c r="Q125" s="71"/>
      <c r="R125" s="5" t="str">
        <f t="shared" si="13"/>
        <v/>
      </c>
      <c r="S125" s="62" t="s">
        <v>551</v>
      </c>
      <c r="T125" s="5" t="str">
        <f t="shared" si="10"/>
        <v/>
      </c>
      <c r="U125" s="5" t="s">
        <v>1262</v>
      </c>
      <c r="V125" s="69">
        <f t="shared" si="15"/>
        <v>-1920</v>
      </c>
      <c r="W125" s="5">
        <v>18400</v>
      </c>
      <c r="X125" s="5">
        <v>23920</v>
      </c>
    </row>
    <row r="126" spans="1:28" s="9" customFormat="1" ht="15.8" customHeight="1">
      <c r="A126" s="1" t="s">
        <v>658</v>
      </c>
      <c r="B126" s="176" t="s">
        <v>1511</v>
      </c>
      <c r="C126" s="179" t="s">
        <v>658</v>
      </c>
      <c r="D126" s="178">
        <v>2760</v>
      </c>
      <c r="E126" s="178">
        <f t="shared" si="16"/>
        <v>3588</v>
      </c>
      <c r="F126" s="179" t="s">
        <v>88</v>
      </c>
      <c r="G126" s="180"/>
      <c r="H126" s="181" t="s">
        <v>551</v>
      </c>
      <c r="I126" s="207" t="s">
        <v>1399</v>
      </c>
      <c r="J126" s="1" t="s">
        <v>88</v>
      </c>
      <c r="K126" s="67">
        <v>3600</v>
      </c>
      <c r="L126" s="67">
        <v>3600</v>
      </c>
      <c r="M126" s="67"/>
      <c r="N126" s="67"/>
      <c r="O126" s="67"/>
      <c r="P126" s="18" t="s">
        <v>560</v>
      </c>
      <c r="Q126" s="71"/>
      <c r="R126" s="5" t="str">
        <f t="shared" si="13"/>
        <v/>
      </c>
      <c r="S126" s="62" t="s">
        <v>551</v>
      </c>
      <c r="T126" s="5" t="str">
        <f t="shared" si="10"/>
        <v/>
      </c>
      <c r="U126" s="5"/>
      <c r="V126" s="69">
        <f t="shared" si="15"/>
        <v>10</v>
      </c>
      <c r="W126" s="5">
        <v>2760</v>
      </c>
      <c r="X126" s="171">
        <v>3590</v>
      </c>
      <c r="Y126" s="325"/>
    </row>
    <row r="127" spans="1:28" s="173" customFormat="1" ht="15.8" customHeight="1">
      <c r="A127" s="233" t="s">
        <v>1325</v>
      </c>
      <c r="E127" s="237">
        <f t="shared" si="16"/>
        <v>0</v>
      </c>
      <c r="J127" s="233" t="s">
        <v>550</v>
      </c>
      <c r="K127" s="145">
        <v>5800</v>
      </c>
      <c r="L127" s="145">
        <v>5800</v>
      </c>
      <c r="M127" s="145"/>
      <c r="N127" s="145"/>
      <c r="O127" s="145"/>
      <c r="P127" s="242" t="s">
        <v>254</v>
      </c>
      <c r="Q127" s="169"/>
      <c r="R127" s="173" t="str">
        <f t="shared" si="13"/>
        <v/>
      </c>
      <c r="S127" s="243" t="s">
        <v>551</v>
      </c>
      <c r="T127" s="173" t="str">
        <f t="shared" si="10"/>
        <v/>
      </c>
      <c r="U127" s="173" t="s">
        <v>1261</v>
      </c>
      <c r="V127" s="170">
        <f t="shared" si="15"/>
        <v>0</v>
      </c>
      <c r="W127" s="173">
        <v>2600</v>
      </c>
      <c r="X127" s="173">
        <v>5800</v>
      </c>
      <c r="Y127" s="321"/>
    </row>
    <row r="128" spans="1:28" ht="15.8" customHeight="1">
      <c r="A128" s="143" t="s">
        <v>660</v>
      </c>
      <c r="B128" s="183" t="s">
        <v>1512</v>
      </c>
      <c r="C128" s="203" t="s">
        <v>660</v>
      </c>
      <c r="D128" s="184">
        <v>10350</v>
      </c>
      <c r="E128" s="178">
        <f t="shared" si="16"/>
        <v>13455</v>
      </c>
      <c r="F128" s="185" t="s">
        <v>562</v>
      </c>
      <c r="G128" s="186"/>
      <c r="H128" s="187" t="s">
        <v>551</v>
      </c>
      <c r="I128" s="188">
        <v>17</v>
      </c>
      <c r="J128" s="143" t="s">
        <v>562</v>
      </c>
      <c r="K128" s="144">
        <v>13500</v>
      </c>
      <c r="L128" s="144">
        <v>13500</v>
      </c>
      <c r="M128" s="67"/>
      <c r="N128" s="67"/>
      <c r="O128" s="67"/>
      <c r="P128" s="147" t="s">
        <v>1283</v>
      </c>
      <c r="Q128" s="71"/>
      <c r="R128" s="5" t="str">
        <f t="shared" si="13"/>
        <v/>
      </c>
      <c r="S128" s="62" t="s">
        <v>551</v>
      </c>
      <c r="T128" s="5" t="str">
        <f t="shared" si="10"/>
        <v/>
      </c>
      <c r="V128" s="69" t="e">
        <f t="shared" si="15"/>
        <v>#VALUE!</v>
      </c>
      <c r="W128" s="5">
        <v>10350</v>
      </c>
      <c r="X128" s="5" t="s">
        <v>1311</v>
      </c>
    </row>
    <row r="129" spans="1:28" s="173" customFormat="1" ht="15.8" customHeight="1">
      <c r="A129" s="233" t="s">
        <v>661</v>
      </c>
      <c r="B129" s="234" t="s">
        <v>1513</v>
      </c>
      <c r="C129" s="235" t="s">
        <v>661</v>
      </c>
      <c r="D129" s="236">
        <v>25000</v>
      </c>
      <c r="E129" s="237">
        <f t="shared" si="16"/>
        <v>32500</v>
      </c>
      <c r="F129" s="238" t="s">
        <v>602</v>
      </c>
      <c r="G129" s="239" t="s">
        <v>1363</v>
      </c>
      <c r="H129" s="240" t="s">
        <v>551</v>
      </c>
      <c r="I129" s="241">
        <v>17</v>
      </c>
      <c r="J129" s="233" t="s">
        <v>602</v>
      </c>
      <c r="K129" s="145">
        <v>7800</v>
      </c>
      <c r="L129" s="145">
        <v>7800</v>
      </c>
      <c r="M129" s="145"/>
      <c r="N129" s="145"/>
      <c r="O129" s="145">
        <v>7900</v>
      </c>
      <c r="P129" s="242" t="s">
        <v>1285</v>
      </c>
      <c r="Q129" s="169"/>
      <c r="R129" s="173" t="str">
        <f t="shared" si="13"/>
        <v/>
      </c>
      <c r="S129" s="243" t="s">
        <v>551</v>
      </c>
      <c r="T129" s="173" t="str">
        <f t="shared" si="10"/>
        <v/>
      </c>
      <c r="V129" s="170" t="e">
        <f t="shared" si="15"/>
        <v>#VALUE!</v>
      </c>
      <c r="W129" s="173">
        <v>5979.9999999999991</v>
      </c>
      <c r="X129" s="173" t="s">
        <v>1311</v>
      </c>
      <c r="Y129" s="321"/>
    </row>
    <row r="130" spans="1:28" ht="15.8" customHeight="1">
      <c r="A130" s="1" t="s">
        <v>1326</v>
      </c>
      <c r="B130" s="189" t="s">
        <v>1514</v>
      </c>
      <c r="J130" s="1" t="s">
        <v>550</v>
      </c>
      <c r="K130" s="67">
        <v>0</v>
      </c>
      <c r="L130" s="67">
        <v>0</v>
      </c>
      <c r="M130" s="67"/>
      <c r="N130" s="67"/>
      <c r="O130" s="67"/>
      <c r="P130" s="18" t="s">
        <v>254</v>
      </c>
      <c r="Q130" s="71"/>
      <c r="R130" s="5" t="str">
        <f t="shared" si="13"/>
        <v/>
      </c>
      <c r="S130" s="62" t="s">
        <v>548</v>
      </c>
      <c r="T130" s="5" t="str">
        <f t="shared" si="10"/>
        <v/>
      </c>
      <c r="V130" s="69">
        <f t="shared" si="15"/>
        <v>0</v>
      </c>
      <c r="W130" s="5">
        <v>0</v>
      </c>
    </row>
    <row r="131" spans="1:28" s="7" customFormat="1" ht="15.8" customHeight="1">
      <c r="A131" s="1" t="s">
        <v>663</v>
      </c>
      <c r="B131" s="176" t="s">
        <v>1515</v>
      </c>
      <c r="C131" s="190" t="s">
        <v>663</v>
      </c>
      <c r="D131" s="191">
        <v>3449.9999999999995</v>
      </c>
      <c r="E131" s="178">
        <f t="shared" ref="E131:E136" si="17">D131*1.3</f>
        <v>4485</v>
      </c>
      <c r="F131" s="192" t="s">
        <v>88</v>
      </c>
      <c r="G131" s="193" t="s">
        <v>1363</v>
      </c>
      <c r="H131" s="194" t="s">
        <v>551</v>
      </c>
      <c r="I131" s="195" t="s">
        <v>664</v>
      </c>
      <c r="J131" s="1" t="s">
        <v>88</v>
      </c>
      <c r="K131" s="67">
        <v>6800</v>
      </c>
      <c r="L131" s="67">
        <v>6800</v>
      </c>
      <c r="M131" s="67">
        <v>8300</v>
      </c>
      <c r="N131" s="67">
        <v>6960</v>
      </c>
      <c r="O131" s="67">
        <v>8400</v>
      </c>
      <c r="P131" s="18" t="s">
        <v>1286</v>
      </c>
      <c r="Q131" s="71"/>
      <c r="R131" s="5" t="str">
        <f t="shared" si="13"/>
        <v/>
      </c>
      <c r="S131" s="62" t="s">
        <v>551</v>
      </c>
      <c r="T131" s="5" t="str">
        <f t="shared" si="10"/>
        <v/>
      </c>
      <c r="U131" s="5" t="s">
        <v>1262</v>
      </c>
      <c r="V131" s="69">
        <f t="shared" si="15"/>
        <v>2310</v>
      </c>
      <c r="W131" s="5">
        <v>3449.9999999999995</v>
      </c>
      <c r="X131" s="7">
        <v>4490</v>
      </c>
      <c r="Y131" s="323"/>
    </row>
    <row r="132" spans="1:28" ht="15.8" customHeight="1">
      <c r="A132" s="1" t="s">
        <v>665</v>
      </c>
      <c r="B132" s="189" t="s">
        <v>1516</v>
      </c>
      <c r="C132" s="177" t="s">
        <v>665</v>
      </c>
      <c r="D132" s="178">
        <v>8395</v>
      </c>
      <c r="E132" s="178">
        <f t="shared" si="17"/>
        <v>10913.5</v>
      </c>
      <c r="F132" s="179" t="s">
        <v>88</v>
      </c>
      <c r="G132" s="180"/>
      <c r="H132" s="181" t="s">
        <v>551</v>
      </c>
      <c r="I132" s="207" t="s">
        <v>664</v>
      </c>
      <c r="J132" s="1" t="s">
        <v>88</v>
      </c>
      <c r="K132" s="67">
        <v>10950</v>
      </c>
      <c r="L132" s="145">
        <v>11000</v>
      </c>
      <c r="M132" s="67"/>
      <c r="N132" s="67"/>
      <c r="O132" s="67"/>
      <c r="P132" s="18" t="s">
        <v>1286</v>
      </c>
      <c r="Q132" s="71"/>
      <c r="R132" s="5" t="str">
        <f t="shared" si="13"/>
        <v/>
      </c>
      <c r="S132" s="62" t="s">
        <v>551</v>
      </c>
      <c r="T132" s="5" t="str">
        <f t="shared" si="10"/>
        <v/>
      </c>
      <c r="U132" s="5" t="s">
        <v>1262</v>
      </c>
      <c r="V132" s="69">
        <f t="shared" si="15"/>
        <v>80</v>
      </c>
      <c r="W132" s="5">
        <v>8395</v>
      </c>
      <c r="X132" s="5">
        <v>10920</v>
      </c>
    </row>
    <row r="133" spans="1:28" ht="15.8" customHeight="1">
      <c r="A133" s="1" t="s">
        <v>364</v>
      </c>
      <c r="B133" s="176" t="s">
        <v>1517</v>
      </c>
      <c r="C133" s="190" t="s">
        <v>364</v>
      </c>
      <c r="D133" s="191">
        <v>7750</v>
      </c>
      <c r="E133" s="178">
        <f t="shared" si="17"/>
        <v>10075</v>
      </c>
      <c r="F133" s="192" t="s">
        <v>550</v>
      </c>
      <c r="G133" s="193" t="s">
        <v>1363</v>
      </c>
      <c r="H133" s="194" t="s">
        <v>551</v>
      </c>
      <c r="I133" s="210">
        <v>1</v>
      </c>
      <c r="J133" s="1" t="s">
        <v>550</v>
      </c>
      <c r="K133" s="67">
        <v>12500</v>
      </c>
      <c r="L133" s="67">
        <v>12500</v>
      </c>
      <c r="M133" s="67"/>
      <c r="N133" s="67"/>
      <c r="O133" s="67"/>
      <c r="P133" s="18" t="s">
        <v>349</v>
      </c>
      <c r="Q133" s="71"/>
      <c r="R133" s="5" t="str">
        <f t="shared" si="13"/>
        <v/>
      </c>
      <c r="S133" s="62" t="s">
        <v>551</v>
      </c>
      <c r="T133" s="5" t="str">
        <f t="shared" si="10"/>
        <v/>
      </c>
      <c r="U133" s="5" t="s">
        <v>1262</v>
      </c>
      <c r="V133" s="69">
        <f t="shared" si="15"/>
        <v>0</v>
      </c>
      <c r="W133" s="5">
        <v>7750</v>
      </c>
      <c r="X133" s="5">
        <v>12500</v>
      </c>
    </row>
    <row r="134" spans="1:28" ht="15.8" customHeight="1">
      <c r="A134" s="1" t="s">
        <v>666</v>
      </c>
      <c r="B134" s="183" t="s">
        <v>1518</v>
      </c>
      <c r="C134" s="177" t="s">
        <v>666</v>
      </c>
      <c r="D134" s="178">
        <v>8049.9999999999991</v>
      </c>
      <c r="E134" s="178">
        <f t="shared" si="17"/>
        <v>10465</v>
      </c>
      <c r="F134" s="179" t="s">
        <v>602</v>
      </c>
      <c r="G134" s="180"/>
      <c r="H134" s="181" t="s">
        <v>551</v>
      </c>
      <c r="I134" s="182">
        <v>5</v>
      </c>
      <c r="J134" s="1" t="s">
        <v>602</v>
      </c>
      <c r="K134" s="67">
        <v>10500</v>
      </c>
      <c r="L134" s="67">
        <v>10500</v>
      </c>
      <c r="M134" s="67"/>
      <c r="N134" s="67"/>
      <c r="O134" s="67"/>
      <c r="P134" s="18" t="s">
        <v>1278</v>
      </c>
      <c r="Q134" s="71"/>
      <c r="R134" s="5" t="str">
        <f t="shared" si="13"/>
        <v/>
      </c>
      <c r="S134" s="62" t="s">
        <v>551</v>
      </c>
      <c r="T134" s="5" t="str">
        <f t="shared" si="10"/>
        <v/>
      </c>
      <c r="U134" s="5" t="s">
        <v>1262</v>
      </c>
      <c r="V134" s="69">
        <f t="shared" si="15"/>
        <v>30</v>
      </c>
      <c r="W134" s="5">
        <v>8049.9999999999991</v>
      </c>
      <c r="X134" s="5">
        <v>10470</v>
      </c>
    </row>
    <row r="135" spans="1:28" ht="15.8" customHeight="1">
      <c r="A135" s="1" t="s">
        <v>295</v>
      </c>
      <c r="B135" s="211" t="s">
        <v>1519</v>
      </c>
      <c r="C135" s="203" t="s">
        <v>295</v>
      </c>
      <c r="D135" s="184">
        <v>10925</v>
      </c>
      <c r="E135" s="178">
        <f t="shared" si="17"/>
        <v>14202.5</v>
      </c>
      <c r="F135" s="185" t="s">
        <v>559</v>
      </c>
      <c r="G135" s="186"/>
      <c r="H135" s="187" t="s">
        <v>551</v>
      </c>
      <c r="I135" s="188">
        <v>15</v>
      </c>
      <c r="J135" s="1" t="s">
        <v>559</v>
      </c>
      <c r="K135" s="67">
        <v>14200</v>
      </c>
      <c r="L135" s="67">
        <v>14200</v>
      </c>
      <c r="M135" s="67"/>
      <c r="N135" s="67"/>
      <c r="O135" s="67"/>
      <c r="P135" s="18" t="s">
        <v>552</v>
      </c>
      <c r="Q135" s="71"/>
      <c r="R135" s="5" t="str">
        <f t="shared" si="13"/>
        <v/>
      </c>
      <c r="S135" s="62" t="s">
        <v>551</v>
      </c>
      <c r="T135" s="5" t="str">
        <f t="shared" si="10"/>
        <v/>
      </c>
      <c r="U135" s="5" t="s">
        <v>1262</v>
      </c>
      <c r="V135" s="69">
        <f t="shared" si="15"/>
        <v>0</v>
      </c>
      <c r="W135" s="5">
        <v>10925</v>
      </c>
      <c r="X135" s="5">
        <v>14200</v>
      </c>
      <c r="Y135" s="318" t="s">
        <v>1327</v>
      </c>
    </row>
    <row r="136" spans="1:28" ht="15.8" customHeight="1">
      <c r="A136" s="1" t="s">
        <v>1328</v>
      </c>
      <c r="B136" s="1"/>
      <c r="C136" s="199" t="s">
        <v>1520</v>
      </c>
      <c r="D136" s="198">
        <v>39450</v>
      </c>
      <c r="E136" s="178">
        <f t="shared" si="17"/>
        <v>51285</v>
      </c>
      <c r="F136" s="197" t="s">
        <v>567</v>
      </c>
      <c r="G136" s="200" t="s">
        <v>1363</v>
      </c>
      <c r="H136" s="201" t="s">
        <v>551</v>
      </c>
      <c r="I136" s="202">
        <v>5</v>
      </c>
      <c r="J136" s="1" t="s">
        <v>567</v>
      </c>
      <c r="K136" s="67">
        <v>61600</v>
      </c>
      <c r="L136" s="251">
        <v>48900</v>
      </c>
      <c r="M136" s="67">
        <v>72300</v>
      </c>
      <c r="N136" s="67"/>
      <c r="O136" s="67">
        <v>48900</v>
      </c>
      <c r="P136" s="18" t="s">
        <v>1287</v>
      </c>
      <c r="Q136" s="71"/>
      <c r="R136" s="5" t="str">
        <f t="shared" si="13"/>
        <v/>
      </c>
      <c r="S136" s="62" t="s">
        <v>551</v>
      </c>
      <c r="T136" s="5" t="str">
        <f t="shared" si="10"/>
        <v/>
      </c>
      <c r="U136" s="5" t="s">
        <v>1262</v>
      </c>
      <c r="V136" s="69">
        <f t="shared" si="15"/>
        <v>-12700</v>
      </c>
      <c r="W136" s="5">
        <v>39450</v>
      </c>
      <c r="X136" s="5">
        <v>61600</v>
      </c>
    </row>
    <row r="137" spans="1:28" ht="15.8" customHeight="1">
      <c r="A137" s="1" t="s">
        <v>667</v>
      </c>
      <c r="B137" s="183" t="s">
        <v>1521</v>
      </c>
      <c r="C137" s="203" t="s">
        <v>667</v>
      </c>
      <c r="D137" s="184">
        <v>2530</v>
      </c>
      <c r="E137" s="178">
        <f t="shared" si="16"/>
        <v>3289</v>
      </c>
      <c r="F137" s="185" t="s">
        <v>88</v>
      </c>
      <c r="G137" s="186"/>
      <c r="H137" s="187" t="s">
        <v>551</v>
      </c>
      <c r="I137" s="188">
        <v>5</v>
      </c>
      <c r="J137" s="1" t="s">
        <v>88</v>
      </c>
      <c r="K137" s="67">
        <v>3500</v>
      </c>
      <c r="L137" s="67">
        <v>3500</v>
      </c>
      <c r="M137" s="67"/>
      <c r="N137" s="67"/>
      <c r="O137" s="67"/>
      <c r="P137" s="18" t="s">
        <v>1278</v>
      </c>
      <c r="Q137" s="71"/>
      <c r="R137" s="5" t="str">
        <f t="shared" si="13"/>
        <v/>
      </c>
      <c r="S137" s="62" t="s">
        <v>551</v>
      </c>
      <c r="T137" s="5" t="str">
        <f t="shared" si="10"/>
        <v/>
      </c>
      <c r="U137" s="5" t="s">
        <v>1262</v>
      </c>
      <c r="V137" s="69">
        <f t="shared" si="15"/>
        <v>210</v>
      </c>
      <c r="W137" s="5">
        <v>2530</v>
      </c>
      <c r="X137" s="5">
        <v>3290</v>
      </c>
    </row>
    <row r="138" spans="1:28" ht="15.8" customHeight="1">
      <c r="A138" s="1" t="s">
        <v>31</v>
      </c>
      <c r="B138" s="176" t="s">
        <v>1522</v>
      </c>
      <c r="C138" s="177" t="s">
        <v>31</v>
      </c>
      <c r="D138" s="178">
        <v>1150</v>
      </c>
      <c r="E138" s="178">
        <f t="shared" si="16"/>
        <v>1495</v>
      </c>
      <c r="F138" s="179" t="s">
        <v>550</v>
      </c>
      <c r="G138" s="180"/>
      <c r="H138" s="181" t="s">
        <v>551</v>
      </c>
      <c r="I138" s="182">
        <v>1</v>
      </c>
      <c r="J138" s="1" t="s">
        <v>550</v>
      </c>
      <c r="K138" s="67">
        <v>2800</v>
      </c>
      <c r="L138" s="67">
        <v>2800</v>
      </c>
      <c r="M138" s="67"/>
      <c r="N138" s="67"/>
      <c r="O138" s="67"/>
      <c r="P138" s="18" t="s">
        <v>254</v>
      </c>
      <c r="Q138" s="71"/>
      <c r="R138" s="5" t="str">
        <f t="shared" si="13"/>
        <v/>
      </c>
      <c r="S138" s="62" t="s">
        <v>551</v>
      </c>
      <c r="T138" s="5" t="str">
        <f t="shared" si="10"/>
        <v/>
      </c>
      <c r="U138" s="5" t="s">
        <v>1261</v>
      </c>
      <c r="V138" s="69">
        <f t="shared" si="15"/>
        <v>0</v>
      </c>
      <c r="W138" s="5">
        <v>2451</v>
      </c>
      <c r="X138" s="5">
        <v>2800</v>
      </c>
    </row>
    <row r="139" spans="1:28" ht="15.8" customHeight="1">
      <c r="A139" s="1" t="s">
        <v>9</v>
      </c>
      <c r="B139" s="189" t="s">
        <v>1523</v>
      </c>
      <c r="C139" s="190" t="s">
        <v>9</v>
      </c>
      <c r="D139" s="191">
        <v>990</v>
      </c>
      <c r="E139" s="178">
        <f t="shared" si="16"/>
        <v>1287</v>
      </c>
      <c r="F139" s="192" t="s">
        <v>593</v>
      </c>
      <c r="G139" s="193" t="s">
        <v>1363</v>
      </c>
      <c r="H139" s="194" t="s">
        <v>599</v>
      </c>
      <c r="I139" s="195">
        <v>1</v>
      </c>
      <c r="J139" s="1" t="s">
        <v>593</v>
      </c>
      <c r="K139" s="67">
        <v>1300</v>
      </c>
      <c r="L139" s="67">
        <v>1300</v>
      </c>
      <c r="M139" s="67"/>
      <c r="N139" s="67"/>
      <c r="O139" s="67"/>
      <c r="P139" s="18" t="s">
        <v>349</v>
      </c>
      <c r="Q139" s="71"/>
      <c r="R139" s="5" t="str">
        <f t="shared" si="13"/>
        <v/>
      </c>
      <c r="S139" s="62" t="s">
        <v>599</v>
      </c>
      <c r="T139" s="5" t="str">
        <f t="shared" si="10"/>
        <v/>
      </c>
      <c r="U139" s="5" t="s">
        <v>1267</v>
      </c>
      <c r="V139" s="69">
        <f t="shared" si="15"/>
        <v>10</v>
      </c>
      <c r="W139" s="5">
        <v>990</v>
      </c>
      <c r="X139" s="5">
        <v>1290</v>
      </c>
    </row>
    <row r="140" spans="1:28" ht="15.8" customHeight="1">
      <c r="A140" s="1" t="s">
        <v>41</v>
      </c>
      <c r="B140" s="176" t="s">
        <v>1524</v>
      </c>
      <c r="C140" s="177" t="s">
        <v>41</v>
      </c>
      <c r="D140" s="178">
        <v>2300</v>
      </c>
      <c r="E140" s="178">
        <f t="shared" si="16"/>
        <v>2990</v>
      </c>
      <c r="F140" s="179" t="s">
        <v>562</v>
      </c>
      <c r="G140" s="180"/>
      <c r="H140" s="181" t="s">
        <v>551</v>
      </c>
      <c r="I140" s="182">
        <v>1</v>
      </c>
      <c r="J140" s="1" t="s">
        <v>550</v>
      </c>
      <c r="K140" s="67">
        <v>4700</v>
      </c>
      <c r="L140" s="251">
        <v>3500</v>
      </c>
      <c r="M140" s="67">
        <v>4300</v>
      </c>
      <c r="N140" s="67">
        <v>3335</v>
      </c>
      <c r="O140" s="67">
        <v>5100</v>
      </c>
      <c r="P140" s="18" t="s">
        <v>254</v>
      </c>
      <c r="Q140" s="71"/>
      <c r="R140" s="5" t="str">
        <f t="shared" si="13"/>
        <v/>
      </c>
      <c r="S140" s="62" t="s">
        <v>551</v>
      </c>
      <c r="T140" s="5" t="str">
        <f t="shared" si="10"/>
        <v/>
      </c>
      <c r="U140" s="5" t="s">
        <v>1261</v>
      </c>
      <c r="V140" s="69">
        <f t="shared" si="15"/>
        <v>-1200</v>
      </c>
      <c r="W140" s="5">
        <v>3601</v>
      </c>
      <c r="X140" s="5">
        <v>4700</v>
      </c>
    </row>
    <row r="141" spans="1:28" s="81" customFormat="1" ht="15.8" customHeight="1">
      <c r="A141" s="233" t="s">
        <v>668</v>
      </c>
      <c r="E141" s="237">
        <f t="shared" si="16"/>
        <v>0</v>
      </c>
      <c r="J141" s="233" t="s">
        <v>669</v>
      </c>
      <c r="K141" s="145">
        <v>88900</v>
      </c>
      <c r="L141" s="145">
        <v>88900</v>
      </c>
      <c r="M141" s="145"/>
      <c r="N141" s="145"/>
      <c r="O141" s="145"/>
      <c r="P141" s="242" t="s">
        <v>670</v>
      </c>
      <c r="Q141" s="169"/>
      <c r="R141" s="173" t="str">
        <f t="shared" si="13"/>
        <v/>
      </c>
      <c r="S141" s="243" t="s">
        <v>551</v>
      </c>
      <c r="T141" s="173" t="str">
        <f t="shared" si="10"/>
        <v/>
      </c>
      <c r="U141" s="173" t="s">
        <v>1262</v>
      </c>
      <c r="V141" s="170">
        <f t="shared" si="15"/>
        <v>0</v>
      </c>
      <c r="W141" s="173">
        <v>65000</v>
      </c>
      <c r="X141" s="81">
        <v>88900</v>
      </c>
      <c r="Y141" s="322"/>
    </row>
    <row r="142" spans="1:28" s="173" customFormat="1" ht="15.8" customHeight="1">
      <c r="A142" s="233" t="s">
        <v>671</v>
      </c>
      <c r="E142" s="237">
        <f t="shared" si="16"/>
        <v>0</v>
      </c>
      <c r="J142" s="233" t="s">
        <v>550</v>
      </c>
      <c r="K142" s="145">
        <v>600</v>
      </c>
      <c r="L142" s="145">
        <v>600</v>
      </c>
      <c r="M142" s="145">
        <v>290</v>
      </c>
      <c r="N142" s="145"/>
      <c r="O142" s="145">
        <v>800</v>
      </c>
      <c r="P142" s="242" t="s">
        <v>349</v>
      </c>
      <c r="Q142" s="169"/>
      <c r="R142" s="173" t="str">
        <f t="shared" si="13"/>
        <v/>
      </c>
      <c r="S142" s="243" t="s">
        <v>551</v>
      </c>
      <c r="T142" s="173" t="str">
        <f t="shared" si="10"/>
        <v/>
      </c>
      <c r="U142" s="173" t="s">
        <v>1261</v>
      </c>
      <c r="V142" s="170">
        <f t="shared" si="15"/>
        <v>0</v>
      </c>
      <c r="W142" s="173">
        <v>255</v>
      </c>
      <c r="X142" s="173">
        <v>600</v>
      </c>
      <c r="Y142" s="321"/>
    </row>
    <row r="143" spans="1:28" ht="15.8" customHeight="1">
      <c r="A143" s="143" t="s">
        <v>231</v>
      </c>
      <c r="B143" s="183" t="s">
        <v>1525</v>
      </c>
      <c r="C143" s="203" t="s">
        <v>231</v>
      </c>
      <c r="D143" s="184">
        <v>4140</v>
      </c>
      <c r="E143" s="178">
        <f t="shared" si="16"/>
        <v>5382</v>
      </c>
      <c r="F143" s="185" t="s">
        <v>88</v>
      </c>
      <c r="G143" s="186"/>
      <c r="H143" s="187" t="s">
        <v>551</v>
      </c>
      <c r="I143" s="188">
        <v>7</v>
      </c>
      <c r="J143" s="143" t="s">
        <v>88</v>
      </c>
      <c r="K143" s="144">
        <v>5400</v>
      </c>
      <c r="L143" s="144">
        <v>5400</v>
      </c>
      <c r="M143" s="67"/>
      <c r="N143" s="67"/>
      <c r="O143" s="67"/>
      <c r="P143" s="147" t="s">
        <v>1274</v>
      </c>
      <c r="Q143" s="165"/>
      <c r="R143" s="166" t="str">
        <f t="shared" si="13"/>
        <v/>
      </c>
      <c r="S143" s="167" t="s">
        <v>551</v>
      </c>
      <c r="T143" s="166" t="str">
        <f t="shared" ref="T143:T208" si="18">IF(Q143="x",S143,"")</f>
        <v/>
      </c>
      <c r="U143" s="166"/>
      <c r="V143" s="168" t="e">
        <f t="shared" si="15"/>
        <v>#VALUE!</v>
      </c>
      <c r="W143" s="166">
        <v>4140</v>
      </c>
      <c r="X143" s="166" t="s">
        <v>1311</v>
      </c>
      <c r="Y143" s="320"/>
      <c r="Z143" s="166"/>
      <c r="AA143" s="166"/>
      <c r="AB143" s="166"/>
    </row>
    <row r="144" spans="1:28" ht="15.8" customHeight="1">
      <c r="A144" s="143" t="s">
        <v>232</v>
      </c>
      <c r="B144" s="176" t="s">
        <v>1526</v>
      </c>
      <c r="C144" s="177" t="s">
        <v>232</v>
      </c>
      <c r="D144" s="178">
        <v>4140</v>
      </c>
      <c r="E144" s="178">
        <f t="shared" si="16"/>
        <v>5382</v>
      </c>
      <c r="F144" s="179" t="s">
        <v>88</v>
      </c>
      <c r="G144" s="180"/>
      <c r="H144" s="181" t="s">
        <v>551</v>
      </c>
      <c r="I144" s="182">
        <v>7</v>
      </c>
      <c r="J144" s="143" t="s">
        <v>88</v>
      </c>
      <c r="K144" s="144">
        <v>5400</v>
      </c>
      <c r="L144" s="144">
        <v>5400</v>
      </c>
      <c r="M144" s="67"/>
      <c r="N144" s="67"/>
      <c r="O144" s="67"/>
      <c r="P144" s="147" t="s">
        <v>1274</v>
      </c>
      <c r="Q144" s="165"/>
      <c r="R144" s="166" t="str">
        <f t="shared" si="13"/>
        <v/>
      </c>
      <c r="S144" s="167" t="s">
        <v>551</v>
      </c>
      <c r="T144" s="166" t="str">
        <f t="shared" si="18"/>
        <v/>
      </c>
      <c r="U144" s="166"/>
      <c r="V144" s="168" t="e">
        <f t="shared" si="15"/>
        <v>#VALUE!</v>
      </c>
      <c r="W144" s="166">
        <v>4140</v>
      </c>
      <c r="X144" s="166" t="s">
        <v>1311</v>
      </c>
      <c r="Y144" s="320"/>
      <c r="Z144" s="166"/>
      <c r="AA144" s="166"/>
      <c r="AB144" s="166"/>
    </row>
    <row r="145" spans="1:25" s="173" customFormat="1" ht="15.8" customHeight="1">
      <c r="A145" s="233"/>
      <c r="B145" s="270" t="s">
        <v>1527</v>
      </c>
      <c r="C145" s="271" t="s">
        <v>1528</v>
      </c>
      <c r="D145" s="272">
        <v>130</v>
      </c>
      <c r="E145" s="237">
        <f t="shared" si="16"/>
        <v>169</v>
      </c>
      <c r="F145" s="273" t="s">
        <v>550</v>
      </c>
      <c r="G145" s="274"/>
      <c r="H145" s="275" t="s">
        <v>551</v>
      </c>
      <c r="I145" s="276">
        <v>1</v>
      </c>
      <c r="J145" s="233"/>
      <c r="K145" s="145"/>
      <c r="L145" s="145"/>
      <c r="M145" s="145"/>
      <c r="N145" s="145"/>
      <c r="O145" s="145"/>
      <c r="P145" s="242"/>
      <c r="Q145" s="169"/>
      <c r="S145" s="243"/>
      <c r="V145" s="170"/>
      <c r="Y145" s="321"/>
    </row>
    <row r="146" spans="1:25" ht="15.8" customHeight="1">
      <c r="A146" s="1" t="s">
        <v>673</v>
      </c>
      <c r="B146" s="176" t="s">
        <v>1529</v>
      </c>
      <c r="C146" s="177" t="s">
        <v>46</v>
      </c>
      <c r="D146" s="178">
        <v>1699</v>
      </c>
      <c r="E146" s="178">
        <f t="shared" si="16"/>
        <v>2208.7000000000003</v>
      </c>
      <c r="F146" s="179" t="s">
        <v>550</v>
      </c>
      <c r="G146" s="180"/>
      <c r="H146" s="181" t="s">
        <v>551</v>
      </c>
      <c r="I146" s="182">
        <v>3</v>
      </c>
      <c r="J146" s="1" t="s">
        <v>550</v>
      </c>
      <c r="K146" s="67">
        <v>2700</v>
      </c>
      <c r="L146" s="67">
        <v>2700</v>
      </c>
      <c r="M146" s="67"/>
      <c r="N146" s="67"/>
      <c r="O146" s="67"/>
      <c r="P146" s="18" t="s">
        <v>254</v>
      </c>
      <c r="Q146" s="71"/>
      <c r="R146" s="5" t="str">
        <f t="shared" ref="R146:R176" si="19">IF(Q146="x",CONCATENATE(A146,"; "),"")</f>
        <v/>
      </c>
      <c r="S146" s="62" t="s">
        <v>551</v>
      </c>
      <c r="T146" s="5" t="str">
        <f t="shared" si="18"/>
        <v/>
      </c>
      <c r="U146" s="5" t="s">
        <v>1261</v>
      </c>
      <c r="V146" s="69">
        <f>L146-X146</f>
        <v>0</v>
      </c>
      <c r="W146" s="5">
        <v>1700</v>
      </c>
      <c r="X146" s="5">
        <v>2700</v>
      </c>
    </row>
    <row r="147" spans="1:25" ht="15.8" customHeight="1">
      <c r="A147" s="1" t="s">
        <v>674</v>
      </c>
      <c r="B147" s="183" t="s">
        <v>674</v>
      </c>
      <c r="C147" s="203" t="s">
        <v>674</v>
      </c>
      <c r="D147" s="184">
        <v>1954.9999999999998</v>
      </c>
      <c r="E147" s="178">
        <f t="shared" si="16"/>
        <v>2541.5</v>
      </c>
      <c r="F147" s="185" t="s">
        <v>559</v>
      </c>
      <c r="G147" s="186"/>
      <c r="H147" s="187" t="s">
        <v>551</v>
      </c>
      <c r="I147" s="188">
        <v>1</v>
      </c>
      <c r="J147" s="1" t="s">
        <v>559</v>
      </c>
      <c r="K147" s="67">
        <v>3800</v>
      </c>
      <c r="L147" s="251">
        <v>2900</v>
      </c>
      <c r="M147" s="67">
        <v>4100</v>
      </c>
      <c r="N147" s="67">
        <v>2875</v>
      </c>
      <c r="O147" s="67">
        <v>4500</v>
      </c>
      <c r="P147" s="18" t="s">
        <v>254</v>
      </c>
      <c r="Q147" s="71"/>
      <c r="R147" s="5" t="str">
        <f t="shared" si="19"/>
        <v/>
      </c>
      <c r="S147" s="62" t="s">
        <v>551</v>
      </c>
      <c r="T147" s="5" t="str">
        <f t="shared" si="18"/>
        <v/>
      </c>
      <c r="U147" s="5" t="s">
        <v>1261</v>
      </c>
      <c r="V147" s="69">
        <f>L147-X147</f>
        <v>-900</v>
      </c>
      <c r="W147" s="5">
        <v>2023</v>
      </c>
      <c r="X147" s="5">
        <v>3800</v>
      </c>
    </row>
    <row r="148" spans="1:25" s="7" customFormat="1" ht="15.8" customHeight="1">
      <c r="A148" s="1" t="s">
        <v>675</v>
      </c>
      <c r="B148" s="176" t="s">
        <v>1530</v>
      </c>
      <c r="C148" s="177" t="s">
        <v>1530</v>
      </c>
      <c r="D148" s="178">
        <v>1724.9999999999998</v>
      </c>
      <c r="E148" s="178">
        <f t="shared" si="16"/>
        <v>2242.5</v>
      </c>
      <c r="F148" s="179" t="s">
        <v>559</v>
      </c>
      <c r="G148" s="180"/>
      <c r="H148" s="181" t="s">
        <v>551</v>
      </c>
      <c r="I148" s="182">
        <v>1</v>
      </c>
      <c r="J148" s="1" t="s">
        <v>559</v>
      </c>
      <c r="K148" s="67">
        <v>2900</v>
      </c>
      <c r="L148" s="67">
        <v>2900</v>
      </c>
      <c r="M148" s="67">
        <v>3200</v>
      </c>
      <c r="N148" s="67">
        <v>2530</v>
      </c>
      <c r="O148" s="67">
        <v>3300</v>
      </c>
      <c r="P148" s="18" t="s">
        <v>254</v>
      </c>
      <c r="Q148" s="71"/>
      <c r="R148" s="5" t="str">
        <f t="shared" si="19"/>
        <v/>
      </c>
      <c r="S148" s="62" t="s">
        <v>551</v>
      </c>
      <c r="T148" s="5" t="str">
        <f t="shared" si="18"/>
        <v/>
      </c>
      <c r="U148" s="5" t="s">
        <v>1261</v>
      </c>
      <c r="V148" s="69">
        <f>L148-X148</f>
        <v>0</v>
      </c>
      <c r="W148" s="5">
        <v>2510</v>
      </c>
      <c r="X148" s="7">
        <v>2900</v>
      </c>
      <c r="Y148" s="323"/>
    </row>
    <row r="149" spans="1:25" ht="15.8" customHeight="1">
      <c r="A149" s="1" t="s">
        <v>676</v>
      </c>
      <c r="B149" s="183" t="s">
        <v>1531</v>
      </c>
      <c r="C149" s="203" t="s">
        <v>1531</v>
      </c>
      <c r="D149" s="184">
        <v>1724.9999999999998</v>
      </c>
      <c r="E149" s="178">
        <f t="shared" si="16"/>
        <v>2242.5</v>
      </c>
      <c r="F149" s="185" t="s">
        <v>559</v>
      </c>
      <c r="G149" s="186"/>
      <c r="H149" s="187" t="s">
        <v>551</v>
      </c>
      <c r="I149" s="188">
        <v>1</v>
      </c>
      <c r="J149" s="1" t="s">
        <v>559</v>
      </c>
      <c r="K149" s="67">
        <v>2900</v>
      </c>
      <c r="L149" s="67">
        <v>2900</v>
      </c>
      <c r="M149" s="67">
        <v>3200</v>
      </c>
      <c r="N149" s="67">
        <v>2530</v>
      </c>
      <c r="O149" s="67">
        <v>3300</v>
      </c>
      <c r="P149" s="18" t="s">
        <v>254</v>
      </c>
      <c r="Q149" s="71"/>
      <c r="R149" s="5" t="str">
        <f t="shared" si="19"/>
        <v/>
      </c>
      <c r="S149" s="62" t="s">
        <v>551</v>
      </c>
      <c r="T149" s="5" t="str">
        <f t="shared" si="18"/>
        <v/>
      </c>
      <c r="U149" s="5" t="s">
        <v>1261</v>
      </c>
      <c r="V149" s="69">
        <f>L149-X149</f>
        <v>0</v>
      </c>
      <c r="W149" s="5">
        <v>2261</v>
      </c>
      <c r="X149" s="5">
        <v>2900</v>
      </c>
    </row>
    <row r="150" spans="1:25" ht="15.8" customHeight="1">
      <c r="A150" s="1" t="s">
        <v>677</v>
      </c>
      <c r="B150" s="176" t="s">
        <v>1532</v>
      </c>
      <c r="C150" s="177" t="s">
        <v>677</v>
      </c>
      <c r="D150" s="178">
        <v>8000</v>
      </c>
      <c r="E150" s="178">
        <f t="shared" si="16"/>
        <v>10400</v>
      </c>
      <c r="F150" s="179" t="s">
        <v>88</v>
      </c>
      <c r="G150" s="180"/>
      <c r="H150" s="181" t="s">
        <v>551</v>
      </c>
      <c r="I150" s="182">
        <v>17</v>
      </c>
      <c r="J150" s="1" t="s">
        <v>88</v>
      </c>
      <c r="K150" s="67">
        <v>10400</v>
      </c>
      <c r="L150" s="251">
        <v>10000</v>
      </c>
      <c r="M150" s="67">
        <v>10100</v>
      </c>
      <c r="N150" s="67"/>
      <c r="O150" s="67">
        <v>10000</v>
      </c>
      <c r="P150" s="18" t="s">
        <v>1283</v>
      </c>
      <c r="Q150" s="71"/>
      <c r="R150" s="5" t="str">
        <f t="shared" si="19"/>
        <v/>
      </c>
      <c r="S150" s="62" t="s">
        <v>551</v>
      </c>
      <c r="T150" s="5" t="str">
        <f t="shared" si="18"/>
        <v/>
      </c>
      <c r="U150" s="5" t="s">
        <v>1262</v>
      </c>
      <c r="V150" s="69">
        <f>L150-X150</f>
        <v>-400</v>
      </c>
      <c r="W150" s="5">
        <v>8000</v>
      </c>
      <c r="X150" s="5">
        <v>10400</v>
      </c>
    </row>
    <row r="151" spans="1:25" ht="15.8" customHeight="1">
      <c r="A151" s="1" t="s">
        <v>681</v>
      </c>
      <c r="B151" s="189" t="s">
        <v>681</v>
      </c>
      <c r="C151" s="190" t="s">
        <v>15</v>
      </c>
      <c r="D151" s="191">
        <v>69</v>
      </c>
      <c r="E151" s="178">
        <f t="shared" si="16"/>
        <v>89.7</v>
      </c>
      <c r="F151" s="192" t="s">
        <v>550</v>
      </c>
      <c r="G151" s="193" t="s">
        <v>1363</v>
      </c>
      <c r="H151" s="194" t="s">
        <v>551</v>
      </c>
      <c r="I151" s="195">
        <v>1</v>
      </c>
      <c r="J151" s="1" t="s">
        <v>550</v>
      </c>
      <c r="K151" s="67">
        <v>250</v>
      </c>
      <c r="L151" s="67">
        <v>250</v>
      </c>
      <c r="M151" s="67">
        <v>290</v>
      </c>
      <c r="N151" s="67"/>
      <c r="O151" s="67">
        <v>800</v>
      </c>
      <c r="P151" s="18" t="s">
        <v>254</v>
      </c>
      <c r="Q151" s="71"/>
      <c r="R151" s="5" t="str">
        <f t="shared" si="19"/>
        <v/>
      </c>
      <c r="S151" s="62" t="s">
        <v>551</v>
      </c>
      <c r="T151" s="5" t="str">
        <f>IF(Q151="x",S151,"")</f>
        <v/>
      </c>
      <c r="U151" s="5" t="s">
        <v>1261</v>
      </c>
      <c r="V151" s="69"/>
    </row>
    <row r="152" spans="1:25" ht="15.8" customHeight="1">
      <c r="A152" s="157" t="s">
        <v>678</v>
      </c>
      <c r="B152" s="176" t="s">
        <v>1533</v>
      </c>
      <c r="C152" s="177" t="s">
        <v>678</v>
      </c>
      <c r="D152" s="178">
        <v>12189.999999999998</v>
      </c>
      <c r="E152" s="178">
        <f t="shared" si="16"/>
        <v>15846.999999999998</v>
      </c>
      <c r="F152" s="179" t="s">
        <v>88</v>
      </c>
      <c r="G152" s="180"/>
      <c r="H152" s="181" t="s">
        <v>551</v>
      </c>
      <c r="I152" s="182">
        <v>17</v>
      </c>
      <c r="J152" s="157" t="s">
        <v>88</v>
      </c>
      <c r="K152" s="158">
        <v>15847</v>
      </c>
      <c r="L152" s="254">
        <v>15900</v>
      </c>
      <c r="M152" s="160"/>
      <c r="N152" s="160"/>
      <c r="O152" s="160"/>
      <c r="P152" s="159" t="s">
        <v>552</v>
      </c>
      <c r="Q152" s="71"/>
      <c r="R152" s="5" t="str">
        <f t="shared" si="19"/>
        <v/>
      </c>
      <c r="S152" s="62" t="s">
        <v>551</v>
      </c>
      <c r="T152" s="5" t="str">
        <f t="shared" si="18"/>
        <v/>
      </c>
      <c r="V152" s="69"/>
      <c r="W152" s="5">
        <v>12189.999999999998</v>
      </c>
    </row>
    <row r="153" spans="1:25" s="286" customFormat="1" ht="15.8" customHeight="1">
      <c r="A153" s="217" t="s">
        <v>679</v>
      </c>
      <c r="B153" s="218" t="s">
        <v>1534</v>
      </c>
      <c r="C153" s="222" t="s">
        <v>679</v>
      </c>
      <c r="D153" s="220">
        <v>5500</v>
      </c>
      <c r="E153" s="221">
        <f t="shared" si="16"/>
        <v>7150</v>
      </c>
      <c r="F153" s="222" t="s">
        <v>553</v>
      </c>
      <c r="G153" s="223"/>
      <c r="H153" s="224" t="s">
        <v>554</v>
      </c>
      <c r="I153" s="225">
        <v>5</v>
      </c>
      <c r="J153" s="217" t="s">
        <v>553</v>
      </c>
      <c r="K153" s="226">
        <v>7150</v>
      </c>
      <c r="L153" s="226">
        <v>7150</v>
      </c>
      <c r="M153" s="160"/>
      <c r="N153" s="160"/>
      <c r="O153" s="160"/>
      <c r="P153" s="161" t="s">
        <v>1278</v>
      </c>
      <c r="Q153" s="262"/>
      <c r="R153" s="231" t="str">
        <f t="shared" si="19"/>
        <v/>
      </c>
      <c r="S153" s="263" t="s">
        <v>554</v>
      </c>
      <c r="T153" s="231" t="str">
        <f t="shared" si="18"/>
        <v/>
      </c>
      <c r="U153" s="231"/>
      <c r="V153" s="264" t="e">
        <f>L153-X153</f>
        <v>#VALUE!</v>
      </c>
      <c r="W153" s="231">
        <v>5500</v>
      </c>
      <c r="X153" s="286" t="s">
        <v>1311</v>
      </c>
      <c r="Y153" s="329"/>
    </row>
    <row r="154" spans="1:25" s="231" customFormat="1" ht="15.8" customHeight="1">
      <c r="A154" s="217" t="s">
        <v>680</v>
      </c>
      <c r="B154" s="287" t="s">
        <v>1535</v>
      </c>
      <c r="C154" s="288" t="s">
        <v>680</v>
      </c>
      <c r="D154" s="221">
        <v>7500</v>
      </c>
      <c r="E154" s="221">
        <f t="shared" si="16"/>
        <v>9750</v>
      </c>
      <c r="F154" s="289" t="s">
        <v>553</v>
      </c>
      <c r="G154" s="290"/>
      <c r="H154" s="291" t="s">
        <v>554</v>
      </c>
      <c r="I154" s="292">
        <v>5</v>
      </c>
      <c r="J154" s="217" t="s">
        <v>553</v>
      </c>
      <c r="K154" s="226">
        <v>9750</v>
      </c>
      <c r="L154" s="226">
        <v>9750</v>
      </c>
      <c r="M154" s="160"/>
      <c r="N154" s="160"/>
      <c r="O154" s="160"/>
      <c r="P154" s="161" t="s">
        <v>1278</v>
      </c>
      <c r="Q154" s="262"/>
      <c r="R154" s="231" t="str">
        <f t="shared" si="19"/>
        <v/>
      </c>
      <c r="S154" s="263" t="s">
        <v>554</v>
      </c>
      <c r="T154" s="231" t="str">
        <f t="shared" si="18"/>
        <v/>
      </c>
      <c r="V154" s="264" t="e">
        <f>L154-X154</f>
        <v>#VALUE!</v>
      </c>
      <c r="W154" s="231">
        <v>7500</v>
      </c>
      <c r="X154" s="231" t="s">
        <v>1311</v>
      </c>
      <c r="Y154" s="327"/>
    </row>
    <row r="155" spans="1:25" s="7" customFormat="1" ht="15.8" customHeight="1">
      <c r="A155" s="1" t="s">
        <v>84</v>
      </c>
      <c r="B155" s="189" t="s">
        <v>1536</v>
      </c>
      <c r="C155" s="190" t="s">
        <v>84</v>
      </c>
      <c r="D155" s="191">
        <v>11000</v>
      </c>
      <c r="E155" s="178">
        <f t="shared" si="16"/>
        <v>14300</v>
      </c>
      <c r="F155" s="192" t="s">
        <v>559</v>
      </c>
      <c r="G155" s="193" t="s">
        <v>1363</v>
      </c>
      <c r="H155" s="194" t="s">
        <v>551</v>
      </c>
      <c r="I155" s="195">
        <v>17</v>
      </c>
      <c r="J155" s="1" t="s">
        <v>559</v>
      </c>
      <c r="K155" s="67">
        <v>14300</v>
      </c>
      <c r="L155" s="251">
        <v>13700</v>
      </c>
      <c r="M155" s="67">
        <v>9900</v>
      </c>
      <c r="N155" s="67"/>
      <c r="O155" s="67">
        <v>13700</v>
      </c>
      <c r="P155" s="18" t="s">
        <v>1283</v>
      </c>
      <c r="Q155" s="71"/>
      <c r="R155" s="5" t="str">
        <f t="shared" si="19"/>
        <v/>
      </c>
      <c r="S155" s="62" t="s">
        <v>551</v>
      </c>
      <c r="T155" s="5" t="str">
        <f t="shared" si="18"/>
        <v/>
      </c>
      <c r="U155" s="5" t="s">
        <v>1262</v>
      </c>
      <c r="V155" s="69">
        <f>L155-X155</f>
        <v>-600</v>
      </c>
      <c r="W155" s="5">
        <v>11000</v>
      </c>
      <c r="X155" s="7">
        <v>14300</v>
      </c>
      <c r="Y155" s="323"/>
    </row>
    <row r="156" spans="1:25" s="7" customFormat="1" ht="15.8" customHeight="1">
      <c r="A156" s="253" t="s">
        <v>385</v>
      </c>
      <c r="B156" s="176" t="s">
        <v>1537</v>
      </c>
      <c r="C156" s="177" t="s">
        <v>385</v>
      </c>
      <c r="D156" s="178">
        <v>4500</v>
      </c>
      <c r="E156" s="178">
        <f t="shared" si="16"/>
        <v>5850</v>
      </c>
      <c r="F156" s="179" t="s">
        <v>593</v>
      </c>
      <c r="G156" s="180"/>
      <c r="H156" s="181" t="s">
        <v>604</v>
      </c>
      <c r="I156" s="182">
        <v>17</v>
      </c>
      <c r="J156" s="253" t="s">
        <v>593</v>
      </c>
      <c r="K156" s="254">
        <v>5850</v>
      </c>
      <c r="L156" s="251">
        <v>5900</v>
      </c>
      <c r="M156" s="67"/>
      <c r="N156" s="67"/>
      <c r="O156" s="67">
        <v>6300</v>
      </c>
      <c r="P156" s="255" t="s">
        <v>552</v>
      </c>
      <c r="Q156" s="71"/>
      <c r="R156" s="5" t="str">
        <f t="shared" si="19"/>
        <v/>
      </c>
      <c r="S156" s="70" t="s">
        <v>604</v>
      </c>
      <c r="T156" s="5" t="str">
        <f t="shared" si="18"/>
        <v/>
      </c>
      <c r="U156" s="5"/>
      <c r="V156" s="69"/>
      <c r="W156" s="5">
        <v>4500</v>
      </c>
      <c r="Y156" s="323"/>
    </row>
    <row r="157" spans="1:25" s="173" customFormat="1" ht="15.8" customHeight="1">
      <c r="A157" s="233" t="s">
        <v>682</v>
      </c>
      <c r="E157" s="237">
        <f t="shared" si="16"/>
        <v>0</v>
      </c>
      <c r="J157" s="233" t="s">
        <v>550</v>
      </c>
      <c r="K157" s="145">
        <v>637</v>
      </c>
      <c r="L157" s="145">
        <v>637</v>
      </c>
      <c r="M157" s="145"/>
      <c r="N157" s="145"/>
      <c r="O157" s="145"/>
      <c r="P157" s="242" t="s">
        <v>254</v>
      </c>
      <c r="Q157" s="169"/>
      <c r="R157" s="173" t="str">
        <f t="shared" si="19"/>
        <v/>
      </c>
      <c r="S157" s="243" t="s">
        <v>683</v>
      </c>
      <c r="T157" s="173" t="str">
        <f t="shared" si="18"/>
        <v/>
      </c>
      <c r="U157" s="173" t="s">
        <v>1268</v>
      </c>
      <c r="V157" s="170">
        <f>L157-X157</f>
        <v>437</v>
      </c>
      <c r="W157" s="173">
        <v>200</v>
      </c>
      <c r="X157" s="173">
        <v>200</v>
      </c>
      <c r="Y157" s="321"/>
    </row>
    <row r="158" spans="1:25" ht="15.8" customHeight="1">
      <c r="A158" s="1" t="s">
        <v>684</v>
      </c>
      <c r="B158" s="189" t="s">
        <v>684</v>
      </c>
      <c r="C158" s="190" t="s">
        <v>1538</v>
      </c>
      <c r="D158" s="191">
        <v>69</v>
      </c>
      <c r="E158" s="178">
        <f t="shared" si="16"/>
        <v>89.7</v>
      </c>
      <c r="F158" s="192" t="s">
        <v>550</v>
      </c>
      <c r="G158" s="193" t="s">
        <v>1363</v>
      </c>
      <c r="H158" s="194" t="s">
        <v>551</v>
      </c>
      <c r="I158" s="195">
        <v>1</v>
      </c>
      <c r="J158" s="1" t="s">
        <v>550</v>
      </c>
      <c r="K158" s="67">
        <v>200</v>
      </c>
      <c r="L158" s="67">
        <v>200</v>
      </c>
      <c r="M158" s="67">
        <v>290</v>
      </c>
      <c r="N158" s="67">
        <v>198</v>
      </c>
      <c r="O158" s="67">
        <v>800</v>
      </c>
      <c r="P158" s="18" t="s">
        <v>254</v>
      </c>
      <c r="Q158" s="71"/>
      <c r="R158" s="5" t="str">
        <f t="shared" si="19"/>
        <v/>
      </c>
      <c r="S158" s="62" t="s">
        <v>551</v>
      </c>
      <c r="T158" s="5" t="str">
        <f t="shared" si="18"/>
        <v/>
      </c>
      <c r="U158" s="5" t="s">
        <v>1261</v>
      </c>
      <c r="V158" s="69">
        <f>L158-X158</f>
        <v>0</v>
      </c>
      <c r="W158" s="5">
        <v>112</v>
      </c>
      <c r="X158" s="5">
        <v>200</v>
      </c>
    </row>
    <row r="159" spans="1:25" ht="15.8" customHeight="1">
      <c r="A159" s="1" t="s">
        <v>685</v>
      </c>
      <c r="B159" s="196" t="s">
        <v>685</v>
      </c>
      <c r="C159" s="197" t="s">
        <v>1539</v>
      </c>
      <c r="D159" s="198">
        <v>69</v>
      </c>
      <c r="E159" s="178">
        <f t="shared" si="16"/>
        <v>89.7</v>
      </c>
      <c r="F159" s="199" t="s">
        <v>550</v>
      </c>
      <c r="G159" s="200" t="s">
        <v>1363</v>
      </c>
      <c r="H159" s="201" t="s">
        <v>551</v>
      </c>
      <c r="I159" s="202">
        <v>1</v>
      </c>
      <c r="J159" s="1" t="s">
        <v>550</v>
      </c>
      <c r="K159" s="67">
        <v>200</v>
      </c>
      <c r="L159" s="67">
        <v>200</v>
      </c>
      <c r="M159" s="67">
        <v>290</v>
      </c>
      <c r="N159" s="67">
        <v>198</v>
      </c>
      <c r="O159" s="67">
        <v>1000</v>
      </c>
      <c r="P159" s="18" t="s">
        <v>254</v>
      </c>
      <c r="Q159" s="71"/>
      <c r="R159" s="5" t="str">
        <f t="shared" si="19"/>
        <v/>
      </c>
      <c r="S159" s="62" t="s">
        <v>551</v>
      </c>
      <c r="T159" s="5" t="str">
        <f t="shared" si="18"/>
        <v/>
      </c>
      <c r="U159" s="5" t="s">
        <v>1261</v>
      </c>
      <c r="V159" s="69">
        <f>L159-X159</f>
        <v>0</v>
      </c>
      <c r="W159" s="5">
        <v>112</v>
      </c>
      <c r="X159" s="5">
        <v>200</v>
      </c>
    </row>
    <row r="160" spans="1:25" ht="15.8" customHeight="1">
      <c r="A160" s="253" t="s">
        <v>686</v>
      </c>
      <c r="B160" s="189" t="s">
        <v>1540</v>
      </c>
      <c r="C160" s="190" t="s">
        <v>1541</v>
      </c>
      <c r="D160" s="191">
        <v>45850</v>
      </c>
      <c r="E160" s="178">
        <f t="shared" si="16"/>
        <v>59605</v>
      </c>
      <c r="F160" s="192" t="s">
        <v>567</v>
      </c>
      <c r="G160" s="193" t="s">
        <v>1363</v>
      </c>
      <c r="H160" s="194" t="s">
        <v>687</v>
      </c>
      <c r="I160" s="195">
        <v>10</v>
      </c>
      <c r="J160" s="253" t="s">
        <v>567</v>
      </c>
      <c r="K160" s="254">
        <v>42770</v>
      </c>
      <c r="L160" s="251">
        <v>53900</v>
      </c>
      <c r="M160" s="67"/>
      <c r="N160" s="67"/>
      <c r="O160" s="67">
        <v>53900</v>
      </c>
      <c r="P160" s="255" t="s">
        <v>581</v>
      </c>
      <c r="Q160" s="71"/>
      <c r="R160" s="5" t="str">
        <f t="shared" si="19"/>
        <v/>
      </c>
      <c r="S160" s="70" t="s">
        <v>687</v>
      </c>
      <c r="T160" s="5" t="str">
        <f t="shared" si="18"/>
        <v/>
      </c>
      <c r="V160" s="69"/>
      <c r="W160" s="5">
        <v>32900</v>
      </c>
    </row>
    <row r="161" spans="1:25" ht="15.8" customHeight="1">
      <c r="A161" s="1" t="s">
        <v>34</v>
      </c>
      <c r="B161" s="176" t="s">
        <v>945</v>
      </c>
      <c r="C161" s="177" t="s">
        <v>1542</v>
      </c>
      <c r="D161" s="178">
        <v>229.99999999999997</v>
      </c>
      <c r="E161" s="178">
        <f t="shared" si="16"/>
        <v>299</v>
      </c>
      <c r="F161" s="179" t="s">
        <v>550</v>
      </c>
      <c r="G161" s="180"/>
      <c r="H161" s="181" t="s">
        <v>551</v>
      </c>
      <c r="I161" s="182">
        <v>1</v>
      </c>
      <c r="J161" s="1" t="s">
        <v>550</v>
      </c>
      <c r="K161" s="67">
        <v>600</v>
      </c>
      <c r="L161" s="251">
        <v>490</v>
      </c>
      <c r="M161" s="67">
        <v>710</v>
      </c>
      <c r="N161" s="67">
        <v>495</v>
      </c>
      <c r="O161" s="67">
        <v>800</v>
      </c>
      <c r="P161" s="18" t="s">
        <v>254</v>
      </c>
      <c r="Q161" s="71"/>
      <c r="R161" s="5" t="str">
        <f t="shared" si="19"/>
        <v/>
      </c>
      <c r="S161" s="62" t="s">
        <v>551</v>
      </c>
      <c r="T161" s="5" t="str">
        <f t="shared" si="18"/>
        <v/>
      </c>
      <c r="U161" s="5" t="s">
        <v>1261</v>
      </c>
      <c r="V161" s="69">
        <f>L161-X161</f>
        <v>-110</v>
      </c>
      <c r="W161" s="5">
        <v>350</v>
      </c>
      <c r="X161" s="5">
        <v>600</v>
      </c>
    </row>
    <row r="162" spans="1:25" s="173" customFormat="1" ht="15.8" customHeight="1">
      <c r="A162" s="233" t="s">
        <v>688</v>
      </c>
      <c r="E162" s="237">
        <f t="shared" si="16"/>
        <v>0</v>
      </c>
      <c r="J162" s="233" t="s">
        <v>103</v>
      </c>
      <c r="K162" s="145">
        <v>8000</v>
      </c>
      <c r="L162" s="145">
        <v>8000</v>
      </c>
      <c r="M162" s="145"/>
      <c r="N162" s="145"/>
      <c r="O162" s="145"/>
      <c r="P162" s="242" t="s">
        <v>254</v>
      </c>
      <c r="Q162" s="169"/>
      <c r="R162" s="173" t="str">
        <f t="shared" si="19"/>
        <v/>
      </c>
      <c r="S162" s="243" t="s">
        <v>551</v>
      </c>
      <c r="T162" s="173" t="str">
        <f t="shared" si="18"/>
        <v/>
      </c>
      <c r="U162" s="173" t="s">
        <v>1261</v>
      </c>
      <c r="V162" s="170">
        <f>L162-X162</f>
        <v>0</v>
      </c>
      <c r="W162" s="173">
        <v>6031</v>
      </c>
      <c r="X162" s="173">
        <v>8000</v>
      </c>
      <c r="Y162" s="321"/>
    </row>
    <row r="163" spans="1:25" ht="15.8" customHeight="1">
      <c r="A163" s="1" t="s">
        <v>689</v>
      </c>
      <c r="B163" s="183" t="s">
        <v>1543</v>
      </c>
      <c r="C163" s="203" t="s">
        <v>689</v>
      </c>
      <c r="D163" s="184">
        <v>3900</v>
      </c>
      <c r="E163" s="178">
        <f t="shared" si="16"/>
        <v>5070</v>
      </c>
      <c r="F163" s="185" t="s">
        <v>602</v>
      </c>
      <c r="G163" s="186"/>
      <c r="H163" s="187" t="s">
        <v>690</v>
      </c>
      <c r="I163" s="188">
        <v>2</v>
      </c>
      <c r="J163" s="1" t="s">
        <v>602</v>
      </c>
      <c r="K163" s="67">
        <v>6700</v>
      </c>
      <c r="L163" s="251">
        <v>5700</v>
      </c>
      <c r="M163" s="67"/>
      <c r="N163" s="67">
        <v>5750</v>
      </c>
      <c r="O163" s="67">
        <v>6700</v>
      </c>
      <c r="P163" s="18" t="s">
        <v>1288</v>
      </c>
      <c r="Q163" s="71"/>
      <c r="R163" s="5" t="str">
        <f t="shared" si="19"/>
        <v/>
      </c>
      <c r="S163" s="62" t="s">
        <v>690</v>
      </c>
      <c r="T163" s="5" t="str">
        <f t="shared" si="18"/>
        <v/>
      </c>
      <c r="U163" s="5" t="s">
        <v>1329</v>
      </c>
      <c r="V163" s="69">
        <f>L163-X163</f>
        <v>-1000</v>
      </c>
      <c r="W163" s="5">
        <v>3900</v>
      </c>
      <c r="X163" s="5">
        <v>6700</v>
      </c>
    </row>
    <row r="164" spans="1:25" ht="15.8" customHeight="1">
      <c r="A164" s="1" t="s">
        <v>691</v>
      </c>
      <c r="B164" s="196" t="s">
        <v>1544</v>
      </c>
      <c r="C164" s="197" t="s">
        <v>691</v>
      </c>
      <c r="D164" s="198">
        <v>4200</v>
      </c>
      <c r="E164" s="178">
        <f t="shared" si="16"/>
        <v>5460</v>
      </c>
      <c r="F164" s="199" t="s">
        <v>602</v>
      </c>
      <c r="G164" s="200" t="s">
        <v>1363</v>
      </c>
      <c r="H164" s="201" t="s">
        <v>551</v>
      </c>
      <c r="I164" s="202">
        <v>5</v>
      </c>
      <c r="J164" s="1" t="s">
        <v>602</v>
      </c>
      <c r="K164" s="67">
        <v>5460</v>
      </c>
      <c r="L164" s="251">
        <v>5400</v>
      </c>
      <c r="M164" s="67">
        <v>7500</v>
      </c>
      <c r="N164" s="67">
        <v>5405</v>
      </c>
      <c r="O164" s="67">
        <v>5700</v>
      </c>
      <c r="P164" s="18" t="s">
        <v>1278</v>
      </c>
      <c r="Q164" s="71"/>
      <c r="R164" s="5" t="str">
        <f t="shared" si="19"/>
        <v/>
      </c>
      <c r="S164" s="62" t="s">
        <v>551</v>
      </c>
      <c r="T164" s="5" t="str">
        <f t="shared" si="18"/>
        <v/>
      </c>
      <c r="U164" s="5" t="s">
        <v>1262</v>
      </c>
      <c r="V164" s="69">
        <f>L164-X164</f>
        <v>-60</v>
      </c>
      <c r="W164" s="5">
        <v>4200</v>
      </c>
      <c r="X164" s="5">
        <v>5460</v>
      </c>
    </row>
    <row r="165" spans="1:25" ht="15.8" customHeight="1">
      <c r="A165" s="1" t="s">
        <v>692</v>
      </c>
      <c r="B165" s="183" t="s">
        <v>1545</v>
      </c>
      <c r="C165" s="203" t="s">
        <v>1546</v>
      </c>
      <c r="D165" s="184">
        <v>1380</v>
      </c>
      <c r="E165" s="178">
        <f t="shared" si="16"/>
        <v>1794</v>
      </c>
      <c r="F165" s="185" t="s">
        <v>550</v>
      </c>
      <c r="G165" s="186"/>
      <c r="H165" s="187" t="s">
        <v>604</v>
      </c>
      <c r="I165" s="188">
        <v>1</v>
      </c>
      <c r="J165" s="1" t="s">
        <v>550</v>
      </c>
      <c r="K165" s="67">
        <v>4200</v>
      </c>
      <c r="L165" s="251">
        <v>3300</v>
      </c>
      <c r="M165" s="67">
        <v>4350</v>
      </c>
      <c r="N165" s="67">
        <v>3335</v>
      </c>
      <c r="O165" s="67">
        <v>5700</v>
      </c>
      <c r="P165" s="18" t="s">
        <v>254</v>
      </c>
      <c r="Q165" s="71"/>
      <c r="R165" s="5" t="str">
        <f t="shared" si="19"/>
        <v/>
      </c>
      <c r="S165" s="62" t="s">
        <v>604</v>
      </c>
      <c r="T165" s="5" t="str">
        <f t="shared" si="18"/>
        <v/>
      </c>
      <c r="U165" s="5" t="s">
        <v>1330</v>
      </c>
      <c r="V165" s="69">
        <f>L165-X165</f>
        <v>-900</v>
      </c>
      <c r="W165" s="5">
        <v>2210</v>
      </c>
      <c r="X165" s="5">
        <v>4200</v>
      </c>
    </row>
    <row r="166" spans="1:25" ht="15.8" customHeight="1">
      <c r="A166" s="1" t="s">
        <v>693</v>
      </c>
      <c r="B166" s="183" t="s">
        <v>1547</v>
      </c>
      <c r="C166" s="203" t="s">
        <v>693</v>
      </c>
      <c r="D166" s="277">
        <v>15400</v>
      </c>
      <c r="E166" s="277">
        <f t="shared" si="16"/>
        <v>20020</v>
      </c>
      <c r="F166" s="185" t="s">
        <v>553</v>
      </c>
      <c r="G166" s="278"/>
      <c r="H166" s="187" t="s">
        <v>604</v>
      </c>
      <c r="I166" s="188">
        <v>12</v>
      </c>
      <c r="J166" s="1" t="s">
        <v>553</v>
      </c>
      <c r="K166" s="67">
        <v>20020</v>
      </c>
      <c r="L166" s="251">
        <v>19300</v>
      </c>
      <c r="M166" s="67">
        <v>22000</v>
      </c>
      <c r="N166" s="67"/>
      <c r="O166" s="67">
        <v>19400</v>
      </c>
      <c r="P166" s="18" t="s">
        <v>563</v>
      </c>
      <c r="Q166" s="279"/>
      <c r="R166" s="5" t="str">
        <f t="shared" si="19"/>
        <v/>
      </c>
      <c r="S166" s="70" t="s">
        <v>604</v>
      </c>
      <c r="T166" s="5" t="str">
        <f t="shared" si="18"/>
        <v/>
      </c>
      <c r="V166" s="69"/>
      <c r="W166" s="5">
        <v>15400</v>
      </c>
    </row>
    <row r="167" spans="1:25" ht="15.8" customHeight="1">
      <c r="A167" s="1" t="s">
        <v>694</v>
      </c>
      <c r="B167" s="183" t="s">
        <v>1548</v>
      </c>
      <c r="C167" s="203" t="s">
        <v>694</v>
      </c>
      <c r="D167" s="184">
        <v>1609.9999999999998</v>
      </c>
      <c r="E167" s="178">
        <f t="shared" si="16"/>
        <v>2093</v>
      </c>
      <c r="F167" s="185" t="s">
        <v>602</v>
      </c>
      <c r="G167" s="186"/>
      <c r="H167" s="187" t="s">
        <v>551</v>
      </c>
      <c r="I167" s="188">
        <v>1</v>
      </c>
      <c r="J167" s="1" t="s">
        <v>602</v>
      </c>
      <c r="K167" s="67">
        <v>3000</v>
      </c>
      <c r="L167" s="67">
        <v>3000</v>
      </c>
      <c r="M167" s="5"/>
      <c r="N167" s="5"/>
      <c r="O167" s="67">
        <v>3400</v>
      </c>
      <c r="P167" s="18" t="s">
        <v>1275</v>
      </c>
      <c r="Q167" s="71"/>
      <c r="R167" s="5" t="str">
        <f t="shared" si="19"/>
        <v/>
      </c>
      <c r="S167" s="62" t="s">
        <v>551</v>
      </c>
      <c r="T167" s="5" t="str">
        <f t="shared" si="18"/>
        <v/>
      </c>
      <c r="V167" s="69" t="e">
        <f t="shared" ref="V167:V176" si="20">L167-X167</f>
        <v>#VALUE!</v>
      </c>
      <c r="W167" s="5">
        <v>1609.9999999999998</v>
      </c>
      <c r="X167" s="5" t="s">
        <v>1311</v>
      </c>
    </row>
    <row r="168" spans="1:25" ht="15.8" customHeight="1">
      <c r="A168" s="1" t="s">
        <v>695</v>
      </c>
      <c r="B168" s="176" t="s">
        <v>1549</v>
      </c>
      <c r="C168" s="177" t="s">
        <v>695</v>
      </c>
      <c r="D168" s="178">
        <v>4255</v>
      </c>
      <c r="E168" s="178">
        <f t="shared" si="16"/>
        <v>5531.5</v>
      </c>
      <c r="F168" s="179" t="s">
        <v>602</v>
      </c>
      <c r="G168" s="180"/>
      <c r="H168" s="181" t="s">
        <v>551</v>
      </c>
      <c r="I168" s="182">
        <v>3</v>
      </c>
      <c r="J168" s="1" t="s">
        <v>602</v>
      </c>
      <c r="K168" s="67">
        <v>5532</v>
      </c>
      <c r="L168" s="251">
        <v>5500</v>
      </c>
      <c r="M168" s="67">
        <v>8800</v>
      </c>
      <c r="N168" s="67">
        <v>3565</v>
      </c>
      <c r="O168" s="67">
        <v>6800</v>
      </c>
      <c r="P168" s="18" t="s">
        <v>1275</v>
      </c>
      <c r="Q168" s="71"/>
      <c r="R168" s="5" t="str">
        <f t="shared" si="19"/>
        <v/>
      </c>
      <c r="S168" s="62" t="s">
        <v>551</v>
      </c>
      <c r="T168" s="5" t="str">
        <f t="shared" si="18"/>
        <v/>
      </c>
      <c r="V168" s="69" t="e">
        <f t="shared" si="20"/>
        <v>#VALUE!</v>
      </c>
      <c r="W168" s="5">
        <v>4255</v>
      </c>
      <c r="X168" s="5" t="s">
        <v>1311</v>
      </c>
    </row>
    <row r="169" spans="1:25" ht="15.8" customHeight="1">
      <c r="A169" s="1" t="s">
        <v>696</v>
      </c>
      <c r="B169" s="183" t="s">
        <v>1550</v>
      </c>
      <c r="C169" s="203" t="s">
        <v>696</v>
      </c>
      <c r="D169" s="184">
        <v>2950</v>
      </c>
      <c r="E169" s="178">
        <f t="shared" si="16"/>
        <v>3835</v>
      </c>
      <c r="F169" s="185" t="s">
        <v>602</v>
      </c>
      <c r="G169" s="186"/>
      <c r="H169" s="187" t="s">
        <v>551</v>
      </c>
      <c r="I169" s="188">
        <v>3</v>
      </c>
      <c r="J169" s="1" t="s">
        <v>602</v>
      </c>
      <c r="K169" s="67">
        <v>3840</v>
      </c>
      <c r="L169" s="251">
        <v>3800</v>
      </c>
      <c r="M169" s="67"/>
      <c r="N169" s="67">
        <v>4025</v>
      </c>
      <c r="O169" s="67"/>
      <c r="P169" s="18" t="s">
        <v>1275</v>
      </c>
      <c r="Q169" s="71"/>
      <c r="R169" s="5" t="str">
        <f t="shared" si="19"/>
        <v/>
      </c>
      <c r="S169" s="62" t="s">
        <v>551</v>
      </c>
      <c r="T169" s="5" t="str">
        <f t="shared" si="18"/>
        <v/>
      </c>
      <c r="U169" s="5" t="s">
        <v>1261</v>
      </c>
      <c r="V169" s="69">
        <f t="shared" si="20"/>
        <v>-40</v>
      </c>
      <c r="W169" s="5">
        <v>2950</v>
      </c>
      <c r="X169" s="5">
        <v>3840</v>
      </c>
    </row>
    <row r="170" spans="1:25" ht="15.8" customHeight="1">
      <c r="A170" s="1" t="s">
        <v>1331</v>
      </c>
      <c r="B170" s="183" t="s">
        <v>1551</v>
      </c>
      <c r="C170" s="185" t="s">
        <v>1552</v>
      </c>
      <c r="D170" s="277">
        <v>2875</v>
      </c>
      <c r="E170" s="277">
        <f t="shared" si="16"/>
        <v>3737.5</v>
      </c>
      <c r="F170" s="185" t="s">
        <v>602</v>
      </c>
      <c r="G170" s="278"/>
      <c r="H170" s="187" t="s">
        <v>551</v>
      </c>
      <c r="I170" s="188">
        <v>3</v>
      </c>
      <c r="J170" s="1" t="s">
        <v>602</v>
      </c>
      <c r="K170" s="67">
        <v>4000</v>
      </c>
      <c r="L170" s="67">
        <v>4000</v>
      </c>
      <c r="M170" s="67">
        <v>5280</v>
      </c>
      <c r="N170" s="67"/>
      <c r="O170" s="67"/>
      <c r="P170" s="18" t="s">
        <v>1275</v>
      </c>
      <c r="Q170" s="279"/>
      <c r="R170" s="5" t="str">
        <f t="shared" si="19"/>
        <v/>
      </c>
      <c r="S170" s="62" t="s">
        <v>551</v>
      </c>
      <c r="T170" s="5" t="str">
        <f>IF(Q170="x",S170,"")</f>
        <v/>
      </c>
      <c r="U170" s="5" t="s">
        <v>1261</v>
      </c>
      <c r="V170" s="69">
        <f t="shared" si="20"/>
        <v>0</v>
      </c>
      <c r="W170" s="5">
        <v>3738</v>
      </c>
      <c r="X170" s="5">
        <v>4000</v>
      </c>
    </row>
    <row r="171" spans="1:25" ht="15.8" customHeight="1">
      <c r="A171" s="1" t="s">
        <v>697</v>
      </c>
      <c r="B171" s="183" t="s">
        <v>1553</v>
      </c>
      <c r="C171" s="185" t="s">
        <v>697</v>
      </c>
      <c r="D171" s="184">
        <v>2875</v>
      </c>
      <c r="E171" s="178">
        <f t="shared" si="16"/>
        <v>3737.5</v>
      </c>
      <c r="F171" s="185" t="s">
        <v>602</v>
      </c>
      <c r="G171" s="186"/>
      <c r="H171" s="187" t="s">
        <v>551</v>
      </c>
      <c r="I171" s="188">
        <v>3</v>
      </c>
      <c r="J171" s="1" t="s">
        <v>602</v>
      </c>
      <c r="K171" s="67">
        <v>5000</v>
      </c>
      <c r="L171" s="67">
        <v>5000</v>
      </c>
      <c r="M171" s="67"/>
      <c r="N171" s="67"/>
      <c r="O171" s="67">
        <v>5300</v>
      </c>
      <c r="P171" s="18" t="s">
        <v>1275</v>
      </c>
      <c r="Q171" s="71"/>
      <c r="R171" s="5" t="str">
        <f t="shared" si="19"/>
        <v/>
      </c>
      <c r="S171" s="62" t="s">
        <v>551</v>
      </c>
      <c r="T171" s="5" t="str">
        <f t="shared" si="18"/>
        <v/>
      </c>
      <c r="U171" s="5" t="s">
        <v>1261</v>
      </c>
      <c r="V171" s="69">
        <f t="shared" si="20"/>
        <v>0</v>
      </c>
      <c r="W171" s="5">
        <v>2875</v>
      </c>
      <c r="X171" s="5">
        <v>5000</v>
      </c>
    </row>
    <row r="172" spans="1:25" ht="15.8" customHeight="1">
      <c r="A172" s="143" t="s">
        <v>698</v>
      </c>
      <c r="B172" s="176" t="s">
        <v>1554</v>
      </c>
      <c r="C172" s="177" t="s">
        <v>698</v>
      </c>
      <c r="D172" s="178">
        <v>15000</v>
      </c>
      <c r="E172" s="178">
        <f t="shared" si="16"/>
        <v>19500</v>
      </c>
      <c r="F172" s="179" t="s">
        <v>699</v>
      </c>
      <c r="G172" s="180"/>
      <c r="H172" s="181" t="s">
        <v>604</v>
      </c>
      <c r="I172" s="182">
        <v>12</v>
      </c>
      <c r="J172" s="143" t="s">
        <v>699</v>
      </c>
      <c r="K172" s="144">
        <v>19500</v>
      </c>
      <c r="L172" s="144">
        <v>19500</v>
      </c>
      <c r="M172" s="67"/>
      <c r="N172" s="67"/>
      <c r="O172" s="67">
        <v>19500</v>
      </c>
      <c r="P172" s="147" t="s">
        <v>1284</v>
      </c>
      <c r="Q172" s="71"/>
      <c r="R172" s="5" t="str">
        <f t="shared" si="19"/>
        <v/>
      </c>
      <c r="S172" s="62" t="s">
        <v>604</v>
      </c>
      <c r="T172" s="5" t="str">
        <f t="shared" si="18"/>
        <v/>
      </c>
      <c r="V172" s="69" t="e">
        <f t="shared" si="20"/>
        <v>#VALUE!</v>
      </c>
      <c r="W172" s="5">
        <v>15000</v>
      </c>
      <c r="X172" s="5" t="s">
        <v>1311</v>
      </c>
    </row>
    <row r="173" spans="1:25" s="7" customFormat="1" ht="15.8" customHeight="1">
      <c r="A173" s="1" t="s">
        <v>700</v>
      </c>
      <c r="B173" s="183" t="s">
        <v>1555</v>
      </c>
      <c r="C173" s="203" t="s">
        <v>700</v>
      </c>
      <c r="D173" s="184">
        <v>3219.9999999999995</v>
      </c>
      <c r="E173" s="178">
        <f t="shared" si="16"/>
        <v>4186</v>
      </c>
      <c r="F173" s="185" t="s">
        <v>602</v>
      </c>
      <c r="G173" s="186"/>
      <c r="H173" s="187" t="s">
        <v>551</v>
      </c>
      <c r="I173" s="188">
        <v>3</v>
      </c>
      <c r="J173" s="1" t="s">
        <v>602</v>
      </c>
      <c r="K173" s="67">
        <v>4190</v>
      </c>
      <c r="L173" s="145">
        <v>4200</v>
      </c>
      <c r="M173" s="67"/>
      <c r="N173" s="67"/>
      <c r="O173" s="67"/>
      <c r="P173" s="18" t="s">
        <v>1275</v>
      </c>
      <c r="Q173" s="71"/>
      <c r="R173" s="5" t="str">
        <f t="shared" si="19"/>
        <v/>
      </c>
      <c r="S173" s="62" t="s">
        <v>551</v>
      </c>
      <c r="T173" s="5" t="str">
        <f t="shared" si="18"/>
        <v/>
      </c>
      <c r="U173" s="5" t="s">
        <v>1262</v>
      </c>
      <c r="V173" s="69">
        <f t="shared" si="20"/>
        <v>10</v>
      </c>
      <c r="W173" s="5">
        <v>3219.9999999999995</v>
      </c>
      <c r="X173" s="7">
        <v>4190</v>
      </c>
      <c r="Y173" s="323"/>
    </row>
    <row r="174" spans="1:25" ht="15.8" customHeight="1">
      <c r="A174" s="143" t="s">
        <v>701</v>
      </c>
      <c r="B174" s="176" t="s">
        <v>1556</v>
      </c>
      <c r="C174" s="177" t="s">
        <v>701</v>
      </c>
      <c r="D174" s="178">
        <v>15000</v>
      </c>
      <c r="E174" s="178">
        <f t="shared" si="16"/>
        <v>19500</v>
      </c>
      <c r="F174" s="179" t="s">
        <v>553</v>
      </c>
      <c r="G174" s="180"/>
      <c r="H174" s="181" t="s">
        <v>604</v>
      </c>
      <c r="I174" s="182">
        <v>12</v>
      </c>
      <c r="J174" s="143" t="s">
        <v>553</v>
      </c>
      <c r="K174" s="144">
        <v>19500</v>
      </c>
      <c r="L174" s="144">
        <v>19500</v>
      </c>
      <c r="M174" s="67"/>
      <c r="N174" s="67"/>
      <c r="O174" s="67"/>
      <c r="P174" s="147" t="s">
        <v>1284</v>
      </c>
      <c r="Q174" s="71"/>
      <c r="R174" s="5" t="str">
        <f t="shared" si="19"/>
        <v/>
      </c>
      <c r="S174" s="62" t="s">
        <v>604</v>
      </c>
      <c r="T174" s="5" t="str">
        <f t="shared" si="18"/>
        <v/>
      </c>
      <c r="V174" s="69" t="e">
        <f t="shared" si="20"/>
        <v>#VALUE!</v>
      </c>
      <c r="W174" s="5">
        <v>15000</v>
      </c>
      <c r="X174" s="5" t="s">
        <v>1311</v>
      </c>
    </row>
    <row r="175" spans="1:25" ht="15.8" customHeight="1">
      <c r="A175" s="143" t="s">
        <v>702</v>
      </c>
      <c r="B175" s="183" t="s">
        <v>1557</v>
      </c>
      <c r="C175" s="203" t="s">
        <v>702</v>
      </c>
      <c r="D175" s="184">
        <v>12900</v>
      </c>
      <c r="E175" s="178">
        <f t="shared" si="16"/>
        <v>16770</v>
      </c>
      <c r="F175" s="185" t="s">
        <v>602</v>
      </c>
      <c r="G175" s="186"/>
      <c r="H175" s="187" t="s">
        <v>551</v>
      </c>
      <c r="I175" s="188">
        <v>10</v>
      </c>
      <c r="J175" s="143" t="s">
        <v>602</v>
      </c>
      <c r="K175" s="144">
        <v>16770</v>
      </c>
      <c r="L175" s="251">
        <v>15500</v>
      </c>
      <c r="M175" s="67">
        <v>11500</v>
      </c>
      <c r="N175" s="67"/>
      <c r="O175" s="67">
        <v>16000</v>
      </c>
      <c r="P175" s="147" t="s">
        <v>1285</v>
      </c>
      <c r="Q175" s="71"/>
      <c r="R175" s="5" t="str">
        <f t="shared" si="19"/>
        <v/>
      </c>
      <c r="S175" s="62" t="s">
        <v>551</v>
      </c>
      <c r="T175" s="5" t="str">
        <f t="shared" si="18"/>
        <v/>
      </c>
      <c r="V175" s="69" t="e">
        <f t="shared" si="20"/>
        <v>#VALUE!</v>
      </c>
      <c r="W175" s="5">
        <v>12900</v>
      </c>
      <c r="X175" s="5" t="s">
        <v>1311</v>
      </c>
    </row>
    <row r="176" spans="1:25" s="173" customFormat="1" ht="15.8" customHeight="1">
      <c r="A176" s="233" t="s">
        <v>703</v>
      </c>
      <c r="B176" s="265" t="s">
        <v>1558</v>
      </c>
      <c r="C176" s="285" t="s">
        <v>703</v>
      </c>
      <c r="D176" s="237">
        <v>9200</v>
      </c>
      <c r="E176" s="237">
        <f t="shared" si="16"/>
        <v>11960</v>
      </c>
      <c r="F176" s="266" t="s">
        <v>602</v>
      </c>
      <c r="G176" s="267"/>
      <c r="H176" s="268" t="s">
        <v>551</v>
      </c>
      <c r="I176" s="269">
        <v>5</v>
      </c>
      <c r="J176" s="233" t="s">
        <v>602</v>
      </c>
      <c r="K176" s="145">
        <v>11960</v>
      </c>
      <c r="L176" s="145">
        <v>11960</v>
      </c>
      <c r="M176" s="145">
        <v>12800</v>
      </c>
      <c r="N176" s="145"/>
      <c r="O176" s="173">
        <v>7700</v>
      </c>
      <c r="P176" s="242" t="s">
        <v>1278</v>
      </c>
      <c r="Q176" s="169"/>
      <c r="R176" s="173" t="str">
        <f t="shared" si="19"/>
        <v/>
      </c>
      <c r="S176" s="243" t="s">
        <v>551</v>
      </c>
      <c r="T176" s="173" t="str">
        <f t="shared" si="18"/>
        <v/>
      </c>
      <c r="U176" s="173" t="s">
        <v>1262</v>
      </c>
      <c r="V176" s="170">
        <f t="shared" si="20"/>
        <v>0</v>
      </c>
      <c r="W176" s="173">
        <v>9200</v>
      </c>
      <c r="X176" s="173">
        <v>11960</v>
      </c>
      <c r="Y176" s="321"/>
    </row>
    <row r="177" spans="1:25" s="231" customFormat="1" ht="15.8" customHeight="1">
      <c r="A177" s="260" t="s">
        <v>1560</v>
      </c>
      <c r="B177" s="294" t="s">
        <v>1559</v>
      </c>
      <c r="C177" s="260" t="s">
        <v>1560</v>
      </c>
      <c r="D177" s="220">
        <v>4750</v>
      </c>
      <c r="E177" s="221">
        <f t="shared" si="16"/>
        <v>6175</v>
      </c>
      <c r="F177" s="222" t="s">
        <v>553</v>
      </c>
      <c r="G177" s="223"/>
      <c r="H177" s="224" t="s">
        <v>554</v>
      </c>
      <c r="I177" s="225">
        <v>5</v>
      </c>
      <c r="J177" s="155"/>
      <c r="K177" s="160"/>
      <c r="L177" s="160"/>
      <c r="M177" s="160"/>
      <c r="N177" s="160"/>
      <c r="O177" s="160"/>
      <c r="P177" s="156"/>
      <c r="Q177" s="262"/>
      <c r="S177" s="295"/>
      <c r="V177" s="264"/>
      <c r="Y177" s="327"/>
    </row>
    <row r="178" spans="1:25" ht="15.8" customHeight="1">
      <c r="A178" s="143" t="s">
        <v>704</v>
      </c>
      <c r="B178" s="176" t="s">
        <v>1561</v>
      </c>
      <c r="C178" s="177" t="s">
        <v>1562</v>
      </c>
      <c r="D178" s="178">
        <v>4024.9999999999995</v>
      </c>
      <c r="E178" s="178">
        <f t="shared" si="16"/>
        <v>5232.5</v>
      </c>
      <c r="F178" s="179" t="s">
        <v>602</v>
      </c>
      <c r="G178" s="180"/>
      <c r="H178" s="181" t="s">
        <v>551</v>
      </c>
      <c r="I178" s="182">
        <v>3</v>
      </c>
      <c r="J178" s="143" t="s">
        <v>602</v>
      </c>
      <c r="K178" s="144">
        <v>5900</v>
      </c>
      <c r="L178" s="144">
        <v>5900</v>
      </c>
      <c r="M178" s="67">
        <v>8800</v>
      </c>
      <c r="N178" s="67">
        <v>6900</v>
      </c>
      <c r="O178" s="67">
        <v>11400</v>
      </c>
      <c r="P178" s="147" t="s">
        <v>1275</v>
      </c>
      <c r="Q178" s="71"/>
      <c r="R178" s="5" t="str">
        <f t="shared" ref="R178:R187" si="21">IF(Q178="x",CONCATENATE(A178,"; "),"")</f>
        <v/>
      </c>
      <c r="S178" s="62" t="s">
        <v>551</v>
      </c>
      <c r="T178" s="5" t="str">
        <f t="shared" si="18"/>
        <v/>
      </c>
      <c r="V178" s="69" t="e">
        <f>L178-X178</f>
        <v>#VALUE!</v>
      </c>
      <c r="W178" s="5">
        <v>4024.9999999999995</v>
      </c>
      <c r="X178" s="5" t="s">
        <v>1311</v>
      </c>
    </row>
    <row r="179" spans="1:25" ht="15.8" customHeight="1">
      <c r="A179" s="1" t="s">
        <v>705</v>
      </c>
      <c r="B179" s="183" t="s">
        <v>1563</v>
      </c>
      <c r="C179" s="203" t="s">
        <v>705</v>
      </c>
      <c r="D179" s="184">
        <v>12900</v>
      </c>
      <c r="E179" s="178">
        <f t="shared" si="16"/>
        <v>16770</v>
      </c>
      <c r="F179" s="185" t="s">
        <v>553</v>
      </c>
      <c r="G179" s="186"/>
      <c r="H179" s="187" t="s">
        <v>604</v>
      </c>
      <c r="I179" s="188">
        <v>7</v>
      </c>
      <c r="J179" s="1" t="s">
        <v>553</v>
      </c>
      <c r="K179" s="67">
        <v>16770</v>
      </c>
      <c r="L179" s="67">
        <v>16770</v>
      </c>
      <c r="M179" s="67">
        <v>26000</v>
      </c>
      <c r="N179" s="67"/>
      <c r="O179" s="67">
        <v>19500</v>
      </c>
      <c r="P179" s="18" t="s">
        <v>1274</v>
      </c>
      <c r="Q179" s="71"/>
      <c r="R179" s="5" t="str">
        <f t="shared" si="21"/>
        <v/>
      </c>
      <c r="S179" s="62" t="s">
        <v>604</v>
      </c>
      <c r="T179" s="5" t="str">
        <f t="shared" si="18"/>
        <v/>
      </c>
      <c r="U179" s="5" t="s">
        <v>1265</v>
      </c>
      <c r="V179" s="69">
        <f>L179-X179</f>
        <v>0</v>
      </c>
      <c r="W179" s="5">
        <v>12900</v>
      </c>
      <c r="X179" s="5">
        <v>16770</v>
      </c>
    </row>
    <row r="180" spans="1:25" ht="15.8" customHeight="1">
      <c r="A180" s="1" t="s">
        <v>1334</v>
      </c>
      <c r="B180" s="176" t="s">
        <v>1564</v>
      </c>
      <c r="C180" s="177" t="s">
        <v>1565</v>
      </c>
      <c r="D180" s="178">
        <v>0</v>
      </c>
      <c r="E180" s="178">
        <f t="shared" si="16"/>
        <v>0</v>
      </c>
      <c r="F180" s="179" t="s">
        <v>550</v>
      </c>
      <c r="G180" s="180"/>
      <c r="H180" s="181" t="s">
        <v>548</v>
      </c>
      <c r="I180" s="182" t="s">
        <v>548</v>
      </c>
      <c r="J180" s="1" t="s">
        <v>550</v>
      </c>
      <c r="K180" s="67">
        <v>0</v>
      </c>
      <c r="L180" s="67">
        <v>0</v>
      </c>
      <c r="M180" s="67"/>
      <c r="N180" s="67">
        <v>690</v>
      </c>
      <c r="O180" s="67"/>
      <c r="P180" s="18" t="s">
        <v>254</v>
      </c>
      <c r="Q180" s="71"/>
      <c r="R180" s="5" t="str">
        <f t="shared" si="21"/>
        <v/>
      </c>
      <c r="S180" s="62" t="s">
        <v>548</v>
      </c>
      <c r="T180" s="5" t="str">
        <f t="shared" si="18"/>
        <v/>
      </c>
      <c r="V180" s="69">
        <f>L180-X180</f>
        <v>0</v>
      </c>
      <c r="W180" s="5">
        <v>0</v>
      </c>
    </row>
    <row r="181" spans="1:25" ht="15.8" customHeight="1">
      <c r="A181" s="1" t="s">
        <v>48</v>
      </c>
      <c r="B181" s="183" t="s">
        <v>1566</v>
      </c>
      <c r="C181" s="203" t="s">
        <v>48</v>
      </c>
      <c r="D181" s="184">
        <v>8000</v>
      </c>
      <c r="E181" s="178">
        <f t="shared" si="16"/>
        <v>10400</v>
      </c>
      <c r="F181" s="185" t="s">
        <v>550</v>
      </c>
      <c r="G181" s="186"/>
      <c r="H181" s="187" t="s">
        <v>551</v>
      </c>
      <c r="I181" s="188">
        <v>3</v>
      </c>
      <c r="J181" s="1" t="s">
        <v>550</v>
      </c>
      <c r="K181" s="67">
        <v>11000</v>
      </c>
      <c r="L181" s="251">
        <v>10200</v>
      </c>
      <c r="M181" s="67">
        <v>12400</v>
      </c>
      <c r="N181" s="67">
        <v>10235</v>
      </c>
      <c r="O181" s="67">
        <v>12500</v>
      </c>
      <c r="P181" s="18" t="s">
        <v>1275</v>
      </c>
      <c r="Q181" s="71"/>
      <c r="R181" s="5" t="str">
        <f t="shared" si="21"/>
        <v/>
      </c>
      <c r="S181" s="62" t="s">
        <v>551</v>
      </c>
      <c r="T181" s="5" t="str">
        <f t="shared" si="18"/>
        <v/>
      </c>
      <c r="U181" s="5" t="s">
        <v>1262</v>
      </c>
      <c r="V181" s="69">
        <f>L181-X181</f>
        <v>-800</v>
      </c>
      <c r="W181" s="5">
        <v>8000</v>
      </c>
      <c r="X181" s="5">
        <v>11000</v>
      </c>
    </row>
    <row r="182" spans="1:25" ht="15.8" customHeight="1">
      <c r="A182" s="1" t="s">
        <v>707</v>
      </c>
      <c r="B182" s="176" t="s">
        <v>1567</v>
      </c>
      <c r="C182" s="177" t="s">
        <v>949</v>
      </c>
      <c r="D182" s="178">
        <v>500</v>
      </c>
      <c r="E182" s="178">
        <f t="shared" si="16"/>
        <v>650</v>
      </c>
      <c r="F182" s="179" t="s">
        <v>550</v>
      </c>
      <c r="G182" s="180"/>
      <c r="H182" s="181" t="s">
        <v>551</v>
      </c>
      <c r="I182" s="182">
        <v>1</v>
      </c>
      <c r="J182" s="1" t="s">
        <v>550</v>
      </c>
      <c r="K182" s="67">
        <v>3500</v>
      </c>
      <c r="L182" s="251">
        <v>1200</v>
      </c>
      <c r="M182" s="67">
        <v>2500</v>
      </c>
      <c r="N182" s="67">
        <v>1200</v>
      </c>
      <c r="O182" s="67">
        <v>1700</v>
      </c>
      <c r="P182" s="18" t="s">
        <v>350</v>
      </c>
      <c r="Q182" s="71"/>
      <c r="R182" s="5" t="str">
        <f t="shared" si="21"/>
        <v/>
      </c>
      <c r="S182" s="62" t="s">
        <v>551</v>
      </c>
      <c r="T182" s="5" t="str">
        <f t="shared" si="18"/>
        <v/>
      </c>
      <c r="U182" s="5" t="s">
        <v>1261</v>
      </c>
      <c r="V182" s="69">
        <f>L182-X182</f>
        <v>-1300</v>
      </c>
      <c r="W182" s="5">
        <v>611</v>
      </c>
      <c r="X182" s="5">
        <v>2500</v>
      </c>
    </row>
    <row r="183" spans="1:25" s="231" customFormat="1" ht="15.8" customHeight="1">
      <c r="A183" s="157" t="s">
        <v>708</v>
      </c>
      <c r="B183" s="218" t="s">
        <v>1568</v>
      </c>
      <c r="C183" s="260" t="s">
        <v>708</v>
      </c>
      <c r="D183" s="220">
        <v>4500</v>
      </c>
      <c r="E183" s="221">
        <f t="shared" si="16"/>
        <v>5850</v>
      </c>
      <c r="F183" s="222" t="s">
        <v>607</v>
      </c>
      <c r="G183" s="223"/>
      <c r="H183" s="224" t="s">
        <v>608</v>
      </c>
      <c r="I183" s="261" t="s">
        <v>350</v>
      </c>
      <c r="J183" s="157" t="s">
        <v>607</v>
      </c>
      <c r="K183" s="158">
        <v>5850</v>
      </c>
      <c r="L183" s="158">
        <v>5850</v>
      </c>
      <c r="M183" s="160"/>
      <c r="N183" s="160"/>
      <c r="O183" s="160"/>
      <c r="P183" s="159" t="s">
        <v>350</v>
      </c>
      <c r="Q183" s="262"/>
      <c r="R183" s="231" t="str">
        <f t="shared" si="21"/>
        <v/>
      </c>
      <c r="S183" s="263" t="s">
        <v>608</v>
      </c>
      <c r="T183" s="231" t="str">
        <f t="shared" si="18"/>
        <v/>
      </c>
      <c r="V183" s="264"/>
      <c r="W183" s="231">
        <v>4500</v>
      </c>
      <c r="Y183" s="327"/>
    </row>
    <row r="184" spans="1:25" ht="15.8" customHeight="1">
      <c r="A184" s="1" t="s">
        <v>27</v>
      </c>
      <c r="B184" s="196" t="s">
        <v>1569</v>
      </c>
      <c r="C184" s="197" t="s">
        <v>27</v>
      </c>
      <c r="D184" s="198">
        <v>69</v>
      </c>
      <c r="E184" s="178">
        <f t="shared" si="16"/>
        <v>89.7</v>
      </c>
      <c r="F184" s="199" t="s">
        <v>550</v>
      </c>
      <c r="G184" s="200" t="s">
        <v>1363</v>
      </c>
      <c r="H184" s="201" t="s">
        <v>551</v>
      </c>
      <c r="I184" s="202">
        <v>1</v>
      </c>
      <c r="J184" s="1" t="s">
        <v>550</v>
      </c>
      <c r="K184" s="67">
        <v>600</v>
      </c>
      <c r="L184" s="67">
        <v>600</v>
      </c>
      <c r="M184" s="67">
        <v>290</v>
      </c>
      <c r="N184" s="67">
        <v>198</v>
      </c>
      <c r="O184" s="67">
        <v>800</v>
      </c>
      <c r="P184" s="18" t="s">
        <v>254</v>
      </c>
      <c r="Q184" s="71"/>
      <c r="R184" s="5" t="str">
        <f t="shared" si="21"/>
        <v/>
      </c>
      <c r="S184" s="62" t="s">
        <v>551</v>
      </c>
      <c r="T184" s="5" t="str">
        <f t="shared" si="18"/>
        <v/>
      </c>
      <c r="U184" s="5" t="s">
        <v>1261</v>
      </c>
      <c r="V184" s="69">
        <f>L184-X184</f>
        <v>0</v>
      </c>
      <c r="W184" s="5">
        <v>199</v>
      </c>
      <c r="X184" s="5">
        <v>600</v>
      </c>
    </row>
    <row r="185" spans="1:25" s="231" customFormat="1" ht="15.8" customHeight="1">
      <c r="A185" s="217" t="s">
        <v>709</v>
      </c>
      <c r="B185" s="296" t="s">
        <v>1570</v>
      </c>
      <c r="C185" s="297" t="s">
        <v>709</v>
      </c>
      <c r="D185" s="298">
        <v>11000</v>
      </c>
      <c r="E185" s="221">
        <f t="shared" ref="E185:E245" si="22">D185*1.3</f>
        <v>14300</v>
      </c>
      <c r="F185" s="299" t="s">
        <v>553</v>
      </c>
      <c r="G185" s="300" t="s">
        <v>1363</v>
      </c>
      <c r="H185" s="301" t="s">
        <v>554</v>
      </c>
      <c r="I185" s="302">
        <v>5</v>
      </c>
      <c r="J185" s="217" t="s">
        <v>553</v>
      </c>
      <c r="K185" s="226">
        <v>14300</v>
      </c>
      <c r="L185" s="293">
        <v>13700</v>
      </c>
      <c r="M185" s="160"/>
      <c r="N185" s="160"/>
      <c r="O185" s="160">
        <v>13700</v>
      </c>
      <c r="P185" s="161" t="s">
        <v>1278</v>
      </c>
      <c r="Q185" s="262"/>
      <c r="R185" s="231" t="str">
        <f t="shared" si="21"/>
        <v/>
      </c>
      <c r="S185" s="263" t="s">
        <v>554</v>
      </c>
      <c r="T185" s="231" t="str">
        <f t="shared" si="18"/>
        <v/>
      </c>
      <c r="V185" s="264" t="e">
        <f>L185-X185</f>
        <v>#VALUE!</v>
      </c>
      <c r="W185" s="231">
        <v>11000</v>
      </c>
      <c r="X185" s="231" t="s">
        <v>1311</v>
      </c>
      <c r="Y185" s="327"/>
    </row>
    <row r="186" spans="1:25" s="231" customFormat="1" ht="15.8" customHeight="1">
      <c r="A186" s="217" t="s">
        <v>710</v>
      </c>
      <c r="B186" s="303" t="s">
        <v>1571</v>
      </c>
      <c r="C186" s="304" t="s">
        <v>710</v>
      </c>
      <c r="D186" s="305">
        <v>13900</v>
      </c>
      <c r="E186" s="221">
        <f t="shared" si="22"/>
        <v>18070</v>
      </c>
      <c r="F186" s="306" t="s">
        <v>553</v>
      </c>
      <c r="G186" s="307" t="s">
        <v>1363</v>
      </c>
      <c r="H186" s="308" t="s">
        <v>554</v>
      </c>
      <c r="I186" s="309">
        <v>5</v>
      </c>
      <c r="J186" s="217" t="s">
        <v>553</v>
      </c>
      <c r="K186" s="226">
        <v>18070</v>
      </c>
      <c r="L186" s="226">
        <v>18070</v>
      </c>
      <c r="M186" s="160"/>
      <c r="N186" s="160"/>
      <c r="O186" s="160"/>
      <c r="P186" s="161" t="s">
        <v>1278</v>
      </c>
      <c r="Q186" s="262"/>
      <c r="R186" s="231" t="str">
        <f t="shared" si="21"/>
        <v/>
      </c>
      <c r="S186" s="263" t="s">
        <v>554</v>
      </c>
      <c r="T186" s="231" t="str">
        <f t="shared" si="18"/>
        <v/>
      </c>
      <c r="V186" s="264" t="e">
        <f>L186-X186</f>
        <v>#VALUE!</v>
      </c>
      <c r="W186" s="231">
        <v>13900</v>
      </c>
      <c r="X186" s="231" t="s">
        <v>1311</v>
      </c>
      <c r="Y186" s="327"/>
    </row>
    <row r="187" spans="1:25" s="231" customFormat="1" ht="15.8" customHeight="1">
      <c r="A187" s="217" t="s">
        <v>711</v>
      </c>
      <c r="B187" s="296" t="s">
        <v>1572</v>
      </c>
      <c r="C187" s="297" t="s">
        <v>1874</v>
      </c>
      <c r="D187" s="298">
        <v>16900</v>
      </c>
      <c r="E187" s="221">
        <f t="shared" si="22"/>
        <v>21970</v>
      </c>
      <c r="F187" s="299" t="s">
        <v>553</v>
      </c>
      <c r="G187" s="300" t="s">
        <v>1363</v>
      </c>
      <c r="H187" s="301" t="s">
        <v>554</v>
      </c>
      <c r="I187" s="302">
        <v>5</v>
      </c>
      <c r="J187" s="217" t="s">
        <v>553</v>
      </c>
      <c r="K187" s="226">
        <v>21970</v>
      </c>
      <c r="L187" s="226">
        <v>21970</v>
      </c>
      <c r="M187" s="160"/>
      <c r="N187" s="160"/>
      <c r="O187" s="160"/>
      <c r="P187" s="161" t="s">
        <v>1278</v>
      </c>
      <c r="Q187" s="262"/>
      <c r="R187" s="231" t="str">
        <f t="shared" si="21"/>
        <v/>
      </c>
      <c r="S187" s="263" t="s">
        <v>554</v>
      </c>
      <c r="T187" s="231" t="str">
        <f t="shared" si="18"/>
        <v/>
      </c>
      <c r="V187" s="264" t="e">
        <f>L187-X187</f>
        <v>#VALUE!</v>
      </c>
      <c r="W187" s="231">
        <v>16900</v>
      </c>
      <c r="X187" s="231" t="s">
        <v>1311</v>
      </c>
      <c r="Y187" s="327"/>
    </row>
    <row r="188" spans="1:25" ht="15.8" customHeight="1">
      <c r="A188" s="197" t="s">
        <v>1574</v>
      </c>
      <c r="B188" s="196" t="s">
        <v>1573</v>
      </c>
      <c r="C188" s="197" t="s">
        <v>1574</v>
      </c>
      <c r="D188" s="198">
        <v>58900</v>
      </c>
      <c r="E188" s="178">
        <f t="shared" si="22"/>
        <v>76570</v>
      </c>
      <c r="F188" s="199" t="s">
        <v>553</v>
      </c>
      <c r="G188" s="200" t="s">
        <v>1363</v>
      </c>
      <c r="H188" s="201" t="s">
        <v>788</v>
      </c>
      <c r="I188" s="202">
        <v>30</v>
      </c>
      <c r="J188" s="143"/>
      <c r="K188" s="144"/>
      <c r="L188" s="144">
        <v>68900</v>
      </c>
      <c r="M188" s="67"/>
      <c r="N188" s="67"/>
      <c r="O188" s="67">
        <v>68900</v>
      </c>
      <c r="P188" s="147"/>
      <c r="Q188" s="71"/>
      <c r="S188" s="62"/>
      <c r="V188" s="69"/>
    </row>
    <row r="189" spans="1:25" s="231" customFormat="1" ht="15.8" customHeight="1">
      <c r="A189" s="157" t="s">
        <v>712</v>
      </c>
      <c r="B189" s="218" t="s">
        <v>1575</v>
      </c>
      <c r="C189" s="260" t="s">
        <v>712</v>
      </c>
      <c r="D189" s="220">
        <v>1500</v>
      </c>
      <c r="E189" s="221">
        <f t="shared" si="22"/>
        <v>1950</v>
      </c>
      <c r="F189" s="222" t="s">
        <v>607</v>
      </c>
      <c r="G189" s="223"/>
      <c r="H189" s="224" t="s">
        <v>713</v>
      </c>
      <c r="I189" s="225">
        <v>1</v>
      </c>
      <c r="J189" s="157" t="s">
        <v>607</v>
      </c>
      <c r="K189" s="158">
        <v>1950</v>
      </c>
      <c r="L189" s="158">
        <v>1950</v>
      </c>
      <c r="M189" s="160"/>
      <c r="N189" s="160"/>
      <c r="O189" s="160"/>
      <c r="P189" s="159" t="s">
        <v>423</v>
      </c>
      <c r="Q189" s="262"/>
      <c r="R189" s="231" t="str">
        <f t="shared" ref="R189:R198" si="23">IF(Q189="x",CONCATENATE(A189,"; "),"")</f>
        <v/>
      </c>
      <c r="S189" s="263" t="s">
        <v>713</v>
      </c>
      <c r="T189" s="231" t="str">
        <f t="shared" si="18"/>
        <v/>
      </c>
      <c r="V189" s="264"/>
      <c r="W189" s="231">
        <v>1500</v>
      </c>
      <c r="Y189" s="327"/>
    </row>
    <row r="190" spans="1:25" s="286" customFormat="1" ht="15.8" customHeight="1">
      <c r="A190" s="157" t="s">
        <v>714</v>
      </c>
      <c r="B190" s="287" t="s">
        <v>1576</v>
      </c>
      <c r="C190" s="288" t="s">
        <v>714</v>
      </c>
      <c r="D190" s="221">
        <v>6500</v>
      </c>
      <c r="E190" s="221">
        <f t="shared" si="22"/>
        <v>8450</v>
      </c>
      <c r="F190" s="289" t="s">
        <v>607</v>
      </c>
      <c r="G190" s="290"/>
      <c r="H190" s="291" t="s">
        <v>715</v>
      </c>
      <c r="I190" s="310" t="s">
        <v>350</v>
      </c>
      <c r="J190" s="157" t="s">
        <v>607</v>
      </c>
      <c r="K190" s="158">
        <v>8450</v>
      </c>
      <c r="L190" s="158">
        <v>8450</v>
      </c>
      <c r="M190" s="160"/>
      <c r="N190" s="160"/>
      <c r="O190" s="160"/>
      <c r="P190" s="159" t="s">
        <v>350</v>
      </c>
      <c r="Q190" s="262"/>
      <c r="R190" s="231" t="str">
        <f t="shared" si="23"/>
        <v/>
      </c>
      <c r="S190" s="263" t="s">
        <v>715</v>
      </c>
      <c r="T190" s="231" t="str">
        <f t="shared" si="18"/>
        <v/>
      </c>
      <c r="U190" s="231"/>
      <c r="V190" s="264"/>
      <c r="W190" s="231">
        <v>6500</v>
      </c>
      <c r="Y190" s="329"/>
    </row>
    <row r="191" spans="1:25" ht="15.8" customHeight="1">
      <c r="A191" s="1" t="s">
        <v>716</v>
      </c>
      <c r="B191" s="183" t="s">
        <v>1577</v>
      </c>
      <c r="C191" s="203" t="s">
        <v>716</v>
      </c>
      <c r="D191" s="184">
        <v>8049.9999999999991</v>
      </c>
      <c r="E191" s="178">
        <f t="shared" si="22"/>
        <v>10465</v>
      </c>
      <c r="F191" s="185" t="s">
        <v>88</v>
      </c>
      <c r="G191" s="186"/>
      <c r="H191" s="187" t="s">
        <v>551</v>
      </c>
      <c r="I191" s="188">
        <v>17</v>
      </c>
      <c r="J191" s="1" t="s">
        <v>88</v>
      </c>
      <c r="K191" s="67">
        <v>10500</v>
      </c>
      <c r="L191" s="67">
        <v>10500</v>
      </c>
      <c r="M191" s="67"/>
      <c r="N191" s="67"/>
      <c r="O191" s="67"/>
      <c r="P191" s="18" t="s">
        <v>1283</v>
      </c>
      <c r="Q191" s="71"/>
      <c r="R191" s="5" t="str">
        <f t="shared" si="23"/>
        <v/>
      </c>
      <c r="S191" s="62" t="s">
        <v>551</v>
      </c>
      <c r="T191" s="5" t="str">
        <f t="shared" si="18"/>
        <v/>
      </c>
      <c r="U191" s="5" t="s">
        <v>1262</v>
      </c>
      <c r="V191" s="69">
        <f>L191-X191</f>
        <v>30</v>
      </c>
      <c r="W191" s="5">
        <v>8049.9999999999991</v>
      </c>
      <c r="X191" s="5">
        <v>10470</v>
      </c>
    </row>
    <row r="192" spans="1:25" ht="15.8" customHeight="1">
      <c r="A192" s="143" t="s">
        <v>717</v>
      </c>
      <c r="B192" s="176" t="s">
        <v>1578</v>
      </c>
      <c r="C192" s="177" t="s">
        <v>717</v>
      </c>
      <c r="D192" s="178">
        <v>39100</v>
      </c>
      <c r="E192" s="178">
        <f t="shared" si="22"/>
        <v>50830</v>
      </c>
      <c r="F192" s="179" t="s">
        <v>88</v>
      </c>
      <c r="G192" s="180"/>
      <c r="H192" s="181" t="s">
        <v>551</v>
      </c>
      <c r="I192" s="182">
        <v>17</v>
      </c>
      <c r="J192" s="143" t="s">
        <v>88</v>
      </c>
      <c r="K192" s="144">
        <v>50850</v>
      </c>
      <c r="L192" s="144">
        <v>50850</v>
      </c>
      <c r="M192" s="67"/>
      <c r="N192" s="67"/>
      <c r="O192" s="5"/>
      <c r="P192" s="147" t="s">
        <v>1283</v>
      </c>
      <c r="Q192" s="71"/>
      <c r="R192" s="5" t="str">
        <f t="shared" si="23"/>
        <v/>
      </c>
      <c r="S192" s="62" t="s">
        <v>551</v>
      </c>
      <c r="T192" s="5" t="str">
        <f t="shared" si="18"/>
        <v/>
      </c>
      <c r="V192" s="69"/>
      <c r="W192" s="5">
        <v>39100</v>
      </c>
    </row>
    <row r="193" spans="1:24" ht="15.8" customHeight="1">
      <c r="A193" s="1" t="s">
        <v>91</v>
      </c>
      <c r="B193" s="183" t="s">
        <v>1579</v>
      </c>
      <c r="C193" s="203" t="s">
        <v>91</v>
      </c>
      <c r="D193" s="184">
        <v>1265</v>
      </c>
      <c r="E193" s="178">
        <f t="shared" si="22"/>
        <v>1644.5</v>
      </c>
      <c r="F193" s="185" t="s">
        <v>88</v>
      </c>
      <c r="G193" s="186"/>
      <c r="H193" s="187" t="s">
        <v>551</v>
      </c>
      <c r="I193" s="188">
        <v>3</v>
      </c>
      <c r="J193" s="1" t="s">
        <v>88</v>
      </c>
      <c r="K193" s="67">
        <v>1700</v>
      </c>
      <c r="L193" s="67">
        <v>1700</v>
      </c>
      <c r="M193" s="67"/>
      <c r="N193" s="67"/>
      <c r="O193" s="67"/>
      <c r="P193" s="18" t="s">
        <v>1275</v>
      </c>
      <c r="Q193" s="71"/>
      <c r="R193" s="5" t="str">
        <f t="shared" si="23"/>
        <v/>
      </c>
      <c r="S193" s="62" t="s">
        <v>551</v>
      </c>
      <c r="T193" s="5" t="str">
        <f t="shared" si="18"/>
        <v/>
      </c>
      <c r="U193" s="5" t="s">
        <v>1262</v>
      </c>
      <c r="V193" s="69">
        <f t="shared" ref="V193:V220" si="24">L193-X193</f>
        <v>50</v>
      </c>
      <c r="W193" s="5">
        <v>1265</v>
      </c>
      <c r="X193" s="5">
        <v>1650</v>
      </c>
    </row>
    <row r="194" spans="1:24" ht="15.8" customHeight="1">
      <c r="A194" s="1" t="s">
        <v>718</v>
      </c>
      <c r="B194" s="176" t="s">
        <v>1580</v>
      </c>
      <c r="C194" s="179" t="s">
        <v>718</v>
      </c>
      <c r="D194" s="178">
        <v>2530</v>
      </c>
      <c r="E194" s="178">
        <f t="shared" si="22"/>
        <v>3289</v>
      </c>
      <c r="F194" s="179" t="s">
        <v>88</v>
      </c>
      <c r="G194" s="180"/>
      <c r="H194" s="181" t="s">
        <v>551</v>
      </c>
      <c r="I194" s="182">
        <v>3</v>
      </c>
      <c r="J194" s="1" t="s">
        <v>88</v>
      </c>
      <c r="K194" s="67">
        <v>3300</v>
      </c>
      <c r="L194" s="67">
        <v>3300</v>
      </c>
      <c r="M194" s="67"/>
      <c r="N194" s="67"/>
      <c r="O194" s="67"/>
      <c r="P194" s="18" t="s">
        <v>1275</v>
      </c>
      <c r="Q194" s="71"/>
      <c r="R194" s="5" t="str">
        <f t="shared" si="23"/>
        <v/>
      </c>
      <c r="S194" s="62" t="s">
        <v>551</v>
      </c>
      <c r="T194" s="5" t="str">
        <f t="shared" si="18"/>
        <v/>
      </c>
      <c r="U194" s="5" t="s">
        <v>1262</v>
      </c>
      <c r="V194" s="69">
        <f t="shared" si="24"/>
        <v>10</v>
      </c>
      <c r="W194" s="5">
        <v>2530</v>
      </c>
      <c r="X194" s="5">
        <v>3290</v>
      </c>
    </row>
    <row r="195" spans="1:24" ht="15.8" customHeight="1">
      <c r="A195" s="1" t="s">
        <v>90</v>
      </c>
      <c r="B195" s="183" t="s">
        <v>1581</v>
      </c>
      <c r="C195" s="203" t="s">
        <v>90</v>
      </c>
      <c r="D195" s="184">
        <v>1265</v>
      </c>
      <c r="E195" s="178">
        <f t="shared" si="22"/>
        <v>1644.5</v>
      </c>
      <c r="F195" s="185" t="s">
        <v>88</v>
      </c>
      <c r="G195" s="186"/>
      <c r="H195" s="187" t="s">
        <v>551</v>
      </c>
      <c r="I195" s="188">
        <v>3</v>
      </c>
      <c r="J195" s="1" t="s">
        <v>88</v>
      </c>
      <c r="K195" s="67">
        <v>1700</v>
      </c>
      <c r="L195" s="67">
        <v>1700</v>
      </c>
      <c r="M195" s="67"/>
      <c r="N195" s="67"/>
      <c r="O195" s="67"/>
      <c r="P195" s="18" t="s">
        <v>1275</v>
      </c>
      <c r="Q195" s="71"/>
      <c r="R195" s="5" t="str">
        <f t="shared" si="23"/>
        <v/>
      </c>
      <c r="S195" s="62" t="s">
        <v>551</v>
      </c>
      <c r="T195" s="5" t="str">
        <f t="shared" si="18"/>
        <v/>
      </c>
      <c r="U195" s="5" t="s">
        <v>1262</v>
      </c>
      <c r="V195" s="69">
        <f t="shared" si="24"/>
        <v>50</v>
      </c>
      <c r="W195" s="5">
        <v>1265</v>
      </c>
      <c r="X195" s="5">
        <v>1650</v>
      </c>
    </row>
    <row r="196" spans="1:24" ht="15.8" customHeight="1">
      <c r="A196" s="143" t="s">
        <v>218</v>
      </c>
      <c r="B196" s="196" t="s">
        <v>1582</v>
      </c>
      <c r="C196" s="197" t="s">
        <v>218</v>
      </c>
      <c r="D196" s="198">
        <v>39900</v>
      </c>
      <c r="E196" s="178">
        <f t="shared" si="22"/>
        <v>51870</v>
      </c>
      <c r="F196" s="199" t="s">
        <v>88</v>
      </c>
      <c r="G196" s="200" t="s">
        <v>1363</v>
      </c>
      <c r="H196" s="201" t="s">
        <v>551</v>
      </c>
      <c r="I196" s="202">
        <v>17</v>
      </c>
      <c r="J196" s="143" t="s">
        <v>88</v>
      </c>
      <c r="K196" s="144">
        <v>51870</v>
      </c>
      <c r="L196" s="251">
        <v>48200</v>
      </c>
      <c r="M196" s="67">
        <v>25100</v>
      </c>
      <c r="N196" s="67"/>
      <c r="O196" s="67">
        <v>48300</v>
      </c>
      <c r="P196" s="147" t="s">
        <v>1283</v>
      </c>
      <c r="Q196" s="71"/>
      <c r="R196" s="5" t="str">
        <f t="shared" si="23"/>
        <v/>
      </c>
      <c r="S196" s="62" t="s">
        <v>551</v>
      </c>
      <c r="T196" s="5" t="str">
        <f t="shared" si="18"/>
        <v/>
      </c>
      <c r="V196" s="69" t="e">
        <f t="shared" si="24"/>
        <v>#VALUE!</v>
      </c>
      <c r="W196" s="5">
        <v>39900</v>
      </c>
      <c r="X196" s="5" t="s">
        <v>1311</v>
      </c>
    </row>
    <row r="197" spans="1:24" ht="15.8" customHeight="1">
      <c r="A197" s="1" t="s">
        <v>92</v>
      </c>
      <c r="B197" s="183" t="s">
        <v>1583</v>
      </c>
      <c r="C197" s="203" t="s">
        <v>92</v>
      </c>
      <c r="D197" s="184">
        <v>1265</v>
      </c>
      <c r="E197" s="178">
        <f t="shared" si="22"/>
        <v>1644.5</v>
      </c>
      <c r="F197" s="185" t="s">
        <v>88</v>
      </c>
      <c r="G197" s="186"/>
      <c r="H197" s="187" t="s">
        <v>551</v>
      </c>
      <c r="I197" s="188">
        <v>3</v>
      </c>
      <c r="J197" s="1" t="s">
        <v>88</v>
      </c>
      <c r="K197" s="67">
        <v>1700</v>
      </c>
      <c r="L197" s="67">
        <v>1700</v>
      </c>
      <c r="M197" s="67"/>
      <c r="N197" s="67"/>
      <c r="O197" s="67"/>
      <c r="P197" s="18" t="s">
        <v>1275</v>
      </c>
      <c r="Q197" s="71"/>
      <c r="R197" s="5" t="str">
        <f t="shared" si="23"/>
        <v/>
      </c>
      <c r="S197" s="62" t="s">
        <v>551</v>
      </c>
      <c r="T197" s="5" t="str">
        <f t="shared" si="18"/>
        <v/>
      </c>
      <c r="U197" s="5" t="s">
        <v>1262</v>
      </c>
      <c r="V197" s="69">
        <f t="shared" si="24"/>
        <v>1700</v>
      </c>
      <c r="W197" s="5">
        <v>1265</v>
      </c>
    </row>
    <row r="198" spans="1:24" ht="15.8" customHeight="1">
      <c r="A198" s="1" t="s">
        <v>719</v>
      </c>
      <c r="B198" s="196" t="s">
        <v>1584</v>
      </c>
      <c r="C198" s="197" t="s">
        <v>719</v>
      </c>
      <c r="D198" s="198">
        <v>11000</v>
      </c>
      <c r="E198" s="178">
        <f t="shared" si="22"/>
        <v>14300</v>
      </c>
      <c r="F198" s="199" t="s">
        <v>553</v>
      </c>
      <c r="G198" s="200" t="s">
        <v>1363</v>
      </c>
      <c r="H198" s="201" t="s">
        <v>604</v>
      </c>
      <c r="I198" s="202">
        <v>7</v>
      </c>
      <c r="J198" s="1" t="s">
        <v>553</v>
      </c>
      <c r="K198" s="67">
        <v>14300</v>
      </c>
      <c r="L198" s="67">
        <v>14300</v>
      </c>
      <c r="M198" s="67">
        <v>12300</v>
      </c>
      <c r="N198" s="67"/>
      <c r="O198" s="67">
        <v>14900</v>
      </c>
      <c r="P198" s="18" t="s">
        <v>1274</v>
      </c>
      <c r="Q198" s="71"/>
      <c r="R198" s="5" t="str">
        <f t="shared" si="23"/>
        <v/>
      </c>
      <c r="S198" s="62" t="s">
        <v>604</v>
      </c>
      <c r="T198" s="5" t="str">
        <f t="shared" si="18"/>
        <v/>
      </c>
      <c r="V198" s="69">
        <f t="shared" si="24"/>
        <v>14300</v>
      </c>
      <c r="W198" s="5">
        <v>11000</v>
      </c>
    </row>
    <row r="199" spans="1:24" ht="15.8" customHeight="1">
      <c r="A199" s="203" t="s">
        <v>1586</v>
      </c>
      <c r="B199" s="183" t="s">
        <v>1585</v>
      </c>
      <c r="C199" s="203" t="s">
        <v>1586</v>
      </c>
      <c r="D199" s="184">
        <v>11000</v>
      </c>
      <c r="E199" s="178">
        <f t="shared" si="22"/>
        <v>14300</v>
      </c>
      <c r="F199" s="185" t="s">
        <v>88</v>
      </c>
      <c r="G199" s="186"/>
      <c r="H199" s="187" t="s">
        <v>551</v>
      </c>
      <c r="I199" s="188">
        <v>17</v>
      </c>
      <c r="J199" s="1"/>
      <c r="K199" s="67"/>
      <c r="L199" s="67">
        <v>14300</v>
      </c>
      <c r="M199" s="67">
        <v>14800</v>
      </c>
      <c r="N199" s="67"/>
      <c r="O199" s="67"/>
      <c r="P199" s="18"/>
      <c r="Q199" s="71"/>
      <c r="S199" s="62"/>
      <c r="V199" s="69">
        <f t="shared" si="24"/>
        <v>14300</v>
      </c>
    </row>
    <row r="200" spans="1:24" ht="15.8" customHeight="1">
      <c r="A200" s="1" t="s">
        <v>720</v>
      </c>
      <c r="B200" s="176" t="s">
        <v>1587</v>
      </c>
      <c r="C200" s="177" t="s">
        <v>720</v>
      </c>
      <c r="D200" s="178">
        <v>9775</v>
      </c>
      <c r="E200" s="178">
        <f t="shared" si="22"/>
        <v>12707.5</v>
      </c>
      <c r="F200" s="179" t="s">
        <v>88</v>
      </c>
      <c r="G200" s="180"/>
      <c r="H200" s="181" t="s">
        <v>551</v>
      </c>
      <c r="I200" s="182">
        <v>15</v>
      </c>
      <c r="J200" s="1" t="s">
        <v>88</v>
      </c>
      <c r="K200" s="67">
        <v>12800</v>
      </c>
      <c r="L200" s="67">
        <v>12800</v>
      </c>
      <c r="M200" s="67"/>
      <c r="N200" s="67"/>
      <c r="O200" s="67"/>
      <c r="P200" s="18" t="s">
        <v>1282</v>
      </c>
      <c r="Q200" s="71"/>
      <c r="R200" s="5" t="str">
        <f t="shared" ref="R200:R208" si="25">IF(Q200="x",CONCATENATE(A200,"; "),"")</f>
        <v/>
      </c>
      <c r="S200" s="62" t="s">
        <v>551</v>
      </c>
      <c r="T200" s="5" t="str">
        <f t="shared" si="18"/>
        <v/>
      </c>
      <c r="V200" s="69">
        <f t="shared" si="24"/>
        <v>12800</v>
      </c>
      <c r="W200" s="5">
        <v>9775</v>
      </c>
    </row>
    <row r="201" spans="1:24" ht="15.8" customHeight="1">
      <c r="A201" s="1" t="s">
        <v>721</v>
      </c>
      <c r="B201" s="189" t="s">
        <v>1588</v>
      </c>
      <c r="C201" s="190" t="s">
        <v>721</v>
      </c>
      <c r="D201" s="191">
        <v>8049.9999999999991</v>
      </c>
      <c r="E201" s="178">
        <f t="shared" si="22"/>
        <v>10465</v>
      </c>
      <c r="F201" s="192" t="s">
        <v>553</v>
      </c>
      <c r="G201" s="193" t="s">
        <v>1363</v>
      </c>
      <c r="H201" s="194" t="s">
        <v>1447</v>
      </c>
      <c r="I201" s="195">
        <v>1</v>
      </c>
      <c r="J201" s="1" t="s">
        <v>553</v>
      </c>
      <c r="K201" s="67">
        <v>15900</v>
      </c>
      <c r="L201" s="251">
        <v>14000</v>
      </c>
      <c r="M201" s="67"/>
      <c r="N201" s="67"/>
      <c r="O201" s="67">
        <v>15000</v>
      </c>
      <c r="P201" s="18" t="s">
        <v>1277</v>
      </c>
      <c r="Q201" s="71"/>
      <c r="R201" s="5" t="str">
        <f t="shared" si="25"/>
        <v/>
      </c>
      <c r="S201" s="62" t="s">
        <v>722</v>
      </c>
      <c r="T201" s="5" t="str">
        <f t="shared" si="18"/>
        <v/>
      </c>
      <c r="V201" s="69">
        <f t="shared" si="24"/>
        <v>14000</v>
      </c>
      <c r="W201" s="5">
        <v>8049.9999999999991</v>
      </c>
    </row>
    <row r="202" spans="1:24" ht="15.8" customHeight="1">
      <c r="A202" s="1" t="s">
        <v>723</v>
      </c>
      <c r="B202" s="196" t="s">
        <v>1589</v>
      </c>
      <c r="C202" s="199" t="s">
        <v>1590</v>
      </c>
      <c r="D202" s="198">
        <v>8500</v>
      </c>
      <c r="E202" s="178">
        <f t="shared" si="22"/>
        <v>11050</v>
      </c>
      <c r="F202" s="199" t="s">
        <v>567</v>
      </c>
      <c r="G202" s="200" t="s">
        <v>1363</v>
      </c>
      <c r="H202" s="201" t="s">
        <v>551</v>
      </c>
      <c r="I202" s="202">
        <v>5</v>
      </c>
      <c r="J202" s="1" t="s">
        <v>567</v>
      </c>
      <c r="K202" s="67">
        <v>15900</v>
      </c>
      <c r="L202" s="67">
        <v>15900</v>
      </c>
      <c r="M202" s="67">
        <v>16500</v>
      </c>
      <c r="N202" s="67">
        <v>13080</v>
      </c>
      <c r="O202" s="67">
        <v>14900</v>
      </c>
      <c r="P202" s="18" t="s">
        <v>1287</v>
      </c>
      <c r="Q202" s="71"/>
      <c r="R202" s="5" t="str">
        <f t="shared" si="25"/>
        <v/>
      </c>
      <c r="S202" s="62" t="s">
        <v>551</v>
      </c>
      <c r="T202" s="5" t="str">
        <f t="shared" si="18"/>
        <v/>
      </c>
      <c r="V202" s="69">
        <f t="shared" si="24"/>
        <v>15900</v>
      </c>
      <c r="W202" s="5">
        <v>8500</v>
      </c>
    </row>
    <row r="203" spans="1:24" ht="15.8" customHeight="1">
      <c r="A203" s="1" t="s">
        <v>301</v>
      </c>
      <c r="B203" s="183" t="s">
        <v>1591</v>
      </c>
      <c r="C203" s="203" t="s">
        <v>301</v>
      </c>
      <c r="D203" s="184">
        <v>16445</v>
      </c>
      <c r="E203" s="178">
        <f t="shared" si="22"/>
        <v>21378.5</v>
      </c>
      <c r="F203" s="185" t="s">
        <v>559</v>
      </c>
      <c r="G203" s="186"/>
      <c r="H203" s="187" t="s">
        <v>551</v>
      </c>
      <c r="I203" s="188">
        <v>17</v>
      </c>
      <c r="J203" s="1" t="s">
        <v>559</v>
      </c>
      <c r="K203" s="67">
        <v>21400</v>
      </c>
      <c r="L203" s="67">
        <v>21400</v>
      </c>
      <c r="M203" s="67"/>
      <c r="N203" s="67"/>
      <c r="O203" s="67"/>
      <c r="P203" s="18" t="s">
        <v>1283</v>
      </c>
      <c r="Q203" s="71"/>
      <c r="R203" s="5" t="str">
        <f t="shared" si="25"/>
        <v/>
      </c>
      <c r="S203" s="62" t="s">
        <v>551</v>
      </c>
      <c r="T203" s="5" t="str">
        <f t="shared" si="18"/>
        <v/>
      </c>
      <c r="V203" s="69">
        <f t="shared" si="24"/>
        <v>21400</v>
      </c>
      <c r="W203" s="5">
        <v>16445</v>
      </c>
    </row>
    <row r="204" spans="1:24" ht="15.8" customHeight="1">
      <c r="A204" s="1" t="s">
        <v>53</v>
      </c>
      <c r="B204" s="176" t="s">
        <v>1592</v>
      </c>
      <c r="C204" s="177" t="s">
        <v>53</v>
      </c>
      <c r="D204" s="178">
        <v>1380</v>
      </c>
      <c r="E204" s="178">
        <f t="shared" si="22"/>
        <v>1794</v>
      </c>
      <c r="F204" s="179" t="s">
        <v>559</v>
      </c>
      <c r="G204" s="180"/>
      <c r="H204" s="181" t="s">
        <v>551</v>
      </c>
      <c r="I204" s="182">
        <v>1</v>
      </c>
      <c r="J204" s="1" t="s">
        <v>559</v>
      </c>
      <c r="K204" s="67">
        <v>3800</v>
      </c>
      <c r="L204" s="251">
        <v>3200</v>
      </c>
      <c r="M204" s="67">
        <v>3900</v>
      </c>
      <c r="N204" s="67">
        <v>3220</v>
      </c>
      <c r="O204" s="67">
        <v>4500</v>
      </c>
      <c r="P204" s="18" t="s">
        <v>254</v>
      </c>
      <c r="Q204" s="71"/>
      <c r="R204" s="5" t="str">
        <f t="shared" si="25"/>
        <v/>
      </c>
      <c r="S204" s="62" t="s">
        <v>551</v>
      </c>
      <c r="T204" s="5" t="str">
        <f t="shared" si="18"/>
        <v/>
      </c>
      <c r="V204" s="69">
        <f t="shared" si="24"/>
        <v>3200</v>
      </c>
      <c r="W204" s="5">
        <v>2182.7000000000003</v>
      </c>
    </row>
    <row r="205" spans="1:24" ht="15.8" customHeight="1">
      <c r="A205" s="1" t="s">
        <v>484</v>
      </c>
      <c r="B205" s="183" t="s">
        <v>1593</v>
      </c>
      <c r="C205" s="203" t="s">
        <v>1594</v>
      </c>
      <c r="D205" s="184">
        <v>1380</v>
      </c>
      <c r="E205" s="178">
        <f t="shared" si="22"/>
        <v>1794</v>
      </c>
      <c r="F205" s="185" t="s">
        <v>559</v>
      </c>
      <c r="G205" s="186"/>
      <c r="H205" s="187" t="s">
        <v>551</v>
      </c>
      <c r="I205" s="188">
        <v>1</v>
      </c>
      <c r="J205" s="1" t="s">
        <v>550</v>
      </c>
      <c r="K205" s="67">
        <v>3800</v>
      </c>
      <c r="L205" s="251">
        <v>3200</v>
      </c>
      <c r="M205" s="67">
        <v>3900</v>
      </c>
      <c r="N205" s="67">
        <v>3220</v>
      </c>
      <c r="O205" s="67">
        <v>4500</v>
      </c>
      <c r="P205" s="18" t="s">
        <v>254</v>
      </c>
      <c r="Q205" s="71"/>
      <c r="R205" s="5" t="str">
        <f t="shared" si="25"/>
        <v/>
      </c>
      <c r="S205" s="62" t="s">
        <v>551</v>
      </c>
      <c r="T205" s="5" t="str">
        <f t="shared" si="18"/>
        <v/>
      </c>
      <c r="V205" s="69">
        <f t="shared" si="24"/>
        <v>3200</v>
      </c>
      <c r="W205" s="5">
        <v>2182.7000000000003</v>
      </c>
    </row>
    <row r="206" spans="1:24" ht="15.8" customHeight="1">
      <c r="A206" s="1" t="s">
        <v>481</v>
      </c>
      <c r="B206" s="176" t="s">
        <v>1595</v>
      </c>
      <c r="C206" s="177" t="s">
        <v>484</v>
      </c>
      <c r="D206" s="178">
        <v>1380</v>
      </c>
      <c r="E206" s="178">
        <f t="shared" si="22"/>
        <v>1794</v>
      </c>
      <c r="F206" s="179" t="s">
        <v>559</v>
      </c>
      <c r="G206" s="180"/>
      <c r="H206" s="181" t="s">
        <v>551</v>
      </c>
      <c r="I206" s="182">
        <v>1</v>
      </c>
      <c r="J206" s="1" t="s">
        <v>550</v>
      </c>
      <c r="K206" s="67">
        <v>3800</v>
      </c>
      <c r="L206" s="251">
        <v>3200</v>
      </c>
      <c r="M206" s="67">
        <v>3900</v>
      </c>
      <c r="N206" s="67">
        <v>3220</v>
      </c>
      <c r="O206" s="67">
        <v>4500</v>
      </c>
      <c r="P206" s="18" t="s">
        <v>254</v>
      </c>
      <c r="Q206" s="71"/>
      <c r="R206" s="5" t="str">
        <f t="shared" si="25"/>
        <v/>
      </c>
      <c r="S206" s="62" t="s">
        <v>551</v>
      </c>
      <c r="T206" s="5" t="str">
        <f t="shared" si="18"/>
        <v/>
      </c>
      <c r="V206" s="69">
        <f t="shared" si="24"/>
        <v>3200</v>
      </c>
      <c r="W206" s="5">
        <v>2182.7000000000003</v>
      </c>
    </row>
    <row r="207" spans="1:24" ht="15.8" customHeight="1">
      <c r="A207" s="1" t="s">
        <v>482</v>
      </c>
      <c r="B207" s="183" t="s">
        <v>1596</v>
      </c>
      <c r="C207" s="203" t="s">
        <v>1597</v>
      </c>
      <c r="D207" s="184">
        <v>1380</v>
      </c>
      <c r="E207" s="178">
        <f t="shared" si="22"/>
        <v>1794</v>
      </c>
      <c r="F207" s="185" t="s">
        <v>559</v>
      </c>
      <c r="G207" s="186"/>
      <c r="H207" s="187" t="s">
        <v>551</v>
      </c>
      <c r="I207" s="188">
        <v>1</v>
      </c>
      <c r="J207" s="1" t="s">
        <v>550</v>
      </c>
      <c r="K207" s="67">
        <v>3800</v>
      </c>
      <c r="L207" s="251">
        <v>3200</v>
      </c>
      <c r="M207" s="67">
        <v>3900</v>
      </c>
      <c r="N207" s="67">
        <v>3220</v>
      </c>
      <c r="O207" s="67">
        <v>4500</v>
      </c>
      <c r="P207" s="18" t="s">
        <v>254</v>
      </c>
      <c r="Q207" s="71"/>
      <c r="R207" s="5" t="str">
        <f t="shared" si="25"/>
        <v/>
      </c>
      <c r="S207" s="62" t="s">
        <v>551</v>
      </c>
      <c r="T207" s="5" t="str">
        <f t="shared" si="18"/>
        <v/>
      </c>
      <c r="V207" s="69">
        <f t="shared" si="24"/>
        <v>3200</v>
      </c>
      <c r="W207" s="5">
        <v>2182.7000000000003</v>
      </c>
    </row>
    <row r="208" spans="1:24" ht="15.8" customHeight="1">
      <c r="A208" s="1" t="s">
        <v>483</v>
      </c>
      <c r="B208" s="176" t="s">
        <v>1598</v>
      </c>
      <c r="C208" s="177" t="s">
        <v>481</v>
      </c>
      <c r="D208" s="178">
        <v>1380</v>
      </c>
      <c r="E208" s="178">
        <f t="shared" si="22"/>
        <v>1794</v>
      </c>
      <c r="F208" s="179" t="s">
        <v>559</v>
      </c>
      <c r="G208" s="180"/>
      <c r="H208" s="181" t="s">
        <v>551</v>
      </c>
      <c r="I208" s="182">
        <v>1</v>
      </c>
      <c r="J208" s="1" t="s">
        <v>550</v>
      </c>
      <c r="K208" s="67">
        <v>3800</v>
      </c>
      <c r="L208" s="251">
        <v>3200</v>
      </c>
      <c r="M208" s="67">
        <v>3900</v>
      </c>
      <c r="N208" s="67">
        <v>3220</v>
      </c>
      <c r="O208" s="67">
        <v>4500</v>
      </c>
      <c r="P208" s="18" t="s">
        <v>254</v>
      </c>
      <c r="Q208" s="71"/>
      <c r="R208" s="5" t="str">
        <f t="shared" si="25"/>
        <v/>
      </c>
      <c r="S208" s="62" t="s">
        <v>551</v>
      </c>
      <c r="T208" s="5" t="str">
        <f t="shared" si="18"/>
        <v/>
      </c>
      <c r="V208" s="69">
        <f t="shared" si="24"/>
        <v>3200</v>
      </c>
      <c r="W208" s="5">
        <v>2182.7000000000003</v>
      </c>
    </row>
    <row r="209" spans="1:25" ht="15.8" customHeight="1">
      <c r="A209" s="1"/>
      <c r="B209" s="183" t="s">
        <v>1599</v>
      </c>
      <c r="C209" s="203" t="s">
        <v>482</v>
      </c>
      <c r="D209" s="184">
        <v>1380</v>
      </c>
      <c r="E209" s="178">
        <f t="shared" si="22"/>
        <v>1794</v>
      </c>
      <c r="F209" s="185" t="s">
        <v>559</v>
      </c>
      <c r="G209" s="186"/>
      <c r="H209" s="187" t="s">
        <v>551</v>
      </c>
      <c r="I209" s="188">
        <v>1</v>
      </c>
      <c r="J209" s="1"/>
      <c r="K209" s="67"/>
      <c r="L209" s="251">
        <v>3200</v>
      </c>
      <c r="M209" s="67">
        <v>3900</v>
      </c>
      <c r="N209" s="67">
        <v>3220</v>
      </c>
      <c r="O209" s="67">
        <v>4500</v>
      </c>
      <c r="P209" s="18"/>
      <c r="Q209" s="71"/>
      <c r="S209" s="62"/>
      <c r="V209" s="69">
        <f t="shared" si="24"/>
        <v>3200</v>
      </c>
    </row>
    <row r="210" spans="1:25" ht="15.8" customHeight="1">
      <c r="A210" s="1" t="s">
        <v>233</v>
      </c>
      <c r="B210" s="176" t="s">
        <v>1600</v>
      </c>
      <c r="C210" s="177" t="s">
        <v>233</v>
      </c>
      <c r="D210" s="178">
        <v>5865</v>
      </c>
      <c r="E210" s="178">
        <f t="shared" si="22"/>
        <v>7624.5</v>
      </c>
      <c r="F210" s="179" t="s">
        <v>88</v>
      </c>
      <c r="G210" s="180"/>
      <c r="H210" s="181" t="s">
        <v>551</v>
      </c>
      <c r="I210" s="182">
        <v>7</v>
      </c>
      <c r="J210" s="1" t="s">
        <v>88</v>
      </c>
      <c r="K210" s="67">
        <v>7700</v>
      </c>
      <c r="L210" s="67">
        <v>7700</v>
      </c>
      <c r="M210" s="67">
        <v>10100</v>
      </c>
      <c r="N210" s="67"/>
      <c r="O210" s="67">
        <v>7900</v>
      </c>
      <c r="P210" s="18" t="s">
        <v>1274</v>
      </c>
      <c r="Q210" s="71"/>
      <c r="R210" s="5" t="str">
        <f t="shared" ref="R210:R220" si="26">IF(Q210="x",CONCATENATE(A210,"; "),"")</f>
        <v/>
      </c>
      <c r="S210" s="62" t="s">
        <v>551</v>
      </c>
      <c r="T210" s="5" t="str">
        <f t="shared" ref="T210:T281" si="27">IF(Q210="x",S210,"")</f>
        <v/>
      </c>
      <c r="V210" s="69">
        <f t="shared" si="24"/>
        <v>7700</v>
      </c>
      <c r="W210" s="5">
        <v>5865</v>
      </c>
    </row>
    <row r="211" spans="1:25" ht="15.8" customHeight="1">
      <c r="A211" s="1" t="s">
        <v>724</v>
      </c>
      <c r="B211" s="183" t="s">
        <v>1601</v>
      </c>
      <c r="C211" s="203" t="s">
        <v>724</v>
      </c>
      <c r="D211" s="184">
        <v>6324.9999999999991</v>
      </c>
      <c r="E211" s="178">
        <f t="shared" si="22"/>
        <v>8222.5</v>
      </c>
      <c r="F211" s="185" t="s">
        <v>559</v>
      </c>
      <c r="G211" s="186"/>
      <c r="H211" s="187" t="s">
        <v>551</v>
      </c>
      <c r="I211" s="188">
        <v>17</v>
      </c>
      <c r="J211" s="1" t="s">
        <v>559</v>
      </c>
      <c r="K211" s="67">
        <v>8300</v>
      </c>
      <c r="L211" s="67">
        <v>8300</v>
      </c>
      <c r="M211" s="67">
        <v>8500</v>
      </c>
      <c r="N211" s="67">
        <v>5750</v>
      </c>
      <c r="O211" s="67">
        <v>10000</v>
      </c>
      <c r="P211" s="18" t="s">
        <v>1283</v>
      </c>
      <c r="Q211" s="71"/>
      <c r="R211" s="5" t="str">
        <f t="shared" si="26"/>
        <v/>
      </c>
      <c r="S211" s="62" t="s">
        <v>551</v>
      </c>
      <c r="T211" s="5" t="str">
        <f t="shared" si="27"/>
        <v/>
      </c>
      <c r="V211" s="69">
        <f t="shared" si="24"/>
        <v>8300</v>
      </c>
      <c r="W211" s="5">
        <v>6324.9999999999991</v>
      </c>
    </row>
    <row r="212" spans="1:25" ht="15.8" customHeight="1">
      <c r="A212" s="1" t="s">
        <v>725</v>
      </c>
      <c r="B212" s="176" t="s">
        <v>1602</v>
      </c>
      <c r="C212" s="177" t="s">
        <v>725</v>
      </c>
      <c r="D212" s="178">
        <v>14949.999999999998</v>
      </c>
      <c r="E212" s="178">
        <f t="shared" si="22"/>
        <v>19435</v>
      </c>
      <c r="F212" s="179" t="s">
        <v>562</v>
      </c>
      <c r="G212" s="180"/>
      <c r="H212" s="181" t="s">
        <v>551</v>
      </c>
      <c r="I212" s="182">
        <v>14</v>
      </c>
      <c r="J212" s="1" t="s">
        <v>562</v>
      </c>
      <c r="K212" s="67">
        <v>19500</v>
      </c>
      <c r="L212" s="67">
        <v>19500</v>
      </c>
      <c r="M212" s="67">
        <v>19800</v>
      </c>
      <c r="N212" s="67"/>
      <c r="O212" s="5">
        <v>22900</v>
      </c>
      <c r="P212" s="18" t="s">
        <v>1279</v>
      </c>
      <c r="Q212" s="71"/>
      <c r="R212" s="5" t="str">
        <f t="shared" si="26"/>
        <v/>
      </c>
      <c r="S212" s="62" t="s">
        <v>551</v>
      </c>
      <c r="T212" s="5" t="str">
        <f t="shared" si="27"/>
        <v/>
      </c>
      <c r="V212" s="69">
        <f t="shared" si="24"/>
        <v>19500</v>
      </c>
      <c r="W212" s="5">
        <v>14949.999999999998</v>
      </c>
    </row>
    <row r="213" spans="1:25" ht="15.8" customHeight="1">
      <c r="A213" s="1" t="s">
        <v>726</v>
      </c>
      <c r="B213" s="183" t="s">
        <v>1603</v>
      </c>
      <c r="C213" s="203" t="s">
        <v>726</v>
      </c>
      <c r="D213" s="184">
        <v>17000</v>
      </c>
      <c r="E213" s="178">
        <f t="shared" si="22"/>
        <v>22100</v>
      </c>
      <c r="F213" s="185" t="s">
        <v>562</v>
      </c>
      <c r="G213" s="186"/>
      <c r="H213" s="187" t="s">
        <v>476</v>
      </c>
      <c r="I213" s="188">
        <v>17</v>
      </c>
      <c r="J213" s="1" t="s">
        <v>562</v>
      </c>
      <c r="K213" s="67">
        <v>22100</v>
      </c>
      <c r="L213" s="67">
        <v>22100</v>
      </c>
      <c r="M213" s="67">
        <v>39500</v>
      </c>
      <c r="N213" s="67"/>
      <c r="O213" s="67">
        <v>22900</v>
      </c>
      <c r="P213" s="18" t="s">
        <v>1283</v>
      </c>
      <c r="Q213" s="71"/>
      <c r="R213" s="5" t="str">
        <f t="shared" si="26"/>
        <v/>
      </c>
      <c r="S213" s="62" t="s">
        <v>476</v>
      </c>
      <c r="T213" s="5" t="str">
        <f t="shared" si="27"/>
        <v/>
      </c>
      <c r="V213" s="69">
        <f t="shared" si="24"/>
        <v>22100</v>
      </c>
      <c r="W213" s="5">
        <v>17000</v>
      </c>
    </row>
    <row r="214" spans="1:25" ht="15.8" customHeight="1">
      <c r="A214" s="1" t="s">
        <v>727</v>
      </c>
      <c r="B214" s="176" t="s">
        <v>1604</v>
      </c>
      <c r="C214" s="177" t="s">
        <v>727</v>
      </c>
      <c r="D214" s="178">
        <v>14900</v>
      </c>
      <c r="E214" s="178">
        <f t="shared" si="22"/>
        <v>19370</v>
      </c>
      <c r="F214" s="179" t="s">
        <v>562</v>
      </c>
      <c r="G214" s="180"/>
      <c r="H214" s="181" t="s">
        <v>551</v>
      </c>
      <c r="I214" s="182">
        <v>17</v>
      </c>
      <c r="J214" s="1" t="s">
        <v>562</v>
      </c>
      <c r="K214" s="67">
        <v>19370</v>
      </c>
      <c r="L214" s="251">
        <v>19300</v>
      </c>
      <c r="M214" s="67">
        <v>8900</v>
      </c>
      <c r="N214" s="67"/>
      <c r="O214" s="67">
        <v>22900</v>
      </c>
      <c r="P214" s="18" t="s">
        <v>1283</v>
      </c>
      <c r="Q214" s="71"/>
      <c r="R214" s="5" t="str">
        <f t="shared" si="26"/>
        <v/>
      </c>
      <c r="S214" s="62" t="s">
        <v>551</v>
      </c>
      <c r="T214" s="5" t="str">
        <f t="shared" si="27"/>
        <v/>
      </c>
      <c r="V214" s="69">
        <f t="shared" si="24"/>
        <v>19300</v>
      </c>
      <c r="W214" s="5">
        <v>14900</v>
      </c>
    </row>
    <row r="215" spans="1:25" ht="15.8" customHeight="1">
      <c r="A215" s="1" t="s">
        <v>728</v>
      </c>
      <c r="B215" s="189" t="s">
        <v>1605</v>
      </c>
      <c r="C215" s="190" t="s">
        <v>728</v>
      </c>
      <c r="D215" s="191">
        <v>5900</v>
      </c>
      <c r="E215" s="178">
        <f t="shared" si="22"/>
        <v>7670</v>
      </c>
      <c r="F215" s="192" t="s">
        <v>103</v>
      </c>
      <c r="G215" s="193" t="s">
        <v>1363</v>
      </c>
      <c r="H215" s="194" t="s">
        <v>551</v>
      </c>
      <c r="I215" s="195">
        <v>17</v>
      </c>
      <c r="J215" s="1" t="s">
        <v>103</v>
      </c>
      <c r="K215" s="67">
        <v>7670</v>
      </c>
      <c r="L215" s="251">
        <v>7600</v>
      </c>
      <c r="M215" s="67">
        <v>6500</v>
      </c>
      <c r="N215" s="67">
        <v>3680</v>
      </c>
      <c r="O215" s="67">
        <v>8000</v>
      </c>
      <c r="P215" s="18" t="s">
        <v>1283</v>
      </c>
      <c r="Q215" s="71"/>
      <c r="R215" s="5" t="str">
        <f t="shared" si="26"/>
        <v/>
      </c>
      <c r="S215" s="62" t="s">
        <v>551</v>
      </c>
      <c r="T215" s="5" t="str">
        <f t="shared" si="27"/>
        <v/>
      </c>
      <c r="V215" s="69">
        <f t="shared" si="24"/>
        <v>7600</v>
      </c>
      <c r="W215" s="5">
        <v>5900</v>
      </c>
    </row>
    <row r="216" spans="1:25" ht="15.8" customHeight="1">
      <c r="A216" s="1" t="s">
        <v>1332</v>
      </c>
      <c r="B216" s="196" t="s">
        <v>1606</v>
      </c>
      <c r="C216" s="197" t="s">
        <v>1871</v>
      </c>
      <c r="D216" s="198">
        <v>69</v>
      </c>
      <c r="E216" s="178">
        <f t="shared" si="22"/>
        <v>89.7</v>
      </c>
      <c r="F216" s="199" t="s">
        <v>550</v>
      </c>
      <c r="G216" s="200" t="s">
        <v>1363</v>
      </c>
      <c r="H216" s="201" t="s">
        <v>551</v>
      </c>
      <c r="I216" s="202">
        <v>1</v>
      </c>
      <c r="J216" s="1" t="s">
        <v>550</v>
      </c>
      <c r="K216" s="67">
        <v>300</v>
      </c>
      <c r="L216" s="251">
        <v>290</v>
      </c>
      <c r="M216" s="67">
        <v>290</v>
      </c>
      <c r="N216" s="67">
        <v>198</v>
      </c>
      <c r="O216" s="67">
        <v>800</v>
      </c>
      <c r="P216" s="18" t="s">
        <v>254</v>
      </c>
      <c r="Q216" s="71"/>
      <c r="R216" s="5" t="str">
        <f t="shared" si="26"/>
        <v/>
      </c>
      <c r="S216" s="62" t="s">
        <v>551</v>
      </c>
      <c r="T216" s="5" t="str">
        <f>IF(Q216="x",S216,"")</f>
        <v/>
      </c>
      <c r="V216" s="69">
        <f t="shared" si="24"/>
        <v>-10</v>
      </c>
      <c r="W216" s="5">
        <v>168</v>
      </c>
      <c r="X216" s="5">
        <v>300</v>
      </c>
    </row>
    <row r="217" spans="1:25" ht="15.8" customHeight="1">
      <c r="A217" s="1" t="s">
        <v>22</v>
      </c>
      <c r="B217" s="189" t="s">
        <v>1607</v>
      </c>
      <c r="C217" s="190" t="s">
        <v>22</v>
      </c>
      <c r="D217" s="191">
        <v>135</v>
      </c>
      <c r="E217" s="178">
        <f t="shared" si="22"/>
        <v>175.5</v>
      </c>
      <c r="F217" s="192" t="s">
        <v>550</v>
      </c>
      <c r="G217" s="193" t="s">
        <v>1363</v>
      </c>
      <c r="H217" s="194" t="s">
        <v>551</v>
      </c>
      <c r="I217" s="195">
        <v>1</v>
      </c>
      <c r="J217" s="1" t="s">
        <v>550</v>
      </c>
      <c r="K217" s="67">
        <v>200</v>
      </c>
      <c r="L217" s="67">
        <v>200</v>
      </c>
      <c r="M217" s="67">
        <v>290</v>
      </c>
      <c r="N217" s="67">
        <v>198</v>
      </c>
      <c r="O217" s="67">
        <v>800</v>
      </c>
      <c r="P217" s="18" t="s">
        <v>254</v>
      </c>
      <c r="Q217" s="71"/>
      <c r="R217" s="5" t="str">
        <f t="shared" si="26"/>
        <v/>
      </c>
      <c r="S217" s="62" t="s">
        <v>551</v>
      </c>
      <c r="T217" s="5" t="str">
        <f>IF(Q217="x",S217,"")</f>
        <v/>
      </c>
      <c r="V217" s="69">
        <f t="shared" si="24"/>
        <v>200</v>
      </c>
      <c r="W217" s="5">
        <v>120</v>
      </c>
    </row>
    <row r="218" spans="1:25" ht="15.8" customHeight="1">
      <c r="A218" s="1" t="s">
        <v>19</v>
      </c>
      <c r="B218" s="196" t="s">
        <v>1608</v>
      </c>
      <c r="C218" s="197" t="s">
        <v>19</v>
      </c>
      <c r="D218" s="198">
        <v>69</v>
      </c>
      <c r="E218" s="178">
        <f t="shared" si="22"/>
        <v>89.7</v>
      </c>
      <c r="F218" s="199" t="s">
        <v>550</v>
      </c>
      <c r="G218" s="200" t="s">
        <v>1363</v>
      </c>
      <c r="H218" s="201" t="s">
        <v>551</v>
      </c>
      <c r="I218" s="202">
        <v>1</v>
      </c>
      <c r="J218" s="1" t="s">
        <v>550</v>
      </c>
      <c r="K218" s="67">
        <v>600</v>
      </c>
      <c r="L218" s="67">
        <v>600</v>
      </c>
      <c r="M218" s="67">
        <v>290</v>
      </c>
      <c r="N218" s="67">
        <v>198</v>
      </c>
      <c r="O218" s="5">
        <v>800</v>
      </c>
      <c r="P218" s="18" t="s">
        <v>254</v>
      </c>
      <c r="Q218" s="71"/>
      <c r="R218" s="5" t="str">
        <f t="shared" si="26"/>
        <v/>
      </c>
      <c r="S218" s="62" t="s">
        <v>551</v>
      </c>
      <c r="T218" s="5" t="str">
        <f t="shared" si="27"/>
        <v/>
      </c>
      <c r="V218" s="69">
        <f t="shared" si="24"/>
        <v>600</v>
      </c>
      <c r="W218" s="5">
        <v>194</v>
      </c>
    </row>
    <row r="219" spans="1:25" ht="15.8" customHeight="1">
      <c r="A219" s="1" t="s">
        <v>729</v>
      </c>
      <c r="B219" s="183" t="s">
        <v>1609</v>
      </c>
      <c r="C219" s="203" t="s">
        <v>729</v>
      </c>
      <c r="D219" s="184">
        <v>13914.999999999998</v>
      </c>
      <c r="E219" s="178">
        <f t="shared" si="22"/>
        <v>18089.5</v>
      </c>
      <c r="F219" s="185" t="s">
        <v>559</v>
      </c>
      <c r="G219" s="186"/>
      <c r="H219" s="187" t="s">
        <v>575</v>
      </c>
      <c r="I219" s="188">
        <v>17</v>
      </c>
      <c r="J219" s="1" t="s">
        <v>559</v>
      </c>
      <c r="K219" s="67">
        <v>18090</v>
      </c>
      <c r="L219" s="251">
        <v>18000</v>
      </c>
      <c r="M219" s="67"/>
      <c r="N219" s="67"/>
      <c r="O219" s="67">
        <v>19000</v>
      </c>
      <c r="P219" s="18" t="s">
        <v>1283</v>
      </c>
      <c r="Q219" s="71"/>
      <c r="R219" s="5" t="str">
        <f t="shared" si="26"/>
        <v/>
      </c>
      <c r="S219" s="62" t="s">
        <v>575</v>
      </c>
      <c r="T219" s="5" t="str">
        <f t="shared" si="27"/>
        <v/>
      </c>
      <c r="V219" s="69">
        <f t="shared" si="24"/>
        <v>18000</v>
      </c>
      <c r="W219" s="5">
        <v>13914.999999999998</v>
      </c>
    </row>
    <row r="220" spans="1:25" ht="15.8" customHeight="1">
      <c r="A220" s="1" t="s">
        <v>730</v>
      </c>
      <c r="B220" s="176" t="s">
        <v>1610</v>
      </c>
      <c r="C220" s="177" t="s">
        <v>730</v>
      </c>
      <c r="D220" s="178">
        <v>10350</v>
      </c>
      <c r="E220" s="178">
        <f t="shared" si="22"/>
        <v>13455</v>
      </c>
      <c r="F220" s="179" t="s">
        <v>559</v>
      </c>
      <c r="G220" s="180"/>
      <c r="H220" s="181" t="s">
        <v>731</v>
      </c>
      <c r="I220" s="182">
        <v>17</v>
      </c>
      <c r="J220" s="1" t="s">
        <v>559</v>
      </c>
      <c r="K220" s="67">
        <v>13500</v>
      </c>
      <c r="L220" s="251">
        <v>13500</v>
      </c>
      <c r="M220" s="67">
        <v>21400</v>
      </c>
      <c r="N220" s="67"/>
      <c r="O220" s="67">
        <v>15900</v>
      </c>
      <c r="P220" s="18" t="s">
        <v>1283</v>
      </c>
      <c r="Q220" s="71"/>
      <c r="R220" s="5" t="str">
        <f t="shared" si="26"/>
        <v/>
      </c>
      <c r="S220" s="62" t="s">
        <v>731</v>
      </c>
      <c r="T220" s="5" t="str">
        <f t="shared" si="27"/>
        <v/>
      </c>
      <c r="V220" s="69">
        <f t="shared" si="24"/>
        <v>13500</v>
      </c>
      <c r="W220" s="5">
        <v>10350</v>
      </c>
    </row>
    <row r="221" spans="1:25" s="173" customFormat="1" ht="15.8" customHeight="1">
      <c r="A221" s="245" t="s">
        <v>1612</v>
      </c>
      <c r="B221" s="244" t="s">
        <v>1611</v>
      </c>
      <c r="C221" s="245" t="s">
        <v>1612</v>
      </c>
      <c r="D221" s="246">
        <v>125</v>
      </c>
      <c r="E221" s="237">
        <f t="shared" si="22"/>
        <v>162.5</v>
      </c>
      <c r="F221" s="247" t="s">
        <v>550</v>
      </c>
      <c r="G221" s="248" t="s">
        <v>1363</v>
      </c>
      <c r="H221" s="249" t="s">
        <v>551</v>
      </c>
      <c r="I221" s="250">
        <v>1</v>
      </c>
      <c r="J221" s="233"/>
      <c r="K221" s="145"/>
      <c r="L221" s="145"/>
      <c r="N221" s="145"/>
      <c r="O221" s="145"/>
      <c r="P221" s="242"/>
      <c r="Q221" s="169"/>
      <c r="S221" s="243"/>
      <c r="V221" s="170"/>
      <c r="Y221" s="321"/>
    </row>
    <row r="222" spans="1:25" ht="15.8" customHeight="1">
      <c r="A222" s="1" t="s">
        <v>32</v>
      </c>
      <c r="B222" s="196" t="s">
        <v>1613</v>
      </c>
      <c r="C222" s="197" t="s">
        <v>32</v>
      </c>
      <c r="D222" s="198">
        <v>69</v>
      </c>
      <c r="E222" s="178">
        <f t="shared" si="22"/>
        <v>89.7</v>
      </c>
      <c r="F222" s="199" t="s">
        <v>550</v>
      </c>
      <c r="G222" s="200" t="s">
        <v>1363</v>
      </c>
      <c r="H222" s="201" t="s">
        <v>551</v>
      </c>
      <c r="I222" s="202">
        <v>1</v>
      </c>
      <c r="J222" s="1" t="s">
        <v>550</v>
      </c>
      <c r="K222" s="67">
        <v>200</v>
      </c>
      <c r="L222" s="251">
        <v>200</v>
      </c>
      <c r="M222" s="67">
        <v>290</v>
      </c>
      <c r="N222" s="67">
        <v>198</v>
      </c>
      <c r="O222" s="67">
        <v>800</v>
      </c>
      <c r="P222" s="18" t="s">
        <v>254</v>
      </c>
      <c r="Q222" s="71"/>
      <c r="R222" s="5" t="str">
        <f>IF(Q222="x",CONCATENATE(A222,"; "),"")</f>
        <v/>
      </c>
      <c r="S222" s="62" t="s">
        <v>551</v>
      </c>
      <c r="T222" s="5" t="str">
        <f t="shared" si="27"/>
        <v/>
      </c>
      <c r="V222" s="69">
        <f>L222-X222</f>
        <v>200</v>
      </c>
      <c r="W222" s="5">
        <v>169</v>
      </c>
    </row>
    <row r="223" spans="1:25" ht="15.8" customHeight="1">
      <c r="A223" s="1" t="s">
        <v>732</v>
      </c>
      <c r="B223" s="183" t="s">
        <v>1614</v>
      </c>
      <c r="C223" s="203" t="s">
        <v>732</v>
      </c>
      <c r="D223" s="184">
        <v>175</v>
      </c>
      <c r="E223" s="178">
        <f t="shared" si="22"/>
        <v>227.5</v>
      </c>
      <c r="F223" s="185" t="s">
        <v>550</v>
      </c>
      <c r="G223" s="186"/>
      <c r="H223" s="187" t="s">
        <v>551</v>
      </c>
      <c r="I223" s="188">
        <v>1</v>
      </c>
      <c r="J223" s="1" t="s">
        <v>550</v>
      </c>
      <c r="K223" s="67">
        <v>400</v>
      </c>
      <c r="L223" s="67">
        <v>400</v>
      </c>
      <c r="M223" s="67"/>
      <c r="N223" s="67"/>
      <c r="O223" s="67">
        <v>1000</v>
      </c>
      <c r="P223" s="18" t="s">
        <v>423</v>
      </c>
      <c r="Q223" s="71"/>
      <c r="R223" s="5" t="str">
        <f>IF(Q223="x",CONCATENATE(A223,"; "),"")</f>
        <v/>
      </c>
      <c r="S223" s="62" t="s">
        <v>551</v>
      </c>
      <c r="T223" s="5" t="str">
        <f t="shared" si="27"/>
        <v/>
      </c>
      <c r="V223" s="69">
        <f>L223-X223</f>
        <v>400</v>
      </c>
      <c r="W223" s="5">
        <v>175</v>
      </c>
    </row>
    <row r="224" spans="1:25" ht="15.8" customHeight="1">
      <c r="A224" s="1" t="s">
        <v>733</v>
      </c>
      <c r="B224" s="196" t="s">
        <v>1615</v>
      </c>
      <c r="C224" s="199" t="s">
        <v>1616</v>
      </c>
      <c r="D224" s="198">
        <v>28900</v>
      </c>
      <c r="E224" s="178">
        <f t="shared" si="22"/>
        <v>37570</v>
      </c>
      <c r="F224" s="199" t="s">
        <v>567</v>
      </c>
      <c r="G224" s="200" t="s">
        <v>1363</v>
      </c>
      <c r="H224" s="201" t="s">
        <v>551</v>
      </c>
      <c r="I224" s="202">
        <v>5</v>
      </c>
      <c r="J224" s="1" t="s">
        <v>567</v>
      </c>
      <c r="K224" s="67">
        <v>34900</v>
      </c>
      <c r="L224" s="67">
        <v>34900</v>
      </c>
      <c r="M224" s="67"/>
      <c r="N224" s="67"/>
      <c r="O224" s="67">
        <v>35000</v>
      </c>
      <c r="P224" s="18" t="s">
        <v>1287</v>
      </c>
      <c r="Q224" s="71"/>
      <c r="R224" s="5" t="str">
        <f>IF(Q224="x",CONCATENATE(A224,"; "),"")</f>
        <v/>
      </c>
      <c r="S224" s="62" t="s">
        <v>551</v>
      </c>
      <c r="T224" s="5" t="str">
        <f t="shared" si="27"/>
        <v/>
      </c>
      <c r="V224" s="69">
        <f>L224-X224</f>
        <v>34900</v>
      </c>
      <c r="W224" s="5">
        <v>28900</v>
      </c>
    </row>
    <row r="225" spans="1:26" ht="15.8" customHeight="1">
      <c r="A225" s="1"/>
      <c r="B225" s="183" t="s">
        <v>1617</v>
      </c>
      <c r="C225" s="203" t="s">
        <v>1618</v>
      </c>
      <c r="D225" s="184">
        <v>17500</v>
      </c>
      <c r="E225" s="178">
        <f t="shared" si="22"/>
        <v>22750</v>
      </c>
      <c r="F225" s="185" t="s">
        <v>553</v>
      </c>
      <c r="G225" s="186"/>
      <c r="H225" s="187" t="s">
        <v>1447</v>
      </c>
      <c r="I225" s="188">
        <v>1</v>
      </c>
      <c r="J225" s="1"/>
      <c r="K225" s="67"/>
      <c r="L225" s="67">
        <v>19500</v>
      </c>
      <c r="M225" s="67"/>
      <c r="N225" s="67"/>
      <c r="O225" s="67">
        <v>19900</v>
      </c>
      <c r="P225" s="18"/>
      <c r="Q225" s="71"/>
      <c r="S225" s="62"/>
      <c r="V225" s="69"/>
    </row>
    <row r="226" spans="1:26" s="231" customFormat="1" ht="15.8" customHeight="1">
      <c r="A226" s="155" t="s">
        <v>735</v>
      </c>
      <c r="B226" s="218" t="s">
        <v>1619</v>
      </c>
      <c r="C226" s="260" t="s">
        <v>735</v>
      </c>
      <c r="D226" s="314">
        <v>5175</v>
      </c>
      <c r="E226" s="314">
        <f t="shared" si="22"/>
        <v>6727.5</v>
      </c>
      <c r="F226" s="222" t="s">
        <v>607</v>
      </c>
      <c r="G226" s="339"/>
      <c r="H226" s="224" t="s">
        <v>736</v>
      </c>
      <c r="I226" s="261" t="s">
        <v>350</v>
      </c>
      <c r="J226" s="155" t="s">
        <v>607</v>
      </c>
      <c r="K226" s="160">
        <v>6728</v>
      </c>
      <c r="L226" s="293">
        <v>8500</v>
      </c>
      <c r="M226" s="160"/>
      <c r="N226" s="160"/>
      <c r="O226" s="160">
        <v>9000</v>
      </c>
      <c r="P226" s="156" t="s">
        <v>350</v>
      </c>
      <c r="Q226" s="316"/>
      <c r="R226" s="231" t="str">
        <f>IF(Q226="x",CONCATENATE(A226,"; "),"")</f>
        <v/>
      </c>
      <c r="S226" s="263" t="s">
        <v>736</v>
      </c>
      <c r="T226" s="231" t="str">
        <f t="shared" si="27"/>
        <v/>
      </c>
      <c r="V226" s="264">
        <f>L226-X226</f>
        <v>8500</v>
      </c>
      <c r="W226" s="231">
        <v>5175</v>
      </c>
      <c r="Y226" s="327"/>
    </row>
    <row r="227" spans="1:26" s="231" customFormat="1" ht="15.8" customHeight="1">
      <c r="A227" s="157" t="s">
        <v>737</v>
      </c>
      <c r="B227" s="296" t="s">
        <v>1620</v>
      </c>
      <c r="C227" s="297" t="s">
        <v>737</v>
      </c>
      <c r="D227" s="298">
        <v>10000</v>
      </c>
      <c r="E227" s="221">
        <f t="shared" si="22"/>
        <v>13000</v>
      </c>
      <c r="F227" s="299" t="s">
        <v>607</v>
      </c>
      <c r="G227" s="300" t="s">
        <v>1363</v>
      </c>
      <c r="H227" s="301" t="s">
        <v>738</v>
      </c>
      <c r="I227" s="302">
        <v>21</v>
      </c>
      <c r="J227" s="157" t="s">
        <v>607</v>
      </c>
      <c r="K227" s="158">
        <v>13000</v>
      </c>
      <c r="L227" s="158">
        <v>13000</v>
      </c>
      <c r="M227" s="160"/>
      <c r="N227" s="160"/>
      <c r="O227" s="160"/>
      <c r="P227" s="159" t="s">
        <v>594</v>
      </c>
      <c r="Q227" s="262"/>
      <c r="R227" s="231" t="str">
        <f>IF(Q227="x",CONCATENATE(A227,"; "),"")</f>
        <v/>
      </c>
      <c r="S227" s="263" t="s">
        <v>738</v>
      </c>
      <c r="T227" s="231" t="str">
        <f t="shared" si="27"/>
        <v/>
      </c>
      <c r="V227" s="264">
        <f>L227-X227</f>
        <v>13000</v>
      </c>
      <c r="W227" s="231">
        <v>10000</v>
      </c>
      <c r="Y227" s="327"/>
    </row>
    <row r="228" spans="1:26" ht="15.8" customHeight="1">
      <c r="A228" s="1" t="s">
        <v>648</v>
      </c>
      <c r="B228" s="176" t="s">
        <v>1621</v>
      </c>
      <c r="C228" s="177" t="s">
        <v>1872</v>
      </c>
      <c r="D228" s="178">
        <v>175</v>
      </c>
      <c r="E228" s="178">
        <f t="shared" si="22"/>
        <v>227.5</v>
      </c>
      <c r="F228" s="179" t="s">
        <v>550</v>
      </c>
      <c r="G228" s="180"/>
      <c r="H228" s="181" t="s">
        <v>551</v>
      </c>
      <c r="I228" s="182">
        <v>1</v>
      </c>
      <c r="J228" s="1" t="s">
        <v>550</v>
      </c>
      <c r="K228" s="67">
        <v>400</v>
      </c>
      <c r="L228" s="251">
        <v>300</v>
      </c>
      <c r="M228" s="67">
        <v>420</v>
      </c>
      <c r="N228" s="67">
        <v>330</v>
      </c>
      <c r="O228" s="67">
        <v>800</v>
      </c>
      <c r="P228" s="18" t="s">
        <v>254</v>
      </c>
      <c r="Q228" s="71"/>
      <c r="R228" s="5" t="str">
        <f>IF(Q228="x",CONCATENATE(#REF!,"; "),"")</f>
        <v/>
      </c>
      <c r="S228" s="62" t="s">
        <v>551</v>
      </c>
      <c r="T228" s="5" t="str">
        <f>IF(Q228="x",S228,"")</f>
        <v/>
      </c>
      <c r="U228" s="5" t="s">
        <v>1261</v>
      </c>
      <c r="V228" s="69">
        <f>L228-X228</f>
        <v>-100</v>
      </c>
      <c r="W228" s="5">
        <v>177</v>
      </c>
      <c r="X228" s="7">
        <v>400</v>
      </c>
      <c r="Y228" s="323"/>
      <c r="Z228" s="7"/>
    </row>
    <row r="229" spans="1:26" s="173" customFormat="1" ht="15.8" customHeight="1">
      <c r="A229" s="233" t="s">
        <v>739</v>
      </c>
      <c r="B229" s="244" t="s">
        <v>1622</v>
      </c>
      <c r="C229" s="245" t="s">
        <v>739</v>
      </c>
      <c r="D229" s="246">
        <v>10300</v>
      </c>
      <c r="E229" s="237">
        <f t="shared" si="22"/>
        <v>13390</v>
      </c>
      <c r="F229" s="247" t="s">
        <v>553</v>
      </c>
      <c r="G229" s="248" t="s">
        <v>1363</v>
      </c>
      <c r="H229" s="249" t="s">
        <v>740</v>
      </c>
      <c r="I229" s="250">
        <v>7</v>
      </c>
      <c r="J229" s="233" t="s">
        <v>553</v>
      </c>
      <c r="K229" s="145">
        <v>12600</v>
      </c>
      <c r="L229" s="145">
        <v>12600</v>
      </c>
      <c r="M229" s="145"/>
      <c r="N229" s="145"/>
      <c r="O229" s="145"/>
      <c r="P229" s="242" t="s">
        <v>1274</v>
      </c>
      <c r="Q229" s="169"/>
      <c r="R229" s="173" t="str">
        <f>IF(Q229="x",CONCATENATE(A229,"; "),"")</f>
        <v/>
      </c>
      <c r="S229" s="243" t="s">
        <v>740</v>
      </c>
      <c r="T229" s="173" t="str">
        <f t="shared" si="27"/>
        <v/>
      </c>
      <c r="V229" s="170">
        <f>L229-X229</f>
        <v>12600</v>
      </c>
      <c r="W229" s="173">
        <v>10300</v>
      </c>
      <c r="Y229" s="321"/>
    </row>
    <row r="230" spans="1:26" s="173" customFormat="1" ht="15.8" customHeight="1">
      <c r="A230" s="233"/>
      <c r="B230" s="234" t="s">
        <v>1623</v>
      </c>
      <c r="C230" s="235" t="s">
        <v>1624</v>
      </c>
      <c r="D230" s="236">
        <v>207</v>
      </c>
      <c r="E230" s="237">
        <f t="shared" si="22"/>
        <v>269.10000000000002</v>
      </c>
      <c r="F230" s="238" t="s">
        <v>550</v>
      </c>
      <c r="G230" s="239" t="s">
        <v>1363</v>
      </c>
      <c r="H230" s="240" t="s">
        <v>551</v>
      </c>
      <c r="I230" s="241">
        <v>1</v>
      </c>
      <c r="J230" s="233"/>
      <c r="K230" s="145"/>
      <c r="L230" s="145"/>
      <c r="M230" s="145"/>
      <c r="N230" s="145"/>
      <c r="O230" s="145"/>
      <c r="P230" s="242"/>
      <c r="Q230" s="169"/>
      <c r="S230" s="243"/>
      <c r="V230" s="170"/>
      <c r="Y230" s="321"/>
    </row>
    <row r="231" spans="1:26" s="173" customFormat="1" ht="15.8" customHeight="1">
      <c r="A231" s="233"/>
      <c r="B231" s="244" t="s">
        <v>1625</v>
      </c>
      <c r="C231" s="245" t="s">
        <v>1626</v>
      </c>
      <c r="D231" s="246">
        <v>345</v>
      </c>
      <c r="E231" s="237">
        <f t="shared" si="22"/>
        <v>448.5</v>
      </c>
      <c r="F231" s="247" t="s">
        <v>550</v>
      </c>
      <c r="G231" s="248" t="s">
        <v>1363</v>
      </c>
      <c r="H231" s="249" t="s">
        <v>551</v>
      </c>
      <c r="I231" s="250">
        <v>1</v>
      </c>
      <c r="J231" s="233"/>
      <c r="K231" s="145"/>
      <c r="L231" s="145"/>
      <c r="M231" s="145"/>
      <c r="N231" s="145"/>
      <c r="O231" s="145"/>
      <c r="P231" s="242"/>
      <c r="Q231" s="169"/>
      <c r="S231" s="243"/>
      <c r="V231" s="170"/>
      <c r="Y231" s="321"/>
    </row>
    <row r="232" spans="1:26" ht="15.8" customHeight="1">
      <c r="A232" s="1" t="s">
        <v>741</v>
      </c>
      <c r="B232" s="196" t="s">
        <v>1627</v>
      </c>
      <c r="C232" s="197" t="s">
        <v>741</v>
      </c>
      <c r="D232" s="198">
        <v>25850</v>
      </c>
      <c r="E232" s="178">
        <f t="shared" si="22"/>
        <v>33605</v>
      </c>
      <c r="F232" s="199" t="s">
        <v>742</v>
      </c>
      <c r="G232" s="200" t="s">
        <v>1363</v>
      </c>
      <c r="H232" s="201" t="s">
        <v>551</v>
      </c>
      <c r="I232" s="202">
        <v>17</v>
      </c>
      <c r="J232" s="1" t="s">
        <v>742</v>
      </c>
      <c r="K232" s="67">
        <v>33700</v>
      </c>
      <c r="L232" s="251">
        <v>32000</v>
      </c>
      <c r="M232" s="67"/>
      <c r="N232" s="67"/>
      <c r="O232" s="67">
        <v>32500</v>
      </c>
      <c r="P232" s="18" t="s">
        <v>1283</v>
      </c>
      <c r="Q232" s="71"/>
      <c r="R232" s="5" t="str">
        <f t="shared" ref="R232:R246" si="28">IF(Q232="x",CONCATENATE(A232,"; "),"")</f>
        <v/>
      </c>
      <c r="S232" s="62" t="s">
        <v>551</v>
      </c>
      <c r="T232" s="5" t="str">
        <f t="shared" si="27"/>
        <v/>
      </c>
      <c r="V232" s="69">
        <f t="shared" ref="V232:V247" si="29">L232-X232</f>
        <v>32000</v>
      </c>
      <c r="W232" s="5">
        <v>25850</v>
      </c>
    </row>
    <row r="233" spans="1:26" ht="15.8" customHeight="1">
      <c r="A233" s="1" t="s">
        <v>508</v>
      </c>
      <c r="B233" s="189" t="s">
        <v>508</v>
      </c>
      <c r="C233" s="190" t="s">
        <v>508</v>
      </c>
      <c r="D233" s="191">
        <v>69</v>
      </c>
      <c r="E233" s="178">
        <f t="shared" si="22"/>
        <v>89.7</v>
      </c>
      <c r="F233" s="192" t="s">
        <v>550</v>
      </c>
      <c r="G233" s="193" t="s">
        <v>1363</v>
      </c>
      <c r="H233" s="194" t="s">
        <v>551</v>
      </c>
      <c r="I233" s="195">
        <v>1</v>
      </c>
      <c r="J233" s="1" t="s">
        <v>550</v>
      </c>
      <c r="K233" s="67">
        <v>600</v>
      </c>
      <c r="L233" s="251">
        <v>300</v>
      </c>
      <c r="M233" s="67">
        <v>290</v>
      </c>
      <c r="N233" s="67">
        <v>198</v>
      </c>
      <c r="O233" s="67">
        <v>800</v>
      </c>
      <c r="P233" s="18" t="s">
        <v>254</v>
      </c>
      <c r="Q233" s="71"/>
      <c r="R233" s="5" t="str">
        <f t="shared" si="28"/>
        <v/>
      </c>
      <c r="S233" s="62" t="s">
        <v>551</v>
      </c>
      <c r="T233" s="5" t="str">
        <f t="shared" si="27"/>
        <v/>
      </c>
      <c r="V233" s="69">
        <f t="shared" si="29"/>
        <v>300</v>
      </c>
      <c r="W233" s="5">
        <v>402</v>
      </c>
    </row>
    <row r="234" spans="1:26" ht="15.8" customHeight="1">
      <c r="A234" s="1" t="s">
        <v>35</v>
      </c>
      <c r="B234" s="176" t="s">
        <v>948</v>
      </c>
      <c r="C234" s="177" t="s">
        <v>1628</v>
      </c>
      <c r="D234" s="178">
        <v>175</v>
      </c>
      <c r="E234" s="178">
        <f t="shared" si="22"/>
        <v>227.5</v>
      </c>
      <c r="F234" s="179" t="s">
        <v>550</v>
      </c>
      <c r="G234" s="180"/>
      <c r="H234" s="181" t="s">
        <v>551</v>
      </c>
      <c r="I234" s="182">
        <v>1</v>
      </c>
      <c r="J234" s="1" t="s">
        <v>550</v>
      </c>
      <c r="K234" s="67">
        <v>700</v>
      </c>
      <c r="L234" s="67">
        <v>700</v>
      </c>
      <c r="M234" s="67">
        <v>900</v>
      </c>
      <c r="N234" s="67">
        <v>725</v>
      </c>
      <c r="O234" s="67">
        <v>800</v>
      </c>
      <c r="P234" s="18" t="s">
        <v>254</v>
      </c>
      <c r="Q234" s="71"/>
      <c r="R234" s="5" t="str">
        <f t="shared" si="28"/>
        <v/>
      </c>
      <c r="S234" s="62" t="s">
        <v>551</v>
      </c>
      <c r="T234" s="5" t="str">
        <f t="shared" si="27"/>
        <v/>
      </c>
      <c r="V234" s="69">
        <f t="shared" si="29"/>
        <v>700</v>
      </c>
      <c r="W234" s="5">
        <v>311</v>
      </c>
    </row>
    <row r="235" spans="1:26" ht="15.8" customHeight="1">
      <c r="A235" s="1" t="s">
        <v>743</v>
      </c>
      <c r="B235" s="183" t="s">
        <v>1629</v>
      </c>
      <c r="C235" s="203" t="s">
        <v>743</v>
      </c>
      <c r="D235" s="184">
        <v>9200</v>
      </c>
      <c r="E235" s="178">
        <f t="shared" si="22"/>
        <v>11960</v>
      </c>
      <c r="F235" s="185" t="s">
        <v>602</v>
      </c>
      <c r="G235" s="186"/>
      <c r="H235" s="187" t="s">
        <v>476</v>
      </c>
      <c r="I235" s="205" t="s">
        <v>587</v>
      </c>
      <c r="J235" s="1" t="s">
        <v>602</v>
      </c>
      <c r="K235" s="67">
        <v>11960</v>
      </c>
      <c r="L235" s="251">
        <v>11500</v>
      </c>
      <c r="M235" s="67">
        <v>11800</v>
      </c>
      <c r="N235" s="67">
        <v>6900</v>
      </c>
      <c r="O235" s="67">
        <v>10300</v>
      </c>
      <c r="P235" s="18" t="s">
        <v>406</v>
      </c>
      <c r="Q235" s="71"/>
      <c r="R235" s="5" t="str">
        <f t="shared" si="28"/>
        <v/>
      </c>
      <c r="S235" s="62" t="s">
        <v>476</v>
      </c>
      <c r="T235" s="5" t="str">
        <f t="shared" si="27"/>
        <v/>
      </c>
      <c r="V235" s="69">
        <f t="shared" si="29"/>
        <v>11500</v>
      </c>
      <c r="W235" s="5">
        <v>9200</v>
      </c>
    </row>
    <row r="236" spans="1:26" ht="15.8" customHeight="1">
      <c r="A236" s="1" t="s">
        <v>744</v>
      </c>
      <c r="B236" s="176" t="s">
        <v>1630</v>
      </c>
      <c r="C236" s="177" t="s">
        <v>744</v>
      </c>
      <c r="D236" s="178">
        <v>5865</v>
      </c>
      <c r="E236" s="178">
        <f t="shared" si="22"/>
        <v>7624.5</v>
      </c>
      <c r="F236" s="179" t="s">
        <v>602</v>
      </c>
      <c r="G236" s="180"/>
      <c r="H236" s="181" t="s">
        <v>551</v>
      </c>
      <c r="I236" s="182">
        <v>17</v>
      </c>
      <c r="J236" s="1" t="s">
        <v>602</v>
      </c>
      <c r="K236" s="67">
        <v>7700</v>
      </c>
      <c r="L236" s="67">
        <v>7700</v>
      </c>
      <c r="M236" s="67"/>
      <c r="N236" s="67"/>
      <c r="O236" s="67">
        <v>8000</v>
      </c>
      <c r="P236" s="18" t="s">
        <v>1283</v>
      </c>
      <c r="Q236" s="71"/>
      <c r="R236" s="5" t="str">
        <f t="shared" si="28"/>
        <v/>
      </c>
      <c r="S236" s="62" t="s">
        <v>551</v>
      </c>
      <c r="T236" s="5" t="str">
        <f t="shared" si="27"/>
        <v/>
      </c>
      <c r="V236" s="69">
        <f t="shared" si="29"/>
        <v>7700</v>
      </c>
      <c r="W236" s="5">
        <v>5865</v>
      </c>
    </row>
    <row r="237" spans="1:26" ht="15.8" customHeight="1">
      <c r="A237" s="1" t="s">
        <v>745</v>
      </c>
      <c r="B237" s="183" t="s">
        <v>1631</v>
      </c>
      <c r="C237" s="203" t="s">
        <v>745</v>
      </c>
      <c r="D237" s="184">
        <v>5865</v>
      </c>
      <c r="E237" s="178">
        <f t="shared" si="22"/>
        <v>7624.5</v>
      </c>
      <c r="F237" s="185" t="s">
        <v>602</v>
      </c>
      <c r="G237" s="186"/>
      <c r="H237" s="187" t="s">
        <v>551</v>
      </c>
      <c r="I237" s="188">
        <v>17</v>
      </c>
      <c r="J237" s="1" t="s">
        <v>602</v>
      </c>
      <c r="K237" s="67">
        <v>7700</v>
      </c>
      <c r="L237" s="67">
        <v>7700</v>
      </c>
      <c r="M237" s="67"/>
      <c r="N237" s="67"/>
      <c r="O237" s="67">
        <v>8000</v>
      </c>
      <c r="P237" s="18" t="s">
        <v>1283</v>
      </c>
      <c r="Q237" s="71"/>
      <c r="R237" s="5" t="str">
        <f t="shared" si="28"/>
        <v/>
      </c>
      <c r="S237" s="62" t="s">
        <v>551</v>
      </c>
      <c r="T237" s="5" t="str">
        <f t="shared" si="27"/>
        <v/>
      </c>
      <c r="V237" s="69">
        <f t="shared" si="29"/>
        <v>7700</v>
      </c>
      <c r="W237" s="5">
        <v>5865</v>
      </c>
    </row>
    <row r="238" spans="1:26" ht="15.8" customHeight="1">
      <c r="A238" s="1" t="s">
        <v>196</v>
      </c>
      <c r="B238" s="176" t="s">
        <v>1632</v>
      </c>
      <c r="C238" s="177" t="s">
        <v>196</v>
      </c>
      <c r="D238" s="178">
        <v>10925</v>
      </c>
      <c r="E238" s="178">
        <f t="shared" si="22"/>
        <v>14202.5</v>
      </c>
      <c r="F238" s="179" t="s">
        <v>559</v>
      </c>
      <c r="G238" s="180"/>
      <c r="H238" s="181" t="s">
        <v>551</v>
      </c>
      <c r="I238" s="182">
        <v>15</v>
      </c>
      <c r="J238" s="1" t="s">
        <v>559</v>
      </c>
      <c r="K238" s="67">
        <v>12500</v>
      </c>
      <c r="L238" s="251">
        <v>11600</v>
      </c>
      <c r="M238" s="67">
        <v>11700</v>
      </c>
      <c r="N238" s="5"/>
      <c r="O238" s="67">
        <v>12700</v>
      </c>
      <c r="P238" s="18" t="s">
        <v>1282</v>
      </c>
      <c r="Q238" s="71"/>
      <c r="R238" s="5" t="str">
        <f t="shared" si="28"/>
        <v/>
      </c>
      <c r="S238" s="62" t="s">
        <v>551</v>
      </c>
      <c r="T238" s="5" t="str">
        <f t="shared" si="27"/>
        <v/>
      </c>
      <c r="V238" s="69">
        <f t="shared" si="29"/>
        <v>11600</v>
      </c>
      <c r="W238" s="5">
        <v>10925</v>
      </c>
    </row>
    <row r="239" spans="1:26" ht="15.8" customHeight="1">
      <c r="A239" s="1" t="s">
        <v>1875</v>
      </c>
      <c r="B239" s="183" t="s">
        <v>746</v>
      </c>
      <c r="C239" s="203" t="s">
        <v>1875</v>
      </c>
      <c r="D239" s="184">
        <v>1609.9999999999998</v>
      </c>
      <c r="E239" s="178">
        <f t="shared" si="22"/>
        <v>2093</v>
      </c>
      <c r="F239" s="185" t="s">
        <v>559</v>
      </c>
      <c r="G239" s="186"/>
      <c r="H239" s="187" t="s">
        <v>551</v>
      </c>
      <c r="I239" s="188">
        <v>1</v>
      </c>
      <c r="J239" s="1" t="s">
        <v>559</v>
      </c>
      <c r="K239" s="67">
        <v>3800</v>
      </c>
      <c r="L239" s="251">
        <v>3700</v>
      </c>
      <c r="M239" s="67">
        <v>3900</v>
      </c>
      <c r="N239" s="67">
        <v>2875</v>
      </c>
      <c r="O239" s="67">
        <v>4500</v>
      </c>
      <c r="P239" s="18" t="s">
        <v>254</v>
      </c>
      <c r="Q239" s="71"/>
      <c r="R239" s="5" t="str">
        <f t="shared" si="28"/>
        <v/>
      </c>
      <c r="S239" s="62" t="s">
        <v>551</v>
      </c>
      <c r="T239" s="5" t="str">
        <f t="shared" si="27"/>
        <v/>
      </c>
      <c r="V239" s="69">
        <f t="shared" si="29"/>
        <v>3700</v>
      </c>
      <c r="W239" s="5">
        <v>2181</v>
      </c>
    </row>
    <row r="240" spans="1:26" s="173" customFormat="1" ht="15.8" customHeight="1">
      <c r="A240" s="233" t="s">
        <v>747</v>
      </c>
      <c r="B240" s="265" t="s">
        <v>1633</v>
      </c>
      <c r="C240" s="285" t="s">
        <v>1634</v>
      </c>
      <c r="D240" s="237">
        <v>43050</v>
      </c>
      <c r="E240" s="237">
        <f t="shared" si="22"/>
        <v>55965</v>
      </c>
      <c r="F240" s="266" t="s">
        <v>567</v>
      </c>
      <c r="G240" s="267"/>
      <c r="H240" s="268" t="s">
        <v>687</v>
      </c>
      <c r="I240" s="269">
        <v>10</v>
      </c>
      <c r="J240" s="233" t="s">
        <v>567</v>
      </c>
      <c r="K240" s="145">
        <v>40365</v>
      </c>
      <c r="L240" s="145">
        <v>55000</v>
      </c>
      <c r="M240" s="145"/>
      <c r="N240" s="145"/>
      <c r="O240" s="145"/>
      <c r="P240" s="242" t="s">
        <v>581</v>
      </c>
      <c r="Q240" s="169"/>
      <c r="R240" s="173" t="str">
        <f t="shared" si="28"/>
        <v/>
      </c>
      <c r="S240" s="312" t="s">
        <v>687</v>
      </c>
      <c r="T240" s="173" t="str">
        <f t="shared" si="27"/>
        <v/>
      </c>
      <c r="V240" s="170">
        <f t="shared" si="29"/>
        <v>55000</v>
      </c>
      <c r="W240" s="173">
        <v>31049.999999999996</v>
      </c>
      <c r="Y240" s="321"/>
    </row>
    <row r="241" spans="1:25" ht="15.8" customHeight="1">
      <c r="A241" s="1" t="s">
        <v>39</v>
      </c>
      <c r="B241" s="183" t="s">
        <v>1635</v>
      </c>
      <c r="C241" s="203" t="s">
        <v>39</v>
      </c>
      <c r="D241" s="184">
        <v>490</v>
      </c>
      <c r="E241" s="178">
        <f t="shared" si="22"/>
        <v>637</v>
      </c>
      <c r="F241" s="185" t="s">
        <v>550</v>
      </c>
      <c r="G241" s="186"/>
      <c r="H241" s="187" t="s">
        <v>551</v>
      </c>
      <c r="I241" s="188">
        <v>1</v>
      </c>
      <c r="J241" s="1" t="s">
        <v>550</v>
      </c>
      <c r="K241" s="67">
        <v>800</v>
      </c>
      <c r="L241" s="67">
        <v>800</v>
      </c>
      <c r="M241" s="67">
        <v>900</v>
      </c>
      <c r="N241" s="67">
        <v>529</v>
      </c>
      <c r="O241" s="67">
        <v>1000</v>
      </c>
      <c r="P241" s="18" t="s">
        <v>349</v>
      </c>
      <c r="Q241" s="71"/>
      <c r="R241" s="5" t="str">
        <f t="shared" si="28"/>
        <v/>
      </c>
      <c r="S241" s="62" t="s">
        <v>551</v>
      </c>
      <c r="T241" s="5" t="str">
        <f t="shared" si="27"/>
        <v/>
      </c>
      <c r="V241" s="69">
        <f t="shared" si="29"/>
        <v>800</v>
      </c>
      <c r="W241" s="5">
        <v>490</v>
      </c>
    </row>
    <row r="242" spans="1:25" ht="15.8" customHeight="1">
      <c r="A242" s="1" t="s">
        <v>198</v>
      </c>
      <c r="B242" s="196" t="s">
        <v>1636</v>
      </c>
      <c r="C242" s="197" t="s">
        <v>198</v>
      </c>
      <c r="D242" s="198">
        <v>6000</v>
      </c>
      <c r="E242" s="178">
        <f t="shared" si="22"/>
        <v>7800</v>
      </c>
      <c r="F242" s="199" t="s">
        <v>550</v>
      </c>
      <c r="G242" s="200" t="s">
        <v>1363</v>
      </c>
      <c r="H242" s="201" t="s">
        <v>551</v>
      </c>
      <c r="I242" s="202">
        <v>15</v>
      </c>
      <c r="J242" s="1" t="s">
        <v>550</v>
      </c>
      <c r="K242" s="67">
        <v>8000</v>
      </c>
      <c r="L242" s="251">
        <v>7700</v>
      </c>
      <c r="M242" s="67">
        <v>7700</v>
      </c>
      <c r="N242" s="67"/>
      <c r="O242" s="67">
        <v>8400</v>
      </c>
      <c r="P242" s="18" t="s">
        <v>254</v>
      </c>
      <c r="Q242" s="71"/>
      <c r="R242" s="5" t="str">
        <f t="shared" si="28"/>
        <v/>
      </c>
      <c r="S242" s="62" t="s">
        <v>551</v>
      </c>
      <c r="T242" s="5" t="str">
        <f t="shared" si="27"/>
        <v/>
      </c>
      <c r="V242" s="69">
        <f t="shared" si="29"/>
        <v>7700</v>
      </c>
      <c r="W242" s="5">
        <v>3084</v>
      </c>
    </row>
    <row r="243" spans="1:25" ht="15.8" customHeight="1">
      <c r="A243" s="253" t="s">
        <v>411</v>
      </c>
      <c r="B243" s="189" t="s">
        <v>1637</v>
      </c>
      <c r="C243" s="190" t="s">
        <v>411</v>
      </c>
      <c r="D243" s="191">
        <v>16900</v>
      </c>
      <c r="E243" s="178">
        <f t="shared" si="22"/>
        <v>21970</v>
      </c>
      <c r="F243" s="192" t="s">
        <v>550</v>
      </c>
      <c r="G243" s="193" t="s">
        <v>1363</v>
      </c>
      <c r="H243" s="194" t="s">
        <v>551</v>
      </c>
      <c r="I243" s="195">
        <v>5</v>
      </c>
      <c r="J243" s="253" t="s">
        <v>550</v>
      </c>
      <c r="K243" s="254">
        <v>29900</v>
      </c>
      <c r="L243" s="251">
        <v>24500</v>
      </c>
      <c r="M243" s="311">
        <v>24800</v>
      </c>
      <c r="N243" s="67"/>
      <c r="O243" s="67">
        <v>28700</v>
      </c>
      <c r="P243" s="255" t="s">
        <v>552</v>
      </c>
      <c r="Q243" s="71"/>
      <c r="R243" s="5" t="str">
        <f t="shared" si="28"/>
        <v/>
      </c>
      <c r="S243" s="70" t="s">
        <v>551</v>
      </c>
      <c r="T243" s="5" t="str">
        <f t="shared" si="27"/>
        <v/>
      </c>
      <c r="V243" s="69">
        <f t="shared" si="29"/>
        <v>24500</v>
      </c>
      <c r="W243" s="5">
        <v>23000</v>
      </c>
    </row>
    <row r="244" spans="1:25" ht="15.8" customHeight="1">
      <c r="A244" s="1" t="s">
        <v>748</v>
      </c>
      <c r="B244" s="196" t="s">
        <v>1638</v>
      </c>
      <c r="C244" s="199" t="s">
        <v>748</v>
      </c>
      <c r="D244" s="198">
        <v>1590</v>
      </c>
      <c r="E244" s="178">
        <f t="shared" si="22"/>
        <v>2067</v>
      </c>
      <c r="F244" s="199" t="s">
        <v>656</v>
      </c>
      <c r="G244" s="200" t="s">
        <v>1363</v>
      </c>
      <c r="H244" s="201" t="s">
        <v>551</v>
      </c>
      <c r="I244" s="202">
        <v>3</v>
      </c>
      <c r="J244" s="1" t="s">
        <v>656</v>
      </c>
      <c r="K244" s="67">
        <v>2100</v>
      </c>
      <c r="L244" s="251">
        <v>2000</v>
      </c>
      <c r="M244" s="67">
        <v>2500</v>
      </c>
      <c r="N244" s="67">
        <v>1380</v>
      </c>
      <c r="O244" s="67">
        <v>2000</v>
      </c>
      <c r="P244" s="18" t="s">
        <v>1275</v>
      </c>
      <c r="Q244" s="71"/>
      <c r="R244" s="5" t="str">
        <f t="shared" si="28"/>
        <v/>
      </c>
      <c r="S244" s="62" t="s">
        <v>551</v>
      </c>
      <c r="T244" s="5" t="str">
        <f t="shared" si="27"/>
        <v/>
      </c>
      <c r="V244" s="69">
        <f t="shared" si="29"/>
        <v>2000</v>
      </c>
      <c r="W244" s="5">
        <v>1590</v>
      </c>
    </row>
    <row r="245" spans="1:25" ht="15.8" customHeight="1">
      <c r="A245" s="1" t="s">
        <v>749</v>
      </c>
      <c r="B245" s="183" t="s">
        <v>1639</v>
      </c>
      <c r="C245" s="203" t="s">
        <v>1640</v>
      </c>
      <c r="D245" s="277">
        <v>69800</v>
      </c>
      <c r="E245" s="277">
        <f t="shared" si="22"/>
        <v>90740</v>
      </c>
      <c r="F245" s="185" t="s">
        <v>567</v>
      </c>
      <c r="G245" s="278"/>
      <c r="H245" s="187" t="s">
        <v>750</v>
      </c>
      <c r="I245" s="188">
        <v>10</v>
      </c>
      <c r="J245" s="1" t="s">
        <v>567</v>
      </c>
      <c r="K245" s="67">
        <v>65780</v>
      </c>
      <c r="L245" s="67">
        <v>90000</v>
      </c>
      <c r="M245" s="67">
        <v>73000</v>
      </c>
      <c r="N245" s="67"/>
      <c r="O245" s="67">
        <v>74000</v>
      </c>
      <c r="P245" s="18" t="s">
        <v>581</v>
      </c>
      <c r="Q245" s="279"/>
      <c r="R245" s="5" t="str">
        <f t="shared" si="28"/>
        <v/>
      </c>
      <c r="S245" s="70" t="s">
        <v>750</v>
      </c>
      <c r="T245" s="5" t="str">
        <f t="shared" si="27"/>
        <v/>
      </c>
      <c r="V245" s="69">
        <f t="shared" si="29"/>
        <v>90000</v>
      </c>
      <c r="W245" s="5">
        <v>50599.999999999993</v>
      </c>
    </row>
    <row r="246" spans="1:25" ht="15.8" customHeight="1">
      <c r="A246" s="1" t="s">
        <v>751</v>
      </c>
      <c r="B246" s="183" t="s">
        <v>1641</v>
      </c>
      <c r="C246" s="203" t="s">
        <v>1642</v>
      </c>
      <c r="D246" s="277">
        <v>62400</v>
      </c>
      <c r="E246" s="277">
        <f t="shared" ref="E246:E308" si="30">D246*1.3</f>
        <v>81120</v>
      </c>
      <c r="F246" s="185" t="s">
        <v>567</v>
      </c>
      <c r="G246" s="278"/>
      <c r="H246" s="187" t="s">
        <v>750</v>
      </c>
      <c r="I246" s="188">
        <v>10</v>
      </c>
      <c r="J246" s="1" t="s">
        <v>567</v>
      </c>
      <c r="K246" s="67">
        <v>57200</v>
      </c>
      <c r="L246" s="67">
        <v>81000</v>
      </c>
      <c r="M246" s="67"/>
      <c r="N246" s="67"/>
      <c r="O246" s="67"/>
      <c r="P246" s="18" t="s">
        <v>581</v>
      </c>
      <c r="Q246" s="279"/>
      <c r="R246" s="5" t="str">
        <f t="shared" si="28"/>
        <v/>
      </c>
      <c r="S246" s="70" t="s">
        <v>750</v>
      </c>
      <c r="T246" s="5" t="str">
        <f t="shared" si="27"/>
        <v/>
      </c>
      <c r="V246" s="69">
        <f t="shared" si="29"/>
        <v>81000</v>
      </c>
      <c r="W246" s="5">
        <v>44000</v>
      </c>
    </row>
    <row r="247" spans="1:25" ht="15.8" customHeight="1">
      <c r="A247" s="190" t="s">
        <v>1644</v>
      </c>
      <c r="B247" s="340" t="s">
        <v>1643</v>
      </c>
      <c r="C247" s="190" t="s">
        <v>1644</v>
      </c>
      <c r="D247" s="341">
        <v>57400</v>
      </c>
      <c r="E247" s="277">
        <f t="shared" si="30"/>
        <v>74620</v>
      </c>
      <c r="F247" s="190" t="s">
        <v>567</v>
      </c>
      <c r="G247" s="194" t="s">
        <v>1363</v>
      </c>
      <c r="H247" s="194" t="s">
        <v>750</v>
      </c>
      <c r="I247" s="195">
        <v>10</v>
      </c>
      <c r="J247" s="1"/>
      <c r="K247" s="67"/>
      <c r="L247" s="67">
        <v>74000</v>
      </c>
      <c r="M247" s="67"/>
      <c r="N247" s="67"/>
      <c r="O247" s="67"/>
      <c r="P247" s="18"/>
      <c r="Q247" s="279"/>
      <c r="S247" s="70"/>
      <c r="V247" s="69">
        <f t="shared" si="29"/>
        <v>74000</v>
      </c>
    </row>
    <row r="248" spans="1:25" ht="15.8" customHeight="1">
      <c r="A248" s="1" t="s">
        <v>752</v>
      </c>
      <c r="B248" s="183" t="s">
        <v>1645</v>
      </c>
      <c r="C248" s="203" t="s">
        <v>1646</v>
      </c>
      <c r="D248" s="277">
        <v>43550</v>
      </c>
      <c r="E248" s="277">
        <f t="shared" si="30"/>
        <v>56615</v>
      </c>
      <c r="F248" s="185" t="s">
        <v>567</v>
      </c>
      <c r="G248" s="278"/>
      <c r="H248" s="187" t="s">
        <v>750</v>
      </c>
      <c r="I248" s="188">
        <v>10</v>
      </c>
      <c r="J248" s="1" t="s">
        <v>567</v>
      </c>
      <c r="K248" s="67">
        <v>40365</v>
      </c>
      <c r="L248" s="67">
        <v>56600</v>
      </c>
      <c r="M248" s="67"/>
      <c r="N248" s="67"/>
      <c r="O248" s="67"/>
      <c r="P248" s="18" t="s">
        <v>581</v>
      </c>
      <c r="Q248" s="279"/>
      <c r="R248" s="5" t="str">
        <f>IF(Q248="x",CONCATENATE(A248,"; "),"")</f>
        <v/>
      </c>
      <c r="S248" s="70" t="s">
        <v>750</v>
      </c>
      <c r="T248" s="5" t="str">
        <f t="shared" si="27"/>
        <v/>
      </c>
      <c r="V248" s="69">
        <f>L248-X248</f>
        <v>56600</v>
      </c>
      <c r="W248" s="5">
        <v>31049.999999999996</v>
      </c>
    </row>
    <row r="249" spans="1:25" s="7" customFormat="1" ht="15.8" customHeight="1">
      <c r="A249" s="1" t="s">
        <v>753</v>
      </c>
      <c r="B249" s="183" t="s">
        <v>1647</v>
      </c>
      <c r="C249" s="203" t="s">
        <v>753</v>
      </c>
      <c r="D249" s="184">
        <v>8395</v>
      </c>
      <c r="E249" s="178">
        <f t="shared" si="30"/>
        <v>10913.5</v>
      </c>
      <c r="F249" s="185" t="s">
        <v>593</v>
      </c>
      <c r="G249" s="186"/>
      <c r="H249" s="187" t="s">
        <v>595</v>
      </c>
      <c r="I249" s="188">
        <v>15</v>
      </c>
      <c r="J249" s="1" t="s">
        <v>593</v>
      </c>
      <c r="K249" s="67">
        <v>11000</v>
      </c>
      <c r="L249" s="67">
        <v>11000</v>
      </c>
      <c r="M249" s="67">
        <v>19950</v>
      </c>
      <c r="N249" s="67">
        <v>8500</v>
      </c>
      <c r="O249" s="67">
        <v>17000</v>
      </c>
      <c r="P249" s="18" t="s">
        <v>1282</v>
      </c>
      <c r="Q249" s="71"/>
      <c r="R249" s="5" t="str">
        <f>IF(Q249="x",CONCATENATE(A249,"; "),"")</f>
        <v/>
      </c>
      <c r="S249" s="62" t="s">
        <v>595</v>
      </c>
      <c r="T249" s="5" t="str">
        <f t="shared" si="27"/>
        <v/>
      </c>
      <c r="U249" s="5"/>
      <c r="V249" s="69">
        <f>L249-X249</f>
        <v>11000</v>
      </c>
      <c r="W249" s="5">
        <v>8395</v>
      </c>
      <c r="Y249" s="323"/>
    </row>
    <row r="250" spans="1:25" ht="15.8" customHeight="1">
      <c r="A250" s="253" t="s">
        <v>754</v>
      </c>
      <c r="B250" s="196" t="s">
        <v>1648</v>
      </c>
      <c r="C250" s="199" t="s">
        <v>754</v>
      </c>
      <c r="D250" s="198">
        <v>9990</v>
      </c>
      <c r="E250" s="178">
        <f t="shared" si="30"/>
        <v>12987</v>
      </c>
      <c r="F250" s="199" t="s">
        <v>602</v>
      </c>
      <c r="G250" s="200" t="s">
        <v>1363</v>
      </c>
      <c r="H250" s="201" t="s">
        <v>554</v>
      </c>
      <c r="I250" s="212" t="s">
        <v>664</v>
      </c>
      <c r="J250" s="253" t="s">
        <v>602</v>
      </c>
      <c r="K250" s="254">
        <v>12987</v>
      </c>
      <c r="L250" s="251">
        <v>12900</v>
      </c>
      <c r="M250" s="67"/>
      <c r="N250" s="67"/>
      <c r="O250" s="67">
        <v>13999</v>
      </c>
      <c r="P250" s="255" t="s">
        <v>664</v>
      </c>
      <c r="Q250" s="71"/>
      <c r="R250" s="5" t="str">
        <f>IF(Q250="x",CONCATENATE(A250,"; "),"")</f>
        <v/>
      </c>
      <c r="S250" s="70" t="s">
        <v>554</v>
      </c>
      <c r="T250" s="5" t="str">
        <f t="shared" si="27"/>
        <v/>
      </c>
      <c r="V250" s="69">
        <f>L250-X250</f>
        <v>12900</v>
      </c>
      <c r="W250" s="5">
        <v>9990</v>
      </c>
    </row>
    <row r="251" spans="1:25" ht="15.8" customHeight="1">
      <c r="A251" s="1" t="s">
        <v>755</v>
      </c>
      <c r="B251" s="183" t="s">
        <v>1649</v>
      </c>
      <c r="C251" s="203" t="s">
        <v>755</v>
      </c>
      <c r="D251" s="277">
        <v>19000</v>
      </c>
      <c r="E251" s="277">
        <f t="shared" si="30"/>
        <v>24700</v>
      </c>
      <c r="F251" s="185" t="s">
        <v>553</v>
      </c>
      <c r="G251" s="278"/>
      <c r="H251" s="187" t="s">
        <v>604</v>
      </c>
      <c r="I251" s="188">
        <v>12</v>
      </c>
      <c r="J251" s="1" t="s">
        <v>553</v>
      </c>
      <c r="K251" s="67">
        <v>24700</v>
      </c>
      <c r="L251" s="67">
        <v>24700</v>
      </c>
      <c r="M251" s="67"/>
      <c r="N251" s="67"/>
      <c r="O251" s="67"/>
      <c r="P251" s="18" t="s">
        <v>563</v>
      </c>
      <c r="Q251" s="279"/>
      <c r="R251" s="5" t="str">
        <f>IF(Q251="x",CONCATENATE(A251,"; "),"")</f>
        <v/>
      </c>
      <c r="S251" s="70" t="s">
        <v>604</v>
      </c>
      <c r="T251" s="5" t="str">
        <f t="shared" si="27"/>
        <v/>
      </c>
      <c r="V251" s="69">
        <f>L251-X251</f>
        <v>24700</v>
      </c>
      <c r="W251" s="5">
        <v>19000</v>
      </c>
    </row>
    <row r="252" spans="1:25" ht="15.8" customHeight="1">
      <c r="A252" s="177" t="s">
        <v>24</v>
      </c>
      <c r="B252" s="176" t="s">
        <v>1650</v>
      </c>
      <c r="C252" s="177" t="s">
        <v>24</v>
      </c>
      <c r="D252" s="178">
        <v>125</v>
      </c>
      <c r="E252" s="178">
        <f t="shared" si="30"/>
        <v>162.5</v>
      </c>
      <c r="F252" s="179" t="s">
        <v>550</v>
      </c>
      <c r="G252" s="180"/>
      <c r="H252" s="181" t="s">
        <v>551</v>
      </c>
      <c r="I252" s="182">
        <v>1</v>
      </c>
      <c r="J252" s="1" t="s">
        <v>550</v>
      </c>
      <c r="K252" s="67">
        <v>700</v>
      </c>
      <c r="L252" s="251">
        <v>200</v>
      </c>
      <c r="M252" s="67">
        <v>290</v>
      </c>
      <c r="N252" s="67">
        <v>198</v>
      </c>
      <c r="O252" s="67">
        <v>1000</v>
      </c>
      <c r="P252" s="18" t="s">
        <v>254</v>
      </c>
      <c r="Q252" s="71"/>
      <c r="S252" s="62" t="s">
        <v>551</v>
      </c>
      <c r="T252" s="231" t="str">
        <f t="shared" si="27"/>
        <v/>
      </c>
      <c r="V252" s="69">
        <f>L252-X252</f>
        <v>200</v>
      </c>
    </row>
    <row r="253" spans="1:25" ht="15.8" customHeight="1">
      <c r="A253" s="203" t="s">
        <v>1652</v>
      </c>
      <c r="B253" s="183" t="s">
        <v>1651</v>
      </c>
      <c r="C253" s="203" t="s">
        <v>1652</v>
      </c>
      <c r="D253" s="277">
        <v>4500</v>
      </c>
      <c r="E253" s="277">
        <f t="shared" si="30"/>
        <v>5850</v>
      </c>
      <c r="F253" s="185" t="s">
        <v>550</v>
      </c>
      <c r="G253" s="278"/>
      <c r="H253" s="187" t="s">
        <v>901</v>
      </c>
      <c r="I253" s="188">
        <v>1</v>
      </c>
      <c r="J253" s="155"/>
      <c r="K253" s="160"/>
      <c r="L253" s="160"/>
      <c r="M253" s="160"/>
      <c r="N253" s="160"/>
      <c r="O253" s="160"/>
      <c r="P253" s="156"/>
      <c r="Q253" s="279"/>
      <c r="S253" s="62"/>
      <c r="V253" s="69"/>
    </row>
    <row r="254" spans="1:25" s="231" customFormat="1" ht="15.8" customHeight="1">
      <c r="A254" s="155" t="s">
        <v>756</v>
      </c>
      <c r="B254" s="296" t="s">
        <v>1653</v>
      </c>
      <c r="C254" s="299" t="s">
        <v>756</v>
      </c>
      <c r="D254" s="313">
        <v>9990</v>
      </c>
      <c r="E254" s="314">
        <f t="shared" si="30"/>
        <v>12987</v>
      </c>
      <c r="F254" s="299" t="s">
        <v>602</v>
      </c>
      <c r="G254" s="300" t="s">
        <v>1363</v>
      </c>
      <c r="H254" s="301" t="s">
        <v>554</v>
      </c>
      <c r="I254" s="315" t="s">
        <v>664</v>
      </c>
      <c r="J254" s="155" t="s">
        <v>602</v>
      </c>
      <c r="K254" s="160">
        <v>12987</v>
      </c>
      <c r="L254" s="160">
        <v>12987</v>
      </c>
      <c r="M254" s="160"/>
      <c r="N254" s="160"/>
      <c r="O254" s="160"/>
      <c r="P254" s="156" t="s">
        <v>664</v>
      </c>
      <c r="Q254" s="316"/>
      <c r="R254" s="231" t="str">
        <f t="shared" ref="R254:R277" si="31">IF(Q254="x",CONCATENATE(A254,"; "),"")</f>
        <v/>
      </c>
      <c r="S254" s="263" t="s">
        <v>554</v>
      </c>
      <c r="T254" s="231" t="str">
        <f t="shared" si="27"/>
        <v/>
      </c>
      <c r="V254" s="264">
        <f t="shared" ref="V254:V277" si="32">L254-X254</f>
        <v>12987</v>
      </c>
      <c r="W254" s="231">
        <v>9990</v>
      </c>
      <c r="Y254" s="327" t="s">
        <v>1877</v>
      </c>
    </row>
    <row r="255" spans="1:25" ht="15.8" customHeight="1">
      <c r="A255" s="1" t="s">
        <v>757</v>
      </c>
      <c r="B255" s="183" t="s">
        <v>1654</v>
      </c>
      <c r="C255" s="203" t="s">
        <v>757</v>
      </c>
      <c r="D255" s="184">
        <v>8625</v>
      </c>
      <c r="E255" s="178">
        <f t="shared" si="30"/>
        <v>11212.5</v>
      </c>
      <c r="F255" s="185" t="s">
        <v>88</v>
      </c>
      <c r="G255" s="186"/>
      <c r="H255" s="187" t="s">
        <v>551</v>
      </c>
      <c r="I255" s="188">
        <v>17</v>
      </c>
      <c r="J255" s="1" t="s">
        <v>88</v>
      </c>
      <c r="K255" s="67">
        <v>11250</v>
      </c>
      <c r="L255" s="251">
        <v>11200</v>
      </c>
      <c r="M255" s="67">
        <v>11400</v>
      </c>
      <c r="N255" s="67"/>
      <c r="O255" s="67">
        <v>11300</v>
      </c>
      <c r="P255" s="18" t="s">
        <v>1283</v>
      </c>
      <c r="Q255" s="71"/>
      <c r="R255" s="5" t="str">
        <f t="shared" si="31"/>
        <v/>
      </c>
      <c r="S255" s="62" t="s">
        <v>551</v>
      </c>
      <c r="T255" s="5" t="str">
        <f t="shared" si="27"/>
        <v/>
      </c>
      <c r="V255" s="69">
        <f t="shared" si="32"/>
        <v>11200</v>
      </c>
      <c r="W255" s="5">
        <v>8625</v>
      </c>
    </row>
    <row r="256" spans="1:25" ht="15.8" customHeight="1">
      <c r="A256" s="1" t="s">
        <v>758</v>
      </c>
      <c r="B256" s="196" t="s">
        <v>1655</v>
      </c>
      <c r="C256" s="197" t="s">
        <v>1656</v>
      </c>
      <c r="D256" s="198">
        <v>39900</v>
      </c>
      <c r="E256" s="178">
        <f t="shared" si="30"/>
        <v>51870</v>
      </c>
      <c r="F256" s="199" t="s">
        <v>759</v>
      </c>
      <c r="G256" s="200" t="s">
        <v>1363</v>
      </c>
      <c r="H256" s="201" t="s">
        <v>750</v>
      </c>
      <c r="I256" s="202">
        <v>10</v>
      </c>
      <c r="J256" s="1" t="s">
        <v>759</v>
      </c>
      <c r="K256" s="67">
        <v>52000</v>
      </c>
      <c r="L256" s="251">
        <v>49000</v>
      </c>
      <c r="M256" s="67"/>
      <c r="N256" s="67"/>
      <c r="O256" s="67">
        <v>49400</v>
      </c>
      <c r="P256" s="18" t="s">
        <v>1285</v>
      </c>
      <c r="Q256" s="71"/>
      <c r="R256" s="5" t="str">
        <f t="shared" si="31"/>
        <v/>
      </c>
      <c r="S256" s="62" t="s">
        <v>750</v>
      </c>
      <c r="T256" s="5" t="str">
        <f t="shared" si="27"/>
        <v/>
      </c>
      <c r="V256" s="69">
        <f t="shared" si="32"/>
        <v>49000</v>
      </c>
      <c r="W256" s="5">
        <v>39900</v>
      </c>
    </row>
    <row r="257" spans="1:25" s="7" customFormat="1" ht="15.8" customHeight="1">
      <c r="A257" s="1" t="s">
        <v>760</v>
      </c>
      <c r="B257" s="189" t="s">
        <v>1657</v>
      </c>
      <c r="C257" s="190" t="s">
        <v>1658</v>
      </c>
      <c r="D257" s="191">
        <v>16500</v>
      </c>
      <c r="E257" s="178">
        <f t="shared" si="30"/>
        <v>21450</v>
      </c>
      <c r="F257" s="192" t="s">
        <v>559</v>
      </c>
      <c r="G257" s="193" t="s">
        <v>1363</v>
      </c>
      <c r="H257" s="194" t="s">
        <v>575</v>
      </c>
      <c r="I257" s="195">
        <v>17</v>
      </c>
      <c r="J257" s="1" t="s">
        <v>559</v>
      </c>
      <c r="K257" s="67">
        <v>21450</v>
      </c>
      <c r="L257" s="251">
        <v>19400</v>
      </c>
      <c r="M257" s="67">
        <v>21400</v>
      </c>
      <c r="N257" s="67"/>
      <c r="O257" s="67">
        <v>19500</v>
      </c>
      <c r="P257" s="18" t="s">
        <v>1283</v>
      </c>
      <c r="Q257" s="71"/>
      <c r="R257" s="5" t="str">
        <f t="shared" si="31"/>
        <v/>
      </c>
      <c r="S257" s="62" t="s">
        <v>575</v>
      </c>
      <c r="T257" s="5" t="str">
        <f t="shared" si="27"/>
        <v/>
      </c>
      <c r="U257" s="5"/>
      <c r="V257" s="69">
        <f t="shared" si="32"/>
        <v>19400</v>
      </c>
      <c r="W257" s="5">
        <v>16500</v>
      </c>
      <c r="Y257" s="323"/>
    </row>
    <row r="258" spans="1:25" s="173" customFormat="1" ht="15.8" customHeight="1">
      <c r="A258" s="233" t="s">
        <v>761</v>
      </c>
      <c r="E258" s="237">
        <f t="shared" si="30"/>
        <v>0</v>
      </c>
      <c r="J258" s="233" t="s">
        <v>550</v>
      </c>
      <c r="K258" s="145">
        <v>4500</v>
      </c>
      <c r="L258" s="145">
        <v>4500</v>
      </c>
      <c r="M258" s="145">
        <v>1800</v>
      </c>
      <c r="N258" s="145">
        <v>1265</v>
      </c>
      <c r="O258" s="145">
        <v>4500</v>
      </c>
      <c r="P258" s="242" t="s">
        <v>254</v>
      </c>
      <c r="Q258" s="169"/>
      <c r="R258" s="173" t="str">
        <f t="shared" si="31"/>
        <v/>
      </c>
      <c r="S258" s="243" t="s">
        <v>476</v>
      </c>
      <c r="T258" s="173" t="str">
        <f t="shared" si="27"/>
        <v/>
      </c>
      <c r="V258" s="170">
        <f t="shared" si="32"/>
        <v>4500</v>
      </c>
      <c r="W258" s="173">
        <v>1430</v>
      </c>
      <c r="Y258" s="321" t="s">
        <v>900</v>
      </c>
    </row>
    <row r="259" spans="1:25" s="173" customFormat="1" ht="15.8" customHeight="1">
      <c r="A259" s="233" t="s">
        <v>762</v>
      </c>
      <c r="E259" s="237">
        <f t="shared" si="30"/>
        <v>0</v>
      </c>
      <c r="J259" s="233" t="s">
        <v>550</v>
      </c>
      <c r="K259" s="145">
        <v>0</v>
      </c>
      <c r="L259" s="145">
        <v>0</v>
      </c>
      <c r="M259" s="145">
        <v>2220</v>
      </c>
      <c r="N259" s="145"/>
      <c r="O259" s="145"/>
      <c r="P259" s="242" t="s">
        <v>254</v>
      </c>
      <c r="Q259" s="169"/>
      <c r="R259" s="173" t="str">
        <f t="shared" si="31"/>
        <v/>
      </c>
      <c r="S259" s="243" t="s">
        <v>548</v>
      </c>
      <c r="T259" s="173" t="str">
        <f t="shared" si="27"/>
        <v/>
      </c>
      <c r="V259" s="170">
        <f t="shared" si="32"/>
        <v>0</v>
      </c>
      <c r="W259" s="173">
        <v>0</v>
      </c>
      <c r="Y259" s="321"/>
    </row>
    <row r="260" spans="1:25" ht="15.8" customHeight="1">
      <c r="A260" s="1" t="s">
        <v>763</v>
      </c>
      <c r="B260" s="176" t="s">
        <v>1659</v>
      </c>
      <c r="C260" s="177" t="s">
        <v>1660</v>
      </c>
      <c r="D260" s="178">
        <v>12649.999999999998</v>
      </c>
      <c r="E260" s="178">
        <f t="shared" si="30"/>
        <v>16445</v>
      </c>
      <c r="F260" s="179" t="s">
        <v>567</v>
      </c>
      <c r="G260" s="180"/>
      <c r="H260" s="181" t="s">
        <v>551</v>
      </c>
      <c r="I260" s="182">
        <v>12</v>
      </c>
      <c r="J260" s="1" t="s">
        <v>567</v>
      </c>
      <c r="K260" s="67">
        <v>16500</v>
      </c>
      <c r="L260" s="67">
        <v>16500</v>
      </c>
      <c r="M260" s="67">
        <v>19300</v>
      </c>
      <c r="N260" s="5"/>
      <c r="O260" s="67">
        <v>17300</v>
      </c>
      <c r="P260" s="18" t="s">
        <v>1284</v>
      </c>
      <c r="Q260" s="71"/>
      <c r="R260" s="5" t="str">
        <f t="shared" si="31"/>
        <v/>
      </c>
      <c r="S260" s="62" t="s">
        <v>551</v>
      </c>
      <c r="T260" s="5" t="str">
        <f t="shared" si="27"/>
        <v/>
      </c>
      <c r="V260" s="69">
        <f t="shared" si="32"/>
        <v>16500</v>
      </c>
      <c r="W260" s="5">
        <v>12649.999999999998</v>
      </c>
    </row>
    <row r="261" spans="1:25" ht="15.8" customHeight="1">
      <c r="A261" s="1" t="s">
        <v>764</v>
      </c>
      <c r="B261" s="183" t="s">
        <v>1661</v>
      </c>
      <c r="C261" s="203" t="s">
        <v>1662</v>
      </c>
      <c r="D261" s="184">
        <v>12649.999999999998</v>
      </c>
      <c r="E261" s="178">
        <f t="shared" si="30"/>
        <v>16445</v>
      </c>
      <c r="F261" s="185" t="s">
        <v>567</v>
      </c>
      <c r="G261" s="186"/>
      <c r="H261" s="187" t="s">
        <v>551</v>
      </c>
      <c r="I261" s="188">
        <v>12</v>
      </c>
      <c r="J261" s="1" t="s">
        <v>567</v>
      </c>
      <c r="K261" s="67">
        <v>16500</v>
      </c>
      <c r="L261" s="251">
        <v>15000</v>
      </c>
      <c r="M261" s="67">
        <v>12700</v>
      </c>
      <c r="N261" s="67"/>
      <c r="O261" s="67">
        <v>15000</v>
      </c>
      <c r="P261" s="18" t="s">
        <v>1284</v>
      </c>
      <c r="Q261" s="71"/>
      <c r="R261" s="5" t="str">
        <f t="shared" si="31"/>
        <v/>
      </c>
      <c r="S261" s="62" t="s">
        <v>551</v>
      </c>
      <c r="T261" s="5" t="str">
        <f t="shared" si="27"/>
        <v/>
      </c>
      <c r="V261" s="69">
        <f t="shared" si="32"/>
        <v>15000</v>
      </c>
      <c r="W261" s="5">
        <v>12649.999999999998</v>
      </c>
    </row>
    <row r="262" spans="1:25" ht="15.8" customHeight="1">
      <c r="A262" s="1" t="s">
        <v>765</v>
      </c>
      <c r="B262" s="176" t="s">
        <v>1663</v>
      </c>
      <c r="C262" s="177" t="s">
        <v>1664</v>
      </c>
      <c r="D262" s="178">
        <v>20000</v>
      </c>
      <c r="E262" s="178">
        <f t="shared" si="30"/>
        <v>26000</v>
      </c>
      <c r="F262" s="179" t="s">
        <v>567</v>
      </c>
      <c r="G262" s="180"/>
      <c r="H262" s="181" t="s">
        <v>551</v>
      </c>
      <c r="I262" s="182">
        <v>12</v>
      </c>
      <c r="J262" s="1" t="s">
        <v>567</v>
      </c>
      <c r="K262" s="67">
        <v>26000</v>
      </c>
      <c r="L262" s="251">
        <v>24300</v>
      </c>
      <c r="M262" s="67">
        <v>24400</v>
      </c>
      <c r="N262" s="67"/>
      <c r="O262" s="67">
        <v>27900</v>
      </c>
      <c r="P262" s="18" t="s">
        <v>1284</v>
      </c>
      <c r="Q262" s="71"/>
      <c r="R262" s="5" t="str">
        <f t="shared" si="31"/>
        <v/>
      </c>
      <c r="S262" s="62" t="s">
        <v>551</v>
      </c>
      <c r="T262" s="5" t="str">
        <f t="shared" si="27"/>
        <v/>
      </c>
      <c r="V262" s="69">
        <f t="shared" si="32"/>
        <v>24300</v>
      </c>
      <c r="W262" s="5">
        <v>20000</v>
      </c>
    </row>
    <row r="263" spans="1:25" ht="15.8" customHeight="1">
      <c r="A263" s="1" t="s">
        <v>766</v>
      </c>
      <c r="B263" s="183" t="s">
        <v>1665</v>
      </c>
      <c r="C263" s="203" t="s">
        <v>1666</v>
      </c>
      <c r="D263" s="184">
        <v>24900</v>
      </c>
      <c r="E263" s="178">
        <f t="shared" si="30"/>
        <v>32370</v>
      </c>
      <c r="F263" s="185" t="s">
        <v>567</v>
      </c>
      <c r="G263" s="186"/>
      <c r="H263" s="187" t="s">
        <v>551</v>
      </c>
      <c r="I263" s="188">
        <v>12</v>
      </c>
      <c r="J263" s="1" t="s">
        <v>567</v>
      </c>
      <c r="K263" s="67">
        <v>32400</v>
      </c>
      <c r="L263" s="251">
        <v>29900</v>
      </c>
      <c r="M263" s="67">
        <v>30000</v>
      </c>
      <c r="N263" s="67"/>
      <c r="O263" s="67">
        <v>32000</v>
      </c>
      <c r="P263" s="18" t="s">
        <v>1284</v>
      </c>
      <c r="Q263" s="71"/>
      <c r="R263" s="5" t="str">
        <f t="shared" si="31"/>
        <v/>
      </c>
      <c r="S263" s="62" t="s">
        <v>551</v>
      </c>
      <c r="T263" s="5" t="str">
        <f t="shared" si="27"/>
        <v/>
      </c>
      <c r="V263" s="69">
        <f t="shared" si="32"/>
        <v>29900</v>
      </c>
      <c r="W263" s="5">
        <v>24900</v>
      </c>
    </row>
    <row r="264" spans="1:25" ht="15.8" customHeight="1">
      <c r="A264" s="1" t="s">
        <v>767</v>
      </c>
      <c r="B264" s="176" t="s">
        <v>1667</v>
      </c>
      <c r="C264" s="177" t="s">
        <v>1668</v>
      </c>
      <c r="D264" s="178">
        <v>6899.9999999999991</v>
      </c>
      <c r="E264" s="178">
        <f t="shared" si="30"/>
        <v>8970</v>
      </c>
      <c r="F264" s="179" t="s">
        <v>567</v>
      </c>
      <c r="G264" s="180"/>
      <c r="H264" s="181" t="s">
        <v>551</v>
      </c>
      <c r="I264" s="182">
        <v>12</v>
      </c>
      <c r="J264" s="1" t="s">
        <v>567</v>
      </c>
      <c r="K264" s="67">
        <v>8970</v>
      </c>
      <c r="L264" s="251">
        <v>8000</v>
      </c>
      <c r="M264" s="67"/>
      <c r="N264" s="67"/>
      <c r="O264" s="67">
        <v>8000</v>
      </c>
      <c r="P264" s="18" t="s">
        <v>1284</v>
      </c>
      <c r="Q264" s="71"/>
      <c r="R264" s="5" t="str">
        <f t="shared" si="31"/>
        <v/>
      </c>
      <c r="S264" s="62" t="s">
        <v>551</v>
      </c>
      <c r="T264" s="5" t="str">
        <f t="shared" si="27"/>
        <v/>
      </c>
      <c r="V264" s="69">
        <f t="shared" si="32"/>
        <v>8000</v>
      </c>
      <c r="W264" s="5">
        <v>6899.9999999999991</v>
      </c>
    </row>
    <row r="265" spans="1:25" ht="15.8" customHeight="1">
      <c r="A265" s="1" t="s">
        <v>768</v>
      </c>
      <c r="B265" s="183" t="s">
        <v>1669</v>
      </c>
      <c r="C265" s="203" t="s">
        <v>1670</v>
      </c>
      <c r="D265" s="184">
        <v>17900</v>
      </c>
      <c r="E265" s="178">
        <f t="shared" si="30"/>
        <v>23270</v>
      </c>
      <c r="F265" s="185" t="s">
        <v>567</v>
      </c>
      <c r="G265" s="186"/>
      <c r="H265" s="187" t="s">
        <v>551</v>
      </c>
      <c r="I265" s="188">
        <v>12</v>
      </c>
      <c r="J265" s="1" t="s">
        <v>567</v>
      </c>
      <c r="K265" s="67">
        <v>23270</v>
      </c>
      <c r="L265" s="251">
        <v>22500</v>
      </c>
      <c r="M265" s="67"/>
      <c r="N265" s="67"/>
      <c r="O265" s="67">
        <v>22900</v>
      </c>
      <c r="P265" s="18" t="s">
        <v>1284</v>
      </c>
      <c r="Q265" s="71"/>
      <c r="R265" s="5" t="str">
        <f t="shared" si="31"/>
        <v/>
      </c>
      <c r="S265" s="62" t="s">
        <v>551</v>
      </c>
      <c r="T265" s="5" t="str">
        <f t="shared" si="27"/>
        <v/>
      </c>
      <c r="V265" s="69">
        <f t="shared" si="32"/>
        <v>22500</v>
      </c>
      <c r="W265" s="5">
        <v>17900</v>
      </c>
    </row>
    <row r="266" spans="1:25" ht="15.8" customHeight="1">
      <c r="A266" s="1" t="s">
        <v>769</v>
      </c>
      <c r="B266" s="196" t="s">
        <v>1671</v>
      </c>
      <c r="C266" s="197" t="s">
        <v>769</v>
      </c>
      <c r="D266" s="198">
        <v>12900</v>
      </c>
      <c r="E266" s="178">
        <f t="shared" si="30"/>
        <v>16770</v>
      </c>
      <c r="F266" s="199" t="s">
        <v>567</v>
      </c>
      <c r="G266" s="200" t="s">
        <v>1363</v>
      </c>
      <c r="H266" s="201" t="s">
        <v>551</v>
      </c>
      <c r="I266" s="202">
        <v>5</v>
      </c>
      <c r="J266" s="1" t="s">
        <v>567</v>
      </c>
      <c r="K266" s="67">
        <v>16770</v>
      </c>
      <c r="L266" s="251">
        <v>16700</v>
      </c>
      <c r="M266" s="67">
        <v>24000</v>
      </c>
      <c r="N266" s="67"/>
      <c r="O266" s="67">
        <v>20500</v>
      </c>
      <c r="P266" s="18" t="s">
        <v>1284</v>
      </c>
      <c r="Q266" s="71"/>
      <c r="R266" s="5" t="str">
        <f t="shared" si="31"/>
        <v/>
      </c>
      <c r="S266" s="62" t="s">
        <v>551</v>
      </c>
      <c r="T266" s="5" t="str">
        <f t="shared" si="27"/>
        <v/>
      </c>
      <c r="V266" s="69">
        <f t="shared" si="32"/>
        <v>16700</v>
      </c>
      <c r="W266" s="5">
        <v>12900</v>
      </c>
    </row>
    <row r="267" spans="1:25" ht="15.8" customHeight="1">
      <c r="A267" s="1" t="s">
        <v>770</v>
      </c>
      <c r="B267" s="183" t="s">
        <v>1672</v>
      </c>
      <c r="C267" s="203" t="s">
        <v>1673</v>
      </c>
      <c r="D267" s="184">
        <v>16900</v>
      </c>
      <c r="E267" s="178">
        <f t="shared" si="30"/>
        <v>21970</v>
      </c>
      <c r="F267" s="185" t="s">
        <v>567</v>
      </c>
      <c r="G267" s="186"/>
      <c r="H267" s="187" t="s">
        <v>551</v>
      </c>
      <c r="I267" s="188">
        <v>12</v>
      </c>
      <c r="J267" s="1" t="s">
        <v>567</v>
      </c>
      <c r="K267" s="67">
        <v>21970</v>
      </c>
      <c r="L267" s="251">
        <v>21700</v>
      </c>
      <c r="M267" s="67">
        <v>24400</v>
      </c>
      <c r="N267" s="67"/>
      <c r="O267" s="67">
        <v>21700</v>
      </c>
      <c r="P267" s="18" t="s">
        <v>1284</v>
      </c>
      <c r="Q267" s="71"/>
      <c r="R267" s="5" t="str">
        <f t="shared" si="31"/>
        <v/>
      </c>
      <c r="S267" s="62" t="s">
        <v>551</v>
      </c>
      <c r="T267" s="5" t="str">
        <f t="shared" si="27"/>
        <v/>
      </c>
      <c r="V267" s="69">
        <f t="shared" si="32"/>
        <v>21700</v>
      </c>
      <c r="W267" s="5">
        <v>16900</v>
      </c>
    </row>
    <row r="268" spans="1:25" ht="15.8" customHeight="1">
      <c r="A268" s="1" t="s">
        <v>771</v>
      </c>
      <c r="B268" s="176" t="s">
        <v>1674</v>
      </c>
      <c r="C268" s="177" t="s">
        <v>1675</v>
      </c>
      <c r="D268" s="178">
        <v>6899.9999999999991</v>
      </c>
      <c r="E268" s="178">
        <f t="shared" si="30"/>
        <v>8970</v>
      </c>
      <c r="F268" s="179" t="s">
        <v>567</v>
      </c>
      <c r="G268" s="180"/>
      <c r="H268" s="181" t="s">
        <v>551</v>
      </c>
      <c r="I268" s="182">
        <v>12</v>
      </c>
      <c r="J268" s="1" t="s">
        <v>567</v>
      </c>
      <c r="K268" s="67">
        <v>8970</v>
      </c>
      <c r="L268" s="251">
        <v>8000</v>
      </c>
      <c r="M268" s="67">
        <v>6500</v>
      </c>
      <c r="N268" s="67"/>
      <c r="O268" s="67">
        <v>8000</v>
      </c>
      <c r="P268" s="18" t="s">
        <v>1284</v>
      </c>
      <c r="Q268" s="71"/>
      <c r="R268" s="5" t="str">
        <f t="shared" si="31"/>
        <v/>
      </c>
      <c r="S268" s="62" t="s">
        <v>551</v>
      </c>
      <c r="T268" s="5" t="str">
        <f t="shared" si="27"/>
        <v/>
      </c>
      <c r="V268" s="69">
        <f t="shared" si="32"/>
        <v>8000</v>
      </c>
      <c r="W268" s="5">
        <v>6899.9999999999991</v>
      </c>
    </row>
    <row r="269" spans="1:25" ht="15.8" customHeight="1">
      <c r="A269" s="1" t="s">
        <v>772</v>
      </c>
      <c r="B269" s="183" t="s">
        <v>1676</v>
      </c>
      <c r="C269" s="203" t="s">
        <v>1677</v>
      </c>
      <c r="D269" s="184">
        <v>15900</v>
      </c>
      <c r="E269" s="178">
        <f t="shared" si="30"/>
        <v>20670</v>
      </c>
      <c r="F269" s="185" t="s">
        <v>567</v>
      </c>
      <c r="G269" s="186"/>
      <c r="H269" s="187" t="s">
        <v>551</v>
      </c>
      <c r="I269" s="188">
        <v>12</v>
      </c>
      <c r="J269" s="1" t="s">
        <v>567</v>
      </c>
      <c r="K269" s="67">
        <v>20670</v>
      </c>
      <c r="L269" s="251">
        <v>19300</v>
      </c>
      <c r="M269" s="67">
        <v>19300</v>
      </c>
      <c r="N269" s="67"/>
      <c r="O269" s="67">
        <v>19500</v>
      </c>
      <c r="P269" s="18" t="s">
        <v>1284</v>
      </c>
      <c r="Q269" s="71"/>
      <c r="R269" s="5" t="str">
        <f t="shared" si="31"/>
        <v/>
      </c>
      <c r="S269" s="62" t="s">
        <v>551</v>
      </c>
      <c r="T269" s="5" t="str">
        <f t="shared" si="27"/>
        <v/>
      </c>
      <c r="V269" s="69">
        <f t="shared" si="32"/>
        <v>19300</v>
      </c>
      <c r="W269" s="5">
        <v>15900</v>
      </c>
    </row>
    <row r="270" spans="1:25" ht="15.8" customHeight="1">
      <c r="A270" s="1" t="s">
        <v>773</v>
      </c>
      <c r="B270" s="176" t="s">
        <v>1678</v>
      </c>
      <c r="C270" s="177" t="s">
        <v>1679</v>
      </c>
      <c r="D270" s="178">
        <v>12649.999999999998</v>
      </c>
      <c r="E270" s="178">
        <f t="shared" si="30"/>
        <v>16445</v>
      </c>
      <c r="F270" s="179" t="s">
        <v>567</v>
      </c>
      <c r="G270" s="180"/>
      <c r="H270" s="181" t="s">
        <v>551</v>
      </c>
      <c r="I270" s="182">
        <v>12</v>
      </c>
      <c r="J270" s="1" t="s">
        <v>567</v>
      </c>
      <c r="K270" s="67">
        <v>16500</v>
      </c>
      <c r="L270" s="251">
        <v>14900</v>
      </c>
      <c r="M270" s="5">
        <v>15000</v>
      </c>
      <c r="N270" s="67"/>
      <c r="O270" s="67">
        <v>14900</v>
      </c>
      <c r="P270" s="18" t="s">
        <v>1284</v>
      </c>
      <c r="Q270" s="71"/>
      <c r="R270" s="5" t="str">
        <f t="shared" si="31"/>
        <v/>
      </c>
      <c r="S270" s="62" t="s">
        <v>551</v>
      </c>
      <c r="T270" s="5" t="str">
        <f t="shared" si="27"/>
        <v/>
      </c>
      <c r="V270" s="69">
        <f t="shared" si="32"/>
        <v>14900</v>
      </c>
      <c r="W270" s="5">
        <v>12649.999999999998</v>
      </c>
    </row>
    <row r="271" spans="1:25" ht="15.8" customHeight="1">
      <c r="A271" s="1" t="s">
        <v>774</v>
      </c>
      <c r="B271" s="183" t="s">
        <v>1680</v>
      </c>
      <c r="C271" s="203" t="s">
        <v>774</v>
      </c>
      <c r="D271" s="184">
        <v>6400</v>
      </c>
      <c r="E271" s="178">
        <f t="shared" si="30"/>
        <v>8320</v>
      </c>
      <c r="F271" s="185" t="s">
        <v>602</v>
      </c>
      <c r="G271" s="186"/>
      <c r="H271" s="187" t="s">
        <v>551</v>
      </c>
      <c r="I271" s="188">
        <v>17</v>
      </c>
      <c r="J271" s="1" t="s">
        <v>602</v>
      </c>
      <c r="K271" s="67">
        <v>8000</v>
      </c>
      <c r="L271" s="67">
        <v>8000</v>
      </c>
      <c r="M271" s="67">
        <v>11100</v>
      </c>
      <c r="N271" s="67">
        <v>8280</v>
      </c>
      <c r="O271" s="67">
        <v>8000</v>
      </c>
      <c r="P271" s="18" t="s">
        <v>1283</v>
      </c>
      <c r="Q271" s="71"/>
      <c r="R271" s="5" t="str">
        <f t="shared" si="31"/>
        <v/>
      </c>
      <c r="S271" s="62" t="s">
        <v>551</v>
      </c>
      <c r="T271" s="5" t="str">
        <f t="shared" si="27"/>
        <v/>
      </c>
      <c r="V271" s="69">
        <f t="shared" si="32"/>
        <v>8000</v>
      </c>
      <c r="W271" s="5">
        <v>6400</v>
      </c>
    </row>
    <row r="272" spans="1:25" s="173" customFormat="1" ht="15.8" customHeight="1">
      <c r="A272" s="281" t="s">
        <v>775</v>
      </c>
      <c r="B272" s="265" t="s">
        <v>1681</v>
      </c>
      <c r="C272" s="285" t="s">
        <v>775</v>
      </c>
      <c r="D272" s="237">
        <v>4500</v>
      </c>
      <c r="E272" s="237">
        <f t="shared" si="30"/>
        <v>5850</v>
      </c>
      <c r="F272" s="266" t="s">
        <v>607</v>
      </c>
      <c r="G272" s="267"/>
      <c r="H272" s="268" t="s">
        <v>608</v>
      </c>
      <c r="I272" s="330" t="s">
        <v>350</v>
      </c>
      <c r="J272" s="281" t="s">
        <v>607</v>
      </c>
      <c r="K272" s="283">
        <v>5850</v>
      </c>
      <c r="L272" s="283">
        <v>5850</v>
      </c>
      <c r="M272" s="283"/>
      <c r="N272" s="283"/>
      <c r="O272" s="283"/>
      <c r="P272" s="284" t="s">
        <v>350</v>
      </c>
      <c r="Q272" s="169"/>
      <c r="R272" s="173" t="str">
        <f t="shared" si="31"/>
        <v/>
      </c>
      <c r="S272" s="243" t="s">
        <v>608</v>
      </c>
      <c r="T272" s="173" t="str">
        <f t="shared" si="27"/>
        <v/>
      </c>
      <c r="V272" s="170">
        <f t="shared" si="32"/>
        <v>5850</v>
      </c>
      <c r="W272" s="173">
        <v>4500</v>
      </c>
      <c r="Y272" s="321"/>
    </row>
    <row r="273" spans="1:25" s="173" customFormat="1" ht="15.8" customHeight="1">
      <c r="A273" s="281" t="s">
        <v>776</v>
      </c>
      <c r="B273" s="270" t="s">
        <v>1682</v>
      </c>
      <c r="C273" s="271" t="s">
        <v>776</v>
      </c>
      <c r="D273" s="272">
        <v>4500</v>
      </c>
      <c r="E273" s="237">
        <f t="shared" si="30"/>
        <v>5850</v>
      </c>
      <c r="F273" s="273" t="s">
        <v>607</v>
      </c>
      <c r="G273" s="274"/>
      <c r="H273" s="275" t="s">
        <v>608</v>
      </c>
      <c r="I273" s="331" t="s">
        <v>350</v>
      </c>
      <c r="J273" s="281" t="s">
        <v>607</v>
      </c>
      <c r="K273" s="283">
        <v>5850</v>
      </c>
      <c r="L273" s="283">
        <v>5850</v>
      </c>
      <c r="M273" s="283"/>
      <c r="N273" s="283"/>
      <c r="O273" s="283"/>
      <c r="P273" s="284" t="s">
        <v>350</v>
      </c>
      <c r="Q273" s="169"/>
      <c r="R273" s="173" t="str">
        <f t="shared" si="31"/>
        <v/>
      </c>
      <c r="S273" s="243" t="s">
        <v>608</v>
      </c>
      <c r="T273" s="173" t="str">
        <f t="shared" si="27"/>
        <v/>
      </c>
      <c r="V273" s="170">
        <f t="shared" si="32"/>
        <v>5850</v>
      </c>
      <c r="W273" s="173">
        <v>4500</v>
      </c>
      <c r="Y273" s="321"/>
    </row>
    <row r="274" spans="1:25" ht="15.8" customHeight="1">
      <c r="A274" s="1" t="s">
        <v>777</v>
      </c>
      <c r="B274" s="176" t="s">
        <v>1683</v>
      </c>
      <c r="C274" s="177" t="s">
        <v>777</v>
      </c>
      <c r="D274" s="178">
        <v>9200</v>
      </c>
      <c r="E274" s="178">
        <f t="shared" si="30"/>
        <v>11960</v>
      </c>
      <c r="F274" s="179" t="s">
        <v>553</v>
      </c>
      <c r="G274" s="180"/>
      <c r="H274" s="181" t="s">
        <v>778</v>
      </c>
      <c r="I274" s="182">
        <v>3</v>
      </c>
      <c r="J274" s="1" t="s">
        <v>553</v>
      </c>
      <c r="K274" s="67">
        <v>11960</v>
      </c>
      <c r="L274" s="251">
        <v>11900</v>
      </c>
      <c r="M274" s="67"/>
      <c r="N274" s="67"/>
      <c r="O274" s="67">
        <v>12500</v>
      </c>
      <c r="P274" s="18" t="s">
        <v>587</v>
      </c>
      <c r="Q274" s="71"/>
      <c r="R274" s="5" t="str">
        <f t="shared" si="31"/>
        <v/>
      </c>
      <c r="S274" s="62" t="s">
        <v>778</v>
      </c>
      <c r="T274" s="5" t="str">
        <f t="shared" si="27"/>
        <v/>
      </c>
      <c r="V274" s="69">
        <f t="shared" si="32"/>
        <v>11900</v>
      </c>
      <c r="W274" s="5">
        <v>9200</v>
      </c>
    </row>
    <row r="275" spans="1:25" s="7" customFormat="1" ht="15.8" customHeight="1">
      <c r="A275" s="1" t="s">
        <v>779</v>
      </c>
      <c r="B275" s="183" t="s">
        <v>1684</v>
      </c>
      <c r="C275" s="203" t="s">
        <v>779</v>
      </c>
      <c r="D275" s="184">
        <v>9200</v>
      </c>
      <c r="E275" s="178">
        <f t="shared" si="30"/>
        <v>11960</v>
      </c>
      <c r="F275" s="185" t="s">
        <v>553</v>
      </c>
      <c r="G275" s="186"/>
      <c r="H275" s="187" t="s">
        <v>778</v>
      </c>
      <c r="I275" s="188">
        <v>3</v>
      </c>
      <c r="J275" s="1" t="s">
        <v>553</v>
      </c>
      <c r="K275" s="67">
        <v>11960</v>
      </c>
      <c r="L275" s="251">
        <v>11900</v>
      </c>
      <c r="M275" s="67"/>
      <c r="N275" s="67"/>
      <c r="O275" s="67">
        <v>12500</v>
      </c>
      <c r="P275" s="18" t="s">
        <v>587</v>
      </c>
      <c r="Q275" s="71"/>
      <c r="R275" s="5" t="str">
        <f t="shared" si="31"/>
        <v/>
      </c>
      <c r="S275" s="62" t="s">
        <v>778</v>
      </c>
      <c r="T275" s="5" t="str">
        <f t="shared" si="27"/>
        <v/>
      </c>
      <c r="U275" s="5"/>
      <c r="V275" s="69">
        <f t="shared" si="32"/>
        <v>11900</v>
      </c>
      <c r="W275" s="5">
        <v>9200</v>
      </c>
      <c r="Y275" s="323"/>
    </row>
    <row r="276" spans="1:25" s="7" customFormat="1" ht="15.8" customHeight="1">
      <c r="A276" s="1" t="s">
        <v>780</v>
      </c>
      <c r="B276" s="176" t="s">
        <v>1685</v>
      </c>
      <c r="C276" s="177" t="s">
        <v>780</v>
      </c>
      <c r="D276" s="178">
        <v>12649.999999999998</v>
      </c>
      <c r="E276" s="178">
        <f t="shared" si="30"/>
        <v>16445</v>
      </c>
      <c r="F276" s="179" t="s">
        <v>553</v>
      </c>
      <c r="G276" s="180"/>
      <c r="H276" s="181" t="s">
        <v>604</v>
      </c>
      <c r="I276" s="182">
        <v>7</v>
      </c>
      <c r="J276" s="1" t="s">
        <v>553</v>
      </c>
      <c r="K276" s="67">
        <v>16450</v>
      </c>
      <c r="L276" s="251">
        <v>16400</v>
      </c>
      <c r="M276" s="67"/>
      <c r="N276" s="67"/>
      <c r="O276" s="67">
        <v>21800</v>
      </c>
      <c r="P276" s="18" t="s">
        <v>584</v>
      </c>
      <c r="Q276" s="71"/>
      <c r="R276" s="5" t="str">
        <f t="shared" si="31"/>
        <v/>
      </c>
      <c r="S276" s="62" t="s">
        <v>604</v>
      </c>
      <c r="T276" s="5" t="str">
        <f t="shared" si="27"/>
        <v/>
      </c>
      <c r="U276" s="5"/>
      <c r="V276" s="69">
        <f t="shared" si="32"/>
        <v>16400</v>
      </c>
      <c r="W276" s="5">
        <v>12649.999999999998</v>
      </c>
      <c r="Y276" s="323"/>
    </row>
    <row r="277" spans="1:25" s="7" customFormat="1" ht="15.8" customHeight="1">
      <c r="A277" s="1" t="s">
        <v>781</v>
      </c>
      <c r="B277" s="183" t="s">
        <v>1686</v>
      </c>
      <c r="C277" s="203" t="s">
        <v>781</v>
      </c>
      <c r="D277" s="184">
        <v>7000</v>
      </c>
      <c r="E277" s="178">
        <f t="shared" si="30"/>
        <v>9100</v>
      </c>
      <c r="F277" s="185" t="s">
        <v>602</v>
      </c>
      <c r="G277" s="186"/>
      <c r="H277" s="213" t="s">
        <v>551</v>
      </c>
      <c r="I277" s="188">
        <v>5</v>
      </c>
      <c r="J277" s="1" t="s">
        <v>602</v>
      </c>
      <c r="K277" s="67">
        <v>9100</v>
      </c>
      <c r="L277" s="251">
        <v>9000</v>
      </c>
      <c r="M277" s="67">
        <v>11100</v>
      </c>
      <c r="N277" s="67"/>
      <c r="O277" s="67"/>
      <c r="P277" s="18" t="s">
        <v>1278</v>
      </c>
      <c r="Q277" s="71"/>
      <c r="R277" s="5" t="str">
        <f t="shared" si="31"/>
        <v/>
      </c>
      <c r="S277" s="62" t="s">
        <v>551</v>
      </c>
      <c r="T277" s="5" t="str">
        <f t="shared" si="27"/>
        <v/>
      </c>
      <c r="U277" s="5"/>
      <c r="V277" s="69">
        <f t="shared" si="32"/>
        <v>9000</v>
      </c>
      <c r="W277" s="5">
        <v>7000</v>
      </c>
      <c r="Y277" s="323"/>
    </row>
    <row r="278" spans="1:25" s="286" customFormat="1" ht="15.8" customHeight="1">
      <c r="A278" s="288" t="s">
        <v>1688</v>
      </c>
      <c r="B278" s="332" t="s">
        <v>1687</v>
      </c>
      <c r="C278" s="288" t="s">
        <v>1688</v>
      </c>
      <c r="D278" s="221">
        <v>4600</v>
      </c>
      <c r="E278" s="221">
        <f t="shared" si="30"/>
        <v>5980</v>
      </c>
      <c r="F278" s="289" t="s">
        <v>553</v>
      </c>
      <c r="G278" s="290"/>
      <c r="H278" s="291" t="s">
        <v>554</v>
      </c>
      <c r="I278" s="292">
        <v>5</v>
      </c>
      <c r="J278" s="155"/>
      <c r="K278" s="160"/>
      <c r="L278" s="160"/>
      <c r="M278" s="160"/>
      <c r="N278" s="160"/>
      <c r="O278" s="160"/>
      <c r="P278" s="156"/>
      <c r="Q278" s="262"/>
      <c r="R278" s="231"/>
      <c r="S278" s="295"/>
      <c r="T278" s="231"/>
      <c r="U278" s="231"/>
      <c r="V278" s="264"/>
      <c r="W278" s="231"/>
      <c r="Y278" s="329"/>
    </row>
    <row r="279" spans="1:25" s="286" customFormat="1" ht="15.8" customHeight="1">
      <c r="A279" s="260" t="s">
        <v>1690</v>
      </c>
      <c r="B279" s="333" t="s">
        <v>1689</v>
      </c>
      <c r="C279" s="260" t="s">
        <v>1690</v>
      </c>
      <c r="D279" s="220">
        <v>4600</v>
      </c>
      <c r="E279" s="221">
        <f t="shared" si="30"/>
        <v>5980</v>
      </c>
      <c r="F279" s="222" t="s">
        <v>553</v>
      </c>
      <c r="G279" s="223"/>
      <c r="H279" s="224" t="s">
        <v>554</v>
      </c>
      <c r="I279" s="225">
        <v>5</v>
      </c>
      <c r="J279" s="155"/>
      <c r="K279" s="160"/>
      <c r="L279" s="160"/>
      <c r="M279" s="160"/>
      <c r="N279" s="160"/>
      <c r="O279" s="160"/>
      <c r="P279" s="156"/>
      <c r="Q279" s="262"/>
      <c r="R279" s="231"/>
      <c r="S279" s="295"/>
      <c r="T279" s="231"/>
      <c r="U279" s="231"/>
      <c r="V279" s="264"/>
      <c r="W279" s="231"/>
      <c r="Y279" s="329"/>
    </row>
    <row r="280" spans="1:25" s="7" customFormat="1" ht="15.8" customHeight="1">
      <c r="A280" s="1" t="s">
        <v>782</v>
      </c>
      <c r="B280" s="176" t="s">
        <v>1691</v>
      </c>
      <c r="C280" s="177" t="s">
        <v>782</v>
      </c>
      <c r="D280" s="178">
        <v>7474.9999999999991</v>
      </c>
      <c r="E280" s="178">
        <f t="shared" si="30"/>
        <v>9717.5</v>
      </c>
      <c r="F280" s="179" t="s">
        <v>602</v>
      </c>
      <c r="G280" s="180"/>
      <c r="H280" s="181" t="s">
        <v>551</v>
      </c>
      <c r="I280" s="182">
        <v>5</v>
      </c>
      <c r="J280" s="1" t="s">
        <v>602</v>
      </c>
      <c r="K280" s="67">
        <v>9780</v>
      </c>
      <c r="L280" s="251">
        <v>8200</v>
      </c>
      <c r="M280" s="67">
        <v>12100</v>
      </c>
      <c r="N280" s="67">
        <v>8280</v>
      </c>
      <c r="O280" s="67">
        <v>9000</v>
      </c>
      <c r="P280" s="18" t="s">
        <v>1278</v>
      </c>
      <c r="Q280" s="71"/>
      <c r="R280" s="5" t="str">
        <f t="shared" ref="R280:R317" si="33">IF(Q280="x",CONCATENATE(A280,"; "),"")</f>
        <v/>
      </c>
      <c r="S280" s="62" t="s">
        <v>551</v>
      </c>
      <c r="T280" s="5" t="str">
        <f t="shared" si="27"/>
        <v/>
      </c>
      <c r="U280" s="5"/>
      <c r="V280" s="69">
        <f t="shared" ref="V280:V317" si="34">L280-X280</f>
        <v>8200</v>
      </c>
      <c r="W280" s="5">
        <v>7474.9999999999991</v>
      </c>
      <c r="Y280" s="323"/>
    </row>
    <row r="281" spans="1:25" s="7" customFormat="1" ht="15.8" customHeight="1">
      <c r="A281" s="1" t="s">
        <v>783</v>
      </c>
      <c r="B281" s="183" t="s">
        <v>1692</v>
      </c>
      <c r="C281" s="203" t="s">
        <v>783</v>
      </c>
      <c r="D281" s="184">
        <v>18400</v>
      </c>
      <c r="E281" s="178">
        <f t="shared" si="30"/>
        <v>23920</v>
      </c>
      <c r="F281" s="185" t="s">
        <v>88</v>
      </c>
      <c r="G281" s="186"/>
      <c r="H281" s="187" t="s">
        <v>551</v>
      </c>
      <c r="I281" s="188">
        <v>17</v>
      </c>
      <c r="J281" s="1" t="s">
        <v>88</v>
      </c>
      <c r="K281" s="67">
        <v>23920</v>
      </c>
      <c r="L281" s="251">
        <v>22200</v>
      </c>
      <c r="M281" s="67"/>
      <c r="N281" s="67"/>
      <c r="O281" s="67">
        <v>22300</v>
      </c>
      <c r="P281" s="18" t="s">
        <v>1283</v>
      </c>
      <c r="Q281" s="71"/>
      <c r="R281" s="5" t="str">
        <f t="shared" si="33"/>
        <v/>
      </c>
      <c r="S281" s="62" t="s">
        <v>551</v>
      </c>
      <c r="T281" s="5" t="str">
        <f t="shared" si="27"/>
        <v/>
      </c>
      <c r="U281" s="5"/>
      <c r="V281" s="69">
        <f t="shared" si="34"/>
        <v>22200</v>
      </c>
      <c r="W281" s="5">
        <v>18400</v>
      </c>
      <c r="Y281" s="323"/>
    </row>
    <row r="282" spans="1:25" s="7" customFormat="1" ht="15.8" customHeight="1">
      <c r="A282" s="1" t="s">
        <v>21</v>
      </c>
      <c r="B282" s="196" t="s">
        <v>1693</v>
      </c>
      <c r="C282" s="197" t="s">
        <v>21</v>
      </c>
      <c r="D282" s="198">
        <v>135</v>
      </c>
      <c r="E282" s="178">
        <f t="shared" si="30"/>
        <v>175.5</v>
      </c>
      <c r="F282" s="199" t="s">
        <v>550</v>
      </c>
      <c r="G282" s="200" t="s">
        <v>1363</v>
      </c>
      <c r="H282" s="201" t="s">
        <v>551</v>
      </c>
      <c r="I282" s="202">
        <v>1</v>
      </c>
      <c r="J282" s="1" t="s">
        <v>550</v>
      </c>
      <c r="K282" s="67">
        <v>200</v>
      </c>
      <c r="L282" s="67">
        <v>200</v>
      </c>
      <c r="M282" s="67">
        <v>290</v>
      </c>
      <c r="N282" s="67">
        <v>198</v>
      </c>
      <c r="O282" s="67">
        <v>800</v>
      </c>
      <c r="P282" s="18" t="s">
        <v>254</v>
      </c>
      <c r="Q282" s="71"/>
      <c r="R282" s="5" t="str">
        <f t="shared" si="33"/>
        <v/>
      </c>
      <c r="S282" s="62" t="s">
        <v>551</v>
      </c>
      <c r="T282" s="5" t="str">
        <f t="shared" ref="T282:T352" si="35">IF(Q282="x",S282,"")</f>
        <v/>
      </c>
      <c r="U282" s="5"/>
      <c r="V282" s="69">
        <f t="shared" si="34"/>
        <v>200</v>
      </c>
      <c r="W282" s="5">
        <v>120</v>
      </c>
      <c r="Y282" s="323"/>
    </row>
    <row r="283" spans="1:25" s="286" customFormat="1" ht="15.8" customHeight="1">
      <c r="A283" s="155" t="s">
        <v>784</v>
      </c>
      <c r="B283" s="218" t="s">
        <v>1694</v>
      </c>
      <c r="C283" s="260" t="s">
        <v>784</v>
      </c>
      <c r="D283" s="220">
        <v>4485</v>
      </c>
      <c r="E283" s="221">
        <f t="shared" si="30"/>
        <v>5830.5</v>
      </c>
      <c r="F283" s="222" t="s">
        <v>553</v>
      </c>
      <c r="G283" s="223"/>
      <c r="H283" s="224" t="s">
        <v>554</v>
      </c>
      <c r="I283" s="225">
        <v>5</v>
      </c>
      <c r="J283" s="155" t="s">
        <v>553</v>
      </c>
      <c r="K283" s="160">
        <v>5900</v>
      </c>
      <c r="L283" s="160">
        <v>5900</v>
      </c>
      <c r="M283" s="160"/>
      <c r="N283" s="160"/>
      <c r="O283" s="160"/>
      <c r="P283" s="156" t="s">
        <v>1278</v>
      </c>
      <c r="Q283" s="262"/>
      <c r="R283" s="231" t="str">
        <f t="shared" si="33"/>
        <v/>
      </c>
      <c r="S283" s="263" t="s">
        <v>554</v>
      </c>
      <c r="T283" s="231" t="str">
        <f t="shared" si="35"/>
        <v/>
      </c>
      <c r="U283" s="231"/>
      <c r="V283" s="264">
        <f t="shared" si="34"/>
        <v>5900</v>
      </c>
      <c r="W283" s="231">
        <v>4485</v>
      </c>
      <c r="Y283" s="329"/>
    </row>
    <row r="284" spans="1:25" s="7" customFormat="1" ht="15.8" customHeight="1">
      <c r="A284" s="1" t="s">
        <v>785</v>
      </c>
      <c r="B284" s="176" t="s">
        <v>1695</v>
      </c>
      <c r="C284" s="177" t="s">
        <v>1696</v>
      </c>
      <c r="D284" s="178">
        <v>4485</v>
      </c>
      <c r="E284" s="178">
        <f t="shared" si="30"/>
        <v>5830.5</v>
      </c>
      <c r="F284" s="179" t="s">
        <v>553</v>
      </c>
      <c r="G284" s="180"/>
      <c r="H284" s="181" t="s">
        <v>634</v>
      </c>
      <c r="I284" s="182">
        <v>5</v>
      </c>
      <c r="J284" s="1" t="s">
        <v>553</v>
      </c>
      <c r="K284" s="67">
        <v>5900</v>
      </c>
      <c r="L284" s="67">
        <v>5900</v>
      </c>
      <c r="M284" s="67"/>
      <c r="N284" s="67"/>
      <c r="O284" s="67">
        <v>8000</v>
      </c>
      <c r="P284" s="18" t="s">
        <v>1278</v>
      </c>
      <c r="Q284" s="71"/>
      <c r="R284" s="5" t="str">
        <f t="shared" si="33"/>
        <v/>
      </c>
      <c r="S284" s="62" t="s">
        <v>634</v>
      </c>
      <c r="T284" s="5" t="str">
        <f t="shared" si="35"/>
        <v/>
      </c>
      <c r="U284" s="5"/>
      <c r="V284" s="69">
        <f t="shared" si="34"/>
        <v>5900</v>
      </c>
      <c r="W284" s="5">
        <v>4485</v>
      </c>
      <c r="Y284" s="323"/>
    </row>
    <row r="285" spans="1:25" s="7" customFormat="1" ht="15.8" customHeight="1">
      <c r="A285" s="253" t="s">
        <v>786</v>
      </c>
      <c r="B285" s="183" t="s">
        <v>1697</v>
      </c>
      <c r="C285" s="203" t="s">
        <v>1698</v>
      </c>
      <c r="D285" s="184">
        <v>175000</v>
      </c>
      <c r="E285" s="178">
        <f t="shared" si="30"/>
        <v>227500</v>
      </c>
      <c r="F285" s="185" t="s">
        <v>787</v>
      </c>
      <c r="G285" s="186"/>
      <c r="H285" s="187" t="s">
        <v>788</v>
      </c>
      <c r="I285" s="188">
        <v>14</v>
      </c>
      <c r="J285" s="253" t="s">
        <v>787</v>
      </c>
      <c r="K285" s="254">
        <v>227500</v>
      </c>
      <c r="L285" s="251">
        <v>212000</v>
      </c>
      <c r="N285" s="67"/>
      <c r="O285" s="67">
        <v>215000</v>
      </c>
      <c r="P285" s="255" t="s">
        <v>563</v>
      </c>
      <c r="Q285" s="71"/>
      <c r="R285" s="5" t="str">
        <f t="shared" si="33"/>
        <v/>
      </c>
      <c r="S285" s="70" t="s">
        <v>788</v>
      </c>
      <c r="T285" s="5" t="str">
        <f t="shared" si="35"/>
        <v/>
      </c>
      <c r="U285" s="5"/>
      <c r="V285" s="69" t="e">
        <f>#REF!-X285</f>
        <v>#REF!</v>
      </c>
      <c r="W285" s="5">
        <v>175000</v>
      </c>
      <c r="Y285" s="323"/>
    </row>
    <row r="286" spans="1:25" s="7" customFormat="1" ht="15.8" customHeight="1">
      <c r="A286" s="253" t="s">
        <v>789</v>
      </c>
      <c r="B286" s="176" t="s">
        <v>1699</v>
      </c>
      <c r="C286" s="177" t="s">
        <v>1700</v>
      </c>
      <c r="D286" s="178">
        <v>29094.999999999996</v>
      </c>
      <c r="E286" s="178">
        <f t="shared" si="30"/>
        <v>37823.5</v>
      </c>
      <c r="F286" s="179" t="s">
        <v>88</v>
      </c>
      <c r="G286" s="180"/>
      <c r="H286" s="181" t="s">
        <v>627</v>
      </c>
      <c r="I286" s="182">
        <v>5</v>
      </c>
      <c r="J286" s="253" t="s">
        <v>88</v>
      </c>
      <c r="K286" s="254">
        <v>37824</v>
      </c>
      <c r="L286" s="251">
        <v>34000</v>
      </c>
      <c r="M286" s="67">
        <v>41700</v>
      </c>
      <c r="N286" s="67"/>
      <c r="O286" s="67">
        <v>34500</v>
      </c>
      <c r="P286" s="255" t="s">
        <v>555</v>
      </c>
      <c r="Q286" s="71"/>
      <c r="R286" s="5" t="str">
        <f t="shared" si="33"/>
        <v/>
      </c>
      <c r="S286" s="70" t="s">
        <v>627</v>
      </c>
      <c r="T286" s="5" t="str">
        <f t="shared" si="35"/>
        <v/>
      </c>
      <c r="U286" s="5"/>
      <c r="V286" s="69">
        <f t="shared" si="34"/>
        <v>34000</v>
      </c>
      <c r="W286" s="5">
        <v>29094.999999999996</v>
      </c>
      <c r="Y286" s="323"/>
    </row>
    <row r="287" spans="1:25" s="7" customFormat="1" ht="15.8" customHeight="1">
      <c r="A287" s="1" t="s">
        <v>790</v>
      </c>
      <c r="B287" s="183" t="s">
        <v>1701</v>
      </c>
      <c r="C287" s="203" t="s">
        <v>790</v>
      </c>
      <c r="D287" s="184">
        <v>0</v>
      </c>
      <c r="E287" s="178">
        <f t="shared" si="30"/>
        <v>0</v>
      </c>
      <c r="F287" s="185" t="s">
        <v>550</v>
      </c>
      <c r="G287" s="186"/>
      <c r="H287" s="187" t="s">
        <v>551</v>
      </c>
      <c r="I287" s="188">
        <v>1</v>
      </c>
      <c r="J287" s="1" t="s">
        <v>550</v>
      </c>
      <c r="K287" s="67">
        <v>0</v>
      </c>
      <c r="L287" s="67">
        <v>0</v>
      </c>
      <c r="M287" s="67"/>
      <c r="N287" s="67"/>
      <c r="O287" s="67"/>
      <c r="P287" s="18" t="s">
        <v>254</v>
      </c>
      <c r="Q287" s="71"/>
      <c r="R287" s="5" t="str">
        <f t="shared" si="33"/>
        <v/>
      </c>
      <c r="S287" s="62" t="s">
        <v>551</v>
      </c>
      <c r="T287" s="5" t="str">
        <f t="shared" si="35"/>
        <v/>
      </c>
      <c r="U287" s="5"/>
      <c r="V287" s="69">
        <f t="shared" si="34"/>
        <v>0</v>
      </c>
      <c r="W287" s="5">
        <v>0</v>
      </c>
      <c r="Y287" s="323"/>
    </row>
    <row r="288" spans="1:25" s="7" customFormat="1" ht="15.8" customHeight="1">
      <c r="A288" s="1" t="s">
        <v>791</v>
      </c>
      <c r="B288" s="196" t="s">
        <v>1702</v>
      </c>
      <c r="C288" s="197" t="s">
        <v>791</v>
      </c>
      <c r="D288" s="198">
        <v>4500</v>
      </c>
      <c r="E288" s="178">
        <f t="shared" si="30"/>
        <v>5850</v>
      </c>
      <c r="F288" s="199" t="s">
        <v>559</v>
      </c>
      <c r="G288" s="200" t="s">
        <v>1363</v>
      </c>
      <c r="H288" s="201" t="s">
        <v>551</v>
      </c>
      <c r="I288" s="202">
        <v>17</v>
      </c>
      <c r="J288" s="1" t="s">
        <v>559</v>
      </c>
      <c r="K288" s="67">
        <v>5850</v>
      </c>
      <c r="L288" s="251">
        <v>5500</v>
      </c>
      <c r="M288" s="67">
        <v>7100</v>
      </c>
      <c r="N288" s="67"/>
      <c r="O288" s="7">
        <v>5500</v>
      </c>
      <c r="P288" s="18" t="s">
        <v>1283</v>
      </c>
      <c r="Q288" s="71"/>
      <c r="R288" s="5" t="str">
        <f t="shared" si="33"/>
        <v/>
      </c>
      <c r="S288" s="62" t="s">
        <v>551</v>
      </c>
      <c r="T288" s="5" t="str">
        <f t="shared" si="35"/>
        <v/>
      </c>
      <c r="U288" s="5"/>
      <c r="V288" s="69">
        <f t="shared" si="34"/>
        <v>5500</v>
      </c>
      <c r="W288" s="5">
        <v>4500</v>
      </c>
      <c r="Y288" s="323"/>
    </row>
    <row r="289" spans="1:25" s="81" customFormat="1" ht="15.8" customHeight="1">
      <c r="A289" s="233" t="s">
        <v>792</v>
      </c>
      <c r="B289" s="270" t="s">
        <v>792</v>
      </c>
      <c r="C289" s="271" t="s">
        <v>1703</v>
      </c>
      <c r="D289" s="272">
        <v>8000</v>
      </c>
      <c r="E289" s="237">
        <f t="shared" si="30"/>
        <v>10400</v>
      </c>
      <c r="F289" s="273" t="s">
        <v>103</v>
      </c>
      <c r="G289" s="274"/>
      <c r="H289" s="275" t="s">
        <v>551</v>
      </c>
      <c r="I289" s="276">
        <v>7</v>
      </c>
      <c r="J289" s="233" t="s">
        <v>103</v>
      </c>
      <c r="K289" s="145">
        <v>6500</v>
      </c>
      <c r="L289" s="145">
        <v>8900</v>
      </c>
      <c r="M289" s="145">
        <v>7800</v>
      </c>
      <c r="N289" s="145">
        <v>4830</v>
      </c>
      <c r="O289" s="145">
        <v>8900</v>
      </c>
      <c r="P289" s="242" t="s">
        <v>254</v>
      </c>
      <c r="Q289" s="169"/>
      <c r="R289" s="173" t="str">
        <f t="shared" si="33"/>
        <v/>
      </c>
      <c r="S289" s="243" t="s">
        <v>551</v>
      </c>
      <c r="T289" s="173" t="str">
        <f t="shared" si="35"/>
        <v/>
      </c>
      <c r="U289" s="173"/>
      <c r="V289" s="170">
        <f t="shared" si="34"/>
        <v>8900</v>
      </c>
      <c r="W289" s="173">
        <v>3394</v>
      </c>
      <c r="Y289" s="322"/>
    </row>
    <row r="290" spans="1:25" ht="15.8" customHeight="1">
      <c r="A290" s="1" t="s">
        <v>793</v>
      </c>
      <c r="B290" s="176" t="s">
        <v>1704</v>
      </c>
      <c r="C290" s="177" t="s">
        <v>793</v>
      </c>
      <c r="D290" s="178">
        <v>10350</v>
      </c>
      <c r="E290" s="178">
        <f t="shared" si="30"/>
        <v>13455</v>
      </c>
      <c r="F290" s="179" t="s">
        <v>550</v>
      </c>
      <c r="G290" s="180"/>
      <c r="H290" s="181" t="s">
        <v>551</v>
      </c>
      <c r="I290" s="182">
        <v>3</v>
      </c>
      <c r="J290" s="1" t="s">
        <v>550</v>
      </c>
      <c r="K290" s="67">
        <v>13900</v>
      </c>
      <c r="L290" s="251">
        <v>13300</v>
      </c>
      <c r="M290" s="67">
        <v>16900</v>
      </c>
      <c r="N290" s="67"/>
      <c r="O290" s="67">
        <v>13300</v>
      </c>
      <c r="P290" s="18" t="s">
        <v>1275</v>
      </c>
      <c r="Q290" s="71"/>
      <c r="R290" s="5" t="str">
        <f t="shared" si="33"/>
        <v/>
      </c>
      <c r="S290" s="62" t="s">
        <v>551</v>
      </c>
      <c r="T290" s="5" t="str">
        <f t="shared" si="35"/>
        <v/>
      </c>
      <c r="V290" s="69">
        <f t="shared" si="34"/>
        <v>13300</v>
      </c>
      <c r="W290" s="5">
        <v>10350</v>
      </c>
    </row>
    <row r="291" spans="1:25" ht="15.8" customHeight="1">
      <c r="A291" s="1" t="s">
        <v>794</v>
      </c>
      <c r="B291" s="189" t="s">
        <v>1705</v>
      </c>
      <c r="C291" s="190" t="s">
        <v>1706</v>
      </c>
      <c r="D291" s="191">
        <v>8500</v>
      </c>
      <c r="E291" s="178">
        <f t="shared" si="30"/>
        <v>11050</v>
      </c>
      <c r="F291" s="192" t="s">
        <v>567</v>
      </c>
      <c r="G291" s="193" t="s">
        <v>1363</v>
      </c>
      <c r="H291" s="194" t="s">
        <v>551</v>
      </c>
      <c r="I291" s="195">
        <v>5</v>
      </c>
      <c r="J291" s="1" t="s">
        <v>567</v>
      </c>
      <c r="K291" s="67">
        <v>15900</v>
      </c>
      <c r="L291" s="251">
        <v>13000</v>
      </c>
      <c r="M291" s="67">
        <v>16500</v>
      </c>
      <c r="N291" s="67">
        <v>13080</v>
      </c>
      <c r="O291" s="67"/>
      <c r="P291" s="18" t="s">
        <v>1278</v>
      </c>
      <c r="Q291" s="71"/>
      <c r="R291" s="5" t="str">
        <f t="shared" si="33"/>
        <v/>
      </c>
      <c r="S291" s="62" t="s">
        <v>551</v>
      </c>
      <c r="T291" s="5" t="str">
        <f t="shared" si="35"/>
        <v/>
      </c>
      <c r="V291" s="69">
        <f t="shared" si="34"/>
        <v>13000</v>
      </c>
      <c r="W291" s="5">
        <v>8500</v>
      </c>
    </row>
    <row r="292" spans="1:25" s="173" customFormat="1" ht="15.8" customHeight="1">
      <c r="A292" s="233" t="s">
        <v>795</v>
      </c>
      <c r="E292" s="237">
        <f t="shared" si="30"/>
        <v>0</v>
      </c>
      <c r="J292" s="233" t="s">
        <v>550</v>
      </c>
      <c r="K292" s="145">
        <v>200</v>
      </c>
      <c r="L292" s="145">
        <v>200</v>
      </c>
      <c r="N292" s="145"/>
      <c r="O292" s="145"/>
      <c r="P292" s="242" t="s">
        <v>254</v>
      </c>
      <c r="Q292" s="169"/>
      <c r="R292" s="173" t="str">
        <f t="shared" si="33"/>
        <v/>
      </c>
      <c r="S292" s="243" t="s">
        <v>551</v>
      </c>
      <c r="T292" s="173" t="str">
        <f t="shared" si="35"/>
        <v/>
      </c>
      <c r="V292" s="170">
        <f t="shared" si="34"/>
        <v>200</v>
      </c>
      <c r="W292" s="173">
        <v>176</v>
      </c>
      <c r="Y292" s="321"/>
    </row>
    <row r="293" spans="1:25" s="173" customFormat="1" ht="15.8" customHeight="1">
      <c r="A293" s="233" t="s">
        <v>796</v>
      </c>
      <c r="E293" s="237">
        <f t="shared" si="30"/>
        <v>0</v>
      </c>
      <c r="J293" s="233" t="s">
        <v>550</v>
      </c>
      <c r="K293" s="145">
        <v>200</v>
      </c>
      <c r="L293" s="145">
        <v>200</v>
      </c>
      <c r="M293" s="145"/>
      <c r="N293" s="145"/>
      <c r="O293" s="145"/>
      <c r="P293" s="242" t="s">
        <v>254</v>
      </c>
      <c r="Q293" s="169"/>
      <c r="R293" s="173" t="str">
        <f t="shared" si="33"/>
        <v/>
      </c>
      <c r="S293" s="243" t="s">
        <v>551</v>
      </c>
      <c r="T293" s="173" t="str">
        <f t="shared" si="35"/>
        <v/>
      </c>
      <c r="V293" s="170">
        <f t="shared" si="34"/>
        <v>200</v>
      </c>
      <c r="W293" s="173">
        <v>176</v>
      </c>
      <c r="Y293" s="321"/>
    </row>
    <row r="294" spans="1:25" s="81" customFormat="1" ht="15.8" customHeight="1">
      <c r="A294" s="233" t="s">
        <v>797</v>
      </c>
      <c r="E294" s="237">
        <f t="shared" si="30"/>
        <v>0</v>
      </c>
      <c r="J294" s="233" t="s">
        <v>550</v>
      </c>
      <c r="K294" s="145">
        <v>200</v>
      </c>
      <c r="L294" s="145">
        <v>200</v>
      </c>
      <c r="M294" s="145"/>
      <c r="N294" s="145"/>
      <c r="O294" s="145"/>
      <c r="P294" s="242" t="s">
        <v>254</v>
      </c>
      <c r="Q294" s="169"/>
      <c r="R294" s="173" t="str">
        <f t="shared" si="33"/>
        <v/>
      </c>
      <c r="S294" s="243" t="s">
        <v>551</v>
      </c>
      <c r="T294" s="173" t="str">
        <f t="shared" si="35"/>
        <v/>
      </c>
      <c r="U294" s="173"/>
      <c r="V294" s="170">
        <f t="shared" si="34"/>
        <v>200</v>
      </c>
      <c r="W294" s="173">
        <v>176</v>
      </c>
      <c r="Y294" s="322"/>
    </row>
    <row r="295" spans="1:25" s="173" customFormat="1" ht="15.8" customHeight="1">
      <c r="A295" s="233" t="s">
        <v>798</v>
      </c>
      <c r="E295" s="237">
        <f t="shared" si="30"/>
        <v>0</v>
      </c>
      <c r="J295" s="233" t="s">
        <v>550</v>
      </c>
      <c r="K295" s="145">
        <v>200</v>
      </c>
      <c r="L295" s="145">
        <v>200</v>
      </c>
      <c r="M295" s="145"/>
      <c r="N295" s="145"/>
      <c r="O295" s="145"/>
      <c r="P295" s="242" t="s">
        <v>254</v>
      </c>
      <c r="Q295" s="169"/>
      <c r="R295" s="173" t="str">
        <f t="shared" si="33"/>
        <v/>
      </c>
      <c r="S295" s="243" t="s">
        <v>551</v>
      </c>
      <c r="T295" s="173" t="str">
        <f t="shared" si="35"/>
        <v/>
      </c>
      <c r="V295" s="170">
        <f t="shared" si="34"/>
        <v>200</v>
      </c>
      <c r="W295" s="173">
        <v>176</v>
      </c>
      <c r="Y295" s="321"/>
    </row>
    <row r="296" spans="1:25" ht="15.8" customHeight="1">
      <c r="A296" s="253" t="s">
        <v>799</v>
      </c>
      <c r="B296" s="176" t="s">
        <v>1707</v>
      </c>
      <c r="C296" s="177" t="s">
        <v>799</v>
      </c>
      <c r="D296" s="178">
        <v>4500</v>
      </c>
      <c r="E296" s="178">
        <f t="shared" si="30"/>
        <v>5850</v>
      </c>
      <c r="F296" s="179" t="s">
        <v>607</v>
      </c>
      <c r="G296" s="180"/>
      <c r="H296" s="181" t="s">
        <v>736</v>
      </c>
      <c r="I296" s="207" t="s">
        <v>350</v>
      </c>
      <c r="J296" s="253" t="s">
        <v>607</v>
      </c>
      <c r="K296" s="254">
        <v>5850</v>
      </c>
      <c r="L296" s="251">
        <v>6700</v>
      </c>
      <c r="M296" s="67"/>
      <c r="N296" s="67"/>
      <c r="O296" s="67">
        <v>6800</v>
      </c>
      <c r="P296" s="255" t="s">
        <v>350</v>
      </c>
      <c r="Q296" s="71"/>
      <c r="R296" s="5" t="str">
        <f t="shared" si="33"/>
        <v/>
      </c>
      <c r="S296" s="70" t="s">
        <v>736</v>
      </c>
      <c r="T296" s="5" t="str">
        <f t="shared" si="35"/>
        <v/>
      </c>
      <c r="V296" s="69">
        <f t="shared" si="34"/>
        <v>6700</v>
      </c>
      <c r="W296" s="5">
        <v>4500</v>
      </c>
    </row>
    <row r="297" spans="1:25" ht="15.8" customHeight="1">
      <c r="A297" s="1" t="s">
        <v>800</v>
      </c>
      <c r="B297" s="189" t="s">
        <v>1708</v>
      </c>
      <c r="C297" s="190" t="s">
        <v>1709</v>
      </c>
      <c r="D297" s="191">
        <v>14300</v>
      </c>
      <c r="E297" s="178">
        <f t="shared" si="30"/>
        <v>18590</v>
      </c>
      <c r="F297" s="192" t="s">
        <v>88</v>
      </c>
      <c r="G297" s="193" t="s">
        <v>1363</v>
      </c>
      <c r="H297" s="194" t="s">
        <v>551</v>
      </c>
      <c r="I297" s="195">
        <v>17</v>
      </c>
      <c r="J297" s="1" t="s">
        <v>88</v>
      </c>
      <c r="K297" s="67">
        <v>18900</v>
      </c>
      <c r="L297" s="251">
        <v>16300</v>
      </c>
      <c r="M297" s="67">
        <v>16400</v>
      </c>
      <c r="N297" s="67"/>
      <c r="O297" s="67">
        <v>17300</v>
      </c>
      <c r="P297" s="18" t="s">
        <v>1283</v>
      </c>
      <c r="Q297" s="71"/>
      <c r="R297" s="5" t="str">
        <f t="shared" si="33"/>
        <v/>
      </c>
      <c r="S297" s="62" t="s">
        <v>551</v>
      </c>
      <c r="T297" s="5" t="str">
        <f t="shared" si="35"/>
        <v/>
      </c>
      <c r="V297" s="69">
        <f t="shared" si="34"/>
        <v>16300</v>
      </c>
      <c r="W297" s="5">
        <v>14300</v>
      </c>
    </row>
    <row r="298" spans="1:25" ht="15.8" customHeight="1">
      <c r="A298" s="1" t="s">
        <v>801</v>
      </c>
      <c r="B298" s="196" t="s">
        <v>1710</v>
      </c>
      <c r="C298" s="197" t="s">
        <v>1711</v>
      </c>
      <c r="D298" s="198">
        <v>16900</v>
      </c>
      <c r="E298" s="178">
        <f t="shared" si="30"/>
        <v>21970</v>
      </c>
      <c r="F298" s="199" t="s">
        <v>553</v>
      </c>
      <c r="G298" s="200" t="s">
        <v>1363</v>
      </c>
      <c r="H298" s="201" t="s">
        <v>778</v>
      </c>
      <c r="I298" s="202">
        <v>7</v>
      </c>
      <c r="J298" s="1" t="s">
        <v>553</v>
      </c>
      <c r="K298" s="67">
        <v>21970</v>
      </c>
      <c r="L298" s="251">
        <v>20500</v>
      </c>
      <c r="M298" s="67"/>
      <c r="N298" s="67"/>
      <c r="O298" s="67">
        <v>20600</v>
      </c>
      <c r="P298" s="18" t="s">
        <v>1274</v>
      </c>
      <c r="Q298" s="71"/>
      <c r="R298" s="5" t="str">
        <f t="shared" si="33"/>
        <v/>
      </c>
      <c r="S298" s="62" t="s">
        <v>778</v>
      </c>
      <c r="T298" s="5" t="str">
        <f t="shared" si="35"/>
        <v/>
      </c>
      <c r="V298" s="69">
        <f t="shared" si="34"/>
        <v>20500</v>
      </c>
      <c r="W298" s="5">
        <v>16900</v>
      </c>
    </row>
    <row r="299" spans="1:25" ht="15.8" customHeight="1">
      <c r="A299" s="1" t="s">
        <v>1216</v>
      </c>
      <c r="B299" s="183" t="s">
        <v>1712</v>
      </c>
      <c r="C299" s="203" t="s">
        <v>1713</v>
      </c>
      <c r="D299" s="184">
        <v>11385</v>
      </c>
      <c r="E299" s="178">
        <f t="shared" si="30"/>
        <v>14800.5</v>
      </c>
      <c r="F299" s="185" t="s">
        <v>553</v>
      </c>
      <c r="G299" s="186"/>
      <c r="H299" s="187" t="s">
        <v>778</v>
      </c>
      <c r="I299" s="188">
        <v>5</v>
      </c>
      <c r="J299" s="1" t="s">
        <v>553</v>
      </c>
      <c r="K299" s="67">
        <v>14900</v>
      </c>
      <c r="L299" s="251">
        <v>14800</v>
      </c>
      <c r="M299" s="67"/>
      <c r="N299" s="67"/>
      <c r="O299" s="67">
        <v>17300</v>
      </c>
      <c r="P299" s="18" t="s">
        <v>1278</v>
      </c>
      <c r="Q299" s="71"/>
      <c r="R299" s="5" t="str">
        <f t="shared" si="33"/>
        <v/>
      </c>
      <c r="S299" s="62" t="s">
        <v>778</v>
      </c>
      <c r="T299" s="5" t="str">
        <f t="shared" si="35"/>
        <v/>
      </c>
      <c r="V299" s="69">
        <f t="shared" si="34"/>
        <v>14800</v>
      </c>
      <c r="W299" s="5">
        <v>11385</v>
      </c>
    </row>
    <row r="300" spans="1:25" ht="15.8" customHeight="1">
      <c r="A300" s="253" t="s">
        <v>802</v>
      </c>
      <c r="B300" s="176" t="s">
        <v>1714</v>
      </c>
      <c r="C300" s="177" t="s">
        <v>802</v>
      </c>
      <c r="D300" s="178">
        <v>4500</v>
      </c>
      <c r="E300" s="178">
        <f t="shared" si="30"/>
        <v>5850</v>
      </c>
      <c r="F300" s="179" t="s">
        <v>607</v>
      </c>
      <c r="G300" s="180"/>
      <c r="H300" s="181" t="s">
        <v>608</v>
      </c>
      <c r="I300" s="207" t="s">
        <v>350</v>
      </c>
      <c r="J300" s="253" t="s">
        <v>607</v>
      </c>
      <c r="K300" s="254">
        <v>5850</v>
      </c>
      <c r="L300" s="251">
        <v>6500</v>
      </c>
      <c r="M300" s="67"/>
      <c r="N300" s="67"/>
      <c r="O300" s="67">
        <v>6800</v>
      </c>
      <c r="P300" s="255" t="s">
        <v>350</v>
      </c>
      <c r="Q300" s="71"/>
      <c r="R300" s="5" t="str">
        <f t="shared" si="33"/>
        <v/>
      </c>
      <c r="S300" s="70" t="s">
        <v>608</v>
      </c>
      <c r="T300" s="5" t="str">
        <f t="shared" si="35"/>
        <v/>
      </c>
      <c r="V300" s="69">
        <f t="shared" si="34"/>
        <v>6500</v>
      </c>
      <c r="W300" s="5">
        <v>4500</v>
      </c>
    </row>
    <row r="301" spans="1:25" ht="15.8" customHeight="1">
      <c r="A301" s="1" t="s">
        <v>803</v>
      </c>
      <c r="B301" s="189" t="s">
        <v>1715</v>
      </c>
      <c r="C301" s="190" t="s">
        <v>803</v>
      </c>
      <c r="D301" s="191">
        <v>4900</v>
      </c>
      <c r="E301" s="178">
        <f t="shared" si="30"/>
        <v>6370</v>
      </c>
      <c r="F301" s="192" t="s">
        <v>550</v>
      </c>
      <c r="G301" s="193" t="s">
        <v>1363</v>
      </c>
      <c r="H301" s="193" t="s">
        <v>575</v>
      </c>
      <c r="I301" s="195">
        <v>3</v>
      </c>
      <c r="J301" s="1" t="s">
        <v>550</v>
      </c>
      <c r="K301" s="67">
        <v>6370</v>
      </c>
      <c r="L301" s="251">
        <v>6200</v>
      </c>
      <c r="M301" s="67">
        <v>6200</v>
      </c>
      <c r="N301" s="67">
        <v>3680</v>
      </c>
      <c r="O301" s="67">
        <v>6800</v>
      </c>
      <c r="P301" s="18" t="s">
        <v>1275</v>
      </c>
      <c r="Q301" s="71"/>
      <c r="R301" s="5" t="str">
        <f t="shared" si="33"/>
        <v/>
      </c>
      <c r="S301" s="62" t="s">
        <v>575</v>
      </c>
      <c r="T301" s="5" t="str">
        <f t="shared" si="35"/>
        <v/>
      </c>
      <c r="V301" s="69">
        <f t="shared" si="34"/>
        <v>6200</v>
      </c>
      <c r="W301" s="5">
        <v>4900</v>
      </c>
    </row>
    <row r="302" spans="1:25" ht="15.8" customHeight="1">
      <c r="A302" s="1" t="s">
        <v>25</v>
      </c>
      <c r="B302" s="196" t="s">
        <v>1716</v>
      </c>
      <c r="C302" s="197" t="s">
        <v>25</v>
      </c>
      <c r="D302" s="198">
        <v>69</v>
      </c>
      <c r="E302" s="178">
        <f t="shared" si="30"/>
        <v>89.7</v>
      </c>
      <c r="F302" s="199" t="s">
        <v>550</v>
      </c>
      <c r="G302" s="200" t="s">
        <v>1363</v>
      </c>
      <c r="H302" s="201" t="s">
        <v>551</v>
      </c>
      <c r="I302" s="202">
        <v>1</v>
      </c>
      <c r="J302" s="1" t="s">
        <v>550</v>
      </c>
      <c r="K302" s="67">
        <v>600</v>
      </c>
      <c r="L302" s="251">
        <v>300</v>
      </c>
      <c r="M302" s="67">
        <v>290</v>
      </c>
      <c r="N302" s="67"/>
      <c r="O302" s="67">
        <v>800</v>
      </c>
      <c r="P302" s="18" t="s">
        <v>254</v>
      </c>
      <c r="Q302" s="71"/>
      <c r="R302" s="5" t="str">
        <f t="shared" si="33"/>
        <v/>
      </c>
      <c r="S302" s="62" t="s">
        <v>551</v>
      </c>
      <c r="T302" s="5" t="str">
        <f t="shared" si="35"/>
        <v/>
      </c>
      <c r="V302" s="69">
        <f t="shared" si="34"/>
        <v>300</v>
      </c>
      <c r="W302" s="5">
        <v>225</v>
      </c>
    </row>
    <row r="303" spans="1:25" ht="15.8" customHeight="1">
      <c r="A303" s="1" t="s">
        <v>506</v>
      </c>
      <c r="B303" s="183" t="s">
        <v>1717</v>
      </c>
      <c r="C303" s="203" t="s">
        <v>506</v>
      </c>
      <c r="D303" s="184">
        <v>1609.9999999999998</v>
      </c>
      <c r="E303" s="178">
        <f t="shared" si="30"/>
        <v>2093</v>
      </c>
      <c r="F303" s="185" t="s">
        <v>559</v>
      </c>
      <c r="G303" s="186"/>
      <c r="H303" s="187" t="s">
        <v>551</v>
      </c>
      <c r="I303" s="188">
        <v>1</v>
      </c>
      <c r="J303" s="1" t="s">
        <v>559</v>
      </c>
      <c r="K303" s="67">
        <v>3800</v>
      </c>
      <c r="L303" s="251">
        <v>2900</v>
      </c>
      <c r="M303" s="5">
        <v>3900</v>
      </c>
      <c r="N303" s="67">
        <v>2990</v>
      </c>
      <c r="O303" s="67">
        <v>4500</v>
      </c>
      <c r="P303" s="18" t="s">
        <v>254</v>
      </c>
      <c r="Q303" s="71"/>
      <c r="R303" s="5" t="str">
        <f t="shared" si="33"/>
        <v/>
      </c>
      <c r="S303" s="62" t="s">
        <v>551</v>
      </c>
      <c r="T303" s="5" t="str">
        <f t="shared" si="35"/>
        <v/>
      </c>
      <c r="V303" s="69">
        <f t="shared" si="34"/>
        <v>2900</v>
      </c>
      <c r="W303" s="5">
        <v>2266</v>
      </c>
    </row>
    <row r="304" spans="1:25" ht="15.8" customHeight="1">
      <c r="A304" s="1" t="s">
        <v>424</v>
      </c>
      <c r="B304" s="176" t="s">
        <v>1718</v>
      </c>
      <c r="C304" s="177" t="s">
        <v>424</v>
      </c>
      <c r="D304" s="178">
        <v>12900</v>
      </c>
      <c r="E304" s="178">
        <f t="shared" si="30"/>
        <v>16770</v>
      </c>
      <c r="F304" s="179" t="s">
        <v>553</v>
      </c>
      <c r="G304" s="180"/>
      <c r="H304" s="181" t="s">
        <v>604</v>
      </c>
      <c r="I304" s="182">
        <v>17</v>
      </c>
      <c r="J304" s="1" t="s">
        <v>553</v>
      </c>
      <c r="K304" s="67">
        <v>16770</v>
      </c>
      <c r="L304" s="251">
        <v>16500</v>
      </c>
      <c r="M304" s="67">
        <v>18500</v>
      </c>
      <c r="N304" s="67"/>
      <c r="O304" s="67">
        <v>17300</v>
      </c>
      <c r="P304" s="18" t="s">
        <v>1289</v>
      </c>
      <c r="Q304" s="71"/>
      <c r="R304" s="5" t="str">
        <f t="shared" si="33"/>
        <v/>
      </c>
      <c r="S304" s="62" t="s">
        <v>604</v>
      </c>
      <c r="T304" s="5" t="str">
        <f t="shared" si="35"/>
        <v/>
      </c>
      <c r="V304" s="69">
        <f t="shared" si="34"/>
        <v>16500</v>
      </c>
      <c r="W304" s="5">
        <v>12900</v>
      </c>
    </row>
    <row r="305" spans="1:25" ht="15.8" customHeight="1">
      <c r="A305" s="1" t="s">
        <v>804</v>
      </c>
      <c r="B305" s="183" t="s">
        <v>1719</v>
      </c>
      <c r="C305" s="185" t="s">
        <v>804</v>
      </c>
      <c r="D305" s="184">
        <v>16000</v>
      </c>
      <c r="E305" s="178">
        <f t="shared" si="30"/>
        <v>20800</v>
      </c>
      <c r="F305" s="185" t="s">
        <v>550</v>
      </c>
      <c r="G305" s="186"/>
      <c r="H305" s="187" t="s">
        <v>690</v>
      </c>
      <c r="I305" s="188">
        <v>17</v>
      </c>
      <c r="J305" s="1" t="s">
        <v>550</v>
      </c>
      <c r="K305" s="67">
        <v>20800</v>
      </c>
      <c r="L305" s="251">
        <v>18500</v>
      </c>
      <c r="M305" s="67">
        <v>15200</v>
      </c>
      <c r="N305" s="67"/>
      <c r="O305" s="67">
        <v>18900</v>
      </c>
      <c r="P305" s="18" t="s">
        <v>1283</v>
      </c>
      <c r="Q305" s="71"/>
      <c r="R305" s="5" t="str">
        <f t="shared" si="33"/>
        <v/>
      </c>
      <c r="S305" s="62" t="s">
        <v>690</v>
      </c>
      <c r="T305" s="5" t="str">
        <f t="shared" si="35"/>
        <v/>
      </c>
      <c r="V305" s="69">
        <f t="shared" si="34"/>
        <v>18500</v>
      </c>
      <c r="W305" s="5">
        <v>16000</v>
      </c>
    </row>
    <row r="306" spans="1:25" ht="15.8" customHeight="1">
      <c r="A306" s="1" t="s">
        <v>805</v>
      </c>
      <c r="B306" s="196" t="s">
        <v>1720</v>
      </c>
      <c r="C306" s="197" t="s">
        <v>805</v>
      </c>
      <c r="D306" s="198">
        <v>16500</v>
      </c>
      <c r="E306" s="178">
        <f t="shared" si="30"/>
        <v>21450</v>
      </c>
      <c r="F306" s="199" t="s">
        <v>550</v>
      </c>
      <c r="G306" s="200" t="s">
        <v>1363</v>
      </c>
      <c r="H306" s="201" t="s">
        <v>551</v>
      </c>
      <c r="I306" s="202">
        <v>17</v>
      </c>
      <c r="J306" s="1" t="s">
        <v>550</v>
      </c>
      <c r="K306" s="67">
        <v>21450</v>
      </c>
      <c r="L306" s="251">
        <v>19400</v>
      </c>
      <c r="M306" s="67"/>
      <c r="N306" s="67"/>
      <c r="O306" s="67">
        <v>19500</v>
      </c>
      <c r="P306" s="18" t="s">
        <v>1283</v>
      </c>
      <c r="Q306" s="71"/>
      <c r="R306" s="5" t="str">
        <f t="shared" si="33"/>
        <v/>
      </c>
      <c r="S306" s="62" t="s">
        <v>551</v>
      </c>
      <c r="T306" s="5" t="str">
        <f t="shared" si="35"/>
        <v/>
      </c>
      <c r="V306" s="69">
        <f t="shared" si="34"/>
        <v>19400</v>
      </c>
      <c r="W306" s="5">
        <v>16500</v>
      </c>
    </row>
    <row r="307" spans="1:25" s="7" customFormat="1" ht="15.8" customHeight="1">
      <c r="A307" s="1" t="s">
        <v>806</v>
      </c>
      <c r="B307" s="183" t="s">
        <v>1721</v>
      </c>
      <c r="C307" s="203" t="s">
        <v>806</v>
      </c>
      <c r="D307" s="184">
        <v>9000</v>
      </c>
      <c r="E307" s="178">
        <f t="shared" si="30"/>
        <v>11700</v>
      </c>
      <c r="F307" s="185" t="s">
        <v>88</v>
      </c>
      <c r="G307" s="186"/>
      <c r="H307" s="187" t="s">
        <v>551</v>
      </c>
      <c r="I307" s="188">
        <v>17</v>
      </c>
      <c r="J307" s="1" t="s">
        <v>88</v>
      </c>
      <c r="K307" s="67">
        <v>11700</v>
      </c>
      <c r="L307" s="251">
        <v>11300</v>
      </c>
      <c r="M307" s="67">
        <v>12000</v>
      </c>
      <c r="N307" s="67"/>
      <c r="O307" s="67">
        <v>11400</v>
      </c>
      <c r="P307" s="18" t="s">
        <v>1283</v>
      </c>
      <c r="Q307" s="71"/>
      <c r="R307" s="5" t="str">
        <f t="shared" si="33"/>
        <v/>
      </c>
      <c r="S307" s="62" t="s">
        <v>551</v>
      </c>
      <c r="T307" s="5" t="str">
        <f t="shared" si="35"/>
        <v/>
      </c>
      <c r="U307" s="5"/>
      <c r="V307" s="69">
        <f t="shared" si="34"/>
        <v>11300</v>
      </c>
      <c r="W307" s="5">
        <v>9000</v>
      </c>
      <c r="Y307" s="323"/>
    </row>
    <row r="308" spans="1:25" ht="15.8" customHeight="1">
      <c r="A308" s="1" t="s">
        <v>61</v>
      </c>
      <c r="B308" s="176" t="s">
        <v>1722</v>
      </c>
      <c r="C308" s="177" t="s">
        <v>61</v>
      </c>
      <c r="D308" s="178">
        <v>3449.9999999999995</v>
      </c>
      <c r="E308" s="178">
        <f t="shared" si="30"/>
        <v>4485</v>
      </c>
      <c r="F308" s="179" t="s">
        <v>559</v>
      </c>
      <c r="G308" s="180"/>
      <c r="H308" s="181" t="s">
        <v>551</v>
      </c>
      <c r="I308" s="182">
        <v>5</v>
      </c>
      <c r="J308" s="1" t="s">
        <v>559</v>
      </c>
      <c r="K308" s="67">
        <v>4500</v>
      </c>
      <c r="L308" s="145">
        <v>5500</v>
      </c>
      <c r="M308" s="67">
        <v>7200</v>
      </c>
      <c r="N308" s="67">
        <v>5520</v>
      </c>
      <c r="O308" s="67">
        <v>7600</v>
      </c>
      <c r="P308" s="18" t="s">
        <v>1278</v>
      </c>
      <c r="Q308" s="71"/>
      <c r="R308" s="5" t="str">
        <f t="shared" si="33"/>
        <v/>
      </c>
      <c r="S308" s="62" t="s">
        <v>551</v>
      </c>
      <c r="T308" s="5" t="str">
        <f t="shared" si="35"/>
        <v/>
      </c>
      <c r="V308" s="69">
        <f t="shared" si="34"/>
        <v>5500</v>
      </c>
      <c r="W308" s="5">
        <v>3449.9999999999995</v>
      </c>
    </row>
    <row r="309" spans="1:25" ht="15.8" customHeight="1">
      <c r="A309" s="1" t="s">
        <v>807</v>
      </c>
      <c r="B309" s="183" t="s">
        <v>1723</v>
      </c>
      <c r="C309" s="203" t="s">
        <v>807</v>
      </c>
      <c r="D309" s="184">
        <v>5405</v>
      </c>
      <c r="E309" s="178">
        <f t="shared" ref="E309:E369" si="36">D309*1.3</f>
        <v>7026.5</v>
      </c>
      <c r="F309" s="185" t="s">
        <v>602</v>
      </c>
      <c r="G309" s="186"/>
      <c r="H309" s="187" t="s">
        <v>551</v>
      </c>
      <c r="I309" s="188">
        <v>5</v>
      </c>
      <c r="J309" s="1" t="s">
        <v>602</v>
      </c>
      <c r="K309" s="145">
        <v>7027</v>
      </c>
      <c r="L309" s="251">
        <v>7000</v>
      </c>
      <c r="M309" s="67">
        <v>9800</v>
      </c>
      <c r="N309" s="67">
        <v>7475</v>
      </c>
      <c r="O309" s="67">
        <v>7500</v>
      </c>
      <c r="P309" s="18" t="s">
        <v>1278</v>
      </c>
      <c r="Q309" s="71"/>
      <c r="R309" s="5" t="str">
        <f t="shared" si="33"/>
        <v/>
      </c>
      <c r="S309" s="62" t="s">
        <v>551</v>
      </c>
      <c r="T309" s="5" t="str">
        <f t="shared" si="35"/>
        <v/>
      </c>
      <c r="V309" s="69">
        <f t="shared" si="34"/>
        <v>7000</v>
      </c>
      <c r="W309" s="5">
        <v>5405</v>
      </c>
    </row>
    <row r="310" spans="1:25" s="231" customFormat="1" ht="15.8" customHeight="1">
      <c r="A310" s="157" t="s">
        <v>808</v>
      </c>
      <c r="B310" s="287" t="s">
        <v>1724</v>
      </c>
      <c r="C310" s="288" t="s">
        <v>1879</v>
      </c>
      <c r="D310" s="221">
        <v>27900</v>
      </c>
      <c r="E310" s="221">
        <f t="shared" si="36"/>
        <v>36270</v>
      </c>
      <c r="F310" s="289" t="s">
        <v>759</v>
      </c>
      <c r="G310" s="290"/>
      <c r="H310" s="291" t="s">
        <v>788</v>
      </c>
      <c r="I310" s="292">
        <v>17</v>
      </c>
      <c r="J310" s="157" t="s">
        <v>759</v>
      </c>
      <c r="K310" s="158">
        <v>36270</v>
      </c>
      <c r="L310" s="158">
        <v>36270</v>
      </c>
      <c r="M310" s="160"/>
      <c r="N310" s="160"/>
      <c r="O310" s="160"/>
      <c r="P310" s="159" t="s">
        <v>552</v>
      </c>
      <c r="Q310" s="262"/>
      <c r="R310" s="231" t="str">
        <f t="shared" si="33"/>
        <v/>
      </c>
      <c r="S310" s="263" t="s">
        <v>788</v>
      </c>
      <c r="T310" s="231" t="str">
        <f t="shared" si="35"/>
        <v/>
      </c>
      <c r="V310" s="264">
        <f t="shared" si="34"/>
        <v>36270</v>
      </c>
      <c r="W310" s="231">
        <v>27900</v>
      </c>
      <c r="Y310" s="327" t="s">
        <v>1878</v>
      </c>
    </row>
    <row r="311" spans="1:25" ht="15.8" customHeight="1">
      <c r="A311" s="1" t="s">
        <v>809</v>
      </c>
      <c r="B311" s="183" t="s">
        <v>1725</v>
      </c>
      <c r="C311" s="203" t="s">
        <v>1880</v>
      </c>
      <c r="D311" s="184">
        <v>11900</v>
      </c>
      <c r="E311" s="178">
        <f t="shared" si="36"/>
        <v>15470</v>
      </c>
      <c r="F311" s="185" t="s">
        <v>550</v>
      </c>
      <c r="G311" s="186"/>
      <c r="H311" s="187" t="s">
        <v>551</v>
      </c>
      <c r="I311" s="188">
        <v>1</v>
      </c>
      <c r="J311" s="1" t="s">
        <v>550</v>
      </c>
      <c r="K311" s="67">
        <v>13900</v>
      </c>
      <c r="L311" s="251">
        <v>13100</v>
      </c>
      <c r="M311" s="67">
        <v>13200</v>
      </c>
      <c r="N311" s="67">
        <v>11200</v>
      </c>
      <c r="O311" s="67">
        <v>16000</v>
      </c>
      <c r="P311" s="18" t="s">
        <v>1277</v>
      </c>
      <c r="Q311" s="71"/>
      <c r="R311" s="5" t="str">
        <f t="shared" si="33"/>
        <v/>
      </c>
      <c r="S311" s="62" t="s">
        <v>551</v>
      </c>
      <c r="T311" s="5" t="str">
        <f t="shared" si="35"/>
        <v/>
      </c>
      <c r="V311" s="69">
        <f t="shared" si="34"/>
        <v>13100</v>
      </c>
      <c r="W311" s="5">
        <v>11900</v>
      </c>
    </row>
    <row r="312" spans="1:25" ht="15.8" customHeight="1">
      <c r="A312" s="1" t="s">
        <v>65</v>
      </c>
      <c r="B312" s="176" t="s">
        <v>1481</v>
      </c>
      <c r="C312" s="177" t="s">
        <v>65</v>
      </c>
      <c r="D312" s="178">
        <v>1609.9999999999998</v>
      </c>
      <c r="E312" s="178">
        <f t="shared" si="36"/>
        <v>2093</v>
      </c>
      <c r="F312" s="179" t="s">
        <v>559</v>
      </c>
      <c r="G312" s="180"/>
      <c r="H312" s="181" t="s">
        <v>551</v>
      </c>
      <c r="I312" s="182">
        <v>1</v>
      </c>
      <c r="J312" s="1" t="s">
        <v>559</v>
      </c>
      <c r="K312" s="67">
        <v>3800</v>
      </c>
      <c r="L312" s="251">
        <v>3100</v>
      </c>
      <c r="M312" s="67">
        <v>4000</v>
      </c>
      <c r="N312" s="67">
        <v>3105</v>
      </c>
      <c r="O312" s="67">
        <v>4500</v>
      </c>
      <c r="P312" s="18" t="s">
        <v>254</v>
      </c>
      <c r="Q312" s="71"/>
      <c r="R312" s="5" t="str">
        <f t="shared" si="33"/>
        <v/>
      </c>
      <c r="S312" s="62" t="s">
        <v>551</v>
      </c>
      <c r="T312" s="5" t="str">
        <f t="shared" si="35"/>
        <v/>
      </c>
      <c r="V312" s="69">
        <f t="shared" si="34"/>
        <v>3100</v>
      </c>
      <c r="W312" s="5">
        <v>2007</v>
      </c>
    </row>
    <row r="313" spans="1:25" ht="15.8" customHeight="1">
      <c r="A313" s="1" t="s">
        <v>66</v>
      </c>
      <c r="B313" s="183" t="s">
        <v>1726</v>
      </c>
      <c r="C313" s="203" t="s">
        <v>66</v>
      </c>
      <c r="D313" s="184">
        <v>1609.9999999999998</v>
      </c>
      <c r="E313" s="178">
        <f t="shared" si="36"/>
        <v>2093</v>
      </c>
      <c r="F313" s="185" t="s">
        <v>559</v>
      </c>
      <c r="G313" s="186"/>
      <c r="H313" s="187" t="s">
        <v>551</v>
      </c>
      <c r="I313" s="188">
        <v>1</v>
      </c>
      <c r="J313" s="1" t="s">
        <v>559</v>
      </c>
      <c r="K313" s="67">
        <v>3800</v>
      </c>
      <c r="L313" s="251">
        <v>2900</v>
      </c>
      <c r="M313" s="67">
        <v>4000</v>
      </c>
      <c r="N313" s="67">
        <v>2990</v>
      </c>
      <c r="O313" s="67">
        <v>4500</v>
      </c>
      <c r="P313" s="18" t="s">
        <v>254</v>
      </c>
      <c r="Q313" s="71"/>
      <c r="R313" s="5" t="str">
        <f t="shared" si="33"/>
        <v/>
      </c>
      <c r="S313" s="62" t="s">
        <v>551</v>
      </c>
      <c r="T313" s="5" t="str">
        <f t="shared" si="35"/>
        <v/>
      </c>
      <c r="V313" s="69">
        <f t="shared" si="34"/>
        <v>2900</v>
      </c>
      <c r="W313" s="5">
        <v>2007</v>
      </c>
    </row>
    <row r="314" spans="1:25" ht="15.8" customHeight="1">
      <c r="A314" s="1" t="s">
        <v>810</v>
      </c>
      <c r="B314" s="196" t="s">
        <v>1727</v>
      </c>
      <c r="C314" s="197" t="s">
        <v>810</v>
      </c>
      <c r="D314" s="198">
        <v>9500</v>
      </c>
      <c r="E314" s="178">
        <f t="shared" si="36"/>
        <v>12350</v>
      </c>
      <c r="F314" s="199" t="s">
        <v>593</v>
      </c>
      <c r="G314" s="200" t="s">
        <v>1363</v>
      </c>
      <c r="H314" s="201" t="s">
        <v>595</v>
      </c>
      <c r="I314" s="202">
        <v>10</v>
      </c>
      <c r="J314" s="1" t="s">
        <v>593</v>
      </c>
      <c r="K314" s="67">
        <v>12350</v>
      </c>
      <c r="L314" s="251">
        <v>12300</v>
      </c>
      <c r="M314" s="67">
        <v>22000</v>
      </c>
      <c r="N314" s="67">
        <v>9500</v>
      </c>
      <c r="O314" s="67">
        <v>19500</v>
      </c>
      <c r="P314" s="18" t="s">
        <v>1285</v>
      </c>
      <c r="Q314" s="71"/>
      <c r="R314" s="5" t="str">
        <f t="shared" si="33"/>
        <v/>
      </c>
      <c r="S314" s="62" t="s">
        <v>595</v>
      </c>
      <c r="T314" s="5" t="str">
        <f t="shared" si="35"/>
        <v/>
      </c>
      <c r="V314" s="69">
        <f t="shared" si="34"/>
        <v>12300</v>
      </c>
      <c r="W314" s="5">
        <v>9500</v>
      </c>
    </row>
    <row r="315" spans="1:25" ht="15.8" customHeight="1">
      <c r="A315" s="1" t="s">
        <v>811</v>
      </c>
      <c r="B315" s="183" t="s">
        <v>778</v>
      </c>
      <c r="C315" s="203" t="s">
        <v>811</v>
      </c>
      <c r="D315" s="184">
        <v>10900</v>
      </c>
      <c r="E315" s="178">
        <f t="shared" si="36"/>
        <v>14170</v>
      </c>
      <c r="F315" s="185" t="s">
        <v>593</v>
      </c>
      <c r="G315" s="186"/>
      <c r="H315" s="187" t="s">
        <v>595</v>
      </c>
      <c r="I315" s="188">
        <v>15</v>
      </c>
      <c r="J315" s="1" t="s">
        <v>593</v>
      </c>
      <c r="K315" s="67">
        <v>14300</v>
      </c>
      <c r="L315" s="251">
        <v>14200</v>
      </c>
      <c r="M315" s="67">
        <v>22000</v>
      </c>
      <c r="N315" s="67">
        <v>9500</v>
      </c>
      <c r="O315" s="67">
        <v>28000</v>
      </c>
      <c r="P315" s="18" t="s">
        <v>1282</v>
      </c>
      <c r="Q315" s="71"/>
      <c r="R315" s="5" t="str">
        <f t="shared" si="33"/>
        <v/>
      </c>
      <c r="S315" s="62" t="s">
        <v>595</v>
      </c>
      <c r="T315" s="5" t="str">
        <f t="shared" si="35"/>
        <v/>
      </c>
      <c r="V315" s="69">
        <f t="shared" si="34"/>
        <v>14200</v>
      </c>
      <c r="W315" s="5">
        <v>10900</v>
      </c>
    </row>
    <row r="316" spans="1:25" ht="15.8" customHeight="1">
      <c r="A316" s="1" t="s">
        <v>812</v>
      </c>
      <c r="B316" s="176" t="s">
        <v>1728</v>
      </c>
      <c r="C316" s="177" t="s">
        <v>812</v>
      </c>
      <c r="D316" s="178">
        <v>4600</v>
      </c>
      <c r="E316" s="178">
        <f t="shared" si="36"/>
        <v>5980</v>
      </c>
      <c r="F316" s="179" t="s">
        <v>88</v>
      </c>
      <c r="G316" s="180"/>
      <c r="H316" s="181" t="s">
        <v>551</v>
      </c>
      <c r="I316" s="182">
        <v>7</v>
      </c>
      <c r="J316" s="1" t="s">
        <v>88</v>
      </c>
      <c r="K316" s="67">
        <v>6000</v>
      </c>
      <c r="L316" s="67">
        <v>6000</v>
      </c>
      <c r="M316" s="67">
        <v>10500</v>
      </c>
      <c r="N316" s="67"/>
      <c r="O316" s="67">
        <v>6800</v>
      </c>
      <c r="P316" s="18" t="s">
        <v>1274</v>
      </c>
      <c r="Q316" s="71"/>
      <c r="R316" s="5" t="str">
        <f t="shared" si="33"/>
        <v/>
      </c>
      <c r="S316" s="62" t="s">
        <v>551</v>
      </c>
      <c r="T316" s="5" t="str">
        <f t="shared" si="35"/>
        <v/>
      </c>
      <c r="V316" s="69">
        <f t="shared" si="34"/>
        <v>6000</v>
      </c>
      <c r="W316" s="5">
        <v>4600</v>
      </c>
    </row>
    <row r="317" spans="1:25" ht="15.8" customHeight="1">
      <c r="A317" s="1" t="s">
        <v>5</v>
      </c>
      <c r="B317" s="189" t="s">
        <v>946</v>
      </c>
      <c r="C317" s="190" t="s">
        <v>1881</v>
      </c>
      <c r="D317" s="191">
        <v>700</v>
      </c>
      <c r="E317" s="178">
        <f t="shared" si="36"/>
        <v>910</v>
      </c>
      <c r="F317" s="192" t="s">
        <v>593</v>
      </c>
      <c r="G317" s="193" t="s">
        <v>1363</v>
      </c>
      <c r="H317" s="194" t="s">
        <v>599</v>
      </c>
      <c r="I317" s="195">
        <v>1</v>
      </c>
      <c r="J317" s="1" t="s">
        <v>593</v>
      </c>
      <c r="K317" s="67">
        <v>1000</v>
      </c>
      <c r="L317" s="251">
        <v>900</v>
      </c>
      <c r="M317" s="67">
        <v>960</v>
      </c>
      <c r="N317" s="67">
        <v>690</v>
      </c>
      <c r="O317" s="67">
        <v>1200</v>
      </c>
      <c r="P317" s="18" t="s">
        <v>254</v>
      </c>
      <c r="Q317" s="71"/>
      <c r="R317" s="5" t="str">
        <f t="shared" si="33"/>
        <v/>
      </c>
      <c r="S317" s="62" t="s">
        <v>599</v>
      </c>
      <c r="T317" s="5" t="str">
        <f t="shared" si="35"/>
        <v/>
      </c>
      <c r="V317" s="69">
        <f t="shared" si="34"/>
        <v>900</v>
      </c>
      <c r="W317" s="5">
        <v>650</v>
      </c>
    </row>
    <row r="318" spans="1:25" ht="15.8" customHeight="1">
      <c r="A318" s="1" t="s">
        <v>845</v>
      </c>
      <c r="B318" s="176" t="s">
        <v>1729</v>
      </c>
      <c r="C318" s="177" t="s">
        <v>1730</v>
      </c>
      <c r="D318" s="178">
        <v>1380</v>
      </c>
      <c r="E318" s="178">
        <f t="shared" si="36"/>
        <v>1794</v>
      </c>
      <c r="F318" s="179" t="s">
        <v>103</v>
      </c>
      <c r="G318" s="180"/>
      <c r="H318" s="181" t="s">
        <v>551</v>
      </c>
      <c r="I318" s="182">
        <v>1</v>
      </c>
      <c r="J318" s="1" t="s">
        <v>103</v>
      </c>
      <c r="K318" s="67">
        <v>3800</v>
      </c>
      <c r="L318" s="251">
        <v>2800</v>
      </c>
      <c r="M318" s="67">
        <v>4100</v>
      </c>
      <c r="N318" s="67">
        <v>2875</v>
      </c>
      <c r="O318" s="67">
        <v>4500</v>
      </c>
      <c r="P318" s="18" t="s">
        <v>254</v>
      </c>
      <c r="Q318" s="71"/>
      <c r="R318" s="5" t="str">
        <f>IF(Q318="x",CONCATENATE(A318,"; "),"")</f>
        <v/>
      </c>
      <c r="S318" s="62" t="s">
        <v>551</v>
      </c>
      <c r="T318" s="5" t="str">
        <f>IF(Q318="x",S318,"")</f>
        <v/>
      </c>
      <c r="V318" s="69">
        <f>L318-X318</f>
        <v>2800</v>
      </c>
      <c r="W318" s="5">
        <v>845</v>
      </c>
    </row>
    <row r="319" spans="1:25" ht="15.8" customHeight="1">
      <c r="A319" s="1" t="s">
        <v>672</v>
      </c>
      <c r="B319" s="183" t="s">
        <v>1731</v>
      </c>
      <c r="C319" s="203" t="s">
        <v>1882</v>
      </c>
      <c r="D319" s="184">
        <v>1724.9999999999998</v>
      </c>
      <c r="E319" s="178">
        <f t="shared" si="36"/>
        <v>2242.5</v>
      </c>
      <c r="F319" s="185" t="s">
        <v>103</v>
      </c>
      <c r="G319" s="186"/>
      <c r="H319" s="187" t="s">
        <v>551</v>
      </c>
      <c r="I319" s="188">
        <v>1</v>
      </c>
      <c r="J319" s="1" t="s">
        <v>103</v>
      </c>
      <c r="K319" s="67">
        <v>4000</v>
      </c>
      <c r="L319" s="67">
        <v>4000</v>
      </c>
      <c r="M319" s="67">
        <v>5400</v>
      </c>
      <c r="N319" s="67">
        <v>4025</v>
      </c>
      <c r="O319" s="67">
        <v>4500</v>
      </c>
      <c r="P319" s="18" t="s">
        <v>254</v>
      </c>
      <c r="Q319" s="279"/>
      <c r="R319" s="5" t="str">
        <f>IF(Q319="x",CONCATENATE(A319,"; "),"")</f>
        <v/>
      </c>
      <c r="S319" s="62" t="s">
        <v>551</v>
      </c>
      <c r="T319" s="5" t="str">
        <f>IF(Q319="x",S319,"")</f>
        <v/>
      </c>
      <c r="U319" s="5" t="s">
        <v>1261</v>
      </c>
      <c r="V319" s="69">
        <f>L319-X319</f>
        <v>0</v>
      </c>
      <c r="W319" s="5">
        <v>2484</v>
      </c>
      <c r="X319" s="5">
        <v>4000</v>
      </c>
    </row>
    <row r="320" spans="1:25" s="231" customFormat="1" ht="15.8" customHeight="1">
      <c r="A320" s="155" t="s">
        <v>813</v>
      </c>
      <c r="E320" s="221">
        <f t="shared" si="36"/>
        <v>0</v>
      </c>
      <c r="J320" s="155" t="s">
        <v>553</v>
      </c>
      <c r="K320" s="160">
        <v>24700</v>
      </c>
      <c r="L320" s="160">
        <v>24700</v>
      </c>
      <c r="M320" s="160"/>
      <c r="N320" s="160"/>
      <c r="O320" s="160"/>
      <c r="P320" s="156" t="s">
        <v>1284</v>
      </c>
      <c r="Q320" s="262"/>
      <c r="R320" s="231" t="str">
        <f t="shared" ref="R320:R326" si="37">IF(Q320="x",CONCATENATE(A320,"; "),"")</f>
        <v/>
      </c>
      <c r="S320" s="263" t="s">
        <v>604</v>
      </c>
      <c r="T320" s="231" t="str">
        <f t="shared" si="35"/>
        <v/>
      </c>
      <c r="V320" s="264">
        <f t="shared" ref="V320:V326" si="38">L320-X320</f>
        <v>24700</v>
      </c>
      <c r="W320" s="231">
        <v>19000</v>
      </c>
      <c r="Y320" s="327"/>
    </row>
    <row r="321" spans="1:26" s="231" customFormat="1" ht="15.8" customHeight="1">
      <c r="A321" s="157" t="s">
        <v>814</v>
      </c>
      <c r="B321" s="287" t="s">
        <v>1732</v>
      </c>
      <c r="C321" s="288" t="s">
        <v>814</v>
      </c>
      <c r="D321" s="221">
        <v>7000</v>
      </c>
      <c r="E321" s="221">
        <f t="shared" si="36"/>
        <v>9100</v>
      </c>
      <c r="F321" s="289" t="s">
        <v>607</v>
      </c>
      <c r="G321" s="290"/>
      <c r="H321" s="291" t="s">
        <v>736</v>
      </c>
      <c r="I321" s="310" t="s">
        <v>350</v>
      </c>
      <c r="J321" s="157" t="s">
        <v>607</v>
      </c>
      <c r="K321" s="158">
        <v>9100</v>
      </c>
      <c r="L321" s="158">
        <v>9100</v>
      </c>
      <c r="M321" s="160"/>
      <c r="N321" s="160"/>
      <c r="O321" s="160"/>
      <c r="P321" s="159" t="s">
        <v>350</v>
      </c>
      <c r="Q321" s="262"/>
      <c r="R321" s="231" t="str">
        <f t="shared" si="37"/>
        <v/>
      </c>
      <c r="S321" s="263" t="s">
        <v>736</v>
      </c>
      <c r="T321" s="231" t="str">
        <f t="shared" si="35"/>
        <v/>
      </c>
      <c r="V321" s="264">
        <f t="shared" si="38"/>
        <v>9100</v>
      </c>
      <c r="W321" s="231">
        <v>7000</v>
      </c>
      <c r="Y321" s="327"/>
    </row>
    <row r="322" spans="1:26" ht="15.8" customHeight="1">
      <c r="A322" s="1" t="s">
        <v>815</v>
      </c>
      <c r="B322" s="183" t="s">
        <v>1733</v>
      </c>
      <c r="C322" s="203" t="s">
        <v>1734</v>
      </c>
      <c r="D322" s="184">
        <v>20240</v>
      </c>
      <c r="E322" s="178">
        <f t="shared" si="36"/>
        <v>26312</v>
      </c>
      <c r="F322" s="185" t="s">
        <v>759</v>
      </c>
      <c r="G322" s="186"/>
      <c r="H322" s="187" t="s">
        <v>551</v>
      </c>
      <c r="I322" s="188">
        <v>17</v>
      </c>
      <c r="J322" s="1" t="s">
        <v>759</v>
      </c>
      <c r="K322" s="67">
        <v>26500</v>
      </c>
      <c r="L322" s="251">
        <v>26400</v>
      </c>
      <c r="M322" s="5"/>
      <c r="N322" s="5"/>
      <c r="O322" s="67">
        <v>25300</v>
      </c>
      <c r="P322" s="18" t="s">
        <v>1283</v>
      </c>
      <c r="Q322" s="71"/>
      <c r="R322" s="5" t="str">
        <f t="shared" si="37"/>
        <v/>
      </c>
      <c r="S322" s="62" t="s">
        <v>551</v>
      </c>
      <c r="T322" s="5" t="str">
        <f t="shared" si="35"/>
        <v/>
      </c>
      <c r="V322" s="69">
        <f t="shared" si="38"/>
        <v>26400</v>
      </c>
      <c r="W322" s="5">
        <v>20240</v>
      </c>
    </row>
    <row r="323" spans="1:26" ht="15.8" customHeight="1">
      <c r="A323" s="1" t="s">
        <v>78</v>
      </c>
      <c r="B323" s="176" t="s">
        <v>1735</v>
      </c>
      <c r="C323" s="177" t="s">
        <v>78</v>
      </c>
      <c r="D323" s="178">
        <v>9000</v>
      </c>
      <c r="E323" s="178">
        <f t="shared" si="36"/>
        <v>11700</v>
      </c>
      <c r="F323" s="179" t="s">
        <v>559</v>
      </c>
      <c r="G323" s="180"/>
      <c r="H323" s="181" t="s">
        <v>575</v>
      </c>
      <c r="I323" s="182">
        <v>17</v>
      </c>
      <c r="J323" s="1" t="s">
        <v>559</v>
      </c>
      <c r="K323" s="67">
        <v>11700</v>
      </c>
      <c r="L323" s="251">
        <v>11700</v>
      </c>
      <c r="M323" s="67">
        <v>12000</v>
      </c>
      <c r="N323" s="67">
        <v>8165</v>
      </c>
      <c r="O323" s="67">
        <v>12500</v>
      </c>
      <c r="P323" s="18" t="s">
        <v>1283</v>
      </c>
      <c r="Q323" s="71"/>
      <c r="R323" s="5" t="str">
        <f t="shared" si="37"/>
        <v/>
      </c>
      <c r="S323" s="62" t="s">
        <v>575</v>
      </c>
      <c r="T323" s="5" t="str">
        <f t="shared" si="35"/>
        <v/>
      </c>
      <c r="V323" s="69">
        <f t="shared" si="38"/>
        <v>11700</v>
      </c>
      <c r="W323" s="5">
        <v>9000</v>
      </c>
    </row>
    <row r="324" spans="1:26" ht="15.8" customHeight="1">
      <c r="A324" s="1" t="s">
        <v>816</v>
      </c>
      <c r="C324" s="203" t="s">
        <v>1883</v>
      </c>
      <c r="D324" s="184">
        <v>1150</v>
      </c>
      <c r="E324" s="178">
        <f>D324*1.3</f>
        <v>1495</v>
      </c>
      <c r="F324" s="185" t="s">
        <v>88</v>
      </c>
      <c r="G324" s="186"/>
      <c r="H324" s="187" t="s">
        <v>551</v>
      </c>
      <c r="I324" s="188">
        <v>1</v>
      </c>
      <c r="J324" s="1" t="s">
        <v>550</v>
      </c>
      <c r="K324" s="67">
        <v>2000</v>
      </c>
      <c r="L324" s="251">
        <v>2000</v>
      </c>
      <c r="M324" s="67">
        <v>3200</v>
      </c>
      <c r="N324" s="67">
        <v>2300</v>
      </c>
      <c r="O324" s="67">
        <v>4500</v>
      </c>
      <c r="P324" s="18" t="s">
        <v>254</v>
      </c>
      <c r="Q324" s="71"/>
      <c r="R324" s="5" t="str">
        <f t="shared" si="37"/>
        <v/>
      </c>
      <c r="S324" s="62" t="s">
        <v>551</v>
      </c>
      <c r="T324" s="5" t="str">
        <f t="shared" si="35"/>
        <v/>
      </c>
      <c r="V324" s="69">
        <f t="shared" si="38"/>
        <v>2000</v>
      </c>
      <c r="W324" s="5">
        <v>807</v>
      </c>
    </row>
    <row r="325" spans="1:26" ht="15.8" customHeight="1">
      <c r="A325" s="1" t="s">
        <v>817</v>
      </c>
      <c r="B325" s="183" t="s">
        <v>1736</v>
      </c>
      <c r="C325" s="203" t="s">
        <v>817</v>
      </c>
      <c r="D325" s="184">
        <v>5700</v>
      </c>
      <c r="E325" s="178">
        <f t="shared" si="36"/>
        <v>7410</v>
      </c>
      <c r="F325" s="185" t="s">
        <v>559</v>
      </c>
      <c r="G325" s="186"/>
      <c r="H325" s="187" t="s">
        <v>551</v>
      </c>
      <c r="I325" s="188">
        <v>15</v>
      </c>
      <c r="J325" s="1" t="s">
        <v>559</v>
      </c>
      <c r="K325" s="67">
        <v>7500</v>
      </c>
      <c r="L325" s="67">
        <v>7500</v>
      </c>
      <c r="M325" s="67">
        <v>10700</v>
      </c>
      <c r="N325" s="67">
        <v>10000</v>
      </c>
      <c r="O325" s="67">
        <v>10900</v>
      </c>
      <c r="P325" s="18" t="s">
        <v>1282</v>
      </c>
      <c r="Q325" s="71"/>
      <c r="R325" s="5" t="str">
        <f t="shared" si="37"/>
        <v/>
      </c>
      <c r="S325" s="62" t="s">
        <v>551</v>
      </c>
      <c r="T325" s="5" t="str">
        <f t="shared" si="35"/>
        <v/>
      </c>
      <c r="V325" s="69">
        <f t="shared" si="38"/>
        <v>7500</v>
      </c>
      <c r="W325" s="5">
        <v>5700</v>
      </c>
    </row>
    <row r="326" spans="1:26" ht="15.8" customHeight="1">
      <c r="A326" s="1" t="s">
        <v>818</v>
      </c>
      <c r="B326" s="176" t="s">
        <v>1737</v>
      </c>
      <c r="C326" s="177" t="s">
        <v>818</v>
      </c>
      <c r="D326" s="178">
        <v>7000</v>
      </c>
      <c r="E326" s="178">
        <f t="shared" si="36"/>
        <v>9100</v>
      </c>
      <c r="F326" s="179" t="s">
        <v>562</v>
      </c>
      <c r="G326" s="180"/>
      <c r="H326" s="181" t="s">
        <v>551</v>
      </c>
      <c r="I326" s="182">
        <v>10</v>
      </c>
      <c r="J326" s="1" t="s">
        <v>562</v>
      </c>
      <c r="K326" s="67">
        <v>9100</v>
      </c>
      <c r="L326" s="67">
        <v>9100</v>
      </c>
      <c r="M326" s="5">
        <v>10670</v>
      </c>
      <c r="N326" s="67">
        <v>9545</v>
      </c>
      <c r="O326" s="67">
        <v>13700</v>
      </c>
      <c r="P326" s="18" t="s">
        <v>1285</v>
      </c>
      <c r="Q326" s="71"/>
      <c r="R326" s="5" t="str">
        <f t="shared" si="37"/>
        <v/>
      </c>
      <c r="S326" s="62" t="s">
        <v>551</v>
      </c>
      <c r="T326" s="5" t="str">
        <f t="shared" si="35"/>
        <v/>
      </c>
      <c r="V326" s="69">
        <f t="shared" si="38"/>
        <v>9100</v>
      </c>
      <c r="W326" s="5">
        <v>7000</v>
      </c>
    </row>
    <row r="327" spans="1:26" ht="15.8" customHeight="1">
      <c r="A327" s="1" t="s">
        <v>819</v>
      </c>
      <c r="B327" s="176" t="s">
        <v>688</v>
      </c>
      <c r="C327" s="177" t="s">
        <v>1738</v>
      </c>
      <c r="D327" s="178">
        <v>9950</v>
      </c>
      <c r="E327" s="178">
        <f t="shared" si="36"/>
        <v>12935</v>
      </c>
      <c r="F327" s="179" t="s">
        <v>103</v>
      </c>
      <c r="G327" s="180"/>
      <c r="H327" s="181" t="s">
        <v>551</v>
      </c>
      <c r="I327" s="182">
        <v>7</v>
      </c>
      <c r="J327" s="1" t="s">
        <v>103</v>
      </c>
      <c r="K327" s="67">
        <v>0</v>
      </c>
      <c r="L327" s="67">
        <v>13700</v>
      </c>
      <c r="M327" s="67">
        <v>16600</v>
      </c>
      <c r="N327" s="67">
        <v>13700</v>
      </c>
      <c r="O327" s="67">
        <v>16600</v>
      </c>
      <c r="P327" s="18" t="s">
        <v>254</v>
      </c>
      <c r="Q327" s="71"/>
      <c r="R327" s="5" t="str">
        <f>IF(Q327="x",CONCATENATE(A327,"; "),"")</f>
        <v/>
      </c>
      <c r="S327" s="62" t="s">
        <v>548</v>
      </c>
      <c r="T327" s="5" t="str">
        <f t="shared" si="35"/>
        <v/>
      </c>
      <c r="V327" s="69">
        <f>L327-X327</f>
        <v>13700</v>
      </c>
      <c r="W327" s="5">
        <v>0</v>
      </c>
    </row>
    <row r="328" spans="1:26" ht="15.8" customHeight="1">
      <c r="A328" s="1" t="s">
        <v>365</v>
      </c>
      <c r="B328" s="183" t="s">
        <v>1739</v>
      </c>
      <c r="C328" s="203" t="s">
        <v>365</v>
      </c>
      <c r="D328" s="184">
        <v>4024.9999999999995</v>
      </c>
      <c r="E328" s="178">
        <f t="shared" si="36"/>
        <v>5232.5</v>
      </c>
      <c r="F328" s="185" t="s">
        <v>602</v>
      </c>
      <c r="G328" s="186"/>
      <c r="H328" s="187" t="s">
        <v>551</v>
      </c>
      <c r="I328" s="188">
        <v>5</v>
      </c>
      <c r="J328" s="1" t="s">
        <v>602</v>
      </c>
      <c r="K328" s="67">
        <v>5500</v>
      </c>
      <c r="L328" s="251">
        <v>5000</v>
      </c>
      <c r="M328" s="67">
        <v>7040</v>
      </c>
      <c r="N328" s="67">
        <v>2875</v>
      </c>
      <c r="O328" s="67">
        <v>5000</v>
      </c>
      <c r="P328" s="18" t="s">
        <v>1278</v>
      </c>
      <c r="Q328" s="71"/>
      <c r="R328" s="5" t="str">
        <f>IF(Q328="x",CONCATENATE(A328,"; "),"")</f>
        <v/>
      </c>
      <c r="S328" s="62" t="s">
        <v>551</v>
      </c>
      <c r="T328" s="5" t="str">
        <f t="shared" si="35"/>
        <v/>
      </c>
      <c r="V328" s="69">
        <f>L328-X328</f>
        <v>5000</v>
      </c>
      <c r="W328" s="5">
        <v>4024.9999999999995</v>
      </c>
    </row>
    <row r="329" spans="1:26" ht="15.8" customHeight="1">
      <c r="A329" s="1" t="s">
        <v>820</v>
      </c>
      <c r="B329" s="176" t="s">
        <v>1740</v>
      </c>
      <c r="C329" s="177" t="s">
        <v>820</v>
      </c>
      <c r="D329" s="178">
        <v>4024.9999999999995</v>
      </c>
      <c r="E329" s="178">
        <f t="shared" si="36"/>
        <v>5232.5</v>
      </c>
      <c r="F329" s="179" t="s">
        <v>602</v>
      </c>
      <c r="G329" s="180"/>
      <c r="H329" s="181" t="s">
        <v>551</v>
      </c>
      <c r="I329" s="182">
        <v>5</v>
      </c>
      <c r="J329" s="1" t="s">
        <v>602</v>
      </c>
      <c r="K329" s="67">
        <v>5500</v>
      </c>
      <c r="L329" s="67">
        <v>5500</v>
      </c>
      <c r="M329" s="67">
        <v>5750</v>
      </c>
      <c r="N329" s="67"/>
      <c r="O329" s="67">
        <v>5700</v>
      </c>
      <c r="P329" s="18" t="s">
        <v>1278</v>
      </c>
      <c r="Q329" s="71"/>
      <c r="R329" s="5" t="str">
        <f>IF(Q329="x",CONCATENATE(A329,"; "),"")</f>
        <v/>
      </c>
      <c r="S329" s="62" t="s">
        <v>551</v>
      </c>
      <c r="T329" s="5" t="str">
        <f t="shared" si="35"/>
        <v/>
      </c>
      <c r="V329" s="69">
        <f>L329-X329</f>
        <v>5500</v>
      </c>
      <c r="W329" s="5">
        <v>4024.9999999999995</v>
      </c>
    </row>
    <row r="330" spans="1:26" ht="15.8" customHeight="1">
      <c r="A330" s="1" t="s">
        <v>821</v>
      </c>
      <c r="B330" s="183" t="s">
        <v>1741</v>
      </c>
      <c r="C330" s="203" t="s">
        <v>821</v>
      </c>
      <c r="D330" s="184">
        <v>9200</v>
      </c>
      <c r="E330" s="178">
        <f t="shared" si="36"/>
        <v>11960</v>
      </c>
      <c r="F330" s="185" t="s">
        <v>103</v>
      </c>
      <c r="G330" s="186"/>
      <c r="H330" s="187" t="s">
        <v>551</v>
      </c>
      <c r="I330" s="188">
        <v>17</v>
      </c>
      <c r="J330" s="1" t="s">
        <v>103</v>
      </c>
      <c r="K330" s="67">
        <v>12000</v>
      </c>
      <c r="L330" s="67">
        <v>12000</v>
      </c>
      <c r="M330" s="67">
        <v>9600</v>
      </c>
      <c r="N330" s="67">
        <v>6900</v>
      </c>
      <c r="O330" s="67">
        <v>12000</v>
      </c>
      <c r="P330" s="18" t="s">
        <v>1283</v>
      </c>
      <c r="Q330" s="71"/>
      <c r="R330" s="5" t="str">
        <f>IF(Q330="x",CONCATENATE(A330,"; "),"")</f>
        <v/>
      </c>
      <c r="S330" s="62" t="s">
        <v>551</v>
      </c>
      <c r="T330" s="5" t="str">
        <f t="shared" si="35"/>
        <v/>
      </c>
      <c r="V330" s="69">
        <f>L330-X330</f>
        <v>12000</v>
      </c>
      <c r="W330" s="5">
        <v>9200</v>
      </c>
    </row>
    <row r="331" spans="1:26" s="231" customFormat="1" ht="15.8" customHeight="1">
      <c r="A331" s="157" t="s">
        <v>822</v>
      </c>
      <c r="B331" s="287" t="s">
        <v>1742</v>
      </c>
      <c r="C331" s="288" t="s">
        <v>822</v>
      </c>
      <c r="D331" s="221">
        <v>7000</v>
      </c>
      <c r="E331" s="221">
        <f t="shared" si="36"/>
        <v>9100</v>
      </c>
      <c r="F331" s="289" t="s">
        <v>607</v>
      </c>
      <c r="G331" s="290"/>
      <c r="H331" s="291" t="s">
        <v>608</v>
      </c>
      <c r="I331" s="310" t="s">
        <v>350</v>
      </c>
      <c r="J331" s="157" t="s">
        <v>607</v>
      </c>
      <c r="K331" s="158">
        <v>9100</v>
      </c>
      <c r="L331" s="158">
        <v>9100</v>
      </c>
      <c r="M331" s="160"/>
      <c r="N331" s="160"/>
      <c r="O331" s="160"/>
      <c r="P331" s="159" t="s">
        <v>350</v>
      </c>
      <c r="Q331" s="262"/>
      <c r="R331" s="231" t="str">
        <f>IF(Q331="x",CONCATENATE(A331,"; "),"")</f>
        <v/>
      </c>
      <c r="S331" s="263" t="s">
        <v>608</v>
      </c>
      <c r="T331" s="231" t="str">
        <f t="shared" si="35"/>
        <v/>
      </c>
      <c r="V331" s="264">
        <f>L331-X331</f>
        <v>9100</v>
      </c>
      <c r="W331" s="231">
        <v>7000</v>
      </c>
      <c r="Y331" s="327"/>
    </row>
    <row r="332" spans="1:26" s="173" customFormat="1" ht="15.8" customHeight="1">
      <c r="A332" s="271" t="s">
        <v>1744</v>
      </c>
      <c r="B332" s="270" t="s">
        <v>1743</v>
      </c>
      <c r="C332" s="271" t="s">
        <v>1744</v>
      </c>
      <c r="D332" s="272">
        <v>8049.9999999999991</v>
      </c>
      <c r="E332" s="237">
        <f t="shared" si="36"/>
        <v>10465</v>
      </c>
      <c r="F332" s="273" t="s">
        <v>553</v>
      </c>
      <c r="G332" s="274"/>
      <c r="H332" s="275" t="s">
        <v>1447</v>
      </c>
      <c r="I332" s="276">
        <v>1</v>
      </c>
      <c r="J332" s="281"/>
      <c r="K332" s="283"/>
      <c r="L332" s="283"/>
      <c r="M332" s="283"/>
      <c r="N332" s="283"/>
      <c r="O332" s="283"/>
      <c r="P332" s="284"/>
      <c r="Q332" s="169"/>
      <c r="S332" s="243"/>
      <c r="V332" s="170"/>
      <c r="Y332" s="321"/>
    </row>
    <row r="333" spans="1:26" s="173" customFormat="1" ht="15.8" customHeight="1">
      <c r="A333" s="334" t="s">
        <v>1746</v>
      </c>
      <c r="B333" s="265" t="s">
        <v>1745</v>
      </c>
      <c r="C333" s="334" t="s">
        <v>1746</v>
      </c>
      <c r="D333" s="237">
        <v>6900</v>
      </c>
      <c r="E333" s="237">
        <f t="shared" si="36"/>
        <v>8970</v>
      </c>
      <c r="F333" s="266" t="s">
        <v>602</v>
      </c>
      <c r="G333" s="267"/>
      <c r="H333" s="268" t="s">
        <v>551</v>
      </c>
      <c r="I333" s="330" t="s">
        <v>1747</v>
      </c>
      <c r="J333" s="281"/>
      <c r="K333" s="283"/>
      <c r="L333" s="283"/>
      <c r="M333" s="283"/>
      <c r="N333" s="283"/>
      <c r="O333" s="283"/>
      <c r="P333" s="284"/>
      <c r="Q333" s="169"/>
      <c r="S333" s="243"/>
      <c r="V333" s="170"/>
      <c r="Y333" s="321"/>
    </row>
    <row r="334" spans="1:26" s="231" customFormat="1" ht="15.8" customHeight="1">
      <c r="A334" s="157" t="s">
        <v>823</v>
      </c>
      <c r="B334" s="218" t="s">
        <v>1748</v>
      </c>
      <c r="C334" s="260" t="s">
        <v>823</v>
      </c>
      <c r="D334" s="220">
        <v>8049.9999999999991</v>
      </c>
      <c r="E334" s="221">
        <f t="shared" si="36"/>
        <v>10465</v>
      </c>
      <c r="F334" s="222" t="s">
        <v>607</v>
      </c>
      <c r="G334" s="223"/>
      <c r="H334" s="224" t="s">
        <v>608</v>
      </c>
      <c r="I334" s="261" t="s">
        <v>824</v>
      </c>
      <c r="J334" s="157" t="s">
        <v>607</v>
      </c>
      <c r="K334" s="158">
        <v>10465</v>
      </c>
      <c r="L334" s="158">
        <v>10465</v>
      </c>
      <c r="M334" s="160"/>
      <c r="N334" s="160"/>
      <c r="O334" s="160"/>
      <c r="P334" s="159" t="s">
        <v>824</v>
      </c>
      <c r="Q334" s="262"/>
      <c r="R334" s="231" t="str">
        <f>IF(Q334="x",CONCATENATE(A334,"; "),"")</f>
        <v/>
      </c>
      <c r="S334" s="263" t="s">
        <v>608</v>
      </c>
      <c r="T334" s="231" t="str">
        <f t="shared" si="35"/>
        <v/>
      </c>
      <c r="V334" s="264">
        <f>L334-X334</f>
        <v>10465</v>
      </c>
      <c r="W334" s="231">
        <v>8049.9999999999991</v>
      </c>
      <c r="Y334" s="327"/>
    </row>
    <row r="335" spans="1:26" ht="15.8" customHeight="1">
      <c r="A335" s="1" t="s">
        <v>1321</v>
      </c>
      <c r="B335" s="189" t="s">
        <v>1749</v>
      </c>
      <c r="C335" s="192" t="s">
        <v>1750</v>
      </c>
      <c r="D335" s="280">
        <v>48000</v>
      </c>
      <c r="E335" s="277">
        <f t="shared" si="36"/>
        <v>62400</v>
      </c>
      <c r="F335" s="192" t="s">
        <v>553</v>
      </c>
      <c r="G335" s="193" t="s">
        <v>1363</v>
      </c>
      <c r="H335" s="193" t="s">
        <v>1751</v>
      </c>
      <c r="I335" s="335" t="s">
        <v>581</v>
      </c>
      <c r="J335" s="1" t="s">
        <v>553</v>
      </c>
      <c r="K335" s="67">
        <v>55000</v>
      </c>
      <c r="L335" s="251">
        <v>55000</v>
      </c>
      <c r="M335" s="67">
        <v>60000</v>
      </c>
      <c r="N335" s="67"/>
      <c r="O335" s="67">
        <v>53900</v>
      </c>
      <c r="P335" s="18" t="s">
        <v>646</v>
      </c>
      <c r="Q335" s="279"/>
      <c r="R335" s="5" t="str">
        <f>IF(Q335="x",CONCATENATE(A335,"; "),"")</f>
        <v/>
      </c>
      <c r="S335" s="70" t="s">
        <v>604</v>
      </c>
      <c r="T335" s="5" t="str">
        <f t="shared" si="35"/>
        <v/>
      </c>
      <c r="U335" s="5" t="s">
        <v>1265</v>
      </c>
      <c r="V335" s="69">
        <f>L335-X335</f>
        <v>0</v>
      </c>
      <c r="W335" s="5">
        <v>45500</v>
      </c>
      <c r="X335" s="7">
        <v>55000</v>
      </c>
      <c r="Y335" s="323"/>
      <c r="Z335" s="7"/>
    </row>
    <row r="336" spans="1:26" ht="15.8" customHeight="1">
      <c r="A336" s="1" t="s">
        <v>71</v>
      </c>
      <c r="B336" s="183" t="s">
        <v>71</v>
      </c>
      <c r="C336" s="203" t="s">
        <v>71</v>
      </c>
      <c r="D336" s="184">
        <v>2185</v>
      </c>
      <c r="E336" s="178">
        <f t="shared" si="36"/>
        <v>2840.5</v>
      </c>
      <c r="F336" s="185" t="s">
        <v>559</v>
      </c>
      <c r="G336" s="186"/>
      <c r="H336" s="187" t="s">
        <v>551</v>
      </c>
      <c r="I336" s="188">
        <v>1</v>
      </c>
      <c r="J336" s="1" t="s">
        <v>559</v>
      </c>
      <c r="K336" s="67">
        <v>5500</v>
      </c>
      <c r="L336" s="251">
        <v>2800</v>
      </c>
      <c r="M336" s="67">
        <v>3800</v>
      </c>
      <c r="N336" s="67">
        <v>2760</v>
      </c>
      <c r="O336" s="67">
        <v>6300</v>
      </c>
      <c r="P336" s="18" t="s">
        <v>254</v>
      </c>
      <c r="Q336" s="71"/>
      <c r="R336" s="5" t="str">
        <f t="shared" ref="R336:R344" si="39">IF(Q336="x",CONCATENATE(A336,"; "),"")</f>
        <v/>
      </c>
      <c r="S336" s="62" t="s">
        <v>551</v>
      </c>
      <c r="T336" s="5" t="str">
        <f t="shared" si="35"/>
        <v/>
      </c>
      <c r="V336" s="69">
        <f t="shared" ref="V336:V345" si="40">L336-X336</f>
        <v>-2700</v>
      </c>
      <c r="W336" s="5">
        <v>2499</v>
      </c>
      <c r="X336" s="5">
        <v>5500</v>
      </c>
    </row>
    <row r="337" spans="1:25" ht="15.8" customHeight="1">
      <c r="A337" s="1" t="s">
        <v>184</v>
      </c>
      <c r="B337" s="176" t="s">
        <v>1752</v>
      </c>
      <c r="C337" s="177" t="s">
        <v>184</v>
      </c>
      <c r="D337" s="178">
        <v>12074.999999999998</v>
      </c>
      <c r="E337" s="178">
        <f t="shared" si="36"/>
        <v>15697.499999999998</v>
      </c>
      <c r="F337" s="179" t="s">
        <v>88</v>
      </c>
      <c r="G337" s="180"/>
      <c r="H337" s="181" t="s">
        <v>551</v>
      </c>
      <c r="I337" s="182">
        <v>17</v>
      </c>
      <c r="J337" s="1" t="s">
        <v>88</v>
      </c>
      <c r="K337" s="67">
        <v>15800</v>
      </c>
      <c r="L337" s="251">
        <v>15500</v>
      </c>
      <c r="M337" s="67">
        <v>12600</v>
      </c>
      <c r="N337" s="67"/>
      <c r="O337" s="67">
        <v>15900</v>
      </c>
      <c r="P337" s="18" t="s">
        <v>1283</v>
      </c>
      <c r="Q337" s="71"/>
      <c r="R337" s="5" t="str">
        <f t="shared" si="39"/>
        <v/>
      </c>
      <c r="S337" s="62" t="s">
        <v>551</v>
      </c>
      <c r="T337" s="5" t="str">
        <f t="shared" si="35"/>
        <v/>
      </c>
      <c r="V337" s="69">
        <f t="shared" si="40"/>
        <v>15500</v>
      </c>
      <c r="W337" s="5">
        <v>12074.999999999998</v>
      </c>
    </row>
    <row r="338" spans="1:25" s="173" customFormat="1" ht="15.8" customHeight="1">
      <c r="A338" s="233" t="s">
        <v>825</v>
      </c>
      <c r="B338" s="244" t="s">
        <v>1753</v>
      </c>
      <c r="C338" s="245" t="s">
        <v>1754</v>
      </c>
      <c r="D338" s="246">
        <v>14990</v>
      </c>
      <c r="E338" s="237">
        <f t="shared" si="36"/>
        <v>19487</v>
      </c>
      <c r="F338" s="247" t="s">
        <v>602</v>
      </c>
      <c r="G338" s="248" t="s">
        <v>1363</v>
      </c>
      <c r="H338" s="249" t="s">
        <v>554</v>
      </c>
      <c r="I338" s="336">
        <v>5</v>
      </c>
      <c r="J338" s="233" t="s">
        <v>602</v>
      </c>
      <c r="K338" s="145">
        <v>19700</v>
      </c>
      <c r="L338" s="145">
        <v>19700</v>
      </c>
      <c r="M338" s="145"/>
      <c r="N338" s="145"/>
      <c r="O338" s="145"/>
      <c r="P338" s="242" t="s">
        <v>1278</v>
      </c>
      <c r="Q338" s="169"/>
      <c r="R338" s="173" t="str">
        <f t="shared" si="39"/>
        <v/>
      </c>
      <c r="S338" s="243" t="s">
        <v>554</v>
      </c>
      <c r="T338" s="173" t="str">
        <f t="shared" si="35"/>
        <v/>
      </c>
      <c r="V338" s="170">
        <f t="shared" si="40"/>
        <v>19700</v>
      </c>
      <c r="W338" s="173">
        <v>14990</v>
      </c>
      <c r="Y338" s="321"/>
    </row>
    <row r="339" spans="1:25" ht="15.8" customHeight="1">
      <c r="A339" s="253" t="s">
        <v>826</v>
      </c>
      <c r="B339" s="176" t="s">
        <v>1755</v>
      </c>
      <c r="C339" s="177" t="s">
        <v>826</v>
      </c>
      <c r="D339" s="178">
        <v>5750</v>
      </c>
      <c r="E339" s="178">
        <f t="shared" si="36"/>
        <v>7475</v>
      </c>
      <c r="F339" s="179" t="s">
        <v>586</v>
      </c>
      <c r="G339" s="180"/>
      <c r="H339" s="216" t="s">
        <v>548</v>
      </c>
      <c r="I339" s="207" t="s">
        <v>548</v>
      </c>
      <c r="J339" s="253" t="s">
        <v>586</v>
      </c>
      <c r="K339" s="254">
        <v>7475</v>
      </c>
      <c r="L339" s="251">
        <v>7500</v>
      </c>
      <c r="M339" s="67"/>
      <c r="N339" s="67"/>
      <c r="O339" s="67"/>
      <c r="P339" s="255" t="s">
        <v>548</v>
      </c>
      <c r="Q339" s="71"/>
      <c r="R339" s="5" t="str">
        <f t="shared" si="39"/>
        <v/>
      </c>
      <c r="S339" s="70" t="s">
        <v>548</v>
      </c>
      <c r="T339" s="5" t="str">
        <f t="shared" si="35"/>
        <v/>
      </c>
      <c r="V339" s="69">
        <f t="shared" si="40"/>
        <v>7500</v>
      </c>
      <c r="W339" s="5">
        <v>5750</v>
      </c>
    </row>
    <row r="340" spans="1:25" ht="15.8" customHeight="1">
      <c r="A340" s="1" t="s">
        <v>827</v>
      </c>
      <c r="B340" s="189" t="s">
        <v>1756</v>
      </c>
      <c r="C340" s="190" t="s">
        <v>827</v>
      </c>
      <c r="D340" s="191">
        <v>9000</v>
      </c>
      <c r="E340" s="178">
        <f t="shared" si="36"/>
        <v>11700</v>
      </c>
      <c r="F340" s="192" t="s">
        <v>602</v>
      </c>
      <c r="G340" s="193" t="s">
        <v>1363</v>
      </c>
      <c r="H340" s="194" t="s">
        <v>642</v>
      </c>
      <c r="I340" s="195">
        <v>2</v>
      </c>
      <c r="J340" s="1" t="s">
        <v>602</v>
      </c>
      <c r="K340" s="67">
        <v>11700</v>
      </c>
      <c r="L340" s="251">
        <v>11000</v>
      </c>
      <c r="M340" s="67"/>
      <c r="N340" s="67"/>
      <c r="O340" s="67">
        <v>10300</v>
      </c>
      <c r="P340" s="18" t="s">
        <v>1288</v>
      </c>
      <c r="Q340" s="71"/>
      <c r="R340" s="5" t="str">
        <f t="shared" si="39"/>
        <v/>
      </c>
      <c r="S340" s="62" t="s">
        <v>642</v>
      </c>
      <c r="T340" s="5" t="str">
        <f t="shared" si="35"/>
        <v/>
      </c>
      <c r="V340" s="69">
        <f t="shared" si="40"/>
        <v>11000</v>
      </c>
      <c r="W340" s="5">
        <v>9000</v>
      </c>
    </row>
    <row r="341" spans="1:25" ht="15.8" customHeight="1">
      <c r="A341" s="1" t="s">
        <v>828</v>
      </c>
      <c r="B341" s="176" t="s">
        <v>1757</v>
      </c>
      <c r="C341" s="177" t="s">
        <v>828</v>
      </c>
      <c r="D341" s="178">
        <v>5060</v>
      </c>
      <c r="E341" s="178">
        <f t="shared" si="36"/>
        <v>6578</v>
      </c>
      <c r="F341" s="179" t="s">
        <v>88</v>
      </c>
      <c r="G341" s="180"/>
      <c r="H341" s="181" t="s">
        <v>690</v>
      </c>
      <c r="I341" s="182">
        <v>5</v>
      </c>
      <c r="J341" s="1" t="s">
        <v>88</v>
      </c>
      <c r="K341" s="67">
        <v>11400</v>
      </c>
      <c r="L341" s="251">
        <v>10900</v>
      </c>
      <c r="M341" s="67">
        <v>11400</v>
      </c>
      <c r="N341" s="67"/>
      <c r="O341" s="67">
        <v>11400</v>
      </c>
      <c r="P341" s="18" t="s">
        <v>1278</v>
      </c>
      <c r="Q341" s="71"/>
      <c r="R341" s="5" t="str">
        <f t="shared" si="39"/>
        <v/>
      </c>
      <c r="S341" s="62" t="s">
        <v>690</v>
      </c>
      <c r="T341" s="5" t="str">
        <f t="shared" si="35"/>
        <v/>
      </c>
      <c r="V341" s="69">
        <f t="shared" si="40"/>
        <v>10900</v>
      </c>
      <c r="W341" s="5">
        <v>5060</v>
      </c>
    </row>
    <row r="342" spans="1:25" ht="15.8" customHeight="1">
      <c r="A342" s="1" t="s">
        <v>829</v>
      </c>
      <c r="B342" s="183" t="s">
        <v>1758</v>
      </c>
      <c r="C342" s="203" t="s">
        <v>1759</v>
      </c>
      <c r="D342" s="184">
        <v>7474.9999999999991</v>
      </c>
      <c r="E342" s="178">
        <f t="shared" si="36"/>
        <v>9717.5</v>
      </c>
      <c r="F342" s="185" t="s">
        <v>602</v>
      </c>
      <c r="G342" s="186"/>
      <c r="H342" s="187" t="s">
        <v>642</v>
      </c>
      <c r="I342" s="205" t="s">
        <v>587</v>
      </c>
      <c r="J342" s="1" t="s">
        <v>602</v>
      </c>
      <c r="K342" s="67">
        <v>10300</v>
      </c>
      <c r="L342" s="251">
        <v>9800</v>
      </c>
      <c r="M342" s="67">
        <v>11200</v>
      </c>
      <c r="N342" s="67">
        <v>8800</v>
      </c>
      <c r="O342" s="67">
        <v>10300</v>
      </c>
      <c r="P342" s="18" t="s">
        <v>406</v>
      </c>
      <c r="Q342" s="71"/>
      <c r="R342" s="5" t="str">
        <f t="shared" si="39"/>
        <v/>
      </c>
      <c r="S342" s="62" t="s">
        <v>642</v>
      </c>
      <c r="T342" s="5" t="str">
        <f t="shared" si="35"/>
        <v/>
      </c>
      <c r="V342" s="69">
        <f t="shared" si="40"/>
        <v>9800</v>
      </c>
      <c r="W342" s="5">
        <v>7474.9999999999991</v>
      </c>
    </row>
    <row r="343" spans="1:25" ht="15.8" customHeight="1">
      <c r="A343" s="1" t="s">
        <v>830</v>
      </c>
      <c r="B343" s="196" t="s">
        <v>1760</v>
      </c>
      <c r="C343" s="197" t="s">
        <v>830</v>
      </c>
      <c r="D343" s="198">
        <v>1265</v>
      </c>
      <c r="E343" s="178">
        <f t="shared" si="36"/>
        <v>1644.5</v>
      </c>
      <c r="F343" s="199" t="s">
        <v>550</v>
      </c>
      <c r="G343" s="200" t="s">
        <v>1363</v>
      </c>
      <c r="H343" s="201" t="s">
        <v>690</v>
      </c>
      <c r="I343" s="202">
        <v>2</v>
      </c>
      <c r="J343" s="1" t="s">
        <v>550</v>
      </c>
      <c r="K343" s="67">
        <v>3000</v>
      </c>
      <c r="L343" s="251">
        <v>1700</v>
      </c>
      <c r="M343" s="67">
        <v>3200</v>
      </c>
      <c r="N343" s="67">
        <v>1725</v>
      </c>
      <c r="O343" s="67">
        <v>2800</v>
      </c>
      <c r="P343" s="18" t="s">
        <v>1288</v>
      </c>
      <c r="Q343" s="71"/>
      <c r="R343" s="5" t="str">
        <f t="shared" si="39"/>
        <v/>
      </c>
      <c r="S343" s="62" t="s">
        <v>690</v>
      </c>
      <c r="T343" s="5" t="str">
        <f t="shared" si="35"/>
        <v/>
      </c>
      <c r="V343" s="69">
        <f t="shared" si="40"/>
        <v>1700</v>
      </c>
      <c r="W343" s="5">
        <v>1265</v>
      </c>
    </row>
    <row r="344" spans="1:25" ht="15.8" customHeight="1">
      <c r="A344" s="1" t="s">
        <v>831</v>
      </c>
      <c r="B344" s="183" t="s">
        <v>1761</v>
      </c>
      <c r="C344" s="203" t="s">
        <v>831</v>
      </c>
      <c r="D344" s="184">
        <v>16500</v>
      </c>
      <c r="E344" s="178">
        <f t="shared" si="36"/>
        <v>21450</v>
      </c>
      <c r="F344" s="185" t="s">
        <v>103</v>
      </c>
      <c r="G344" s="186"/>
      <c r="H344" s="213" t="s">
        <v>690</v>
      </c>
      <c r="I344" s="205">
        <v>7</v>
      </c>
      <c r="J344" s="1" t="s">
        <v>103</v>
      </c>
      <c r="K344" s="67">
        <v>20300</v>
      </c>
      <c r="L344" s="67">
        <v>20300</v>
      </c>
      <c r="M344" s="67">
        <v>17800</v>
      </c>
      <c r="N344" s="67"/>
      <c r="O344" s="67">
        <v>20300</v>
      </c>
      <c r="P344" s="18" t="s">
        <v>1274</v>
      </c>
      <c r="Q344" s="71"/>
      <c r="R344" s="5" t="str">
        <f t="shared" si="39"/>
        <v/>
      </c>
      <c r="S344" s="62" t="s">
        <v>690</v>
      </c>
      <c r="T344" s="5" t="str">
        <f t="shared" si="35"/>
        <v/>
      </c>
      <c r="V344" s="69">
        <f t="shared" si="40"/>
        <v>20300</v>
      </c>
      <c r="W344" s="5">
        <v>16500</v>
      </c>
    </row>
    <row r="345" spans="1:25" ht="15.8" customHeight="1">
      <c r="A345" s="197" t="s">
        <v>1763</v>
      </c>
      <c r="B345" s="196" t="s">
        <v>1762</v>
      </c>
      <c r="C345" s="197" t="s">
        <v>1763</v>
      </c>
      <c r="D345" s="198">
        <v>63900</v>
      </c>
      <c r="E345" s="178">
        <f t="shared" si="36"/>
        <v>83070</v>
      </c>
      <c r="F345" s="199" t="s">
        <v>169</v>
      </c>
      <c r="G345" s="200" t="s">
        <v>1363</v>
      </c>
      <c r="H345" s="201" t="s">
        <v>690</v>
      </c>
      <c r="I345" s="202">
        <v>30</v>
      </c>
      <c r="J345" s="1"/>
      <c r="K345" s="67"/>
      <c r="L345" s="67">
        <v>74000</v>
      </c>
      <c r="M345" s="67"/>
      <c r="N345" s="67"/>
      <c r="O345" s="67">
        <v>74700</v>
      </c>
      <c r="P345" s="18"/>
      <c r="Q345" s="71"/>
      <c r="S345" s="62"/>
      <c r="V345" s="69">
        <f t="shared" si="40"/>
        <v>74000</v>
      </c>
    </row>
    <row r="346" spans="1:25" ht="15.8" customHeight="1">
      <c r="A346" s="1" t="s">
        <v>832</v>
      </c>
      <c r="B346" s="183" t="s">
        <v>1764</v>
      </c>
      <c r="C346" s="203" t="s">
        <v>832</v>
      </c>
      <c r="D346" s="184">
        <v>7474.9999999999991</v>
      </c>
      <c r="E346" s="178">
        <f t="shared" si="36"/>
        <v>9717.5</v>
      </c>
      <c r="F346" s="185" t="s">
        <v>602</v>
      </c>
      <c r="G346" s="186"/>
      <c r="H346" s="187" t="s">
        <v>642</v>
      </c>
      <c r="I346" s="205" t="s">
        <v>587</v>
      </c>
      <c r="J346" s="1" t="s">
        <v>602</v>
      </c>
      <c r="K346" s="67">
        <v>10300</v>
      </c>
      <c r="L346" s="67">
        <v>10300</v>
      </c>
      <c r="M346" s="67"/>
      <c r="N346" s="67"/>
      <c r="O346" s="67"/>
      <c r="P346" s="18" t="s">
        <v>406</v>
      </c>
      <c r="Q346" s="71"/>
      <c r="R346" s="5" t="str">
        <f>IF(Q346="x",CONCATENATE(A346,"; "),"")</f>
        <v/>
      </c>
      <c r="S346" s="62" t="s">
        <v>642</v>
      </c>
      <c r="T346" s="5" t="str">
        <f t="shared" si="35"/>
        <v/>
      </c>
      <c r="V346" s="69">
        <f>L346-X346</f>
        <v>10300</v>
      </c>
      <c r="W346" s="5">
        <v>7474.9999999999991</v>
      </c>
    </row>
    <row r="347" spans="1:25" ht="15.8" customHeight="1">
      <c r="A347" s="1" t="s">
        <v>833</v>
      </c>
      <c r="B347" s="176" t="s">
        <v>1765</v>
      </c>
      <c r="C347" s="177" t="s">
        <v>833</v>
      </c>
      <c r="D347" s="178">
        <v>8049.9999999999991</v>
      </c>
      <c r="E347" s="178">
        <f t="shared" si="36"/>
        <v>10465</v>
      </c>
      <c r="F347" s="179" t="s">
        <v>602</v>
      </c>
      <c r="G347" s="180"/>
      <c r="H347" s="181" t="s">
        <v>642</v>
      </c>
      <c r="I347" s="182">
        <v>2</v>
      </c>
      <c r="J347" s="1" t="s">
        <v>602</v>
      </c>
      <c r="K347" s="67">
        <v>10500</v>
      </c>
      <c r="L347" s="251">
        <v>9300</v>
      </c>
      <c r="M347" s="67">
        <v>8250</v>
      </c>
      <c r="N347" s="67">
        <v>5000</v>
      </c>
      <c r="O347" s="67">
        <v>9300</v>
      </c>
      <c r="P347" s="18" t="s">
        <v>1288</v>
      </c>
      <c r="Q347" s="71"/>
      <c r="R347" s="5" t="str">
        <f>IF(Q347="x",CONCATENATE(A347,"; "),"")</f>
        <v/>
      </c>
      <c r="S347" s="62" t="s">
        <v>642</v>
      </c>
      <c r="T347" s="5" t="str">
        <f t="shared" si="35"/>
        <v/>
      </c>
      <c r="V347" s="69">
        <f>L347-X347</f>
        <v>9300</v>
      </c>
      <c r="W347" s="5">
        <v>8049.9999999999991</v>
      </c>
    </row>
    <row r="348" spans="1:25" ht="15.8" customHeight="1">
      <c r="A348" s="203" t="s">
        <v>1767</v>
      </c>
      <c r="B348" s="183" t="s">
        <v>1766</v>
      </c>
      <c r="C348" s="203" t="s">
        <v>1767</v>
      </c>
      <c r="D348" s="184">
        <v>29000</v>
      </c>
      <c r="E348" s="178">
        <f t="shared" si="36"/>
        <v>37700</v>
      </c>
      <c r="F348" s="185" t="s">
        <v>169</v>
      </c>
      <c r="G348" s="186"/>
      <c r="H348" s="187" t="s">
        <v>690</v>
      </c>
      <c r="I348" s="188">
        <v>17</v>
      </c>
      <c r="J348" s="1"/>
      <c r="K348" s="67"/>
      <c r="L348" s="251">
        <v>33000</v>
      </c>
      <c r="M348" s="67">
        <v>33500</v>
      </c>
      <c r="N348" s="67"/>
      <c r="O348" s="67">
        <v>33000</v>
      </c>
      <c r="P348" s="18"/>
      <c r="Q348" s="71"/>
      <c r="S348" s="62"/>
      <c r="V348" s="69">
        <f>L348-X348</f>
        <v>33000</v>
      </c>
    </row>
    <row r="349" spans="1:25" ht="15.8" customHeight="1">
      <c r="A349" s="1" t="s">
        <v>834</v>
      </c>
      <c r="B349" s="176" t="s">
        <v>1768</v>
      </c>
      <c r="C349" s="177" t="s">
        <v>834</v>
      </c>
      <c r="D349" s="178">
        <v>6000</v>
      </c>
      <c r="E349" s="178">
        <f t="shared" si="36"/>
        <v>7800</v>
      </c>
      <c r="F349" s="179" t="s">
        <v>607</v>
      </c>
      <c r="G349" s="180"/>
      <c r="H349" s="181" t="s">
        <v>642</v>
      </c>
      <c r="I349" s="207" t="s">
        <v>350</v>
      </c>
      <c r="J349" s="1" t="s">
        <v>607</v>
      </c>
      <c r="K349" s="67">
        <v>7800</v>
      </c>
      <c r="L349" s="67">
        <v>7800</v>
      </c>
      <c r="M349" s="67"/>
      <c r="N349" s="67"/>
      <c r="O349" s="67">
        <v>7900</v>
      </c>
      <c r="P349" s="18" t="s">
        <v>1290</v>
      </c>
      <c r="Q349" s="71"/>
      <c r="R349" s="5" t="str">
        <f t="shared" ref="R349:R356" si="41">IF(Q349="x",CONCATENATE(A349,"; "),"")</f>
        <v/>
      </c>
      <c r="S349" s="62" t="s">
        <v>642</v>
      </c>
      <c r="T349" s="5" t="str">
        <f t="shared" si="35"/>
        <v/>
      </c>
      <c r="V349" s="69">
        <f t="shared" ref="V349:V357" si="42">L349-X349</f>
        <v>7800</v>
      </c>
      <c r="W349" s="5">
        <v>6000</v>
      </c>
    </row>
    <row r="350" spans="1:25" ht="15.8" customHeight="1">
      <c r="A350" s="1" t="s">
        <v>203</v>
      </c>
      <c r="B350" s="183" t="s">
        <v>1769</v>
      </c>
      <c r="C350" s="185" t="s">
        <v>203</v>
      </c>
      <c r="D350" s="184">
        <v>8200</v>
      </c>
      <c r="E350" s="178">
        <f t="shared" si="36"/>
        <v>10660</v>
      </c>
      <c r="F350" s="185" t="s">
        <v>562</v>
      </c>
      <c r="G350" s="186"/>
      <c r="H350" s="187" t="s">
        <v>551</v>
      </c>
      <c r="I350" s="188">
        <v>14</v>
      </c>
      <c r="J350" s="1" t="s">
        <v>562</v>
      </c>
      <c r="K350" s="67">
        <v>10700</v>
      </c>
      <c r="L350" s="251">
        <v>9500</v>
      </c>
      <c r="M350" s="67">
        <v>10560</v>
      </c>
      <c r="N350" s="67">
        <v>9545</v>
      </c>
      <c r="O350" s="67">
        <v>10000</v>
      </c>
      <c r="P350" s="18" t="s">
        <v>1279</v>
      </c>
      <c r="Q350" s="71"/>
      <c r="R350" s="5" t="str">
        <f t="shared" si="41"/>
        <v/>
      </c>
      <c r="S350" s="62" t="s">
        <v>551</v>
      </c>
      <c r="T350" s="5" t="str">
        <f t="shared" si="35"/>
        <v/>
      </c>
      <c r="V350" s="69">
        <f t="shared" si="42"/>
        <v>9500</v>
      </c>
      <c r="W350" s="5">
        <v>8200</v>
      </c>
    </row>
    <row r="351" spans="1:25" ht="15.8" customHeight="1">
      <c r="A351" s="1" t="s">
        <v>835</v>
      </c>
      <c r="B351" s="176" t="s">
        <v>1770</v>
      </c>
      <c r="C351" s="177" t="s">
        <v>835</v>
      </c>
      <c r="D351" s="178">
        <v>2300</v>
      </c>
      <c r="E351" s="178">
        <f t="shared" si="36"/>
        <v>2990</v>
      </c>
      <c r="F351" s="179" t="s">
        <v>602</v>
      </c>
      <c r="G351" s="180"/>
      <c r="H351" s="181" t="s">
        <v>551</v>
      </c>
      <c r="I351" s="182">
        <v>5</v>
      </c>
      <c r="J351" s="1" t="s">
        <v>602</v>
      </c>
      <c r="K351" s="67">
        <v>5800</v>
      </c>
      <c r="L351" s="67">
        <v>5800</v>
      </c>
      <c r="M351" s="67">
        <v>7650</v>
      </c>
      <c r="N351" s="67">
        <v>6625</v>
      </c>
      <c r="O351" s="67">
        <v>10000</v>
      </c>
      <c r="P351" s="18" t="s">
        <v>1278</v>
      </c>
      <c r="Q351" s="71"/>
      <c r="R351" s="5" t="str">
        <f t="shared" si="41"/>
        <v/>
      </c>
      <c r="S351" s="62" t="s">
        <v>551</v>
      </c>
      <c r="T351" s="5" t="str">
        <f t="shared" si="35"/>
        <v/>
      </c>
      <c r="V351" s="69">
        <f t="shared" si="42"/>
        <v>5800</v>
      </c>
      <c r="W351" s="5">
        <v>2300</v>
      </c>
    </row>
    <row r="352" spans="1:25" ht="15.8" customHeight="1">
      <c r="A352" s="1" t="s">
        <v>296</v>
      </c>
      <c r="B352" s="189" t="s">
        <v>1771</v>
      </c>
      <c r="C352" s="190" t="s">
        <v>296</v>
      </c>
      <c r="D352" s="191">
        <v>5200</v>
      </c>
      <c r="E352" s="178">
        <f t="shared" si="36"/>
        <v>6760</v>
      </c>
      <c r="F352" s="192" t="s">
        <v>550</v>
      </c>
      <c r="G352" s="193" t="s">
        <v>1363</v>
      </c>
      <c r="H352" s="194" t="s">
        <v>551</v>
      </c>
      <c r="I352" s="195">
        <v>15</v>
      </c>
      <c r="J352" s="1" t="s">
        <v>550</v>
      </c>
      <c r="K352" s="67">
        <v>6800</v>
      </c>
      <c r="L352" s="67">
        <v>6800</v>
      </c>
      <c r="M352" s="67">
        <v>7100</v>
      </c>
      <c r="N352" s="67"/>
      <c r="O352" s="67">
        <v>6900</v>
      </c>
      <c r="P352" s="18" t="s">
        <v>1283</v>
      </c>
      <c r="Q352" s="71"/>
      <c r="R352" s="5" t="str">
        <f t="shared" si="41"/>
        <v/>
      </c>
      <c r="S352" s="62" t="s">
        <v>551</v>
      </c>
      <c r="T352" s="5" t="str">
        <f t="shared" si="35"/>
        <v/>
      </c>
      <c r="V352" s="69">
        <f t="shared" si="42"/>
        <v>6800</v>
      </c>
      <c r="W352" s="5">
        <v>5200</v>
      </c>
    </row>
    <row r="353" spans="1:31" ht="15.8" customHeight="1">
      <c r="A353" s="1" t="s">
        <v>236</v>
      </c>
      <c r="B353" s="176" t="s">
        <v>1772</v>
      </c>
      <c r="C353" s="177" t="s">
        <v>236</v>
      </c>
      <c r="D353" s="178">
        <v>6324.9999999999991</v>
      </c>
      <c r="E353" s="178">
        <f t="shared" si="36"/>
        <v>8222.5</v>
      </c>
      <c r="F353" s="179" t="s">
        <v>88</v>
      </c>
      <c r="G353" s="180"/>
      <c r="H353" s="181" t="s">
        <v>551</v>
      </c>
      <c r="I353" s="182">
        <v>5</v>
      </c>
      <c r="J353" s="1" t="s">
        <v>88</v>
      </c>
      <c r="K353" s="67">
        <v>8400</v>
      </c>
      <c r="L353" s="67">
        <v>8400</v>
      </c>
      <c r="M353" s="67">
        <v>9200</v>
      </c>
      <c r="N353" s="67"/>
      <c r="O353" s="67">
        <v>20000</v>
      </c>
      <c r="P353" s="18" t="s">
        <v>1278</v>
      </c>
      <c r="Q353" s="71"/>
      <c r="R353" s="5" t="str">
        <f t="shared" si="41"/>
        <v/>
      </c>
      <c r="S353" s="62" t="s">
        <v>551</v>
      </c>
      <c r="T353" s="5" t="str">
        <f t="shared" ref="T353:T421" si="43">IF(Q353="x",S353,"")</f>
        <v/>
      </c>
      <c r="V353" s="69">
        <f t="shared" si="42"/>
        <v>8400</v>
      </c>
      <c r="W353" s="5">
        <v>6324.9999999999991</v>
      </c>
    </row>
    <row r="354" spans="1:31" ht="15.8" customHeight="1">
      <c r="A354" s="1" t="s">
        <v>836</v>
      </c>
      <c r="B354" s="183" t="s">
        <v>1773</v>
      </c>
      <c r="C354" s="203" t="s">
        <v>836</v>
      </c>
      <c r="D354" s="184">
        <v>4600</v>
      </c>
      <c r="E354" s="178">
        <f t="shared" si="36"/>
        <v>5980</v>
      </c>
      <c r="F354" s="185" t="s">
        <v>88</v>
      </c>
      <c r="G354" s="186"/>
      <c r="H354" s="187" t="s">
        <v>551</v>
      </c>
      <c r="I354" s="205" t="s">
        <v>664</v>
      </c>
      <c r="J354" s="1" t="s">
        <v>88</v>
      </c>
      <c r="K354" s="67">
        <v>6000</v>
      </c>
      <c r="L354" s="67">
        <v>6000</v>
      </c>
      <c r="M354" s="67"/>
      <c r="N354" s="67"/>
      <c r="O354" s="67">
        <v>8500</v>
      </c>
      <c r="P354" s="18" t="s">
        <v>1286</v>
      </c>
      <c r="Q354" s="71"/>
      <c r="R354" s="5" t="str">
        <f t="shared" si="41"/>
        <v/>
      </c>
      <c r="S354" s="62" t="s">
        <v>551</v>
      </c>
      <c r="T354" s="5" t="str">
        <f t="shared" si="43"/>
        <v/>
      </c>
      <c r="V354" s="69">
        <f t="shared" si="42"/>
        <v>6000</v>
      </c>
      <c r="W354" s="5">
        <v>4600</v>
      </c>
    </row>
    <row r="355" spans="1:31" ht="15.8" customHeight="1">
      <c r="A355" s="253" t="s">
        <v>397</v>
      </c>
      <c r="B355" s="176" t="s">
        <v>1774</v>
      </c>
      <c r="C355" s="177" t="s">
        <v>397</v>
      </c>
      <c r="D355" s="178">
        <v>8049.9999999999991</v>
      </c>
      <c r="E355" s="178">
        <f t="shared" si="36"/>
        <v>10465</v>
      </c>
      <c r="F355" s="179" t="s">
        <v>562</v>
      </c>
      <c r="G355" s="180"/>
      <c r="H355" s="181" t="s">
        <v>604</v>
      </c>
      <c r="I355" s="182">
        <v>17</v>
      </c>
      <c r="J355" s="253" t="s">
        <v>562</v>
      </c>
      <c r="K355" s="254">
        <v>10465</v>
      </c>
      <c r="L355" s="251">
        <v>10200</v>
      </c>
      <c r="M355" s="5"/>
      <c r="N355" s="67"/>
      <c r="O355" s="67">
        <v>10300</v>
      </c>
      <c r="P355" s="255" t="s">
        <v>552</v>
      </c>
      <c r="Q355" s="71"/>
      <c r="R355" s="5" t="str">
        <f t="shared" si="41"/>
        <v/>
      </c>
      <c r="S355" s="70" t="s">
        <v>604</v>
      </c>
      <c r="T355" s="5" t="str">
        <f t="shared" si="43"/>
        <v/>
      </c>
      <c r="V355" s="69">
        <f t="shared" si="42"/>
        <v>10200</v>
      </c>
      <c r="W355" s="5">
        <v>8049.9999999999991</v>
      </c>
    </row>
    <row r="356" spans="1:31" ht="15.8" customHeight="1">
      <c r="A356" s="1" t="s">
        <v>837</v>
      </c>
      <c r="B356" s="189" t="s">
        <v>1775</v>
      </c>
      <c r="C356" s="192" t="s">
        <v>1776</v>
      </c>
      <c r="D356" s="191">
        <v>26900</v>
      </c>
      <c r="E356" s="178">
        <f t="shared" si="36"/>
        <v>34970</v>
      </c>
      <c r="F356" s="192" t="s">
        <v>567</v>
      </c>
      <c r="G356" s="193" t="s">
        <v>1363</v>
      </c>
      <c r="H356" s="193" t="s">
        <v>551</v>
      </c>
      <c r="I356" s="215">
        <v>3</v>
      </c>
      <c r="J356" s="1" t="s">
        <v>567</v>
      </c>
      <c r="K356" s="67">
        <v>35000</v>
      </c>
      <c r="L356" s="251">
        <v>34000</v>
      </c>
      <c r="M356" s="67">
        <v>42300</v>
      </c>
      <c r="N356" s="67"/>
      <c r="O356" s="67">
        <v>37900</v>
      </c>
      <c r="P356" s="18" t="s">
        <v>1275</v>
      </c>
      <c r="Q356" s="71"/>
      <c r="R356" s="5" t="str">
        <f t="shared" si="41"/>
        <v/>
      </c>
      <c r="S356" s="62" t="s">
        <v>551</v>
      </c>
      <c r="T356" s="5" t="str">
        <f t="shared" si="43"/>
        <v/>
      </c>
      <c r="V356" s="69">
        <f t="shared" si="42"/>
        <v>34000</v>
      </c>
      <c r="W356" s="5">
        <v>26900</v>
      </c>
    </row>
    <row r="357" spans="1:31" ht="15.8" customHeight="1">
      <c r="A357" s="199" t="s">
        <v>1778</v>
      </c>
      <c r="B357" s="196" t="s">
        <v>1777</v>
      </c>
      <c r="C357" s="199" t="s">
        <v>1778</v>
      </c>
      <c r="D357" s="198">
        <v>70000</v>
      </c>
      <c r="E357" s="178">
        <f t="shared" si="36"/>
        <v>91000</v>
      </c>
      <c r="F357" s="199" t="s">
        <v>567</v>
      </c>
      <c r="G357" s="200" t="s">
        <v>1363</v>
      </c>
      <c r="H357" s="201" t="s">
        <v>551</v>
      </c>
      <c r="I357" s="214" t="s">
        <v>407</v>
      </c>
      <c r="J357" s="1"/>
      <c r="K357" s="67"/>
      <c r="L357" s="251">
        <v>88000</v>
      </c>
      <c r="M357" s="67">
        <v>89900</v>
      </c>
      <c r="N357" s="67"/>
      <c r="O357" s="67">
        <v>89000</v>
      </c>
      <c r="P357" s="18"/>
      <c r="Q357" s="71"/>
      <c r="S357" s="62"/>
      <c r="V357" s="69">
        <f t="shared" si="42"/>
        <v>88000</v>
      </c>
    </row>
    <row r="358" spans="1:31" s="231" customFormat="1" ht="15.8" customHeight="1">
      <c r="A358" s="155" t="s">
        <v>838</v>
      </c>
      <c r="B358" s="296" t="s">
        <v>1779</v>
      </c>
      <c r="C358" s="297" t="s">
        <v>1884</v>
      </c>
      <c r="D358" s="298">
        <v>34000</v>
      </c>
      <c r="E358" s="221">
        <f t="shared" si="36"/>
        <v>44200</v>
      </c>
      <c r="F358" s="299" t="s">
        <v>88</v>
      </c>
      <c r="G358" s="300" t="s">
        <v>1363</v>
      </c>
      <c r="H358" s="301" t="s">
        <v>627</v>
      </c>
      <c r="I358" s="302">
        <v>7</v>
      </c>
      <c r="J358" s="155" t="s">
        <v>88</v>
      </c>
      <c r="K358" s="160">
        <v>44200</v>
      </c>
      <c r="L358" s="160">
        <v>44200</v>
      </c>
      <c r="M358" s="160">
        <v>34200</v>
      </c>
      <c r="N358" s="160"/>
      <c r="O358" s="160">
        <v>40300</v>
      </c>
      <c r="P358" s="156" t="s">
        <v>1283</v>
      </c>
      <c r="Q358" s="262"/>
      <c r="R358" s="231" t="str">
        <f>IF(Q358="x",CONCATENATE(A358,"; "),"")</f>
        <v/>
      </c>
      <c r="S358" s="263" t="s">
        <v>627</v>
      </c>
      <c r="T358" s="231" t="str">
        <f t="shared" si="43"/>
        <v/>
      </c>
      <c r="V358" s="264">
        <f>L358-X358</f>
        <v>44200</v>
      </c>
      <c r="W358" s="231">
        <v>34000</v>
      </c>
      <c r="Y358" s="327"/>
    </row>
    <row r="359" spans="1:31" ht="15.8" customHeight="1">
      <c r="A359" s="1" t="s">
        <v>839</v>
      </c>
      <c r="B359" s="196" t="s">
        <v>1780</v>
      </c>
      <c r="C359" s="197" t="s">
        <v>1781</v>
      </c>
      <c r="D359" s="198">
        <v>11900</v>
      </c>
      <c r="E359" s="178">
        <f t="shared" si="36"/>
        <v>15470</v>
      </c>
      <c r="F359" s="199" t="s">
        <v>567</v>
      </c>
      <c r="G359" s="200" t="s">
        <v>1363</v>
      </c>
      <c r="H359" s="201" t="s">
        <v>551</v>
      </c>
      <c r="I359" s="202">
        <v>5</v>
      </c>
      <c r="J359" s="1" t="s">
        <v>567</v>
      </c>
      <c r="K359" s="67">
        <v>15700</v>
      </c>
      <c r="L359" s="67">
        <v>15700</v>
      </c>
      <c r="M359" s="67"/>
      <c r="N359" s="67"/>
      <c r="O359" s="67"/>
      <c r="P359" s="18" t="s">
        <v>1278</v>
      </c>
      <c r="Q359" s="71"/>
      <c r="R359" s="5" t="str">
        <f>IF(Q359="x",CONCATENATE(A359,"; "),"")</f>
        <v/>
      </c>
      <c r="S359" s="62" t="s">
        <v>551</v>
      </c>
      <c r="T359" s="5" t="str">
        <f t="shared" si="43"/>
        <v/>
      </c>
      <c r="V359" s="69">
        <f>L359-X359</f>
        <v>15700</v>
      </c>
      <c r="W359" s="5">
        <v>11900</v>
      </c>
    </row>
    <row r="360" spans="1:31" ht="15.8" customHeight="1">
      <c r="A360" s="1" t="s">
        <v>579</v>
      </c>
      <c r="B360" s="189" t="s">
        <v>1782</v>
      </c>
      <c r="C360" s="190" t="s">
        <v>1885</v>
      </c>
      <c r="D360" s="280">
        <v>600</v>
      </c>
      <c r="E360" s="277">
        <f>D360*1.3</f>
        <v>780</v>
      </c>
      <c r="F360" s="192" t="s">
        <v>550</v>
      </c>
      <c r="G360" s="193" t="s">
        <v>1363</v>
      </c>
      <c r="H360" s="194" t="s">
        <v>476</v>
      </c>
      <c r="I360" s="195">
        <v>1</v>
      </c>
      <c r="J360" s="1" t="s">
        <v>550</v>
      </c>
      <c r="K360" s="67">
        <v>1300</v>
      </c>
      <c r="L360" s="251">
        <v>1100</v>
      </c>
      <c r="M360" s="67">
        <v>1700</v>
      </c>
      <c r="N360" s="67">
        <v>1080</v>
      </c>
      <c r="O360" s="67">
        <v>2300</v>
      </c>
      <c r="P360" s="18" t="s">
        <v>254</v>
      </c>
      <c r="Q360" s="279"/>
      <c r="R360" s="5" t="str">
        <f>IF(Q360="x",CONCATENATE(A360,"; "),"")</f>
        <v/>
      </c>
      <c r="S360" s="62" t="s">
        <v>476</v>
      </c>
      <c r="T360" s="5" t="str">
        <f t="shared" si="43"/>
        <v/>
      </c>
      <c r="U360" s="5" t="s">
        <v>1260</v>
      </c>
      <c r="V360" s="69">
        <f>L360-X360</f>
        <v>-200</v>
      </c>
      <c r="W360" s="5">
        <v>960</v>
      </c>
      <c r="X360" s="7">
        <f>650+650</f>
        <v>1300</v>
      </c>
      <c r="Y360" s="323" t="s">
        <v>1313</v>
      </c>
      <c r="Z360" s="7"/>
      <c r="AA360" s="7"/>
      <c r="AB360" s="7"/>
      <c r="AC360" s="7"/>
      <c r="AD360" s="7"/>
      <c r="AE360" s="7"/>
    </row>
    <row r="361" spans="1:31" s="173" customFormat="1" ht="15.8" customHeight="1">
      <c r="A361" s="285" t="s">
        <v>1784</v>
      </c>
      <c r="B361" s="265" t="s">
        <v>1783</v>
      </c>
      <c r="C361" s="285" t="s">
        <v>1784</v>
      </c>
      <c r="D361" s="237">
        <v>1724.9999999999998</v>
      </c>
      <c r="E361" s="237">
        <f t="shared" si="36"/>
        <v>2242.5</v>
      </c>
      <c r="F361" s="266" t="s">
        <v>559</v>
      </c>
      <c r="G361" s="267"/>
      <c r="H361" s="268" t="s">
        <v>551</v>
      </c>
      <c r="I361" s="269">
        <v>1</v>
      </c>
      <c r="J361" s="233"/>
      <c r="K361" s="145"/>
      <c r="L361" s="145">
        <v>2300</v>
      </c>
      <c r="M361" s="145"/>
      <c r="N361" s="145"/>
      <c r="O361" s="145">
        <v>4500</v>
      </c>
      <c r="P361" s="242"/>
      <c r="Q361" s="169"/>
      <c r="S361" s="243"/>
      <c r="V361" s="170"/>
      <c r="Y361" s="321"/>
    </row>
    <row r="362" spans="1:31" ht="15.8" customHeight="1">
      <c r="A362" s="253" t="s">
        <v>840</v>
      </c>
      <c r="B362" s="183" t="s">
        <v>1785</v>
      </c>
      <c r="C362" s="203" t="s">
        <v>1786</v>
      </c>
      <c r="D362" s="184">
        <v>28900</v>
      </c>
      <c r="E362" s="178">
        <f t="shared" si="36"/>
        <v>37570</v>
      </c>
      <c r="F362" s="185" t="s">
        <v>88</v>
      </c>
      <c r="G362" s="186"/>
      <c r="H362" s="187" t="s">
        <v>627</v>
      </c>
      <c r="I362" s="188">
        <v>5</v>
      </c>
      <c r="J362" s="253" t="s">
        <v>88</v>
      </c>
      <c r="K362" s="254">
        <v>37570</v>
      </c>
      <c r="L362" s="251">
        <v>37500</v>
      </c>
      <c r="M362" s="67">
        <v>44000</v>
      </c>
      <c r="N362" s="67"/>
      <c r="O362" s="67">
        <v>35500</v>
      </c>
      <c r="P362" s="255" t="s">
        <v>555</v>
      </c>
      <c r="Q362" s="71"/>
      <c r="R362" s="5" t="str">
        <f>IF(Q362="x",CONCATENATE(A362,"; "),"")</f>
        <v/>
      </c>
      <c r="S362" s="70" t="s">
        <v>627</v>
      </c>
      <c r="T362" s="5" t="str">
        <f t="shared" si="43"/>
        <v/>
      </c>
      <c r="V362" s="69">
        <f>L362-X362</f>
        <v>37500</v>
      </c>
      <c r="W362" s="5">
        <v>28900</v>
      </c>
    </row>
    <row r="363" spans="1:31" ht="15.8" customHeight="1">
      <c r="A363" s="1" t="s">
        <v>841</v>
      </c>
      <c r="B363" s="196" t="s">
        <v>1787</v>
      </c>
      <c r="C363" s="197" t="s">
        <v>841</v>
      </c>
      <c r="D363" s="198">
        <v>600</v>
      </c>
      <c r="E363" s="178">
        <f t="shared" si="36"/>
        <v>780</v>
      </c>
      <c r="F363" s="199" t="s">
        <v>593</v>
      </c>
      <c r="G363" s="200" t="s">
        <v>1363</v>
      </c>
      <c r="H363" s="201" t="s">
        <v>599</v>
      </c>
      <c r="I363" s="202">
        <v>1</v>
      </c>
      <c r="J363" s="1" t="s">
        <v>593</v>
      </c>
      <c r="K363" s="67">
        <v>780</v>
      </c>
      <c r="L363" s="145">
        <v>900</v>
      </c>
      <c r="M363" s="67">
        <v>1200</v>
      </c>
      <c r="N363" s="67">
        <v>920</v>
      </c>
      <c r="O363" s="67">
        <v>2000</v>
      </c>
      <c r="P363" s="18" t="s">
        <v>1277</v>
      </c>
      <c r="Q363" s="71"/>
      <c r="R363" s="5" t="str">
        <f>IF(Q363="x",CONCATENATE(A363,"; "),"")</f>
        <v/>
      </c>
      <c r="S363" s="62" t="s">
        <v>599</v>
      </c>
      <c r="T363" s="5" t="str">
        <f t="shared" si="43"/>
        <v/>
      </c>
      <c r="V363" s="69">
        <f>L363-X363</f>
        <v>900</v>
      </c>
      <c r="W363" s="5">
        <v>600</v>
      </c>
    </row>
    <row r="364" spans="1:31" s="173" customFormat="1" ht="15.8" customHeight="1">
      <c r="A364" s="271" t="s">
        <v>1789</v>
      </c>
      <c r="B364" s="337" t="s">
        <v>1788</v>
      </c>
      <c r="C364" s="271" t="s">
        <v>1789</v>
      </c>
      <c r="D364" s="272">
        <v>19000</v>
      </c>
      <c r="E364" s="237">
        <f t="shared" si="36"/>
        <v>24700</v>
      </c>
      <c r="F364" s="273" t="s">
        <v>553</v>
      </c>
      <c r="G364" s="274"/>
      <c r="H364" s="275" t="s">
        <v>604</v>
      </c>
      <c r="I364" s="276">
        <v>7</v>
      </c>
      <c r="J364" s="233"/>
      <c r="K364" s="145"/>
      <c r="L364" s="145"/>
      <c r="M364" s="145"/>
      <c r="N364" s="145"/>
      <c r="O364" s="145"/>
      <c r="P364" s="242"/>
      <c r="Q364" s="169"/>
      <c r="S364" s="243"/>
      <c r="V364" s="170"/>
      <c r="Y364" s="321"/>
    </row>
    <row r="365" spans="1:31" ht="15.8" customHeight="1">
      <c r="A365" s="1" t="s">
        <v>842</v>
      </c>
      <c r="B365" s="176" t="s">
        <v>1790</v>
      </c>
      <c r="C365" s="177" t="s">
        <v>1791</v>
      </c>
      <c r="D365" s="178">
        <v>2530</v>
      </c>
      <c r="E365" s="178">
        <f t="shared" si="36"/>
        <v>3289</v>
      </c>
      <c r="F365" s="179" t="s">
        <v>103</v>
      </c>
      <c r="G365" s="180"/>
      <c r="H365" s="181" t="s">
        <v>551</v>
      </c>
      <c r="I365" s="182">
        <v>5</v>
      </c>
      <c r="J365" s="1" t="s">
        <v>550</v>
      </c>
      <c r="K365" s="67">
        <v>4800</v>
      </c>
      <c r="L365" s="251">
        <v>4500</v>
      </c>
      <c r="M365" s="67">
        <v>4600</v>
      </c>
      <c r="N365" s="67">
        <v>3680</v>
      </c>
      <c r="O365" s="67">
        <v>5000</v>
      </c>
      <c r="P365" s="18" t="s">
        <v>254</v>
      </c>
      <c r="Q365" s="71"/>
      <c r="R365" s="5" t="str">
        <f>IF(Q365="x",CONCATENATE(A365,"; "),"")</f>
        <v/>
      </c>
      <c r="S365" s="62" t="s">
        <v>551</v>
      </c>
      <c r="T365" s="5" t="str">
        <f t="shared" si="43"/>
        <v/>
      </c>
      <c r="V365" s="69">
        <f t="shared" ref="V365:V376" si="44">L365-X365</f>
        <v>4500</v>
      </c>
      <c r="W365" s="5">
        <v>4200</v>
      </c>
    </row>
    <row r="366" spans="1:31" ht="15.8" customHeight="1">
      <c r="A366" s="253" t="s">
        <v>843</v>
      </c>
      <c r="B366" s="176" t="s">
        <v>1793</v>
      </c>
      <c r="C366" s="177" t="s">
        <v>1794</v>
      </c>
      <c r="D366" s="178">
        <v>31900</v>
      </c>
      <c r="E366" s="178">
        <f t="shared" si="36"/>
        <v>41470</v>
      </c>
      <c r="F366" s="179" t="s">
        <v>759</v>
      </c>
      <c r="G366" s="180"/>
      <c r="H366" s="181" t="s">
        <v>750</v>
      </c>
      <c r="I366" s="182">
        <v>10</v>
      </c>
      <c r="J366" s="253" t="s">
        <v>759</v>
      </c>
      <c r="K366" s="254">
        <v>41470</v>
      </c>
      <c r="L366" s="251">
        <v>37900</v>
      </c>
      <c r="M366" s="67"/>
      <c r="N366" s="67"/>
      <c r="O366" s="67">
        <v>37900</v>
      </c>
      <c r="P366" s="255" t="s">
        <v>581</v>
      </c>
      <c r="Q366" s="71"/>
      <c r="R366" s="5" t="str">
        <f>IF(Q366="x",CONCATENATE(A366,"; "),"")</f>
        <v/>
      </c>
      <c r="S366" s="70" t="s">
        <v>750</v>
      </c>
      <c r="T366" s="5" t="str">
        <f t="shared" si="43"/>
        <v/>
      </c>
      <c r="V366" s="69">
        <f t="shared" si="44"/>
        <v>37900</v>
      </c>
      <c r="W366" s="5">
        <v>31900</v>
      </c>
    </row>
    <row r="367" spans="1:31" ht="15.8" customHeight="1">
      <c r="A367" s="203" t="s">
        <v>1796</v>
      </c>
      <c r="B367" s="183" t="s">
        <v>1795</v>
      </c>
      <c r="C367" s="203" t="s">
        <v>1796</v>
      </c>
      <c r="D367" s="184">
        <v>11000</v>
      </c>
      <c r="E367" s="178">
        <f t="shared" si="36"/>
        <v>14300</v>
      </c>
      <c r="F367" s="185" t="s">
        <v>88</v>
      </c>
      <c r="G367" s="186"/>
      <c r="H367" s="187" t="s">
        <v>551</v>
      </c>
      <c r="I367" s="188">
        <v>17</v>
      </c>
      <c r="J367" s="253"/>
      <c r="K367" s="254"/>
      <c r="L367" s="251">
        <v>14300</v>
      </c>
      <c r="M367" s="67">
        <v>19700</v>
      </c>
      <c r="N367" s="67"/>
      <c r="O367" s="67"/>
      <c r="P367" s="255"/>
      <c r="Q367" s="71"/>
      <c r="S367" s="70"/>
      <c r="V367" s="69">
        <f t="shared" si="44"/>
        <v>14300</v>
      </c>
    </row>
    <row r="368" spans="1:31" ht="15.8" customHeight="1">
      <c r="A368" s="177" t="s">
        <v>1798</v>
      </c>
      <c r="B368" s="176" t="s">
        <v>1797</v>
      </c>
      <c r="C368" s="177" t="s">
        <v>1798</v>
      </c>
      <c r="D368" s="178">
        <v>32065</v>
      </c>
      <c r="E368" s="178">
        <f t="shared" si="36"/>
        <v>41684.5</v>
      </c>
      <c r="F368" s="179" t="s">
        <v>699</v>
      </c>
      <c r="G368" s="180"/>
      <c r="H368" s="181" t="s">
        <v>551</v>
      </c>
      <c r="I368" s="182">
        <v>7</v>
      </c>
      <c r="J368" s="253"/>
      <c r="K368" s="254"/>
      <c r="L368" s="251">
        <v>35300</v>
      </c>
      <c r="M368" s="67">
        <v>35400</v>
      </c>
      <c r="N368" s="67">
        <v>39900</v>
      </c>
      <c r="O368" s="67">
        <v>40300</v>
      </c>
      <c r="P368" s="255"/>
      <c r="Q368" s="71"/>
      <c r="S368" s="70"/>
      <c r="V368" s="69">
        <f t="shared" si="44"/>
        <v>35300</v>
      </c>
    </row>
    <row r="369" spans="1:25" ht="15.8" customHeight="1">
      <c r="A369" s="253" t="s">
        <v>844</v>
      </c>
      <c r="B369" s="183" t="s">
        <v>1799</v>
      </c>
      <c r="C369" s="203" t="s">
        <v>844</v>
      </c>
      <c r="D369" s="184">
        <v>4500</v>
      </c>
      <c r="E369" s="178">
        <f t="shared" si="36"/>
        <v>5850</v>
      </c>
      <c r="F369" s="185" t="s">
        <v>607</v>
      </c>
      <c r="G369" s="186"/>
      <c r="H369" s="187" t="s">
        <v>608</v>
      </c>
      <c r="I369" s="205" t="s">
        <v>350</v>
      </c>
      <c r="J369" s="253" t="s">
        <v>607</v>
      </c>
      <c r="K369" s="254">
        <v>5850</v>
      </c>
      <c r="L369" s="251">
        <v>5800</v>
      </c>
      <c r="M369" s="67"/>
      <c r="N369" s="67"/>
      <c r="O369" s="67">
        <v>6800</v>
      </c>
      <c r="P369" s="255" t="s">
        <v>350</v>
      </c>
      <c r="Q369" s="71"/>
      <c r="R369" s="5" t="str">
        <f>IF(Q369="x",CONCATENATE(A369,"; "),"")</f>
        <v/>
      </c>
      <c r="S369" s="70" t="s">
        <v>608</v>
      </c>
      <c r="T369" s="5" t="str">
        <f t="shared" si="43"/>
        <v/>
      </c>
      <c r="V369" s="69">
        <f t="shared" si="44"/>
        <v>5800</v>
      </c>
      <c r="W369" s="5">
        <v>4500</v>
      </c>
    </row>
    <row r="370" spans="1:25" ht="15.8" customHeight="1">
      <c r="A370" s="1" t="s">
        <v>69</v>
      </c>
      <c r="J370" s="1" t="s">
        <v>559</v>
      </c>
      <c r="K370" s="67">
        <v>3800</v>
      </c>
      <c r="L370" s="67">
        <v>3800</v>
      </c>
      <c r="M370" s="67">
        <v>3700</v>
      </c>
      <c r="N370" s="67"/>
      <c r="O370" s="67"/>
      <c r="P370" s="18" t="s">
        <v>254</v>
      </c>
      <c r="Q370" s="71"/>
      <c r="R370" s="5" t="str">
        <f>IF(Q370="x",CONCATENATE(A370,"; "),"")</f>
        <v/>
      </c>
      <c r="S370" s="62" t="s">
        <v>551</v>
      </c>
      <c r="T370" s="5" t="str">
        <f>IF(Q370="x",S370,"")</f>
        <v/>
      </c>
      <c r="U370" s="5" t="s">
        <v>1261</v>
      </c>
      <c r="V370" s="69">
        <f t="shared" si="44"/>
        <v>3800</v>
      </c>
      <c r="W370" s="5">
        <v>2210</v>
      </c>
    </row>
    <row r="371" spans="1:25" ht="15.8" customHeight="1">
      <c r="A371" s="177" t="s">
        <v>1801</v>
      </c>
      <c r="B371" s="176" t="s">
        <v>1800</v>
      </c>
      <c r="C371" s="177" t="s">
        <v>1801</v>
      </c>
      <c r="D371" s="178">
        <v>6324.9999999999991</v>
      </c>
      <c r="E371" s="178">
        <f>D371*1.3</f>
        <v>8222.5</v>
      </c>
      <c r="F371" s="179" t="s">
        <v>559</v>
      </c>
      <c r="G371" s="180"/>
      <c r="H371" s="181" t="s">
        <v>551</v>
      </c>
      <c r="I371" s="182">
        <v>1</v>
      </c>
      <c r="J371" s="253"/>
      <c r="K371" s="254"/>
      <c r="L371" s="254">
        <v>7700</v>
      </c>
      <c r="M371" s="67">
        <v>7790</v>
      </c>
      <c r="N371" s="67"/>
      <c r="O371" s="67">
        <v>7700</v>
      </c>
      <c r="P371" s="255"/>
      <c r="Q371" s="71"/>
      <c r="S371" s="70"/>
      <c r="V371" s="69">
        <f t="shared" si="44"/>
        <v>7700</v>
      </c>
    </row>
    <row r="372" spans="1:25" ht="15.8" customHeight="1">
      <c r="A372" s="1" t="s">
        <v>846</v>
      </c>
      <c r="B372" s="183" t="s">
        <v>1802</v>
      </c>
      <c r="C372" s="203" t="s">
        <v>846</v>
      </c>
      <c r="D372" s="184">
        <v>2000</v>
      </c>
      <c r="E372" s="178">
        <f t="shared" ref="E372:E423" si="45">D372*1.3</f>
        <v>2600</v>
      </c>
      <c r="F372" s="185" t="s">
        <v>559</v>
      </c>
      <c r="G372" s="186"/>
      <c r="H372" s="187" t="s">
        <v>551</v>
      </c>
      <c r="I372" s="188">
        <v>1</v>
      </c>
      <c r="J372" s="1" t="s">
        <v>559</v>
      </c>
      <c r="K372" s="67">
        <v>2600</v>
      </c>
      <c r="L372" s="67">
        <v>2600</v>
      </c>
      <c r="M372" s="67">
        <v>3100</v>
      </c>
      <c r="N372" s="67"/>
      <c r="O372" s="67">
        <v>3000</v>
      </c>
      <c r="P372" s="18" t="s">
        <v>254</v>
      </c>
      <c r="Q372" s="71"/>
      <c r="R372" s="5" t="str">
        <f>IF(Q372="x",CONCATENATE(A372,"; "),"")</f>
        <v/>
      </c>
      <c r="S372" s="62" t="s">
        <v>551</v>
      </c>
      <c r="T372" s="5" t="str">
        <f t="shared" si="43"/>
        <v/>
      </c>
      <c r="V372" s="69">
        <f t="shared" si="44"/>
        <v>2600</v>
      </c>
      <c r="W372" s="5">
        <v>2000</v>
      </c>
    </row>
    <row r="373" spans="1:25" ht="15.8" customHeight="1">
      <c r="A373" s="253" t="s">
        <v>847</v>
      </c>
      <c r="B373" s="176" t="s">
        <v>1803</v>
      </c>
      <c r="C373" s="177" t="s">
        <v>1804</v>
      </c>
      <c r="D373" s="178">
        <v>33300</v>
      </c>
      <c r="E373" s="178">
        <f t="shared" si="45"/>
        <v>43290</v>
      </c>
      <c r="F373" s="179" t="s">
        <v>562</v>
      </c>
      <c r="G373" s="180"/>
      <c r="H373" s="181" t="s">
        <v>848</v>
      </c>
      <c r="I373" s="182">
        <v>17</v>
      </c>
      <c r="J373" s="253" t="s">
        <v>562</v>
      </c>
      <c r="K373" s="254">
        <v>43290</v>
      </c>
      <c r="L373" s="251">
        <v>39000</v>
      </c>
      <c r="M373" s="67"/>
      <c r="N373" s="67"/>
      <c r="O373" s="67">
        <v>39500</v>
      </c>
      <c r="P373" s="255" t="s">
        <v>552</v>
      </c>
      <c r="Q373" s="71"/>
      <c r="R373" s="5" t="str">
        <f>IF(Q373="x",CONCATENATE(A373,"; "),"")</f>
        <v/>
      </c>
      <c r="S373" s="70" t="s">
        <v>848</v>
      </c>
      <c r="T373" s="5" t="str">
        <f t="shared" si="43"/>
        <v/>
      </c>
      <c r="V373" s="69">
        <f t="shared" si="44"/>
        <v>39000</v>
      </c>
      <c r="W373" s="5">
        <v>33300</v>
      </c>
    </row>
    <row r="374" spans="1:25" ht="15.8" customHeight="1">
      <c r="A374" s="1" t="s">
        <v>849</v>
      </c>
      <c r="B374" s="183" t="s">
        <v>1805</v>
      </c>
      <c r="C374" s="203" t="s">
        <v>849</v>
      </c>
      <c r="D374" s="184">
        <v>4830</v>
      </c>
      <c r="E374" s="178">
        <f t="shared" si="45"/>
        <v>6279</v>
      </c>
      <c r="F374" s="185" t="s">
        <v>602</v>
      </c>
      <c r="G374" s="186"/>
      <c r="H374" s="187" t="s">
        <v>551</v>
      </c>
      <c r="I374" s="188">
        <v>3</v>
      </c>
      <c r="J374" s="1" t="s">
        <v>602</v>
      </c>
      <c r="K374" s="67">
        <v>6500</v>
      </c>
      <c r="L374" s="251">
        <v>6400</v>
      </c>
      <c r="M374" s="67">
        <v>9410</v>
      </c>
      <c r="N374" s="67"/>
      <c r="O374" s="67">
        <v>10300</v>
      </c>
      <c r="P374" s="18" t="s">
        <v>1275</v>
      </c>
      <c r="Q374" s="71"/>
      <c r="R374" s="5" t="str">
        <f>IF(Q374="x",CONCATENATE(A374,"; "),"")</f>
        <v/>
      </c>
      <c r="S374" s="62" t="s">
        <v>551</v>
      </c>
      <c r="T374" s="5" t="str">
        <f t="shared" si="43"/>
        <v/>
      </c>
      <c r="V374" s="69">
        <f t="shared" si="44"/>
        <v>6400</v>
      </c>
      <c r="W374" s="5">
        <v>4830</v>
      </c>
    </row>
    <row r="375" spans="1:25" ht="15.8" customHeight="1">
      <c r="A375" s="1" t="s">
        <v>850</v>
      </c>
      <c r="B375" s="176" t="s">
        <v>1806</v>
      </c>
      <c r="C375" s="177" t="s">
        <v>850</v>
      </c>
      <c r="D375" s="178">
        <v>8625</v>
      </c>
      <c r="E375" s="178">
        <f t="shared" si="45"/>
        <v>11212.5</v>
      </c>
      <c r="F375" s="179" t="s">
        <v>103</v>
      </c>
      <c r="G375" s="180"/>
      <c r="H375" s="181" t="s">
        <v>551</v>
      </c>
      <c r="I375" s="182">
        <v>17</v>
      </c>
      <c r="J375" s="1" t="s">
        <v>103</v>
      </c>
      <c r="K375" s="67">
        <v>11213</v>
      </c>
      <c r="L375" s="251">
        <v>11200</v>
      </c>
      <c r="M375" s="67">
        <v>7800</v>
      </c>
      <c r="N375" s="67">
        <v>4600</v>
      </c>
      <c r="O375" s="67">
        <v>11400</v>
      </c>
      <c r="P375" s="18" t="s">
        <v>1283</v>
      </c>
      <c r="Q375" s="71"/>
      <c r="R375" s="5" t="str">
        <f>IF(Q375="x",CONCATENATE(A375,"; "),"")</f>
        <v/>
      </c>
      <c r="S375" s="62" t="s">
        <v>551</v>
      </c>
      <c r="T375" s="5" t="str">
        <f t="shared" si="43"/>
        <v/>
      </c>
      <c r="V375" s="69">
        <f t="shared" si="44"/>
        <v>11200</v>
      </c>
      <c r="W375" s="5">
        <v>8625</v>
      </c>
    </row>
    <row r="376" spans="1:25" ht="15.8" customHeight="1">
      <c r="A376" s="1" t="s">
        <v>30</v>
      </c>
      <c r="B376" s="183" t="s">
        <v>1807</v>
      </c>
      <c r="C376" s="203" t="s">
        <v>30</v>
      </c>
      <c r="D376" s="184">
        <v>459.99999999999994</v>
      </c>
      <c r="E376" s="178">
        <f t="shared" si="45"/>
        <v>598</v>
      </c>
      <c r="F376" s="185" t="s">
        <v>550</v>
      </c>
      <c r="G376" s="186"/>
      <c r="H376" s="187" t="s">
        <v>551</v>
      </c>
      <c r="I376" s="188">
        <v>1</v>
      </c>
      <c r="J376" s="1" t="s">
        <v>550</v>
      </c>
      <c r="K376" s="67">
        <v>850</v>
      </c>
      <c r="L376" s="251">
        <v>800</v>
      </c>
      <c r="M376" s="67">
        <v>950</v>
      </c>
      <c r="N376" s="67"/>
      <c r="O376" s="67">
        <v>1000</v>
      </c>
      <c r="P376" s="18" t="s">
        <v>254</v>
      </c>
      <c r="Q376" s="71"/>
      <c r="R376" s="5" t="str">
        <f>IF(Q376="x",CONCATENATE(A376,"; "),"")</f>
        <v/>
      </c>
      <c r="S376" s="62" t="s">
        <v>551</v>
      </c>
      <c r="T376" s="5" t="str">
        <f t="shared" si="43"/>
        <v/>
      </c>
      <c r="V376" s="69">
        <f t="shared" si="44"/>
        <v>800</v>
      </c>
      <c r="W376" s="5">
        <v>685</v>
      </c>
    </row>
    <row r="377" spans="1:25" ht="15.8" customHeight="1">
      <c r="A377" s="177" t="s">
        <v>1809</v>
      </c>
      <c r="B377" s="176" t="s">
        <v>1808</v>
      </c>
      <c r="C377" s="177" t="s">
        <v>1809</v>
      </c>
      <c r="D377" s="178">
        <v>0</v>
      </c>
      <c r="E377" s="178">
        <f t="shared" si="45"/>
        <v>0</v>
      </c>
      <c r="F377" s="179" t="s">
        <v>550</v>
      </c>
      <c r="G377" s="180"/>
      <c r="H377" s="181" t="s">
        <v>551</v>
      </c>
      <c r="I377" s="182">
        <v>1</v>
      </c>
      <c r="J377" s="1"/>
      <c r="K377" s="67"/>
      <c r="L377" s="67"/>
      <c r="M377" s="67"/>
      <c r="N377" s="67"/>
      <c r="O377" s="67"/>
      <c r="P377" s="18"/>
      <c r="Q377" s="71"/>
      <c r="S377" s="62"/>
      <c r="V377" s="69"/>
    </row>
    <row r="378" spans="1:25" ht="15.8" customHeight="1">
      <c r="A378" s="1" t="s">
        <v>851</v>
      </c>
      <c r="B378" s="189" t="s">
        <v>1810</v>
      </c>
      <c r="C378" s="192" t="s">
        <v>1811</v>
      </c>
      <c r="D378" s="191">
        <v>6900</v>
      </c>
      <c r="E378" s="178">
        <f t="shared" si="45"/>
        <v>8970</v>
      </c>
      <c r="F378" s="192" t="s">
        <v>602</v>
      </c>
      <c r="G378" s="193" t="s">
        <v>1363</v>
      </c>
      <c r="H378" s="194" t="s">
        <v>554</v>
      </c>
      <c r="I378" s="215">
        <v>5</v>
      </c>
      <c r="J378" s="1" t="s">
        <v>602</v>
      </c>
      <c r="K378" s="67">
        <v>8970</v>
      </c>
      <c r="L378" s="251">
        <v>8900</v>
      </c>
      <c r="M378" s="67">
        <v>6100</v>
      </c>
      <c r="N378" s="67">
        <v>5520</v>
      </c>
      <c r="O378" s="67">
        <v>9900</v>
      </c>
      <c r="P378" s="18" t="s">
        <v>1278</v>
      </c>
      <c r="Q378" s="71"/>
      <c r="R378" s="5" t="str">
        <f t="shared" ref="R378:R385" si="46">IF(Q378="x",CONCATENATE(A378,"; "),"")</f>
        <v/>
      </c>
      <c r="S378" s="62" t="s">
        <v>554</v>
      </c>
      <c r="T378" s="5" t="str">
        <f t="shared" si="43"/>
        <v/>
      </c>
      <c r="V378" s="69">
        <f t="shared" ref="V378:V385" si="47">L378-X378</f>
        <v>8900</v>
      </c>
      <c r="W378" s="5">
        <v>6900</v>
      </c>
    </row>
    <row r="379" spans="1:25" s="231" customFormat="1" ht="15.8" customHeight="1">
      <c r="A379" s="155" t="s">
        <v>216</v>
      </c>
      <c r="B379" s="303" t="s">
        <v>1812</v>
      </c>
      <c r="C379" s="306" t="s">
        <v>216</v>
      </c>
      <c r="D379" s="305">
        <v>4750</v>
      </c>
      <c r="E379" s="221">
        <f t="shared" si="45"/>
        <v>6175</v>
      </c>
      <c r="F379" s="306" t="s">
        <v>602</v>
      </c>
      <c r="G379" s="307" t="s">
        <v>1363</v>
      </c>
      <c r="H379" s="308" t="s">
        <v>554</v>
      </c>
      <c r="I379" s="338">
        <v>5</v>
      </c>
      <c r="J379" s="155" t="s">
        <v>602</v>
      </c>
      <c r="K379" s="160">
        <v>6200</v>
      </c>
      <c r="L379" s="160">
        <v>6200</v>
      </c>
      <c r="M379" s="160"/>
      <c r="N379" s="160"/>
      <c r="O379" s="160"/>
      <c r="P379" s="156" t="s">
        <v>1278</v>
      </c>
      <c r="Q379" s="262"/>
      <c r="R379" s="231" t="str">
        <f t="shared" si="46"/>
        <v/>
      </c>
      <c r="S379" s="263" t="s">
        <v>554</v>
      </c>
      <c r="T379" s="231" t="str">
        <f t="shared" si="43"/>
        <v/>
      </c>
      <c r="V379" s="264">
        <f t="shared" si="47"/>
        <v>6200</v>
      </c>
      <c r="W379" s="231">
        <v>4750</v>
      </c>
      <c r="Y379" s="327"/>
    </row>
    <row r="380" spans="1:25" ht="15.8" customHeight="1">
      <c r="A380" s="1" t="s">
        <v>505</v>
      </c>
      <c r="B380" s="189" t="s">
        <v>1813</v>
      </c>
      <c r="C380" s="190" t="s">
        <v>505</v>
      </c>
      <c r="D380" s="191">
        <v>69</v>
      </c>
      <c r="E380" s="178">
        <f t="shared" si="45"/>
        <v>89.7</v>
      </c>
      <c r="F380" s="192" t="s">
        <v>550</v>
      </c>
      <c r="G380" s="193" t="s">
        <v>1363</v>
      </c>
      <c r="H380" s="194" t="s">
        <v>551</v>
      </c>
      <c r="I380" s="195">
        <v>1</v>
      </c>
      <c r="J380" s="1" t="s">
        <v>550</v>
      </c>
      <c r="K380" s="67">
        <v>600</v>
      </c>
      <c r="L380" s="67">
        <v>600</v>
      </c>
      <c r="M380" s="67">
        <v>290</v>
      </c>
      <c r="N380" s="67">
        <v>198</v>
      </c>
      <c r="O380" s="67">
        <v>800</v>
      </c>
      <c r="P380" s="18" t="s">
        <v>254</v>
      </c>
      <c r="Q380" s="71"/>
      <c r="R380" s="5" t="str">
        <f t="shared" si="46"/>
        <v/>
      </c>
      <c r="S380" s="62" t="s">
        <v>551</v>
      </c>
      <c r="T380" s="5" t="str">
        <f t="shared" si="43"/>
        <v/>
      </c>
      <c r="V380" s="69">
        <f t="shared" si="47"/>
        <v>600</v>
      </c>
      <c r="W380" s="5">
        <v>192</v>
      </c>
    </row>
    <row r="381" spans="1:25" ht="15.8" customHeight="1">
      <c r="A381" s="1" t="s">
        <v>101</v>
      </c>
      <c r="B381" s="176" t="s">
        <v>1814</v>
      </c>
      <c r="C381" s="177" t="s">
        <v>101</v>
      </c>
      <c r="D381" s="178">
        <v>9900</v>
      </c>
      <c r="E381" s="178">
        <f t="shared" si="45"/>
        <v>12870</v>
      </c>
      <c r="F381" s="179" t="s">
        <v>567</v>
      </c>
      <c r="G381" s="180"/>
      <c r="H381" s="181" t="s">
        <v>551</v>
      </c>
      <c r="I381" s="182">
        <v>17</v>
      </c>
      <c r="J381" s="1" t="s">
        <v>567</v>
      </c>
      <c r="K381" s="67">
        <v>12870</v>
      </c>
      <c r="L381" s="251">
        <v>12500</v>
      </c>
      <c r="M381" s="67">
        <v>15800</v>
      </c>
      <c r="N381" s="67"/>
      <c r="O381" s="67">
        <v>12500</v>
      </c>
      <c r="P381" s="18" t="s">
        <v>1283</v>
      </c>
      <c r="Q381" s="71"/>
      <c r="R381" s="5" t="str">
        <f t="shared" si="46"/>
        <v/>
      </c>
      <c r="S381" s="62" t="s">
        <v>551</v>
      </c>
      <c r="T381" s="5" t="str">
        <f t="shared" si="43"/>
        <v/>
      </c>
      <c r="V381" s="69">
        <f t="shared" si="47"/>
        <v>12500</v>
      </c>
      <c r="W381" s="5">
        <v>9900</v>
      </c>
    </row>
    <row r="382" spans="1:25" ht="15.8" customHeight="1">
      <c r="A382" s="1" t="s">
        <v>852</v>
      </c>
      <c r="B382" s="183" t="s">
        <v>1815</v>
      </c>
      <c r="C382" s="203" t="s">
        <v>1816</v>
      </c>
      <c r="D382" s="184">
        <v>3679.9999999999995</v>
      </c>
      <c r="E382" s="178">
        <f t="shared" si="45"/>
        <v>4784</v>
      </c>
      <c r="F382" s="185" t="s">
        <v>550</v>
      </c>
      <c r="G382" s="186"/>
      <c r="H382" s="187" t="s">
        <v>551</v>
      </c>
      <c r="I382" s="188">
        <v>1</v>
      </c>
      <c r="J382" s="1" t="s">
        <v>550</v>
      </c>
      <c r="K382" s="67">
        <v>5400</v>
      </c>
      <c r="L382" s="67">
        <v>5400</v>
      </c>
      <c r="M382" s="67">
        <v>6800</v>
      </c>
      <c r="N382" s="67"/>
      <c r="O382" s="67">
        <v>5600</v>
      </c>
      <c r="P382" s="18" t="s">
        <v>254</v>
      </c>
      <c r="Q382" s="71"/>
      <c r="R382" s="5" t="str">
        <f t="shared" si="46"/>
        <v/>
      </c>
      <c r="S382" s="62" t="s">
        <v>551</v>
      </c>
      <c r="T382" s="5" t="str">
        <f t="shared" si="43"/>
        <v/>
      </c>
      <c r="V382" s="69">
        <f t="shared" si="47"/>
        <v>5400</v>
      </c>
      <c r="W382" s="5">
        <v>5000</v>
      </c>
    </row>
    <row r="383" spans="1:25" ht="15.8" customHeight="1">
      <c r="A383" s="1" t="s">
        <v>54</v>
      </c>
      <c r="B383" s="176" t="s">
        <v>54</v>
      </c>
      <c r="C383" s="177" t="s">
        <v>54</v>
      </c>
      <c r="D383" s="178">
        <v>1150</v>
      </c>
      <c r="E383" s="178">
        <f t="shared" si="45"/>
        <v>1495</v>
      </c>
      <c r="F383" s="179" t="s">
        <v>559</v>
      </c>
      <c r="G383" s="180"/>
      <c r="H383" s="181" t="s">
        <v>551</v>
      </c>
      <c r="I383" s="182">
        <v>1</v>
      </c>
      <c r="J383" s="1" t="s">
        <v>559</v>
      </c>
      <c r="K383" s="67">
        <v>2000</v>
      </c>
      <c r="L383" s="251">
        <v>1900</v>
      </c>
      <c r="M383" s="67">
        <v>2500</v>
      </c>
      <c r="N383" s="67">
        <v>2160</v>
      </c>
      <c r="O383" s="67">
        <v>1900</v>
      </c>
      <c r="P383" s="18" t="s">
        <v>254</v>
      </c>
      <c r="Q383" s="71"/>
      <c r="R383" s="5" t="str">
        <f t="shared" si="46"/>
        <v/>
      </c>
      <c r="S383" s="62" t="s">
        <v>551</v>
      </c>
      <c r="T383" s="5" t="str">
        <f t="shared" si="43"/>
        <v/>
      </c>
      <c r="V383" s="69">
        <f t="shared" si="47"/>
        <v>1900</v>
      </c>
      <c r="W383" s="5">
        <v>1820</v>
      </c>
    </row>
    <row r="384" spans="1:25" ht="15.8" customHeight="1">
      <c r="A384" s="1" t="s">
        <v>853</v>
      </c>
      <c r="B384" s="183" t="s">
        <v>1817</v>
      </c>
      <c r="C384" s="203" t="s">
        <v>853</v>
      </c>
      <c r="D384" s="184">
        <v>5750</v>
      </c>
      <c r="E384" s="178">
        <f t="shared" si="45"/>
        <v>7475</v>
      </c>
      <c r="F384" s="185" t="s">
        <v>559</v>
      </c>
      <c r="G384" s="186"/>
      <c r="H384" s="187" t="s">
        <v>551</v>
      </c>
      <c r="I384" s="188">
        <v>3</v>
      </c>
      <c r="J384" s="1" t="s">
        <v>559</v>
      </c>
      <c r="K384" s="67">
        <v>7000</v>
      </c>
      <c r="L384" s="67">
        <v>7000</v>
      </c>
      <c r="M384" s="67">
        <v>7200</v>
      </c>
      <c r="N384" s="67">
        <v>5520</v>
      </c>
      <c r="O384" s="67">
        <v>9700</v>
      </c>
      <c r="P384" s="18" t="s">
        <v>1275</v>
      </c>
      <c r="Q384" s="71"/>
      <c r="R384" s="5" t="str">
        <f t="shared" si="46"/>
        <v/>
      </c>
      <c r="S384" s="62" t="s">
        <v>551</v>
      </c>
      <c r="T384" s="5" t="str">
        <f t="shared" si="43"/>
        <v/>
      </c>
      <c r="V384" s="69">
        <f t="shared" si="47"/>
        <v>7000</v>
      </c>
      <c r="W384" s="5">
        <v>5750</v>
      </c>
    </row>
    <row r="385" spans="1:25" s="231" customFormat="1" ht="15.8" customHeight="1">
      <c r="A385" s="157" t="s">
        <v>854</v>
      </c>
      <c r="B385" s="287" t="s">
        <v>1818</v>
      </c>
      <c r="C385" s="288" t="s">
        <v>854</v>
      </c>
      <c r="D385" s="221">
        <v>7589.9999999999991</v>
      </c>
      <c r="E385" s="221">
        <f t="shared" si="45"/>
        <v>9867</v>
      </c>
      <c r="F385" s="289" t="s">
        <v>855</v>
      </c>
      <c r="G385" s="290"/>
      <c r="H385" s="291" t="s">
        <v>856</v>
      </c>
      <c r="I385" s="292">
        <v>1</v>
      </c>
      <c r="J385" s="157" t="s">
        <v>855</v>
      </c>
      <c r="K385" s="158">
        <v>14000</v>
      </c>
      <c r="L385" s="158">
        <v>14000</v>
      </c>
      <c r="M385" s="160"/>
      <c r="N385" s="160"/>
      <c r="O385" s="160"/>
      <c r="P385" s="159" t="s">
        <v>423</v>
      </c>
      <c r="Q385" s="262"/>
      <c r="R385" s="231" t="str">
        <f t="shared" si="46"/>
        <v/>
      </c>
      <c r="S385" s="263" t="s">
        <v>856</v>
      </c>
      <c r="T385" s="231" t="str">
        <f t="shared" si="43"/>
        <v/>
      </c>
      <c r="V385" s="264">
        <f t="shared" si="47"/>
        <v>14000</v>
      </c>
      <c r="W385" s="231">
        <v>7589.9999999999991</v>
      </c>
      <c r="Y385" s="327"/>
    </row>
    <row r="386" spans="1:25" s="231" customFormat="1" ht="15.8" customHeight="1">
      <c r="A386" s="260" t="s">
        <v>1886</v>
      </c>
      <c r="B386" s="218" t="s">
        <v>1819</v>
      </c>
      <c r="C386" s="260" t="s">
        <v>1886</v>
      </c>
      <c r="D386" s="220">
        <v>4485</v>
      </c>
      <c r="E386" s="221">
        <f t="shared" si="45"/>
        <v>5830.5</v>
      </c>
      <c r="F386" s="222" t="s">
        <v>553</v>
      </c>
      <c r="G386" s="223"/>
      <c r="H386" s="224" t="s">
        <v>554</v>
      </c>
      <c r="I386" s="225">
        <v>5</v>
      </c>
      <c r="J386" s="157"/>
      <c r="K386" s="158"/>
      <c r="L386" s="158"/>
      <c r="M386" s="160">
        <v>6100</v>
      </c>
      <c r="N386" s="160"/>
      <c r="O386" s="160">
        <v>8000</v>
      </c>
      <c r="P386" s="159"/>
      <c r="Q386" s="262"/>
      <c r="S386" s="263"/>
      <c r="V386" s="264"/>
      <c r="Y386" s="327"/>
    </row>
    <row r="387" spans="1:25" s="173" customFormat="1" ht="15.8" customHeight="1">
      <c r="A387" s="233" t="s">
        <v>857</v>
      </c>
      <c r="B387" s="234" t="s">
        <v>1820</v>
      </c>
      <c r="C387" s="235" t="s">
        <v>857</v>
      </c>
      <c r="D387" s="236">
        <v>11900</v>
      </c>
      <c r="E387" s="237">
        <f t="shared" si="45"/>
        <v>15470</v>
      </c>
      <c r="F387" s="238" t="s">
        <v>553</v>
      </c>
      <c r="G387" s="239" t="s">
        <v>1363</v>
      </c>
      <c r="H387" s="240" t="s">
        <v>604</v>
      </c>
      <c r="I387" s="241">
        <v>7</v>
      </c>
      <c r="J387" s="233" t="s">
        <v>553</v>
      </c>
      <c r="K387" s="145">
        <v>14800</v>
      </c>
      <c r="L387" s="145">
        <v>14800</v>
      </c>
      <c r="M387" s="145"/>
      <c r="N387" s="145"/>
      <c r="O387" s="145">
        <v>14800</v>
      </c>
      <c r="P387" s="242" t="s">
        <v>584</v>
      </c>
      <c r="Q387" s="169"/>
      <c r="R387" s="173" t="str">
        <f t="shared" ref="R387:R392" si="48">IF(Q387="x",CONCATENATE(A387,"; "),"")</f>
        <v/>
      </c>
      <c r="S387" s="243" t="s">
        <v>604</v>
      </c>
      <c r="T387" s="173" t="str">
        <f t="shared" si="43"/>
        <v/>
      </c>
      <c r="V387" s="170">
        <f t="shared" ref="V387:V392" si="49">L387-X387</f>
        <v>14800</v>
      </c>
      <c r="W387" s="173">
        <v>11900</v>
      </c>
      <c r="Y387" s="321"/>
    </row>
    <row r="388" spans="1:25" ht="15.8" customHeight="1">
      <c r="A388" s="1" t="s">
        <v>858</v>
      </c>
      <c r="B388" s="183" t="s">
        <v>1821</v>
      </c>
      <c r="C388" s="203" t="s">
        <v>858</v>
      </c>
      <c r="D388" s="184">
        <v>5900</v>
      </c>
      <c r="E388" s="178">
        <f t="shared" si="45"/>
        <v>7670</v>
      </c>
      <c r="F388" s="185" t="s">
        <v>742</v>
      </c>
      <c r="G388" s="186"/>
      <c r="H388" s="187" t="s">
        <v>551</v>
      </c>
      <c r="I388" s="205" t="s">
        <v>361</v>
      </c>
      <c r="J388" s="1" t="s">
        <v>742</v>
      </c>
      <c r="K388" s="67">
        <v>7700</v>
      </c>
      <c r="L388" s="67">
        <v>7700</v>
      </c>
      <c r="M388" s="67">
        <v>8000</v>
      </c>
      <c r="N388" s="67"/>
      <c r="O388" s="67">
        <v>9500</v>
      </c>
      <c r="P388" s="18" t="s">
        <v>1275</v>
      </c>
      <c r="Q388" s="71"/>
      <c r="R388" s="5" t="str">
        <f t="shared" si="48"/>
        <v/>
      </c>
      <c r="S388" s="62" t="s">
        <v>551</v>
      </c>
      <c r="T388" s="5" t="str">
        <f t="shared" si="43"/>
        <v/>
      </c>
      <c r="V388" s="69">
        <f t="shared" si="49"/>
        <v>7700</v>
      </c>
      <c r="W388" s="5">
        <v>5900</v>
      </c>
    </row>
    <row r="389" spans="1:25" ht="15.8" customHeight="1">
      <c r="A389" s="1" t="s">
        <v>859</v>
      </c>
      <c r="B389" s="176" t="s">
        <v>1822</v>
      </c>
      <c r="C389" s="177" t="s">
        <v>859</v>
      </c>
      <c r="D389" s="178">
        <v>4485</v>
      </c>
      <c r="E389" s="178">
        <f t="shared" si="45"/>
        <v>5830.5</v>
      </c>
      <c r="F389" s="179" t="s">
        <v>602</v>
      </c>
      <c r="G389" s="180"/>
      <c r="H389" s="181" t="s">
        <v>551</v>
      </c>
      <c r="I389" s="182">
        <v>5</v>
      </c>
      <c r="J389" s="1" t="s">
        <v>602</v>
      </c>
      <c r="K389" s="67">
        <v>5900</v>
      </c>
      <c r="L389" s="67">
        <v>5900</v>
      </c>
      <c r="M389" s="67"/>
      <c r="N389" s="67">
        <v>2990</v>
      </c>
      <c r="O389" s="67">
        <v>6800</v>
      </c>
      <c r="P389" s="18" t="s">
        <v>1278</v>
      </c>
      <c r="Q389" s="71"/>
      <c r="R389" s="5" t="str">
        <f t="shared" si="48"/>
        <v/>
      </c>
      <c r="S389" s="62" t="s">
        <v>551</v>
      </c>
      <c r="T389" s="5" t="str">
        <f t="shared" si="43"/>
        <v/>
      </c>
      <c r="V389" s="69">
        <f t="shared" si="49"/>
        <v>5900</v>
      </c>
      <c r="W389" s="5">
        <v>4485</v>
      </c>
    </row>
    <row r="390" spans="1:25" ht="15.8" customHeight="1">
      <c r="A390" s="1" t="s">
        <v>860</v>
      </c>
      <c r="B390" s="183" t="s">
        <v>1823</v>
      </c>
      <c r="C390" s="203" t="s">
        <v>860</v>
      </c>
      <c r="D390" s="184">
        <v>6324.9999999999991</v>
      </c>
      <c r="E390" s="178">
        <f t="shared" si="45"/>
        <v>8222.5</v>
      </c>
      <c r="F390" s="185" t="s">
        <v>602</v>
      </c>
      <c r="G390" s="186"/>
      <c r="H390" s="187" t="s">
        <v>551</v>
      </c>
      <c r="I390" s="188">
        <v>5</v>
      </c>
      <c r="J390" s="1" t="s">
        <v>602</v>
      </c>
      <c r="K390" s="67">
        <v>8400</v>
      </c>
      <c r="L390" s="67">
        <v>8400</v>
      </c>
      <c r="M390" s="67">
        <v>8500</v>
      </c>
      <c r="N390" s="67"/>
      <c r="O390" s="67">
        <v>8400</v>
      </c>
      <c r="P390" s="18" t="s">
        <v>1278</v>
      </c>
      <c r="Q390" s="71"/>
      <c r="R390" s="5" t="str">
        <f t="shared" si="48"/>
        <v/>
      </c>
      <c r="S390" s="62" t="s">
        <v>551</v>
      </c>
      <c r="T390" s="5" t="str">
        <f t="shared" si="43"/>
        <v/>
      </c>
      <c r="V390" s="69">
        <f t="shared" si="49"/>
        <v>8400</v>
      </c>
      <c r="W390" s="5">
        <v>6324.9999999999991</v>
      </c>
    </row>
    <row r="391" spans="1:25" ht="15.8" customHeight="1">
      <c r="A391" s="1" t="s">
        <v>861</v>
      </c>
      <c r="B391" s="176" t="s">
        <v>1824</v>
      </c>
      <c r="C391" s="177" t="s">
        <v>861</v>
      </c>
      <c r="D391" s="178">
        <v>135</v>
      </c>
      <c r="E391" s="178">
        <f t="shared" si="45"/>
        <v>175.5</v>
      </c>
      <c r="F391" s="179" t="s">
        <v>550</v>
      </c>
      <c r="G391" s="180"/>
      <c r="H391" s="181" t="s">
        <v>551</v>
      </c>
      <c r="I391" s="182">
        <v>1</v>
      </c>
      <c r="J391" s="1" t="s">
        <v>550</v>
      </c>
      <c r="K391" s="67">
        <v>600</v>
      </c>
      <c r="L391" s="67">
        <v>600</v>
      </c>
      <c r="M391" s="67">
        <v>290</v>
      </c>
      <c r="N391" s="67">
        <v>198</v>
      </c>
      <c r="O391" s="67">
        <v>800</v>
      </c>
      <c r="P391" s="18" t="s">
        <v>254</v>
      </c>
      <c r="Q391" s="71"/>
      <c r="R391" s="5" t="str">
        <f t="shared" si="48"/>
        <v/>
      </c>
      <c r="S391" s="62" t="s">
        <v>551</v>
      </c>
      <c r="T391" s="5" t="str">
        <f t="shared" si="43"/>
        <v/>
      </c>
      <c r="V391" s="69">
        <f t="shared" si="49"/>
        <v>600</v>
      </c>
      <c r="W391" s="5">
        <v>267</v>
      </c>
    </row>
    <row r="392" spans="1:25" s="173" customFormat="1" ht="15.8" customHeight="1">
      <c r="A392" s="281" t="s">
        <v>862</v>
      </c>
      <c r="B392" s="270" t="s">
        <v>1825</v>
      </c>
      <c r="C392" s="271" t="s">
        <v>862</v>
      </c>
      <c r="D392" s="272">
        <v>31900</v>
      </c>
      <c r="E392" s="237">
        <f t="shared" si="45"/>
        <v>41470</v>
      </c>
      <c r="F392" s="273" t="s">
        <v>553</v>
      </c>
      <c r="G392" s="274"/>
      <c r="H392" s="275" t="s">
        <v>604</v>
      </c>
      <c r="I392" s="276">
        <v>12</v>
      </c>
      <c r="J392" s="281" t="s">
        <v>553</v>
      </c>
      <c r="K392" s="283">
        <v>41470</v>
      </c>
      <c r="L392" s="283">
        <v>41470</v>
      </c>
      <c r="M392" s="283"/>
      <c r="N392" s="283"/>
      <c r="O392" s="283"/>
      <c r="P392" s="284" t="s">
        <v>563</v>
      </c>
      <c r="Q392" s="169"/>
      <c r="R392" s="173" t="str">
        <f t="shared" si="48"/>
        <v/>
      </c>
      <c r="S392" s="243" t="s">
        <v>604</v>
      </c>
      <c r="T392" s="173" t="str">
        <f t="shared" si="43"/>
        <v/>
      </c>
      <c r="V392" s="170">
        <f t="shared" si="49"/>
        <v>41470</v>
      </c>
      <c r="W392" s="173">
        <v>31900</v>
      </c>
      <c r="Y392" s="321"/>
    </row>
    <row r="393" spans="1:25" s="173" customFormat="1" ht="15.8" customHeight="1">
      <c r="A393" s="281"/>
      <c r="B393" s="234" t="s">
        <v>1826</v>
      </c>
      <c r="C393" s="235" t="s">
        <v>1827</v>
      </c>
      <c r="D393" s="236">
        <v>69</v>
      </c>
      <c r="E393" s="237">
        <f t="shared" si="45"/>
        <v>89.7</v>
      </c>
      <c r="F393" s="238" t="s">
        <v>550</v>
      </c>
      <c r="G393" s="239" t="s">
        <v>1363</v>
      </c>
      <c r="H393" s="240" t="s">
        <v>551</v>
      </c>
      <c r="I393" s="241">
        <v>1</v>
      </c>
      <c r="J393" s="281"/>
      <c r="K393" s="283"/>
      <c r="L393" s="283"/>
      <c r="M393" s="283"/>
      <c r="N393" s="283"/>
      <c r="O393" s="283"/>
      <c r="P393" s="284"/>
      <c r="Q393" s="169"/>
      <c r="S393" s="243"/>
      <c r="V393" s="170"/>
      <c r="Y393" s="321"/>
    </row>
    <row r="394" spans="1:25" s="173" customFormat="1" ht="15.8" customHeight="1">
      <c r="A394" s="281"/>
      <c r="B394" s="244" t="s">
        <v>1828</v>
      </c>
      <c r="C394" s="245" t="s">
        <v>1829</v>
      </c>
      <c r="D394" s="246">
        <v>69</v>
      </c>
      <c r="E394" s="237">
        <f t="shared" si="45"/>
        <v>89.7</v>
      </c>
      <c r="F394" s="247" t="s">
        <v>550</v>
      </c>
      <c r="G394" s="248" t="s">
        <v>1363</v>
      </c>
      <c r="H394" s="249" t="s">
        <v>551</v>
      </c>
      <c r="I394" s="250">
        <v>1</v>
      </c>
      <c r="J394" s="281"/>
      <c r="K394" s="283"/>
      <c r="L394" s="283"/>
      <c r="M394" s="283"/>
      <c r="N394" s="283"/>
      <c r="O394" s="283"/>
      <c r="P394" s="284"/>
      <c r="Q394" s="169"/>
      <c r="S394" s="243"/>
      <c r="V394" s="170"/>
      <c r="Y394" s="321"/>
    </row>
    <row r="395" spans="1:25" ht="15.8" customHeight="1">
      <c r="A395" s="1" t="s">
        <v>118</v>
      </c>
      <c r="B395" s="176" t="s">
        <v>1830</v>
      </c>
      <c r="C395" s="177" t="s">
        <v>118</v>
      </c>
      <c r="D395" s="178">
        <v>7589.9999999999991</v>
      </c>
      <c r="E395" s="178">
        <f t="shared" si="45"/>
        <v>9867</v>
      </c>
      <c r="F395" s="179" t="s">
        <v>855</v>
      </c>
      <c r="G395" s="180"/>
      <c r="H395" s="181" t="s">
        <v>856</v>
      </c>
      <c r="I395" s="182">
        <v>2</v>
      </c>
      <c r="J395" s="1" t="s">
        <v>855</v>
      </c>
      <c r="K395" s="67">
        <v>14000</v>
      </c>
      <c r="L395" s="67">
        <v>14000</v>
      </c>
      <c r="M395" s="67">
        <v>16300</v>
      </c>
      <c r="N395" s="67">
        <v>12420</v>
      </c>
      <c r="O395" s="67">
        <v>14800</v>
      </c>
      <c r="P395" s="18" t="s">
        <v>1288</v>
      </c>
      <c r="Q395" s="71"/>
      <c r="R395" s="5" t="str">
        <f>IF(Q395="x",CONCATENATE(A395,"; "),"")</f>
        <v/>
      </c>
      <c r="S395" s="62" t="s">
        <v>856</v>
      </c>
      <c r="T395" s="5" t="str">
        <f t="shared" si="43"/>
        <v/>
      </c>
      <c r="V395" s="69">
        <f>L395-X395</f>
        <v>14000</v>
      </c>
      <c r="W395" s="5">
        <v>7589.9999999999991</v>
      </c>
    </row>
    <row r="396" spans="1:25" ht="15.8" customHeight="1">
      <c r="A396" s="1" t="s">
        <v>1</v>
      </c>
      <c r="B396" s="183" t="s">
        <v>527</v>
      </c>
      <c r="C396" s="185" t="s">
        <v>1831</v>
      </c>
      <c r="D396" s="184">
        <v>340</v>
      </c>
      <c r="E396" s="178">
        <f t="shared" si="45"/>
        <v>442</v>
      </c>
      <c r="F396" s="185" t="s">
        <v>593</v>
      </c>
      <c r="G396" s="186"/>
      <c r="H396" s="187" t="s">
        <v>604</v>
      </c>
      <c r="I396" s="188">
        <v>1</v>
      </c>
      <c r="J396" s="1" t="s">
        <v>593</v>
      </c>
      <c r="K396" s="67">
        <v>1200</v>
      </c>
      <c r="L396" s="67">
        <v>1200</v>
      </c>
      <c r="M396" s="67">
        <v>980</v>
      </c>
      <c r="N396" s="67">
        <v>720</v>
      </c>
      <c r="O396" s="67">
        <v>1300</v>
      </c>
      <c r="P396" s="18" t="s">
        <v>254</v>
      </c>
      <c r="Q396" s="71"/>
      <c r="R396" s="5" t="str">
        <f>IF(Q396="x",CONCATENATE(A396,"; "),"")</f>
        <v/>
      </c>
      <c r="S396" s="62" t="s">
        <v>604</v>
      </c>
      <c r="T396" s="5" t="str">
        <f t="shared" si="43"/>
        <v/>
      </c>
      <c r="V396" s="69">
        <f>L396-X396</f>
        <v>1200</v>
      </c>
      <c r="W396" s="5">
        <v>1040</v>
      </c>
    </row>
    <row r="397" spans="1:25" ht="15.8" customHeight="1">
      <c r="A397" s="1" t="s">
        <v>863</v>
      </c>
      <c r="B397" s="176" t="s">
        <v>1832</v>
      </c>
      <c r="C397" s="177" t="s">
        <v>863</v>
      </c>
      <c r="D397" s="178">
        <v>690</v>
      </c>
      <c r="E397" s="178">
        <f t="shared" si="45"/>
        <v>897</v>
      </c>
      <c r="F397" s="179" t="s">
        <v>593</v>
      </c>
      <c r="G397" s="180"/>
      <c r="H397" s="181" t="s">
        <v>604</v>
      </c>
      <c r="I397" s="182">
        <v>1</v>
      </c>
      <c r="J397" s="1" t="s">
        <v>593</v>
      </c>
      <c r="K397" s="67">
        <v>1600</v>
      </c>
      <c r="L397" s="67">
        <v>1600</v>
      </c>
      <c r="M397" s="67">
        <v>2700</v>
      </c>
      <c r="N397" s="67">
        <v>1725</v>
      </c>
      <c r="O397" s="67">
        <v>2900</v>
      </c>
      <c r="P397" s="18" t="s">
        <v>423</v>
      </c>
      <c r="Q397" s="71"/>
      <c r="R397" s="5" t="str">
        <f>IF(Q397="x",CONCATENATE(A397,"; "),"")</f>
        <v/>
      </c>
      <c r="S397" s="62" t="s">
        <v>604</v>
      </c>
      <c r="T397" s="5" t="str">
        <f t="shared" si="43"/>
        <v/>
      </c>
      <c r="V397" s="69">
        <f>L397-X397</f>
        <v>1600</v>
      </c>
      <c r="W397" s="5">
        <v>690</v>
      </c>
    </row>
    <row r="398" spans="1:25" ht="15.8" customHeight="1">
      <c r="A398" s="203" t="s">
        <v>1834</v>
      </c>
      <c r="B398" s="183" t="s">
        <v>1833</v>
      </c>
      <c r="C398" s="203" t="s">
        <v>1834</v>
      </c>
      <c r="D398" s="184">
        <v>575</v>
      </c>
      <c r="E398" s="178">
        <f t="shared" si="45"/>
        <v>747.5</v>
      </c>
      <c r="F398" s="185" t="s">
        <v>593</v>
      </c>
      <c r="G398" s="186"/>
      <c r="H398" s="187" t="s">
        <v>599</v>
      </c>
      <c r="I398" s="188">
        <v>1</v>
      </c>
      <c r="J398" s="1"/>
      <c r="K398" s="67"/>
      <c r="L398" s="67">
        <v>1000</v>
      </c>
      <c r="M398" s="67"/>
      <c r="N398" s="67"/>
      <c r="O398" s="67">
        <v>1000</v>
      </c>
      <c r="P398" s="18"/>
      <c r="Q398" s="71"/>
      <c r="S398" s="62"/>
      <c r="V398" s="69"/>
    </row>
    <row r="399" spans="1:25" ht="15.8" customHeight="1">
      <c r="A399" s="1" t="s">
        <v>864</v>
      </c>
      <c r="B399" s="196" t="s">
        <v>1835</v>
      </c>
      <c r="C399" s="197" t="s">
        <v>864</v>
      </c>
      <c r="D399" s="198">
        <v>8049.9999999999991</v>
      </c>
      <c r="E399" s="178">
        <f t="shared" si="45"/>
        <v>10465</v>
      </c>
      <c r="F399" s="199" t="s">
        <v>550</v>
      </c>
      <c r="G399" s="200" t="s">
        <v>1363</v>
      </c>
      <c r="H399" s="201" t="s">
        <v>527</v>
      </c>
      <c r="I399" s="202">
        <v>19</v>
      </c>
      <c r="J399" s="1" t="s">
        <v>550</v>
      </c>
      <c r="K399" s="67">
        <v>10600</v>
      </c>
      <c r="L399" s="67">
        <v>10600</v>
      </c>
      <c r="M399" s="67">
        <v>14500</v>
      </c>
      <c r="N399" s="67">
        <v>8050</v>
      </c>
      <c r="O399" s="67">
        <v>10300</v>
      </c>
      <c r="P399" s="18" t="s">
        <v>1291</v>
      </c>
      <c r="Q399" s="71"/>
      <c r="R399" s="5" t="str">
        <f>IF(Q399="x",CONCATENATE(A399,"; "),"")</f>
        <v/>
      </c>
      <c r="S399" s="62" t="s">
        <v>527</v>
      </c>
      <c r="T399" s="5" t="str">
        <f t="shared" si="43"/>
        <v/>
      </c>
      <c r="V399" s="69">
        <f>L399-X399</f>
        <v>10600</v>
      </c>
      <c r="W399" s="5">
        <v>8049.9999999999991</v>
      </c>
    </row>
    <row r="400" spans="1:25" ht="15.8" customHeight="1">
      <c r="A400" s="1" t="s">
        <v>129</v>
      </c>
      <c r="B400" s="183" t="s">
        <v>1836</v>
      </c>
      <c r="C400" s="203" t="s">
        <v>129</v>
      </c>
      <c r="D400" s="184">
        <v>229.99999999999997</v>
      </c>
      <c r="E400" s="178">
        <f t="shared" si="45"/>
        <v>299</v>
      </c>
      <c r="F400" s="185" t="s">
        <v>550</v>
      </c>
      <c r="G400" s="186"/>
      <c r="H400" s="187" t="s">
        <v>476</v>
      </c>
      <c r="I400" s="188">
        <v>1</v>
      </c>
      <c r="J400" s="1" t="s">
        <v>550</v>
      </c>
      <c r="K400" s="67">
        <v>400</v>
      </c>
      <c r="L400" s="145">
        <v>600</v>
      </c>
      <c r="M400" s="67">
        <v>690</v>
      </c>
      <c r="N400" s="67">
        <v>610</v>
      </c>
      <c r="O400" s="67">
        <v>800</v>
      </c>
      <c r="P400" s="18" t="s">
        <v>423</v>
      </c>
      <c r="Q400" s="71"/>
      <c r="R400" s="5" t="str">
        <f>IF(Q400="x",CONCATENATE(A400,"; "),"")</f>
        <v/>
      </c>
      <c r="S400" s="62" t="s">
        <v>476</v>
      </c>
      <c r="T400" s="5" t="str">
        <f t="shared" si="43"/>
        <v/>
      </c>
      <c r="V400" s="69">
        <f>L400-X400</f>
        <v>600</v>
      </c>
      <c r="W400" s="5">
        <v>229.99999999999997</v>
      </c>
    </row>
    <row r="401" spans="1:25" ht="15.8" customHeight="1">
      <c r="A401" s="1" t="s">
        <v>867</v>
      </c>
      <c r="B401" s="183" t="s">
        <v>1837</v>
      </c>
      <c r="C401" s="203" t="s">
        <v>867</v>
      </c>
      <c r="D401" s="277">
        <v>13914.999999999998</v>
      </c>
      <c r="E401" s="277">
        <f t="shared" si="45"/>
        <v>18089.5</v>
      </c>
      <c r="F401" s="185" t="s">
        <v>868</v>
      </c>
      <c r="G401" s="278"/>
      <c r="H401" s="187" t="s">
        <v>476</v>
      </c>
      <c r="I401" s="188">
        <v>17</v>
      </c>
      <c r="J401" s="1" t="s">
        <v>868</v>
      </c>
      <c r="K401" s="67">
        <v>18090</v>
      </c>
      <c r="L401" s="67">
        <v>18000</v>
      </c>
      <c r="M401" s="67"/>
      <c r="N401" s="67"/>
      <c r="O401" s="67"/>
      <c r="P401" s="18" t="s">
        <v>552</v>
      </c>
      <c r="Q401" s="279"/>
      <c r="R401" s="5" t="str">
        <f>IF(Q401="x",CONCATENATE(A401,"; "),"")</f>
        <v/>
      </c>
      <c r="S401" s="70" t="s">
        <v>476</v>
      </c>
      <c r="T401" s="5" t="str">
        <f t="shared" si="43"/>
        <v/>
      </c>
      <c r="V401" s="69">
        <f>L401-X401</f>
        <v>18000</v>
      </c>
      <c r="W401" s="5">
        <v>13914.999999999998</v>
      </c>
    </row>
    <row r="402" spans="1:25" ht="15.8" customHeight="1">
      <c r="A402" s="1" t="s">
        <v>869</v>
      </c>
      <c r="B402" s="183" t="s">
        <v>1838</v>
      </c>
      <c r="C402" s="203" t="s">
        <v>869</v>
      </c>
      <c r="D402" s="184">
        <v>11500</v>
      </c>
      <c r="E402" s="178">
        <f t="shared" si="45"/>
        <v>14950</v>
      </c>
      <c r="F402" s="185" t="s">
        <v>550</v>
      </c>
      <c r="G402" s="186"/>
      <c r="H402" s="187" t="s">
        <v>476</v>
      </c>
      <c r="I402" s="188">
        <v>1</v>
      </c>
      <c r="J402" s="1" t="s">
        <v>550</v>
      </c>
      <c r="K402" s="67">
        <v>16000</v>
      </c>
      <c r="L402" s="251">
        <v>15000</v>
      </c>
      <c r="M402" s="67"/>
      <c r="N402" s="67">
        <v>9200</v>
      </c>
      <c r="O402" s="67">
        <v>15000</v>
      </c>
      <c r="P402" s="18" t="s">
        <v>349</v>
      </c>
      <c r="Q402" s="71"/>
      <c r="R402" s="5" t="str">
        <f>IF(Q402="x",CONCATENATE(A402,"; "),"")</f>
        <v/>
      </c>
      <c r="S402" s="62" t="s">
        <v>476</v>
      </c>
      <c r="T402" s="5" t="str">
        <f t="shared" si="43"/>
        <v/>
      </c>
      <c r="V402" s="69">
        <f>L402-X402</f>
        <v>15000</v>
      </c>
      <c r="W402" s="5">
        <v>11500</v>
      </c>
    </row>
    <row r="403" spans="1:25" ht="15.8" customHeight="1">
      <c r="A403" s="1" t="s">
        <v>1293</v>
      </c>
      <c r="B403" s="196" t="s">
        <v>1839</v>
      </c>
      <c r="C403" s="197" t="s">
        <v>1840</v>
      </c>
      <c r="D403" s="198">
        <v>69</v>
      </c>
      <c r="E403" s="178">
        <f t="shared" si="45"/>
        <v>89.7</v>
      </c>
      <c r="F403" s="199" t="s">
        <v>550</v>
      </c>
      <c r="G403" s="200" t="s">
        <v>1363</v>
      </c>
      <c r="H403" s="201" t="s">
        <v>476</v>
      </c>
      <c r="I403" s="202">
        <v>1</v>
      </c>
      <c r="J403" s="1" t="s">
        <v>550</v>
      </c>
      <c r="K403" s="67">
        <v>800</v>
      </c>
      <c r="L403" s="67">
        <v>800</v>
      </c>
      <c r="M403" s="67">
        <v>290</v>
      </c>
      <c r="N403" s="67"/>
      <c r="O403" s="67"/>
      <c r="P403" s="18" t="s">
        <v>423</v>
      </c>
      <c r="Q403" s="71"/>
      <c r="R403" s="5" t="str">
        <f>IF(Q403="x",CONCATENATE(A403,"; "),"")</f>
        <v/>
      </c>
      <c r="S403" s="62" t="s">
        <v>866</v>
      </c>
      <c r="T403" s="5" t="str">
        <f>IF(Q403="x",S403,"")</f>
        <v/>
      </c>
      <c r="V403" s="69">
        <f>L403-X403</f>
        <v>800</v>
      </c>
      <c r="W403" s="5">
        <v>0</v>
      </c>
    </row>
    <row r="404" spans="1:25" ht="15.8" customHeight="1">
      <c r="A404" s="1" t="s">
        <v>870</v>
      </c>
      <c r="B404" s="183" t="s">
        <v>1841</v>
      </c>
      <c r="C404" s="203" t="s">
        <v>870</v>
      </c>
      <c r="D404" s="184">
        <v>130</v>
      </c>
      <c r="E404" s="178">
        <f t="shared" si="45"/>
        <v>169</v>
      </c>
      <c r="F404" s="185" t="s">
        <v>550</v>
      </c>
      <c r="G404" s="186"/>
      <c r="H404" s="187" t="s">
        <v>476</v>
      </c>
      <c r="I404" s="188">
        <v>1</v>
      </c>
      <c r="J404" s="1" t="s">
        <v>550</v>
      </c>
      <c r="K404" s="67">
        <v>300</v>
      </c>
      <c r="L404" s="67">
        <v>300</v>
      </c>
      <c r="M404" s="67"/>
      <c r="N404" s="67"/>
      <c r="O404" s="67"/>
      <c r="P404" s="18" t="s">
        <v>423</v>
      </c>
      <c r="Q404" s="71"/>
      <c r="R404" s="5" t="str">
        <f t="shared" ref="R404:R411" si="50">IF(Q404="x",CONCATENATE(A404,"; "),"")</f>
        <v/>
      </c>
      <c r="S404" s="62" t="s">
        <v>476</v>
      </c>
      <c r="T404" s="5" t="str">
        <f t="shared" si="43"/>
        <v/>
      </c>
      <c r="V404" s="69">
        <f t="shared" ref="V404:V412" si="51">L404-X404</f>
        <v>300</v>
      </c>
      <c r="W404" s="5">
        <v>130</v>
      </c>
    </row>
    <row r="405" spans="1:25" ht="15.8" customHeight="1">
      <c r="A405" s="1" t="s">
        <v>871</v>
      </c>
      <c r="B405" s="196" t="s">
        <v>1842</v>
      </c>
      <c r="C405" s="197" t="s">
        <v>871</v>
      </c>
      <c r="D405" s="198">
        <v>69</v>
      </c>
      <c r="E405" s="178">
        <f t="shared" si="45"/>
        <v>89.7</v>
      </c>
      <c r="F405" s="199" t="s">
        <v>550</v>
      </c>
      <c r="G405" s="200" t="s">
        <v>1363</v>
      </c>
      <c r="H405" s="201" t="s">
        <v>476</v>
      </c>
      <c r="I405" s="202">
        <v>1</v>
      </c>
      <c r="J405" s="1" t="s">
        <v>550</v>
      </c>
      <c r="K405" s="67">
        <v>300</v>
      </c>
      <c r="L405" s="67">
        <v>300</v>
      </c>
      <c r="M405" s="67">
        <v>290</v>
      </c>
      <c r="N405" s="67">
        <v>198</v>
      </c>
      <c r="O405" s="67">
        <v>800</v>
      </c>
      <c r="P405" s="18" t="s">
        <v>423</v>
      </c>
      <c r="Q405" s="71"/>
      <c r="R405" s="5" t="str">
        <f t="shared" si="50"/>
        <v/>
      </c>
      <c r="S405" s="62" t="s">
        <v>476</v>
      </c>
      <c r="T405" s="5" t="str">
        <f t="shared" si="43"/>
        <v/>
      </c>
      <c r="V405" s="69">
        <f t="shared" si="51"/>
        <v>300</v>
      </c>
      <c r="W405" s="5">
        <v>69</v>
      </c>
    </row>
    <row r="406" spans="1:25" ht="15.8" customHeight="1">
      <c r="A406" s="253" t="s">
        <v>872</v>
      </c>
      <c r="B406" s="183" t="s">
        <v>1843</v>
      </c>
      <c r="C406" s="203" t="s">
        <v>872</v>
      </c>
      <c r="D406" s="184">
        <v>13799.999999999998</v>
      </c>
      <c r="E406" s="178">
        <f t="shared" si="45"/>
        <v>17940</v>
      </c>
      <c r="F406" s="185" t="s">
        <v>562</v>
      </c>
      <c r="G406" s="186"/>
      <c r="H406" s="187" t="s">
        <v>476</v>
      </c>
      <c r="I406" s="188">
        <v>14</v>
      </c>
      <c r="J406" s="253" t="s">
        <v>562</v>
      </c>
      <c r="K406" s="254">
        <v>17940</v>
      </c>
      <c r="L406" s="251">
        <v>17000</v>
      </c>
      <c r="M406" s="67"/>
      <c r="N406" s="67">
        <v>9545</v>
      </c>
      <c r="O406" s="67"/>
      <c r="P406" s="255" t="s">
        <v>563</v>
      </c>
      <c r="Q406" s="71"/>
      <c r="R406" s="5" t="str">
        <f t="shared" si="50"/>
        <v/>
      </c>
      <c r="S406" s="70" t="s">
        <v>476</v>
      </c>
      <c r="T406" s="5" t="str">
        <f t="shared" si="43"/>
        <v/>
      </c>
      <c r="V406" s="69">
        <f t="shared" si="51"/>
        <v>17000</v>
      </c>
      <c r="W406" s="5">
        <v>13799.999999999998</v>
      </c>
    </row>
    <row r="407" spans="1:25" ht="15.8" customHeight="1">
      <c r="A407" s="1" t="s">
        <v>128</v>
      </c>
      <c r="B407" s="196" t="s">
        <v>1844</v>
      </c>
      <c r="C407" s="197" t="s">
        <v>128</v>
      </c>
      <c r="D407" s="198">
        <v>69</v>
      </c>
      <c r="E407" s="178">
        <f t="shared" si="45"/>
        <v>89.7</v>
      </c>
      <c r="F407" s="199" t="s">
        <v>550</v>
      </c>
      <c r="G407" s="200" t="s">
        <v>1363</v>
      </c>
      <c r="H407" s="201" t="s">
        <v>476</v>
      </c>
      <c r="I407" s="202">
        <v>1</v>
      </c>
      <c r="J407" s="1" t="s">
        <v>550</v>
      </c>
      <c r="K407" s="67">
        <v>300</v>
      </c>
      <c r="L407" s="67">
        <v>300</v>
      </c>
      <c r="M407" s="67">
        <v>290</v>
      </c>
      <c r="N407" s="67">
        <v>198</v>
      </c>
      <c r="O407" s="67">
        <v>800</v>
      </c>
      <c r="P407" s="18" t="s">
        <v>423</v>
      </c>
      <c r="Q407" s="71"/>
      <c r="R407" s="5" t="str">
        <f t="shared" si="50"/>
        <v/>
      </c>
      <c r="S407" s="62" t="s">
        <v>476</v>
      </c>
      <c r="T407" s="5" t="str">
        <f t="shared" si="43"/>
        <v/>
      </c>
      <c r="V407" s="69">
        <f t="shared" si="51"/>
        <v>300</v>
      </c>
      <c r="W407" s="5">
        <v>69</v>
      </c>
    </row>
    <row r="408" spans="1:25" ht="15.8" customHeight="1">
      <c r="A408" s="1" t="s">
        <v>873</v>
      </c>
      <c r="B408" s="189" t="s">
        <v>1845</v>
      </c>
      <c r="C408" s="190" t="s">
        <v>873</v>
      </c>
      <c r="D408" s="191">
        <v>130</v>
      </c>
      <c r="E408" s="178">
        <f t="shared" si="45"/>
        <v>169</v>
      </c>
      <c r="F408" s="192" t="s">
        <v>550</v>
      </c>
      <c r="G408" s="193" t="s">
        <v>1363</v>
      </c>
      <c r="H408" s="194" t="s">
        <v>476</v>
      </c>
      <c r="I408" s="195">
        <v>1</v>
      </c>
      <c r="J408" s="1" t="s">
        <v>550</v>
      </c>
      <c r="K408" s="67">
        <v>300</v>
      </c>
      <c r="L408" s="67">
        <v>300</v>
      </c>
      <c r="M408" s="67">
        <v>290</v>
      </c>
      <c r="N408" s="67">
        <v>198</v>
      </c>
      <c r="O408" s="67">
        <v>800</v>
      </c>
      <c r="P408" s="18" t="s">
        <v>423</v>
      </c>
      <c r="Q408" s="71"/>
      <c r="R408" s="5" t="str">
        <f t="shared" si="50"/>
        <v/>
      </c>
      <c r="S408" s="62" t="s">
        <v>476</v>
      </c>
      <c r="T408" s="5" t="str">
        <f t="shared" si="43"/>
        <v/>
      </c>
      <c r="V408" s="69">
        <f t="shared" si="51"/>
        <v>300</v>
      </c>
      <c r="W408" s="5">
        <v>130</v>
      </c>
    </row>
    <row r="409" spans="1:25" ht="15.8" customHeight="1">
      <c r="A409" s="1" t="s">
        <v>874</v>
      </c>
      <c r="B409" s="176" t="s">
        <v>1846</v>
      </c>
      <c r="C409" s="179" t="s">
        <v>874</v>
      </c>
      <c r="D409" s="178">
        <v>0</v>
      </c>
      <c r="E409" s="178">
        <f t="shared" si="45"/>
        <v>0</v>
      </c>
      <c r="F409" s="179" t="s">
        <v>550</v>
      </c>
      <c r="G409" s="180"/>
      <c r="H409" s="181" t="s">
        <v>476</v>
      </c>
      <c r="I409" s="182">
        <v>1</v>
      </c>
      <c r="J409" s="1" t="s">
        <v>550</v>
      </c>
      <c r="K409" s="67">
        <v>0</v>
      </c>
      <c r="L409" s="67">
        <v>0</v>
      </c>
      <c r="M409" s="67"/>
      <c r="N409" s="67"/>
      <c r="O409" s="67">
        <v>1600</v>
      </c>
      <c r="P409" s="18" t="s">
        <v>423</v>
      </c>
      <c r="Q409" s="71"/>
      <c r="R409" s="5" t="str">
        <f t="shared" si="50"/>
        <v/>
      </c>
      <c r="S409" s="62" t="s">
        <v>476</v>
      </c>
      <c r="T409" s="5" t="str">
        <f t="shared" si="43"/>
        <v/>
      </c>
      <c r="V409" s="69">
        <f t="shared" si="51"/>
        <v>0</v>
      </c>
      <c r="W409" s="5">
        <v>0</v>
      </c>
    </row>
    <row r="410" spans="1:25" ht="15.8" customHeight="1">
      <c r="A410" s="1" t="s">
        <v>875</v>
      </c>
      <c r="B410" s="189" t="s">
        <v>1847</v>
      </c>
      <c r="C410" s="190" t="s">
        <v>875</v>
      </c>
      <c r="D410" s="191">
        <v>130</v>
      </c>
      <c r="E410" s="178">
        <f t="shared" si="45"/>
        <v>169</v>
      </c>
      <c r="F410" s="192" t="s">
        <v>550</v>
      </c>
      <c r="G410" s="193" t="s">
        <v>1363</v>
      </c>
      <c r="H410" s="194" t="s">
        <v>476</v>
      </c>
      <c r="I410" s="195">
        <v>1</v>
      </c>
      <c r="J410" s="1" t="s">
        <v>550</v>
      </c>
      <c r="K410" s="67">
        <v>300</v>
      </c>
      <c r="L410" s="67">
        <v>300</v>
      </c>
      <c r="M410" s="67">
        <v>290</v>
      </c>
      <c r="N410" s="67">
        <v>198</v>
      </c>
      <c r="O410" s="67">
        <v>800</v>
      </c>
      <c r="P410" s="18" t="s">
        <v>423</v>
      </c>
      <c r="Q410" s="71"/>
      <c r="R410" s="5" t="str">
        <f t="shared" si="50"/>
        <v/>
      </c>
      <c r="S410" s="62" t="s">
        <v>476</v>
      </c>
      <c r="T410" s="5" t="str">
        <f t="shared" si="43"/>
        <v/>
      </c>
      <c r="V410" s="69">
        <f t="shared" si="51"/>
        <v>300</v>
      </c>
      <c r="W410" s="5">
        <v>130</v>
      </c>
    </row>
    <row r="411" spans="1:25" ht="15.8" customHeight="1">
      <c r="A411" s="1" t="s">
        <v>126</v>
      </c>
      <c r="B411" s="196" t="s">
        <v>1848</v>
      </c>
      <c r="C411" s="197" t="s">
        <v>126</v>
      </c>
      <c r="D411" s="198">
        <v>69</v>
      </c>
      <c r="E411" s="178">
        <f t="shared" si="45"/>
        <v>89.7</v>
      </c>
      <c r="F411" s="199" t="s">
        <v>550</v>
      </c>
      <c r="G411" s="200" t="s">
        <v>1363</v>
      </c>
      <c r="H411" s="201" t="s">
        <v>476</v>
      </c>
      <c r="I411" s="202">
        <v>1</v>
      </c>
      <c r="J411" s="1" t="s">
        <v>550</v>
      </c>
      <c r="K411" s="67">
        <v>300</v>
      </c>
      <c r="L411" s="67">
        <v>300</v>
      </c>
      <c r="M411" s="67">
        <v>290</v>
      </c>
      <c r="N411" s="67">
        <v>198</v>
      </c>
      <c r="O411" s="67">
        <v>800</v>
      </c>
      <c r="P411" s="18" t="s">
        <v>423</v>
      </c>
      <c r="Q411" s="71" t="s">
        <v>1305</v>
      </c>
      <c r="R411" s="5" t="str">
        <f t="shared" si="50"/>
        <v xml:space="preserve">Vizelet karbamid; </v>
      </c>
      <c r="S411" s="62" t="s">
        <v>476</v>
      </c>
      <c r="T411" s="5" t="str">
        <f t="shared" si="43"/>
        <v>V</v>
      </c>
      <c r="V411" s="69">
        <f t="shared" si="51"/>
        <v>300</v>
      </c>
      <c r="W411" s="5">
        <v>69</v>
      </c>
    </row>
    <row r="412" spans="1:25" ht="15.8" customHeight="1">
      <c r="A412" s="1" t="s">
        <v>865</v>
      </c>
      <c r="B412" s="183" t="s">
        <v>1849</v>
      </c>
      <c r="C412" s="203" t="s">
        <v>127</v>
      </c>
      <c r="D412" s="184">
        <v>175</v>
      </c>
      <c r="E412" s="178">
        <f t="shared" si="45"/>
        <v>227.5</v>
      </c>
      <c r="F412" s="185" t="s">
        <v>550</v>
      </c>
      <c r="G412" s="186"/>
      <c r="H412" s="187" t="s">
        <v>476</v>
      </c>
      <c r="I412" s="188">
        <v>1</v>
      </c>
      <c r="J412" s="1" t="s">
        <v>550</v>
      </c>
      <c r="K412" s="67">
        <v>600</v>
      </c>
      <c r="L412" s="67">
        <v>600</v>
      </c>
      <c r="M412" s="67">
        <v>420</v>
      </c>
      <c r="N412" s="67">
        <v>316</v>
      </c>
      <c r="O412" s="67">
        <v>800</v>
      </c>
      <c r="P412" s="18" t="s">
        <v>254</v>
      </c>
      <c r="Q412" s="71"/>
      <c r="R412" s="5" t="str">
        <f>IF(Q412="x",CONCATENATE(A424,"; "),"")</f>
        <v/>
      </c>
      <c r="S412" s="62" t="s">
        <v>866</v>
      </c>
      <c r="T412" s="5" t="str">
        <f>IF(Q412="x",S412,"")</f>
        <v/>
      </c>
      <c r="V412" s="69">
        <f t="shared" si="51"/>
        <v>600</v>
      </c>
      <c r="W412" s="5">
        <v>0</v>
      </c>
    </row>
    <row r="413" spans="1:25" s="173" customFormat="1" ht="15.8" customHeight="1">
      <c r="A413" s="233" t="s">
        <v>1292</v>
      </c>
      <c r="B413" s="234" t="s">
        <v>1850</v>
      </c>
      <c r="C413" s="235" t="s">
        <v>123</v>
      </c>
      <c r="D413" s="236">
        <v>3500</v>
      </c>
      <c r="E413" s="237">
        <f t="shared" si="45"/>
        <v>4550</v>
      </c>
      <c r="F413" s="238" t="s">
        <v>550</v>
      </c>
      <c r="G413" s="239" t="s">
        <v>1363</v>
      </c>
      <c r="H413" s="240" t="s">
        <v>476</v>
      </c>
      <c r="I413" s="241">
        <v>1</v>
      </c>
      <c r="J413" s="233" t="s">
        <v>550</v>
      </c>
      <c r="K413" s="145">
        <v>600</v>
      </c>
      <c r="L413" s="145">
        <v>4500</v>
      </c>
      <c r="M413" s="145">
        <v>1800</v>
      </c>
      <c r="N413" s="145">
        <v>1265</v>
      </c>
      <c r="O413" s="145">
        <v>4500</v>
      </c>
      <c r="P413" s="242" t="s">
        <v>254</v>
      </c>
      <c r="Q413" s="169"/>
      <c r="R413" s="173" t="str">
        <f>IF(Q413="x",CONCATENATE(A413,"; "),"")</f>
        <v/>
      </c>
      <c r="S413" s="243" t="s">
        <v>476</v>
      </c>
      <c r="T413" s="173" t="str">
        <f>IF(Q413="x",S413,"")</f>
        <v/>
      </c>
      <c r="V413" s="170">
        <f>L413-X413</f>
        <v>4500</v>
      </c>
      <c r="W413" s="173">
        <v>69</v>
      </c>
      <c r="Y413" s="321"/>
    </row>
    <row r="414" spans="1:25" ht="15.8" customHeight="1">
      <c r="A414" s="1" t="s">
        <v>876</v>
      </c>
      <c r="B414" s="189" t="s">
        <v>1851</v>
      </c>
      <c r="C414" s="190" t="s">
        <v>876</v>
      </c>
      <c r="D414" s="191">
        <v>130</v>
      </c>
      <c r="E414" s="178">
        <f t="shared" si="45"/>
        <v>169</v>
      </c>
      <c r="F414" s="192" t="s">
        <v>550</v>
      </c>
      <c r="G414" s="193" t="s">
        <v>1363</v>
      </c>
      <c r="H414" s="194" t="s">
        <v>476</v>
      </c>
      <c r="I414" s="195">
        <v>1</v>
      </c>
      <c r="J414" s="1" t="s">
        <v>550</v>
      </c>
      <c r="K414" s="67">
        <v>300</v>
      </c>
      <c r="L414" s="67">
        <v>300</v>
      </c>
      <c r="M414" s="67">
        <v>290</v>
      </c>
      <c r="N414" s="67">
        <v>198</v>
      </c>
      <c r="O414" s="67"/>
      <c r="P414" s="18" t="s">
        <v>423</v>
      </c>
      <c r="Q414" s="71"/>
      <c r="R414" s="5" t="str">
        <f>IF(Q414="x",CONCATENATE(A414,"; "),"")</f>
        <v/>
      </c>
      <c r="S414" s="62" t="s">
        <v>476</v>
      </c>
      <c r="T414" s="5" t="str">
        <f>IF(Q414="x",S414,"")</f>
        <v/>
      </c>
      <c r="V414" s="69">
        <f>L414-X414</f>
        <v>300</v>
      </c>
      <c r="W414" s="5">
        <v>130</v>
      </c>
    </row>
    <row r="415" spans="1:25" ht="15.8" customHeight="1">
      <c r="A415" s="253" t="s">
        <v>398</v>
      </c>
      <c r="B415" s="176" t="s">
        <v>1852</v>
      </c>
      <c r="C415" s="177" t="s">
        <v>1887</v>
      </c>
      <c r="D415" s="178">
        <v>14300</v>
      </c>
      <c r="E415" s="178">
        <f t="shared" si="45"/>
        <v>18590</v>
      </c>
      <c r="F415" s="179" t="s">
        <v>868</v>
      </c>
      <c r="G415" s="180"/>
      <c r="H415" s="181" t="s">
        <v>476</v>
      </c>
      <c r="I415" s="182">
        <v>17</v>
      </c>
      <c r="J415" s="253" t="s">
        <v>868</v>
      </c>
      <c r="K415" s="254">
        <v>18590</v>
      </c>
      <c r="L415" s="251">
        <v>18000</v>
      </c>
      <c r="M415" s="67"/>
      <c r="N415" s="67"/>
      <c r="O415" s="67">
        <v>18300</v>
      </c>
      <c r="P415" s="255" t="s">
        <v>552</v>
      </c>
      <c r="Q415" s="71"/>
      <c r="R415" s="5" t="str">
        <f t="shared" ref="R415:R421" si="52">IF(Q415="x",CONCATENATE(A415,"; "),"")</f>
        <v/>
      </c>
      <c r="S415" s="70" t="s">
        <v>476</v>
      </c>
      <c r="T415" s="5" t="str">
        <f t="shared" si="43"/>
        <v/>
      </c>
      <c r="V415" s="69">
        <f t="shared" ref="V415:V422" si="53">L415-X415</f>
        <v>18000</v>
      </c>
      <c r="W415" s="5">
        <v>14300</v>
      </c>
    </row>
    <row r="416" spans="1:25" ht="15.8" customHeight="1">
      <c r="A416" s="253" t="s">
        <v>399</v>
      </c>
      <c r="B416" s="183" t="s">
        <v>1853</v>
      </c>
      <c r="C416" s="203" t="s">
        <v>399</v>
      </c>
      <c r="D416" s="184">
        <v>14300</v>
      </c>
      <c r="E416" s="178">
        <f t="shared" si="45"/>
        <v>18590</v>
      </c>
      <c r="F416" s="185" t="s">
        <v>550</v>
      </c>
      <c r="G416" s="186"/>
      <c r="H416" s="187" t="s">
        <v>476</v>
      </c>
      <c r="I416" s="188">
        <v>17</v>
      </c>
      <c r="J416" s="253" t="s">
        <v>550</v>
      </c>
      <c r="K416" s="254">
        <v>18590</v>
      </c>
      <c r="L416" s="251">
        <v>18000</v>
      </c>
      <c r="M416" s="67"/>
      <c r="N416" s="67"/>
      <c r="O416" s="67"/>
      <c r="P416" s="255" t="s">
        <v>552</v>
      </c>
      <c r="Q416" s="71"/>
      <c r="R416" s="5" t="str">
        <f t="shared" si="52"/>
        <v/>
      </c>
      <c r="S416" s="70" t="s">
        <v>476</v>
      </c>
      <c r="T416" s="5" t="str">
        <f t="shared" si="43"/>
        <v/>
      </c>
      <c r="V416" s="69">
        <f t="shared" si="53"/>
        <v>18000</v>
      </c>
      <c r="W416" s="5">
        <v>14300</v>
      </c>
    </row>
    <row r="417" spans="1:23" ht="15.8" customHeight="1">
      <c r="A417" s="253" t="s">
        <v>877</v>
      </c>
      <c r="B417" s="176" t="s">
        <v>1854</v>
      </c>
      <c r="C417" s="177" t="s">
        <v>877</v>
      </c>
      <c r="D417" s="178">
        <v>22770</v>
      </c>
      <c r="E417" s="178">
        <f t="shared" si="45"/>
        <v>29601</v>
      </c>
      <c r="F417" s="179" t="s">
        <v>559</v>
      </c>
      <c r="G417" s="180"/>
      <c r="H417" s="181" t="s">
        <v>1855</v>
      </c>
      <c r="I417" s="182" t="s">
        <v>1856</v>
      </c>
      <c r="J417" s="253" t="s">
        <v>559</v>
      </c>
      <c r="K417" s="254">
        <v>29601</v>
      </c>
      <c r="L417" s="251">
        <v>29600</v>
      </c>
      <c r="M417" s="67"/>
      <c r="N417" s="67"/>
      <c r="O417" s="67"/>
      <c r="P417" s="255" t="s">
        <v>878</v>
      </c>
      <c r="Q417" s="71"/>
      <c r="R417" s="5" t="str">
        <f t="shared" si="52"/>
        <v/>
      </c>
      <c r="S417" s="70" t="s">
        <v>909</v>
      </c>
      <c r="T417" s="5" t="str">
        <f t="shared" si="43"/>
        <v/>
      </c>
      <c r="V417" s="69">
        <f t="shared" si="53"/>
        <v>29600</v>
      </c>
      <c r="W417" s="5">
        <v>22770</v>
      </c>
    </row>
    <row r="418" spans="1:23" ht="15.8" customHeight="1">
      <c r="A418" s="253" t="s">
        <v>879</v>
      </c>
      <c r="B418" s="183" t="s">
        <v>1857</v>
      </c>
      <c r="C418" s="203" t="s">
        <v>879</v>
      </c>
      <c r="D418" s="184">
        <v>4500</v>
      </c>
      <c r="E418" s="178">
        <f t="shared" si="45"/>
        <v>5850</v>
      </c>
      <c r="F418" s="185" t="s">
        <v>607</v>
      </c>
      <c r="G418" s="186"/>
      <c r="H418" s="187" t="s">
        <v>880</v>
      </c>
      <c r="I418" s="205" t="s">
        <v>350</v>
      </c>
      <c r="J418" s="253" t="s">
        <v>607</v>
      </c>
      <c r="K418" s="254">
        <v>5850</v>
      </c>
      <c r="L418" s="251">
        <v>5800</v>
      </c>
      <c r="M418" s="67"/>
      <c r="N418" s="67"/>
      <c r="O418" s="67">
        <v>6800</v>
      </c>
      <c r="P418" s="255" t="s">
        <v>350</v>
      </c>
      <c r="Q418" s="71"/>
      <c r="R418" s="5" t="str">
        <f t="shared" si="52"/>
        <v/>
      </c>
      <c r="S418" s="70" t="s">
        <v>880</v>
      </c>
      <c r="T418" s="5" t="str">
        <f t="shared" si="43"/>
        <v/>
      </c>
      <c r="V418" s="69">
        <f t="shared" si="53"/>
        <v>5800</v>
      </c>
      <c r="W418" s="5">
        <v>4500</v>
      </c>
    </row>
    <row r="419" spans="1:23" ht="15.8" customHeight="1">
      <c r="A419" s="253" t="s">
        <v>881</v>
      </c>
      <c r="B419" s="176" t="s">
        <v>1858</v>
      </c>
      <c r="C419" s="177" t="s">
        <v>1859</v>
      </c>
      <c r="D419" s="178">
        <v>33300</v>
      </c>
      <c r="E419" s="178">
        <f t="shared" si="45"/>
        <v>43290</v>
      </c>
      <c r="F419" s="179" t="s">
        <v>562</v>
      </c>
      <c r="G419" s="180"/>
      <c r="H419" s="181" t="s">
        <v>476</v>
      </c>
      <c r="I419" s="182">
        <v>17</v>
      </c>
      <c r="J419" s="253" t="s">
        <v>562</v>
      </c>
      <c r="K419" s="254">
        <v>43290</v>
      </c>
      <c r="L419" s="251">
        <v>39400</v>
      </c>
      <c r="M419" s="67"/>
      <c r="N419" s="67"/>
      <c r="O419" s="5">
        <v>39500</v>
      </c>
      <c r="P419" s="255" t="s">
        <v>552</v>
      </c>
      <c r="Q419" s="71"/>
      <c r="R419" s="5" t="str">
        <f t="shared" si="52"/>
        <v/>
      </c>
      <c r="S419" s="70" t="s">
        <v>476</v>
      </c>
      <c r="T419" s="5" t="str">
        <f t="shared" si="43"/>
        <v/>
      </c>
      <c r="V419" s="69">
        <f t="shared" si="53"/>
        <v>39400</v>
      </c>
      <c r="W419" s="5">
        <v>33300</v>
      </c>
    </row>
    <row r="420" spans="1:23" ht="15.8" customHeight="1">
      <c r="A420" s="253" t="s">
        <v>882</v>
      </c>
      <c r="B420" s="189" t="s">
        <v>1860</v>
      </c>
      <c r="C420" s="190" t="s">
        <v>882</v>
      </c>
      <c r="D420" s="191">
        <v>28900</v>
      </c>
      <c r="E420" s="178">
        <f t="shared" si="45"/>
        <v>37570</v>
      </c>
      <c r="F420" s="192" t="s">
        <v>562</v>
      </c>
      <c r="G420" s="193" t="s">
        <v>1363</v>
      </c>
      <c r="H420" s="194" t="s">
        <v>551</v>
      </c>
      <c r="I420" s="195">
        <v>17</v>
      </c>
      <c r="J420" s="253" t="s">
        <v>562</v>
      </c>
      <c r="K420" s="254">
        <v>37570</v>
      </c>
      <c r="L420" s="251">
        <v>35000</v>
      </c>
      <c r="M420" s="67">
        <v>40200</v>
      </c>
      <c r="N420" s="67"/>
      <c r="O420" s="67">
        <v>35500</v>
      </c>
      <c r="P420" s="255" t="s">
        <v>552</v>
      </c>
      <c r="Q420" s="71"/>
      <c r="R420" s="5" t="str">
        <f t="shared" si="52"/>
        <v/>
      </c>
      <c r="S420" s="70" t="s">
        <v>551</v>
      </c>
      <c r="T420" s="5" t="str">
        <f t="shared" si="43"/>
        <v/>
      </c>
      <c r="V420" s="69">
        <f t="shared" si="53"/>
        <v>35000</v>
      </c>
      <c r="W420" s="5">
        <v>28900</v>
      </c>
    </row>
    <row r="421" spans="1:23" ht="15.8" customHeight="1">
      <c r="A421" s="1" t="s">
        <v>4</v>
      </c>
      <c r="B421" s="176" t="s">
        <v>1861</v>
      </c>
      <c r="C421" s="177" t="s">
        <v>1862</v>
      </c>
      <c r="D421" s="178">
        <v>175</v>
      </c>
      <c r="E421" s="178">
        <f t="shared" si="45"/>
        <v>227.5</v>
      </c>
      <c r="F421" s="179" t="s">
        <v>593</v>
      </c>
      <c r="G421" s="180"/>
      <c r="H421" s="181" t="s">
        <v>604</v>
      </c>
      <c r="I421" s="182">
        <v>1</v>
      </c>
      <c r="J421" s="1" t="s">
        <v>593</v>
      </c>
      <c r="K421" s="67">
        <v>1200</v>
      </c>
      <c r="L421" s="67">
        <v>1200</v>
      </c>
      <c r="M421" s="67">
        <v>1750</v>
      </c>
      <c r="N421" s="67">
        <v>2000</v>
      </c>
      <c r="O421" s="67">
        <v>1000</v>
      </c>
      <c r="P421" s="18" t="s">
        <v>254</v>
      </c>
      <c r="Q421" s="71"/>
      <c r="R421" s="5" t="str">
        <f t="shared" si="52"/>
        <v/>
      </c>
      <c r="S421" s="62" t="s">
        <v>604</v>
      </c>
      <c r="T421" s="5" t="str">
        <f t="shared" si="43"/>
        <v/>
      </c>
      <c r="V421" s="69">
        <f t="shared" si="53"/>
        <v>1200</v>
      </c>
      <c r="W421" s="5">
        <v>190</v>
      </c>
    </row>
    <row r="422" spans="1:23" ht="15.8" customHeight="1">
      <c r="A422" s="190" t="s">
        <v>1863</v>
      </c>
      <c r="B422" s="189"/>
      <c r="C422" s="190" t="s">
        <v>1863</v>
      </c>
      <c r="D422" s="191">
        <v>18900</v>
      </c>
      <c r="E422" s="178">
        <f t="shared" si="45"/>
        <v>24570</v>
      </c>
      <c r="F422" s="192" t="s">
        <v>553</v>
      </c>
      <c r="G422" s="193" t="s">
        <v>1363</v>
      </c>
      <c r="H422" s="194" t="s">
        <v>604</v>
      </c>
      <c r="I422" s="195">
        <v>12</v>
      </c>
      <c r="L422" s="5">
        <v>24000</v>
      </c>
      <c r="M422" s="5">
        <v>15000</v>
      </c>
      <c r="N422" s="5"/>
      <c r="O422" s="5"/>
      <c r="P422" s="5"/>
      <c r="Q422" s="5"/>
      <c r="V422" s="5">
        <f t="shared" si="53"/>
        <v>24000</v>
      </c>
    </row>
    <row r="423" spans="1:23" ht="15.8" customHeight="1">
      <c r="A423" s="1" t="s">
        <v>883</v>
      </c>
      <c r="B423" s="176" t="s">
        <v>1864</v>
      </c>
      <c r="C423" s="177" t="s">
        <v>883</v>
      </c>
      <c r="D423" s="178">
        <v>22000</v>
      </c>
      <c r="E423" s="178">
        <f t="shared" si="45"/>
        <v>28600</v>
      </c>
      <c r="F423" s="179" t="s">
        <v>88</v>
      </c>
      <c r="G423" s="180"/>
      <c r="H423" s="181" t="s">
        <v>551</v>
      </c>
      <c r="I423" s="182">
        <v>17</v>
      </c>
      <c r="J423" s="1" t="s">
        <v>88</v>
      </c>
      <c r="K423" s="67">
        <v>27000</v>
      </c>
      <c r="L423" s="67">
        <v>27000</v>
      </c>
      <c r="M423" s="67"/>
      <c r="N423" s="67"/>
      <c r="O423" s="67">
        <v>27600</v>
      </c>
      <c r="P423" s="18" t="s">
        <v>1283</v>
      </c>
      <c r="Q423" s="71"/>
      <c r="R423" s="5" t="str">
        <f>IF(Q423="x",CONCATENATE(A423,"; "),"")</f>
        <v/>
      </c>
      <c r="S423" s="62" t="s">
        <v>551</v>
      </c>
      <c r="T423" s="5" t="str">
        <f>IF(Q423="x",S423,"")</f>
        <v/>
      </c>
      <c r="U423" s="5" t="s">
        <v>1262</v>
      </c>
      <c r="V423" s="69">
        <f>L423-X423</f>
        <v>27000</v>
      </c>
      <c r="W423" s="5">
        <v>22000</v>
      </c>
    </row>
    <row r="424" spans="1:23" ht="15.8" customHeight="1">
      <c r="A424" s="1"/>
      <c r="J424" s="1"/>
      <c r="K424" s="79"/>
      <c r="L424" s="79"/>
      <c r="M424" s="256"/>
      <c r="N424" s="256"/>
      <c r="O424" s="256"/>
      <c r="P424" s="148"/>
      <c r="Q424" s="98"/>
      <c r="S424" s="62"/>
    </row>
    <row r="425" spans="1:23" ht="15.8" customHeight="1">
      <c r="J425" s="1"/>
      <c r="K425" s="67"/>
      <c r="L425" s="67"/>
      <c r="M425" s="67"/>
      <c r="N425" s="67"/>
      <c r="O425" s="67"/>
      <c r="P425" s="18"/>
      <c r="Q425" s="98"/>
      <c r="R425" s="5" t="str">
        <f t="shared" ref="R425:R430" si="54">IF(Q425="x",CONCATENATE(A425,"; "),"")</f>
        <v/>
      </c>
    </row>
    <row r="426" spans="1:23" ht="15.8" customHeight="1">
      <c r="A426" s="73" t="s">
        <v>444</v>
      </c>
      <c r="J426" s="73" t="s">
        <v>445</v>
      </c>
      <c r="K426" s="72">
        <v>4000</v>
      </c>
      <c r="L426" s="72">
        <v>4000</v>
      </c>
      <c r="M426" s="257"/>
      <c r="N426" s="257"/>
      <c r="O426" s="257"/>
      <c r="P426" s="149"/>
      <c r="Q426" s="99"/>
      <c r="R426" s="5" t="str">
        <f t="shared" si="54"/>
        <v/>
      </c>
    </row>
    <row r="427" spans="1:23" ht="15.8" customHeight="1">
      <c r="A427" s="74" t="s">
        <v>444</v>
      </c>
      <c r="J427" s="74" t="s">
        <v>502</v>
      </c>
      <c r="K427" s="72">
        <v>6000</v>
      </c>
      <c r="L427" s="72">
        <v>6000</v>
      </c>
      <c r="M427" s="257"/>
      <c r="N427" s="257"/>
      <c r="O427" s="257"/>
      <c r="P427" s="150"/>
      <c r="Q427" s="100"/>
      <c r="R427" s="5" t="str">
        <f t="shared" si="54"/>
        <v/>
      </c>
    </row>
    <row r="428" spans="1:23" ht="15.8" customHeight="1">
      <c r="A428" s="74" t="s">
        <v>444</v>
      </c>
      <c r="J428" s="74" t="s">
        <v>447</v>
      </c>
      <c r="K428" s="72">
        <v>7000</v>
      </c>
      <c r="L428" s="72">
        <v>7000</v>
      </c>
      <c r="M428" s="257"/>
      <c r="N428" s="257"/>
      <c r="O428" s="257"/>
      <c r="P428" s="150"/>
      <c r="Q428" s="100"/>
      <c r="R428" s="5" t="str">
        <f t="shared" si="54"/>
        <v/>
      </c>
      <c r="T428" s="5" t="e">
        <f>IF(OR(#REF!="x",#REF!="x"),#REF!,"")</f>
        <v>#REF!</v>
      </c>
    </row>
    <row r="429" spans="1:23" ht="15.8" customHeight="1">
      <c r="A429" s="74"/>
      <c r="B429" s="74"/>
      <c r="C429" s="74"/>
      <c r="D429" s="74"/>
      <c r="E429" s="74"/>
      <c r="F429" s="74"/>
      <c r="G429" s="74"/>
      <c r="H429" s="74"/>
      <c r="I429" s="74"/>
      <c r="J429" s="74"/>
      <c r="K429" s="72"/>
      <c r="L429" s="72"/>
      <c r="M429" s="257"/>
      <c r="N429" s="257"/>
      <c r="O429" s="257"/>
      <c r="P429" s="150"/>
      <c r="Q429" s="101"/>
      <c r="R429" s="5" t="str">
        <f t="shared" si="54"/>
        <v/>
      </c>
      <c r="T429" s="5" t="e">
        <f>IF(OR(#REF!="x",#REF!="x"),#REF!,"")</f>
        <v>#REF!</v>
      </c>
    </row>
    <row r="430" spans="1:23" ht="15.8" customHeight="1">
      <c r="A430" s="75" t="s">
        <v>500</v>
      </c>
      <c r="B430" s="75"/>
      <c r="C430" s="75"/>
      <c r="D430" s="75"/>
      <c r="E430" s="75"/>
      <c r="F430" s="75"/>
      <c r="G430" s="75"/>
      <c r="H430" s="75"/>
      <c r="I430" s="75"/>
      <c r="J430" s="74" t="s">
        <v>445</v>
      </c>
      <c r="K430" s="72">
        <v>3000</v>
      </c>
      <c r="L430" s="72">
        <v>3000</v>
      </c>
      <c r="M430" s="257"/>
      <c r="N430" s="257"/>
      <c r="O430" s="257"/>
      <c r="P430" s="150"/>
      <c r="Q430" s="100"/>
      <c r="R430" s="5" t="str">
        <f t="shared" si="54"/>
        <v/>
      </c>
      <c r="T430" s="5" t="e">
        <f>IF(OR(#REF!="x",#REF!="x"),#REF!,"")</f>
        <v>#REF!</v>
      </c>
    </row>
    <row r="431" spans="1:23" ht="15.8" customHeight="1">
      <c r="K431" s="5"/>
      <c r="L431" s="5"/>
      <c r="M431" s="5"/>
      <c r="N431" s="5"/>
      <c r="O431" s="5"/>
      <c r="P431" s="151"/>
      <c r="Q431" s="102"/>
    </row>
    <row r="432" spans="1:23" ht="15.8" customHeight="1">
      <c r="K432" s="67"/>
      <c r="L432" s="67"/>
      <c r="M432" s="67"/>
      <c r="N432" s="67"/>
      <c r="O432" s="67"/>
      <c r="P432" s="18"/>
      <c r="S432" s="84"/>
    </row>
    <row r="433" spans="1:31" ht="15.8" customHeight="1">
      <c r="A433" s="28" t="s">
        <v>450</v>
      </c>
      <c r="B433" s="28"/>
      <c r="C433" s="28"/>
      <c r="D433" s="28"/>
      <c r="E433" s="28"/>
      <c r="F433" s="28"/>
      <c r="G433" s="28"/>
      <c r="H433" s="28"/>
      <c r="I433" s="28"/>
      <c r="K433" s="67"/>
      <c r="L433" s="67"/>
      <c r="M433" s="67"/>
      <c r="N433" s="67"/>
      <c r="O433" s="67"/>
      <c r="P433" s="18"/>
    </row>
    <row r="434" spans="1:31" ht="15.8" customHeight="1">
      <c r="A434" s="1571" t="e">
        <f>IF(R2&amp;R3&amp;R5&amp;R8&amp;R12&amp;R13&amp;R14&amp;R16&amp;R17&amp;R18&amp;R19&amp;R20&amp;R21&amp;R22&amp;R23&amp;R24&amp;R25&amp;R26&amp;R27&amp;R28&amp;#REF!&amp;R29&amp;R30&amp;R31&amp;R32&amp;R33&amp;R34&amp;R35&amp;R36&amp;R37&amp;R39&amp;R40&amp;R41&amp;R42&amp;R43&amp;R44&amp;R45&amp;R46&amp;R47&amp;R48&amp;R49&amp;R50&amp;R51&amp;R52&amp;R53&amp;R54&amp;R55&amp;R56&amp;R57&amp;R58&amp;R59&amp;R60&amp;R61&amp;R62&amp;R63&amp;R64&amp;R65&amp;R66&amp;R69&amp;R73&amp;R74&amp;R75&amp;R76&amp;R77&amp;R78&amp;R79&amp;R80&amp;R81&amp;R82&amp;R83&amp;R216&amp;R84&amp;R85&amp;R86&amp;#REF!&amp;R87&amp;R88&amp;R89&amp;R90&amp;R91&amp;R92&amp;R93&amp;R94&amp;R95&amp;R96&amp;R97&amp;R98&amp;R99&amp;R102&amp;R103&amp;R105&amp;R106&amp;R108&amp;R109&amp;R110&amp;R111&amp;R112&amp;R113&amp;R115&amp;R116&amp;R228&amp;R117&amp;R118&amp;R119&amp;R120&amp;R121&amp;R122&amp;#REF!&amp;R123&amp;R124&amp;R125&amp;#REF!&amp;R126&amp;R127&amp;R128&amp;R129&amp;R130&amp;R131&amp;R132&amp;R133&amp;R134&amp;R135&amp;R136&amp;R137&amp;R138&amp;R139&amp;R140&amp;R141&amp;R142&amp;R143&amp;R144&amp;#REF!&amp;R146&amp;R147&amp;R148&amp;R149&amp;R150&amp;R152&amp;R153&amp;R154&amp;R155&amp;R151&amp;R156&amp;R157&amp;R158&amp;R159&amp;R160&amp;R161&amp;R162&amp;R163&amp;R164&amp;R165&amp;R166&amp;R167&amp;R168&amp;R169&amp;R171&amp;R172&amp;R170&amp;R173&amp;R174&amp;R175&amp;R176&amp;R178&amp;R179&amp;R180&amp;R181&amp;#REF!&amp;R182&amp;R183&amp;R184&amp;R185&amp;R186&amp;R187&amp;R189&amp;R190&amp;R191&amp;R192&amp;R193&amp;R194&amp;R195&amp;R196&amp;R197&amp;R198&amp;R200&amp;R201&amp;R202&amp;R203&amp;R204&amp;R205&amp;R206&amp;R207&amp;R208&amp;R210&amp;R211&amp;R212&amp;R213&amp;R217&amp;R214&amp;R215&amp;R218&amp;R219&amp;R220&amp;R222&amp;R223&amp;R224&amp;#REF!&amp;R226&amp;R227&amp;#REF!&amp;R229&amp;R232&amp;R233&amp;R234&amp;R235&amp;R236&amp;R237&amp;R238&amp;R239&amp;R240&amp;R241&amp;R242&amp;R243&amp;R244&amp;R245&amp;R246&amp;R248&amp;R249&amp;R250&amp;R251&amp;R254&amp;R255&amp;R256&amp;R257&amp;#REF!&amp;R258&amp;R259&amp;R260&amp;R261&amp;R262&amp;R263&amp;R264&amp;R265&amp;R266&amp;R267&amp;R268&amp;R269&amp;R270&amp;R271&amp;R272&amp;R273&amp;R274&amp;R275&amp;R276&amp;R277&amp;R280&amp;R281&amp;R282&amp;R283&amp;R284&amp;R285&amp;R286&amp;R287&amp;R288&amp;R289&amp;R290&amp;R291&amp;R292&amp;R293&amp;R294&amp;R295&amp;R296&amp;R297&amp;R298&amp;R299&amp;R300&amp;R301&amp;R302&amp;R303&amp;R304&amp;R305&amp;R306&amp;R307&amp;R308&amp;R309&amp;R310&amp;R311&amp;R312&amp;R313&amp;R314&amp;R315&amp;R316&amp;R317&amp;R320&amp;R321&amp;R322&amp;R323&amp;R324&amp;R325&amp;R326&amp;R327&amp;R328&amp;R329&amp;R330&amp;R331&amp;R334&amp;R336&amp;R337&amp;R338&amp;R339&amp;R340&amp;R341&amp;R342&amp;R343&amp;R344&amp;R346&amp;R347&amp;R349&amp;R350&amp;R351&amp;R352&amp;R353&amp;R354&amp;R355&amp;R356&amp;R358&amp;R359&amp;R362&amp;R363&amp;R365&amp;R366&amp;R369&amp;#REF!&amp;R318&amp;R372&amp;R370&amp;R373&amp;R374&amp;R375&amp;R376&amp;R378&amp;R379&amp;R380&amp;R381&amp;R382&amp;R383&amp;R384&amp;R385&amp;R387&amp;R388&amp;R389&amp;R390&amp;R391&amp;R392&amp;R395&amp;R396&amp;R397&amp;R399&amp;R400&amp;#REF!&amp;R401&amp;R402&amp;R413&amp;R404&amp;R405&amp;R406&amp;R407&amp;R408&amp;R409&amp;R410&amp;R411&amp;R414&amp;R403&amp;R415&amp;R416&amp;R417&amp;R418&amp;R419&amp;R420&amp;R421&amp;R423&amp;R426&amp;R427&amp;R428&amp;R430="","",R2&amp;R3&amp;R5&amp;R8&amp;R12&amp;R13&amp;R14&amp;R16&amp;R17&amp;R18&amp;R19&amp;R20&amp;R21&amp;R22&amp;R23&amp;R24&amp;R25&amp;R26&amp;R27&amp;R28&amp;#REF!&amp;R29&amp;R30&amp;R31&amp;R32&amp;R33&amp;R34&amp;R35&amp;R36&amp;R37&amp;R39&amp;R40&amp;R41&amp;R42&amp;R43&amp;R44&amp;R45&amp;R46&amp;R47&amp;R48&amp;R49&amp;R50&amp;R51&amp;R52&amp;R53&amp;R54&amp;R55&amp;R56&amp;R57&amp;R58&amp;R59&amp;R60&amp;R61&amp;R62&amp;R63&amp;R64&amp;R65&amp;R66&amp;R69&amp;R73&amp;R74&amp;R75&amp;R76&amp;R77&amp;R78&amp;R79&amp;R80&amp;R81&amp;R82&amp;R83&amp;R216&amp;R84&amp;R85&amp;R86&amp;#REF!&amp;R87&amp;R88&amp;R89&amp;R90&amp;R91&amp;R92&amp;R93&amp;R94&amp;R95&amp;R96&amp;R97&amp;R98&amp;R99&amp;R102&amp;R103&amp;R105&amp;R106&amp;R108&amp;R109&amp;R110&amp;R111&amp;R112&amp;R113&amp;R115&amp;R116&amp;R228&amp;R117&amp;R118&amp;R119&amp;R120&amp;R121&amp;R122&amp;#REF!&amp;R123&amp;R124&amp;R125&amp;#REF!&amp;R126&amp;R127&amp;R128&amp;R129&amp;R130&amp;R131&amp;R132&amp;R133&amp;R134&amp;R135&amp;R136&amp;R137&amp;R138&amp;R139&amp;R140&amp;R141&amp;R142&amp;R143&amp;R144&amp;#REF!&amp;R146&amp;R147&amp;R148&amp;R149&amp;R150&amp;R152&amp;R153&amp;R154&amp;R155&amp;R151&amp;R156&amp;R157&amp;R158&amp;R159&amp;R160&amp;R161&amp;R162&amp;R163&amp;R164&amp;R165&amp;R166&amp;R167&amp;R168&amp;R169&amp;R171&amp;R172&amp;R170&amp;R173&amp;R174&amp;R175&amp;R176&amp;R178&amp;R179&amp;R180&amp;R181&amp;#REF!&amp;R182&amp;R183&amp;R184&amp;R185&amp;R186&amp;R187&amp;R189&amp;R190&amp;R191&amp;R192&amp;R193&amp;R194&amp;R195&amp;R196&amp;R197&amp;R198&amp;R200&amp;R201&amp;R202&amp;R203&amp;R204&amp;R205&amp;R206&amp;R207&amp;R208&amp;R210&amp;R211&amp;R212&amp;R213&amp;R217&amp;R214&amp;R215&amp;R218&amp;R219&amp;R220&amp;R222&amp;R223&amp;R224&amp;#REF!&amp;R226&amp;R227&amp;#REF!&amp;R229&amp;R232&amp;R233&amp;R234&amp;R235&amp;R236&amp;R237&amp;R238&amp;R239&amp;R240&amp;R241&amp;R242&amp;R243&amp;R244&amp;R245&amp;R246&amp;R248&amp;R249&amp;R250&amp;R251&amp;R254&amp;R255&amp;R256&amp;R257&amp;#REF!&amp;R258&amp;R259&amp;R260&amp;R261&amp;R262&amp;R263&amp;R264&amp;R265&amp;R266&amp;R267&amp;R268&amp;R269&amp;R270&amp;R271&amp;R272&amp;R273&amp;R274&amp;R275&amp;R276&amp;R277&amp;R280&amp;R281&amp;R282&amp;R283&amp;R284&amp;R285&amp;R286&amp;R287&amp;R288&amp;R289&amp;R290&amp;R291&amp;R292&amp;R293&amp;R294&amp;R295&amp;R296&amp;R297&amp;R298&amp;R299&amp;R300&amp;R301&amp;R302&amp;R303&amp;R304&amp;R305&amp;R306&amp;R307&amp;R308&amp;R309&amp;R310&amp;R311&amp;R312&amp;R313&amp;R314&amp;R315&amp;R316&amp;R317&amp;R320&amp;R321&amp;R322&amp;R323&amp;R324&amp;R325&amp;R326&amp;R327&amp;R328&amp;R329&amp;R330&amp;R331&amp;R334&amp;R336&amp;R337&amp;R338&amp;R339&amp;R340&amp;R341&amp;R342&amp;R343&amp;R344&amp;R346&amp;R347&amp;R349&amp;R350&amp;R351&amp;R352&amp;R353&amp;R354&amp;R355&amp;R356&amp;R358&amp;R359&amp;R362&amp;R363&amp;R365&amp;R366&amp;R369&amp;#REF!&amp;R318&amp;R372&amp;R370&amp;R373&amp;R374&amp;R375&amp;R376&amp;R378&amp;R379&amp;R380&amp;R381&amp;R382&amp;R383&amp;R384&amp;R385&amp;R387&amp;R388&amp;R389&amp;R390&amp;R391&amp;R392&amp;R395&amp;R396&amp;R397&amp;R399&amp;R400&amp;#REF!&amp;R401&amp;R402&amp;R413&amp;R404&amp;R405&amp;R406&amp;R407&amp;R408&amp;R409&amp;R410&amp;R411&amp;R414&amp;R403&amp;R415&amp;R416&amp;R417&amp;R418&amp;R419&amp;R420&amp;R421&amp;R423&amp;R426&amp;R427&amp;R428&amp;R430)</f>
        <v>#REF!</v>
      </c>
      <c r="B434" s="1571"/>
      <c r="C434" s="1571"/>
      <c r="D434" s="1571"/>
      <c r="E434" s="1571"/>
      <c r="F434" s="1571"/>
      <c r="G434" s="1571"/>
      <c r="H434" s="1571"/>
      <c r="I434" s="1571"/>
      <c r="J434" s="1571"/>
      <c r="K434" s="1571"/>
      <c r="L434" s="1571"/>
      <c r="M434" s="1571"/>
      <c r="N434" s="1571"/>
      <c r="O434" s="1571"/>
      <c r="P434" s="1571"/>
      <c r="Q434" s="1571"/>
      <c r="R434" s="140" t="s">
        <v>1246</v>
      </c>
      <c r="S434" s="114">
        <f>COUNTIF(T2:T430,"BST")</f>
        <v>0</v>
      </c>
      <c r="T434" s="115" t="s">
        <v>880</v>
      </c>
      <c r="U434" s="115" t="s">
        <v>1258</v>
      </c>
    </row>
    <row r="435" spans="1:31" ht="15.8" customHeight="1">
      <c r="A435" s="1571"/>
      <c r="B435" s="1571"/>
      <c r="C435" s="1571"/>
      <c r="D435" s="1571"/>
      <c r="E435" s="1571"/>
      <c r="F435" s="1571"/>
      <c r="G435" s="1571"/>
      <c r="H435" s="1571"/>
      <c r="I435" s="1571"/>
      <c r="J435" s="1571"/>
      <c r="K435" s="1571"/>
      <c r="L435" s="1571"/>
      <c r="M435" s="1571"/>
      <c r="N435" s="1571"/>
      <c r="O435" s="1571"/>
      <c r="P435" s="1571"/>
      <c r="Q435" s="1571"/>
      <c r="R435" s="142" t="s">
        <v>1247</v>
      </c>
      <c r="S435" s="114">
        <f>COUNTIF(T2:T430,"C")</f>
        <v>0</v>
      </c>
      <c r="T435" s="114" t="s">
        <v>599</v>
      </c>
      <c r="U435" s="114" t="s">
        <v>1242</v>
      </c>
    </row>
    <row r="436" spans="1:31" ht="15.8" customHeight="1">
      <c r="A436" s="1571"/>
      <c r="B436" s="1571"/>
      <c r="C436" s="1571"/>
      <c r="D436" s="1571"/>
      <c r="E436" s="1571"/>
      <c r="F436" s="1571"/>
      <c r="G436" s="1571"/>
      <c r="H436" s="1571"/>
      <c r="I436" s="1571"/>
      <c r="J436" s="1571"/>
      <c r="K436" s="1571"/>
      <c r="L436" s="1571"/>
      <c r="M436" s="1571"/>
      <c r="N436" s="1571"/>
      <c r="O436" s="1571"/>
      <c r="P436" s="1571"/>
      <c r="Q436" s="1571"/>
      <c r="R436" s="142" t="s">
        <v>1248</v>
      </c>
      <c r="S436" s="114">
        <f>COUNTIF(T2:T430,"CP")</f>
        <v>0</v>
      </c>
      <c r="T436" s="116" t="s">
        <v>595</v>
      </c>
      <c r="U436" s="116" t="s">
        <v>922</v>
      </c>
    </row>
    <row r="437" spans="1:31" ht="15.8" customHeight="1">
      <c r="A437" s="1571"/>
      <c r="B437" s="1571"/>
      <c r="C437" s="1571"/>
      <c r="D437" s="1571"/>
      <c r="E437" s="1571"/>
      <c r="F437" s="1571"/>
      <c r="G437" s="1571"/>
      <c r="H437" s="1571"/>
      <c r="I437" s="1571"/>
      <c r="J437" s="1571"/>
      <c r="K437" s="1571"/>
      <c r="L437" s="1571"/>
      <c r="M437" s="1571"/>
      <c r="N437" s="1571"/>
      <c r="O437" s="1571"/>
      <c r="P437" s="1571"/>
      <c r="Q437" s="1571"/>
      <c r="R437" s="142" t="s">
        <v>1226</v>
      </c>
      <c r="S437" s="114">
        <f>COUNTIF(T2:T430,"E")</f>
        <v>0</v>
      </c>
      <c r="T437" s="114" t="s">
        <v>604</v>
      </c>
      <c r="U437" s="114" t="s">
        <v>1240</v>
      </c>
    </row>
    <row r="438" spans="1:31" ht="15.8" customHeight="1">
      <c r="A438" s="1571"/>
      <c r="B438" s="1571"/>
      <c r="C438" s="1571"/>
      <c r="D438" s="1571"/>
      <c r="E438" s="1571"/>
      <c r="F438" s="1571"/>
      <c r="G438" s="1571"/>
      <c r="H438" s="1571"/>
      <c r="I438" s="1571"/>
      <c r="J438" s="1571"/>
      <c r="K438" s="1571"/>
      <c r="L438" s="1571"/>
      <c r="M438" s="1571"/>
      <c r="N438" s="1571"/>
      <c r="O438" s="1571"/>
      <c r="P438" s="1571"/>
      <c r="Q438" s="1571"/>
      <c r="R438" s="142" t="s">
        <v>1227</v>
      </c>
      <c r="S438" s="114">
        <f>COUNTIF(T2:T430,"E6")</f>
        <v>0</v>
      </c>
      <c r="T438" s="115" t="s">
        <v>856</v>
      </c>
      <c r="U438" s="115" t="s">
        <v>892</v>
      </c>
    </row>
    <row r="439" spans="1:31" ht="15.8" customHeight="1">
      <c r="A439" s="1571"/>
      <c r="B439" s="1571"/>
      <c r="C439" s="1571"/>
      <c r="D439" s="1571"/>
      <c r="E439" s="1571"/>
      <c r="F439" s="1571"/>
      <c r="G439" s="1571"/>
      <c r="H439" s="1571"/>
      <c r="I439" s="1571"/>
      <c r="J439" s="1571"/>
      <c r="K439" s="1571"/>
      <c r="L439" s="1571"/>
      <c r="M439" s="1571"/>
      <c r="N439" s="1571"/>
      <c r="O439" s="1571"/>
      <c r="P439" s="1571"/>
      <c r="Q439" s="1571"/>
      <c r="R439" s="142" t="s">
        <v>1228</v>
      </c>
      <c r="S439" s="114">
        <f>COUNTIF(T2:T430,"E9")</f>
        <v>0</v>
      </c>
      <c r="T439" s="115" t="s">
        <v>894</v>
      </c>
      <c r="U439" s="115" t="s">
        <v>895</v>
      </c>
    </row>
    <row r="440" spans="1:31" ht="15.8" customHeight="1">
      <c r="A440" s="1571"/>
      <c r="B440" s="1571"/>
      <c r="C440" s="1571"/>
      <c r="D440" s="1571"/>
      <c r="E440" s="1571"/>
      <c r="F440" s="1571"/>
      <c r="G440" s="1571"/>
      <c r="H440" s="1571"/>
      <c r="I440" s="1571"/>
      <c r="J440" s="1571"/>
      <c r="K440" s="1571"/>
      <c r="L440" s="1571"/>
      <c r="M440" s="1571"/>
      <c r="N440" s="1571"/>
      <c r="O440" s="1571"/>
      <c r="P440" s="1571"/>
      <c r="Q440" s="1571"/>
      <c r="R440" s="142" t="s">
        <v>1229</v>
      </c>
      <c r="S440" s="114">
        <f>COUNTIF(T2:T430,"EP")</f>
        <v>0</v>
      </c>
      <c r="T440" s="115" t="s">
        <v>575</v>
      </c>
      <c r="U440" s="115" t="s">
        <v>897</v>
      </c>
    </row>
    <row r="441" spans="1:31" ht="15.8" customHeight="1">
      <c r="A441" s="1571"/>
      <c r="B441" s="1571"/>
      <c r="C441" s="1571"/>
      <c r="D441" s="1571"/>
      <c r="E441" s="1571"/>
      <c r="F441" s="1571"/>
      <c r="G441" s="1571"/>
      <c r="H441" s="1571"/>
      <c r="I441" s="1571"/>
      <c r="J441" s="1571"/>
      <c r="K441" s="1571"/>
      <c r="L441" s="1571"/>
      <c r="M441" s="1571"/>
      <c r="N441" s="1571"/>
      <c r="O441" s="1571"/>
      <c r="P441" s="1571"/>
      <c r="Q441" s="1571"/>
      <c r="R441" s="142" t="s">
        <v>1230</v>
      </c>
      <c r="S441" s="114">
        <f>COUNTIF(T2:T430,"G")</f>
        <v>0</v>
      </c>
      <c r="T441" s="115" t="s">
        <v>551</v>
      </c>
      <c r="U441" s="115" t="s">
        <v>1244</v>
      </c>
      <c r="Z441" s="104" t="s">
        <v>880</v>
      </c>
      <c r="AA441" s="104"/>
      <c r="AB441" s="104" t="s">
        <v>884</v>
      </c>
      <c r="AC441" s="104" t="s">
        <v>788</v>
      </c>
      <c r="AD441" s="104"/>
      <c r="AE441" s="104" t="s">
        <v>885</v>
      </c>
    </row>
    <row r="442" spans="1:31" ht="15.8" customHeight="1">
      <c r="A442" s="1571"/>
      <c r="B442" s="1571"/>
      <c r="C442" s="1571"/>
      <c r="D442" s="1571"/>
      <c r="E442" s="1571"/>
      <c r="F442" s="1571"/>
      <c r="G442" s="1571"/>
      <c r="H442" s="1571"/>
      <c r="I442" s="1571"/>
      <c r="J442" s="1571"/>
      <c r="K442" s="1571"/>
      <c r="L442" s="1571"/>
      <c r="M442" s="1571"/>
      <c r="N442" s="1571"/>
      <c r="O442" s="1571"/>
      <c r="P442" s="1571"/>
      <c r="Q442" s="1571"/>
      <c r="R442" s="139" t="s">
        <v>1231</v>
      </c>
      <c r="S442" s="114">
        <f>COUNTIF(T2:T430,"G+E")</f>
        <v>0</v>
      </c>
      <c r="T442" s="115" t="s">
        <v>901</v>
      </c>
      <c r="U442" s="115" t="s">
        <v>902</v>
      </c>
      <c r="Z442" s="104" t="s">
        <v>599</v>
      </c>
      <c r="AA442" s="104"/>
      <c r="AB442" s="104" t="s">
        <v>886</v>
      </c>
      <c r="AC442" s="104" t="s">
        <v>722</v>
      </c>
      <c r="AD442" s="104"/>
      <c r="AE442" s="104" t="s">
        <v>887</v>
      </c>
    </row>
    <row r="443" spans="1:31" ht="15.8" customHeight="1">
      <c r="A443" s="1571"/>
      <c r="B443" s="1571"/>
      <c r="C443" s="1571"/>
      <c r="D443" s="1571"/>
      <c r="E443" s="1571"/>
      <c r="F443" s="1571"/>
      <c r="G443" s="1571"/>
      <c r="H443" s="1571"/>
      <c r="I443" s="1571"/>
      <c r="J443" s="1571"/>
      <c r="K443" s="1571"/>
      <c r="L443" s="1571"/>
      <c r="M443" s="1571"/>
      <c r="N443" s="1571"/>
      <c r="O443" s="1571"/>
      <c r="P443" s="1571"/>
      <c r="Q443" s="1571"/>
      <c r="R443" s="139" t="s">
        <v>1232</v>
      </c>
      <c r="S443" s="114">
        <f>COUNTIF(T2:T430,"NaE")</f>
        <v>0</v>
      </c>
      <c r="T443" s="115" t="s">
        <v>683</v>
      </c>
      <c r="U443" s="115" t="s">
        <v>1243</v>
      </c>
      <c r="Z443" s="104" t="s">
        <v>595</v>
      </c>
      <c r="AA443" s="104"/>
      <c r="AB443" s="104" t="s">
        <v>888</v>
      </c>
      <c r="AC443" s="104" t="s">
        <v>608</v>
      </c>
      <c r="AD443" s="104"/>
      <c r="AE443" s="104" t="s">
        <v>889</v>
      </c>
    </row>
    <row r="444" spans="1:31" ht="15.8" customHeight="1">
      <c r="A444" s="1571"/>
      <c r="B444" s="1571"/>
      <c r="C444" s="1571"/>
      <c r="D444" s="1571"/>
      <c r="E444" s="1571"/>
      <c r="F444" s="1571"/>
      <c r="G444" s="1571"/>
      <c r="H444" s="1571"/>
      <c r="I444" s="1571"/>
      <c r="J444" s="1571"/>
      <c r="K444" s="1571"/>
      <c r="L444" s="1571"/>
      <c r="M444" s="1571"/>
      <c r="N444" s="1571"/>
      <c r="O444" s="1571"/>
      <c r="P444" s="1571"/>
      <c r="Q444" s="1571"/>
      <c r="R444" s="142" t="s">
        <v>1233</v>
      </c>
      <c r="S444" s="114">
        <f>COUNTIF(T2:T430,"GM")</f>
        <v>0</v>
      </c>
      <c r="T444" s="115" t="s">
        <v>554</v>
      </c>
      <c r="U444" s="115" t="s">
        <v>906</v>
      </c>
      <c r="Z444" s="104" t="s">
        <v>604</v>
      </c>
      <c r="AA444" s="104"/>
      <c r="AB444" s="104" t="s">
        <v>890</v>
      </c>
      <c r="AC444" s="104" t="s">
        <v>736</v>
      </c>
      <c r="AD444" s="104"/>
      <c r="AE444" s="104" t="s">
        <v>891</v>
      </c>
    </row>
    <row r="445" spans="1:31" ht="15.8" customHeight="1">
      <c r="A445" s="1571"/>
      <c r="B445" s="1571"/>
      <c r="C445" s="1571"/>
      <c r="D445" s="1571"/>
      <c r="E445" s="1571"/>
      <c r="F445" s="1571"/>
      <c r="G445" s="1571"/>
      <c r="H445" s="1571"/>
      <c r="I445" s="1571"/>
      <c r="J445" s="1571"/>
      <c r="K445" s="1571"/>
      <c r="L445" s="1571"/>
      <c r="M445" s="1571"/>
      <c r="N445" s="1571"/>
      <c r="O445" s="1571"/>
      <c r="P445" s="1571"/>
      <c r="Q445" s="1571"/>
      <c r="R445" s="139" t="s">
        <v>1234</v>
      </c>
      <c r="S445" s="114">
        <f>COUNTIF(T2:T430,"H")</f>
        <v>0</v>
      </c>
      <c r="T445" s="115" t="s">
        <v>627</v>
      </c>
      <c r="U445" s="115" t="s">
        <v>908</v>
      </c>
      <c r="Z445" s="104" t="s">
        <v>856</v>
      </c>
      <c r="AA445" s="104"/>
      <c r="AB445" s="104" t="s">
        <v>892</v>
      </c>
      <c r="AC445" s="104" t="s">
        <v>642</v>
      </c>
      <c r="AD445" s="104"/>
      <c r="AE445" s="104" t="s">
        <v>893</v>
      </c>
    </row>
    <row r="446" spans="1:31" ht="15.8" customHeight="1">
      <c r="A446" s="1571"/>
      <c r="B446" s="1571"/>
      <c r="C446" s="1571"/>
      <c r="D446" s="1571"/>
      <c r="E446" s="1571"/>
      <c r="F446" s="1571"/>
      <c r="G446" s="1571"/>
      <c r="H446" s="1571"/>
      <c r="I446" s="1571"/>
      <c r="J446" s="1571"/>
      <c r="K446" s="1571"/>
      <c r="L446" s="1571"/>
      <c r="M446" s="1571"/>
      <c r="N446" s="1571"/>
      <c r="O446" s="1571"/>
      <c r="P446" s="1571"/>
      <c r="Q446" s="1571"/>
      <c r="R446" s="139" t="s">
        <v>1235</v>
      </c>
      <c r="S446" s="114">
        <f>COUNTIF(T2:T430,"KK")</f>
        <v>0</v>
      </c>
      <c r="T446" s="115" t="s">
        <v>738</v>
      </c>
      <c r="U446" s="115" t="s">
        <v>911</v>
      </c>
      <c r="Z446" s="104" t="s">
        <v>894</v>
      </c>
      <c r="AA446" s="104"/>
      <c r="AB446" s="104" t="s">
        <v>895</v>
      </c>
      <c r="AC446" s="104" t="s">
        <v>690</v>
      </c>
      <c r="AD446" s="104"/>
      <c r="AE446" s="104" t="s">
        <v>896</v>
      </c>
    </row>
    <row r="447" spans="1:31" ht="15.8" customHeight="1">
      <c r="A447" s="1571"/>
      <c r="B447" s="1571"/>
      <c r="C447" s="1571"/>
      <c r="D447" s="1571"/>
      <c r="E447" s="1571"/>
      <c r="F447" s="1571"/>
      <c r="G447" s="1571"/>
      <c r="H447" s="1571"/>
      <c r="I447" s="1571"/>
      <c r="J447" s="1571"/>
      <c r="K447" s="1571"/>
      <c r="L447" s="1571"/>
      <c r="M447" s="1571"/>
      <c r="N447" s="1571"/>
      <c r="O447" s="1571"/>
      <c r="P447" s="1571"/>
      <c r="Q447" s="1571"/>
      <c r="R447" s="141" t="s">
        <v>1236</v>
      </c>
      <c r="S447" s="114">
        <f>COUNTIF(T2:T430,"SGY")</f>
        <v>0</v>
      </c>
      <c r="T447" s="115" t="s">
        <v>731</v>
      </c>
      <c r="U447" s="115" t="s">
        <v>914</v>
      </c>
      <c r="W447" s="104"/>
      <c r="X447" s="104"/>
      <c r="Z447" s="104" t="s">
        <v>575</v>
      </c>
      <c r="AA447" s="104"/>
      <c r="AB447" s="104" t="s">
        <v>897</v>
      </c>
      <c r="AC447" s="104" t="s">
        <v>528</v>
      </c>
      <c r="AD447" s="104"/>
      <c r="AE447" s="104" t="s">
        <v>898</v>
      </c>
    </row>
    <row r="448" spans="1:31" ht="15.8" customHeight="1">
      <c r="A448" s="56"/>
      <c r="B448" s="56"/>
      <c r="C448" s="56"/>
      <c r="D448" s="56"/>
      <c r="E448" s="56"/>
      <c r="F448" s="56"/>
      <c r="G448" s="56"/>
      <c r="H448" s="56"/>
      <c r="I448" s="56"/>
      <c r="J448" s="56"/>
      <c r="K448" s="56"/>
      <c r="L448" s="56"/>
      <c r="M448" s="56"/>
      <c r="N448" s="56"/>
      <c r="O448" s="56"/>
      <c r="P448" s="152"/>
      <c r="Q448" s="56"/>
      <c r="R448" s="139" t="s">
        <v>1237</v>
      </c>
      <c r="S448" s="114">
        <f>COUNTIF(T2:T430,"SP1")</f>
        <v>0</v>
      </c>
      <c r="T448" s="115" t="s">
        <v>788</v>
      </c>
      <c r="U448" s="115" t="s">
        <v>885</v>
      </c>
      <c r="W448" s="104"/>
      <c r="X448" s="104"/>
      <c r="Z448" s="104" t="s">
        <v>551</v>
      </c>
      <c r="AA448" s="104"/>
      <c r="AB448" s="104" t="s">
        <v>899</v>
      </c>
      <c r="AC448" s="104" t="s">
        <v>476</v>
      </c>
      <c r="AD448" s="104"/>
      <c r="AE448" s="104" t="s">
        <v>900</v>
      </c>
    </row>
    <row r="449" spans="1:31" ht="15.8" customHeight="1">
      <c r="A449" s="56"/>
      <c r="B449" s="56"/>
      <c r="C449" s="56"/>
      <c r="D449" s="56"/>
      <c r="E449" s="56"/>
      <c r="F449" s="56"/>
      <c r="G449" s="56"/>
      <c r="H449" s="56"/>
      <c r="I449" s="56"/>
      <c r="J449" s="56"/>
      <c r="K449" s="56"/>
      <c r="L449" s="56"/>
      <c r="M449" s="56"/>
      <c r="N449" s="56"/>
      <c r="O449" s="56"/>
      <c r="P449" s="152"/>
      <c r="Q449" s="56"/>
      <c r="R449" s="56"/>
      <c r="S449" s="114">
        <f>COUNTIF(T2:T430,"SP2")</f>
        <v>0</v>
      </c>
      <c r="T449" s="115" t="s">
        <v>722</v>
      </c>
      <c r="U449" s="115" t="s">
        <v>887</v>
      </c>
      <c r="W449" s="104"/>
      <c r="X449" s="104"/>
      <c r="Z449" s="104" t="s">
        <v>901</v>
      </c>
      <c r="AA449" s="104"/>
      <c r="AB449" s="104" t="s">
        <v>902</v>
      </c>
      <c r="AC449" s="104" t="s">
        <v>527</v>
      </c>
      <c r="AD449" s="104"/>
      <c r="AE449" s="104" t="s">
        <v>903</v>
      </c>
    </row>
    <row r="450" spans="1:31" ht="15.8" customHeight="1">
      <c r="A450" s="56"/>
      <c r="B450" s="56"/>
      <c r="C450" s="56"/>
      <c r="D450" s="56"/>
      <c r="E450" s="56"/>
      <c r="F450" s="56"/>
      <c r="G450" s="56"/>
      <c r="H450" s="56"/>
      <c r="I450" s="56"/>
      <c r="J450" s="56"/>
      <c r="K450" s="56"/>
      <c r="L450" s="56"/>
      <c r="M450" s="56"/>
      <c r="N450" s="56"/>
      <c r="O450" s="56"/>
      <c r="P450" s="152"/>
      <c r="Q450" s="56"/>
      <c r="R450" s="56"/>
      <c r="S450" s="114">
        <f>COUNTIF(T2:T430,"SP4")</f>
        <v>0</v>
      </c>
      <c r="T450" s="115" t="s">
        <v>608</v>
      </c>
      <c r="U450" s="115" t="s">
        <v>889</v>
      </c>
      <c r="W450" s="104"/>
      <c r="X450" s="104"/>
      <c r="Z450" s="104" t="s">
        <v>683</v>
      </c>
      <c r="AA450" s="104"/>
      <c r="AB450" s="104" t="s">
        <v>904</v>
      </c>
      <c r="AC450" s="104" t="s">
        <v>778</v>
      </c>
      <c r="AD450" s="104"/>
      <c r="AE450" s="104" t="s">
        <v>905</v>
      </c>
    </row>
    <row r="451" spans="1:31" ht="15.8" customHeight="1">
      <c r="A451" s="56"/>
      <c r="B451" s="56"/>
      <c r="C451" s="56"/>
      <c r="D451" s="56"/>
      <c r="E451" s="56"/>
      <c r="F451" s="56"/>
      <c r="G451" s="56"/>
      <c r="H451" s="56"/>
      <c r="I451" s="56"/>
      <c r="J451" s="56"/>
      <c r="K451" s="56"/>
      <c r="L451" s="56"/>
      <c r="M451" s="56"/>
      <c r="N451" s="56"/>
      <c r="O451" s="56"/>
      <c r="P451" s="152"/>
      <c r="Q451" s="56"/>
      <c r="R451" s="56"/>
      <c r="S451" s="114">
        <f>COUNTIF(T2:T430,"ST")</f>
        <v>0</v>
      </c>
      <c r="T451" s="115" t="s">
        <v>736</v>
      </c>
      <c r="U451" s="115" t="s">
        <v>891</v>
      </c>
      <c r="W451" s="104"/>
      <c r="X451" s="104"/>
      <c r="Z451" s="104" t="s">
        <v>554</v>
      </c>
      <c r="AA451" s="104"/>
      <c r="AB451" s="104" t="s">
        <v>906</v>
      </c>
      <c r="AC451" s="104" t="s">
        <v>634</v>
      </c>
      <c r="AD451" s="104"/>
      <c r="AE451" s="104" t="s">
        <v>907</v>
      </c>
    </row>
    <row r="452" spans="1:31" ht="15.8" customHeight="1">
      <c r="A452" s="56"/>
      <c r="B452" s="56"/>
      <c r="C452" s="56"/>
      <c r="D452" s="56"/>
      <c r="E452" s="56"/>
      <c r="F452" s="56"/>
      <c r="G452" s="56"/>
      <c r="H452" s="56"/>
      <c r="I452" s="56"/>
      <c r="J452" s="56"/>
      <c r="K452" s="56"/>
      <c r="L452" s="56"/>
      <c r="M452" s="56"/>
      <c r="N452" s="56"/>
      <c r="O452" s="56"/>
      <c r="P452" s="152"/>
      <c r="Q452" s="56"/>
      <c r="R452" s="56"/>
      <c r="S452" s="114">
        <f>COUNTIF(T2:T430,"SZM")</f>
        <v>0</v>
      </c>
      <c r="T452" s="115" t="s">
        <v>642</v>
      </c>
      <c r="U452" s="115" t="s">
        <v>1239</v>
      </c>
      <c r="W452" s="104"/>
      <c r="X452" s="104"/>
      <c r="Z452" s="104" t="s">
        <v>627</v>
      </c>
      <c r="AA452" s="104"/>
      <c r="AB452" s="104" t="s">
        <v>908</v>
      </c>
      <c r="AC452" s="104" t="s">
        <v>909</v>
      </c>
      <c r="AD452" s="104"/>
      <c r="AE452" s="104" t="s">
        <v>910</v>
      </c>
    </row>
    <row r="453" spans="1:31" ht="15.8" customHeight="1">
      <c r="A453" s="56"/>
      <c r="B453" s="56"/>
      <c r="C453" s="56"/>
      <c r="D453" s="56"/>
      <c r="E453" s="56"/>
      <c r="F453" s="56"/>
      <c r="G453" s="56"/>
      <c r="H453" s="56"/>
      <c r="I453" s="56"/>
      <c r="J453" s="56"/>
      <c r="K453" s="56"/>
      <c r="L453" s="56"/>
      <c r="M453" s="56"/>
      <c r="N453" s="56"/>
      <c r="O453" s="56"/>
      <c r="P453" s="152"/>
      <c r="Q453" s="56"/>
      <c r="R453" s="56"/>
      <c r="S453" s="114">
        <f>COUNTIF(T2:T430,"SZS")</f>
        <v>0</v>
      </c>
      <c r="T453" s="115" t="s">
        <v>690</v>
      </c>
      <c r="U453" s="115" t="s">
        <v>1238</v>
      </c>
      <c r="W453" s="104"/>
      <c r="X453" s="104"/>
      <c r="Z453" s="104" t="s">
        <v>738</v>
      </c>
      <c r="AA453" s="104"/>
      <c r="AB453" s="104" t="s">
        <v>911</v>
      </c>
      <c r="AC453" s="104" t="s">
        <v>912</v>
      </c>
      <c r="AD453" s="104"/>
      <c r="AE453" s="104" t="s">
        <v>913</v>
      </c>
    </row>
    <row r="454" spans="1:31" ht="15.8" customHeight="1">
      <c r="A454" s="56"/>
      <c r="B454" s="56"/>
      <c r="C454" s="56"/>
      <c r="D454" s="56"/>
      <c r="E454" s="56"/>
      <c r="F454" s="56"/>
      <c r="G454" s="56"/>
      <c r="H454" s="56"/>
      <c r="I454" s="56"/>
      <c r="J454" s="56"/>
      <c r="K454" s="56"/>
      <c r="L454" s="56"/>
      <c r="M454" s="56"/>
      <c r="N454" s="56"/>
      <c r="O454" s="56"/>
      <c r="P454" s="152"/>
      <c r="Q454" s="56"/>
      <c r="R454" s="56"/>
      <c r="S454" s="114">
        <f>COUNTIF(T2:T430,"SZT")</f>
        <v>0</v>
      </c>
      <c r="T454" s="115" t="s">
        <v>528</v>
      </c>
      <c r="U454" s="115" t="s">
        <v>898</v>
      </c>
      <c r="W454" s="104"/>
      <c r="X454" s="104"/>
      <c r="Z454" s="104" t="s">
        <v>731</v>
      </c>
      <c r="AA454" s="104"/>
      <c r="AB454" s="104" t="s">
        <v>914</v>
      </c>
      <c r="AC454" s="105"/>
      <c r="AD454" s="105"/>
      <c r="AE454" s="105"/>
    </row>
    <row r="455" spans="1:31" ht="15.8" customHeight="1">
      <c r="A455" s="56"/>
      <c r="B455" s="56"/>
      <c r="C455" s="56"/>
      <c r="D455" s="56"/>
      <c r="E455" s="56"/>
      <c r="F455" s="56"/>
      <c r="G455" s="56"/>
      <c r="H455" s="56"/>
      <c r="I455" s="56"/>
      <c r="J455" s="56"/>
      <c r="K455" s="56"/>
      <c r="L455" s="56"/>
      <c r="M455" s="56"/>
      <c r="N455" s="56"/>
      <c r="O455" s="56"/>
      <c r="P455" s="152"/>
      <c r="Q455" s="56"/>
      <c r="R455" s="56"/>
      <c r="S455" s="114">
        <f>COUNTIF(T2:T430,"V")</f>
        <v>1</v>
      </c>
      <c r="T455" s="115" t="s">
        <v>476</v>
      </c>
      <c r="U455" s="115" t="s">
        <v>1241</v>
      </c>
      <c r="W455" s="104"/>
      <c r="X455" s="104"/>
    </row>
    <row r="456" spans="1:31" ht="15.8" customHeight="1">
      <c r="A456" s="28"/>
      <c r="B456" s="28"/>
      <c r="C456" s="28"/>
      <c r="D456" s="28"/>
      <c r="E456" s="28"/>
      <c r="F456" s="28"/>
      <c r="G456" s="28"/>
      <c r="H456" s="28"/>
      <c r="I456" s="28"/>
      <c r="K456" s="67"/>
      <c r="L456" s="67"/>
      <c r="M456" s="67"/>
      <c r="N456" s="67"/>
      <c r="O456" s="67"/>
      <c r="P456" s="18"/>
      <c r="S456" s="114">
        <f>COUNTIF(T2:T430,"VK")</f>
        <v>0</v>
      </c>
      <c r="T456" s="115" t="s">
        <v>527</v>
      </c>
      <c r="U456" s="115" t="s">
        <v>903</v>
      </c>
      <c r="W456" s="104"/>
      <c r="X456" s="104"/>
    </row>
    <row r="457" spans="1:31" ht="15.8" customHeight="1">
      <c r="K457" s="67"/>
      <c r="L457" s="67"/>
      <c r="M457" s="67"/>
      <c r="N457" s="67"/>
      <c r="O457" s="67"/>
      <c r="P457" s="18"/>
      <c r="S457" s="114">
        <f>COUNTIF(T2:T430,"PS")</f>
        <v>0</v>
      </c>
      <c r="T457" s="115" t="s">
        <v>778</v>
      </c>
      <c r="U457" s="115" t="s">
        <v>905</v>
      </c>
      <c r="W457" s="104"/>
      <c r="X457" s="104"/>
    </row>
    <row r="458" spans="1:31" ht="15.8" customHeight="1">
      <c r="J458" s="40" t="s">
        <v>451</v>
      </c>
      <c r="K458" s="68">
        <f>SUMIF(P2:P430,"x",K2:K430)</f>
        <v>0</v>
      </c>
      <c r="L458" s="68">
        <f>SUMIF(Q2:Q430,"x",L2:L430)</f>
        <v>300</v>
      </c>
      <c r="M458" s="258"/>
      <c r="N458" s="258"/>
      <c r="O458" s="258"/>
      <c r="P458" s="18"/>
      <c r="S458" s="114">
        <f>COUNTIF(T2:T430,"V*")</f>
        <v>1</v>
      </c>
      <c r="T458" s="115" t="s">
        <v>634</v>
      </c>
      <c r="U458" s="115" t="s">
        <v>907</v>
      </c>
      <c r="W458" s="104"/>
      <c r="X458" s="104"/>
    </row>
    <row r="459" spans="1:31" ht="15.8" customHeight="1">
      <c r="K459" s="67"/>
      <c r="L459" s="67"/>
      <c r="M459" s="67"/>
      <c r="N459" s="67"/>
      <c r="O459" s="67"/>
      <c r="P459" s="18"/>
      <c r="S459" s="114">
        <f>COUNTIF(T2:T430,"V**")</f>
        <v>1</v>
      </c>
      <c r="T459" s="115" t="s">
        <v>909</v>
      </c>
      <c r="U459" s="115" t="s">
        <v>910</v>
      </c>
      <c r="W459" s="104"/>
      <c r="X459" s="104"/>
    </row>
    <row r="460" spans="1:31" ht="15.8" customHeight="1">
      <c r="A460" s="28" t="s">
        <v>492</v>
      </c>
      <c r="B460" s="28"/>
      <c r="C460" s="28"/>
      <c r="D460" s="28"/>
      <c r="E460" s="28"/>
      <c r="F460" s="28"/>
      <c r="G460" s="28"/>
      <c r="H460" s="28"/>
      <c r="I460" s="28"/>
      <c r="K460" s="67"/>
      <c r="L460" s="67"/>
      <c r="M460" s="67"/>
      <c r="N460" s="67"/>
      <c r="O460" s="67"/>
      <c r="P460" s="18"/>
      <c r="S460" s="114">
        <f>COUNTIF(T2:T430,"2LH+G")</f>
        <v>0</v>
      </c>
      <c r="T460" s="115" t="s">
        <v>912</v>
      </c>
      <c r="U460" s="115" t="s">
        <v>913</v>
      </c>
    </row>
    <row r="461" spans="1:31" ht="15.8" customHeight="1">
      <c r="P461" s="151"/>
      <c r="Q461" s="5"/>
      <c r="S461" s="7"/>
      <c r="W461" s="104"/>
      <c r="X461" s="104"/>
    </row>
    <row r="462" spans="1:31" ht="15.8" customHeight="1">
      <c r="P462" s="151"/>
      <c r="Q462" s="5"/>
      <c r="S462" s="7"/>
      <c r="W462" s="104"/>
      <c r="X462" s="104"/>
    </row>
    <row r="463" spans="1:31" ht="15.8" customHeight="1">
      <c r="A463" s="5">
        <f>COUNTIF(S434,"&lt;&gt;0")</f>
        <v>0</v>
      </c>
      <c r="J463" s="1572" t="s">
        <v>1257</v>
      </c>
      <c r="K463" s="1572"/>
      <c r="L463" s="1572"/>
      <c r="M463" s="1572"/>
      <c r="N463" s="1572"/>
      <c r="O463" s="1572"/>
      <c r="P463" s="1572"/>
      <c r="Q463" s="69"/>
      <c r="S463" s="114">
        <f>COUNTIF(T2:T430,"*8")</f>
        <v>0</v>
      </c>
      <c r="T463" s="62" t="s">
        <v>687</v>
      </c>
      <c r="U463" s="5" t="s">
        <v>1217</v>
      </c>
      <c r="W463" s="104"/>
      <c r="X463" s="104"/>
    </row>
    <row r="464" spans="1:31" ht="15.8" customHeight="1">
      <c r="A464" s="5">
        <f>COUNTIF(S435,"&lt;&gt;0")</f>
        <v>0</v>
      </c>
      <c r="J464" s="1572" t="s">
        <v>1255</v>
      </c>
      <c r="K464" s="1572"/>
      <c r="L464" s="1572"/>
      <c r="M464" s="1572"/>
      <c r="N464" s="1572"/>
      <c r="O464" s="1572"/>
      <c r="P464" s="1572"/>
      <c r="Q464" s="69"/>
      <c r="S464" s="114">
        <f>COUNTIF(T2:T430,"Kenet")</f>
        <v>0</v>
      </c>
      <c r="T464" s="62" t="s">
        <v>713</v>
      </c>
      <c r="U464" s="5" t="s">
        <v>1217</v>
      </c>
      <c r="W464" s="104"/>
      <c r="X464" s="104"/>
    </row>
    <row r="465" spans="1:56" ht="15.8" customHeight="1">
      <c r="A465" s="5">
        <f>COUNTIF(S436,"&lt;&gt;0")</f>
        <v>0</v>
      </c>
      <c r="J465" s="1572" t="s">
        <v>918</v>
      </c>
      <c r="K465" s="1572"/>
      <c r="L465" s="1572"/>
      <c r="M465" s="1572"/>
      <c r="N465" s="1572"/>
      <c r="O465" s="1572"/>
      <c r="P465" s="1572"/>
      <c r="Q465" s="80"/>
      <c r="S465" s="114">
        <f>COUNTIF(T2:T430,"SP4+kenet")</f>
        <v>0</v>
      </c>
      <c r="T465" s="62" t="s">
        <v>715</v>
      </c>
      <c r="U465" s="5" t="s">
        <v>1217</v>
      </c>
      <c r="W465" s="104"/>
      <c r="X465" s="104"/>
    </row>
    <row r="466" spans="1:56" s="7" customFormat="1" ht="15.8" customHeight="1">
      <c r="A466" s="5">
        <f t="shared" ref="A466:A489" si="55">COUNTIF(S437,"&lt;&gt;0")</f>
        <v>0</v>
      </c>
      <c r="B466" s="5"/>
      <c r="C466" s="5"/>
      <c r="D466" s="5"/>
      <c r="E466" s="5"/>
      <c r="F466" s="5"/>
      <c r="G466" s="5"/>
      <c r="H466" s="5"/>
      <c r="I466" s="5"/>
      <c r="J466" s="1572" t="s">
        <v>1253</v>
      </c>
      <c r="K466" s="1572"/>
      <c r="L466" s="1572"/>
      <c r="M466" s="1572"/>
      <c r="N466" s="1572"/>
      <c r="O466" s="1572"/>
      <c r="P466" s="1572"/>
      <c r="Q466" s="80"/>
      <c r="R466" s="5"/>
      <c r="S466" s="114">
        <f>COUNTIF(T2:T430,"E/SZT")</f>
        <v>0</v>
      </c>
      <c r="T466" s="62" t="s">
        <v>740</v>
      </c>
      <c r="U466" s="7" t="s">
        <v>1217</v>
      </c>
      <c r="V466" s="5"/>
      <c r="W466" s="104"/>
      <c r="X466" s="104"/>
      <c r="Y466" s="323"/>
    </row>
    <row r="467" spans="1:56" s="7" customFormat="1" ht="15.8" customHeight="1">
      <c r="A467" s="5">
        <f t="shared" si="55"/>
        <v>0</v>
      </c>
      <c r="B467" s="5"/>
      <c r="C467" s="5"/>
      <c r="D467" s="5"/>
      <c r="E467" s="5"/>
      <c r="F467" s="5"/>
      <c r="G467" s="5"/>
      <c r="H467" s="5"/>
      <c r="I467" s="5"/>
      <c r="J467" s="1572" t="s">
        <v>916</v>
      </c>
      <c r="K467" s="1572"/>
      <c r="L467" s="1572"/>
      <c r="M467" s="1572"/>
      <c r="N467" s="1572"/>
      <c r="O467" s="1572"/>
      <c r="P467" s="1572"/>
      <c r="Q467" s="80"/>
      <c r="R467" s="5"/>
      <c r="S467" s="114">
        <f>COUNTIF(T2:T430,"*3")</f>
        <v>0</v>
      </c>
      <c r="T467" s="62" t="s">
        <v>750</v>
      </c>
      <c r="U467" s="7" t="s">
        <v>1217</v>
      </c>
      <c r="V467" s="5"/>
      <c r="W467" s="5"/>
      <c r="X467" s="5"/>
      <c r="Y467" s="323"/>
    </row>
    <row r="468" spans="1:56" s="7" customFormat="1" ht="15.8" customHeight="1">
      <c r="A468" s="5">
        <f t="shared" si="55"/>
        <v>0</v>
      </c>
      <c r="B468" s="5"/>
      <c r="C468" s="5"/>
      <c r="D468" s="5"/>
      <c r="E468" s="5"/>
      <c r="F468" s="5"/>
      <c r="G468" s="5"/>
      <c r="H468" s="5"/>
      <c r="I468" s="5"/>
      <c r="J468" s="1572" t="s">
        <v>919</v>
      </c>
      <c r="K468" s="1572"/>
      <c r="L468" s="1572"/>
      <c r="M468" s="1572"/>
      <c r="N468" s="1572"/>
      <c r="O468" s="1572"/>
      <c r="P468" s="1572"/>
      <c r="Q468" s="80"/>
      <c r="R468" s="5"/>
      <c r="S468" s="114">
        <f>COUNTIF(T2:T430,"2E")</f>
        <v>0</v>
      </c>
      <c r="T468" s="62" t="s">
        <v>848</v>
      </c>
      <c r="U468" s="7" t="s">
        <v>1217</v>
      </c>
      <c r="V468" s="5"/>
      <c r="W468" s="104"/>
      <c r="X468" s="104"/>
      <c r="Y468" s="323"/>
    </row>
    <row r="469" spans="1:56" s="7" customFormat="1" ht="15.8" customHeight="1">
      <c r="A469" s="5">
        <f t="shared" si="55"/>
        <v>0</v>
      </c>
      <c r="B469" s="5"/>
      <c r="C469" s="5"/>
      <c r="D469" s="5"/>
      <c r="E469" s="5"/>
      <c r="F469" s="5"/>
      <c r="G469" s="5"/>
      <c r="H469" s="5"/>
      <c r="I469" s="5"/>
      <c r="J469" s="1572" t="s">
        <v>920</v>
      </c>
      <c r="K469" s="1572"/>
      <c r="L469" s="1572"/>
      <c r="M469" s="1572"/>
      <c r="N469" s="1572"/>
      <c r="O469" s="1572"/>
      <c r="P469" s="1572"/>
      <c r="Q469" s="80"/>
      <c r="R469" s="5"/>
      <c r="S469" s="5"/>
      <c r="V469" s="5"/>
      <c r="W469" s="104"/>
      <c r="X469" s="104"/>
      <c r="Y469" s="323"/>
    </row>
    <row r="470" spans="1:56" s="7" customFormat="1" ht="15.8" customHeight="1">
      <c r="A470" s="5">
        <f t="shared" si="55"/>
        <v>0</v>
      </c>
      <c r="B470" s="5"/>
      <c r="C470" s="5"/>
      <c r="D470" s="5"/>
      <c r="E470" s="5"/>
      <c r="F470" s="5"/>
      <c r="G470" s="5"/>
      <c r="H470" s="5"/>
      <c r="I470" s="5"/>
      <c r="J470" s="1572" t="s">
        <v>1245</v>
      </c>
      <c r="K470" s="1572"/>
      <c r="L470" s="1572"/>
      <c r="M470" s="1572"/>
      <c r="N470" s="1572"/>
      <c r="O470" s="1572"/>
      <c r="P470" s="1572"/>
      <c r="Q470" s="80"/>
      <c r="R470" s="5"/>
      <c r="S470" s="5"/>
      <c r="T470" s="62"/>
      <c r="Y470" s="323"/>
    </row>
    <row r="471" spans="1:56" s="7" customFormat="1" ht="15.8" customHeight="1">
      <c r="A471" s="5">
        <f t="shared" si="55"/>
        <v>0</v>
      </c>
      <c r="B471" s="5"/>
      <c r="C471" s="5"/>
      <c r="D471" s="5"/>
      <c r="E471" s="5"/>
      <c r="F471" s="5"/>
      <c r="G471" s="5"/>
      <c r="H471" s="5"/>
      <c r="I471" s="5"/>
      <c r="J471" s="1572" t="s">
        <v>923</v>
      </c>
      <c r="K471" s="1572"/>
      <c r="L471" s="1572"/>
      <c r="M471" s="1572"/>
      <c r="N471" s="1572"/>
      <c r="O471" s="1572"/>
      <c r="P471" s="1572"/>
      <c r="Q471" s="80"/>
      <c r="R471" s="5"/>
      <c r="S471" s="28" t="s">
        <v>1209</v>
      </c>
      <c r="U471" s="1582"/>
      <c r="V471" s="1582"/>
      <c r="Y471" s="323"/>
    </row>
    <row r="472" spans="1:56" s="7" customFormat="1" ht="15.8" customHeight="1">
      <c r="A472" s="5">
        <f t="shared" si="55"/>
        <v>0</v>
      </c>
      <c r="B472" s="5"/>
      <c r="C472" s="5"/>
      <c r="D472" s="5"/>
      <c r="E472" s="5"/>
      <c r="F472" s="5"/>
      <c r="G472" s="5"/>
      <c r="H472" s="5"/>
      <c r="I472" s="5"/>
      <c r="J472" s="1572" t="s">
        <v>1256</v>
      </c>
      <c r="K472" s="1572"/>
      <c r="L472" s="1572"/>
      <c r="M472" s="1572"/>
      <c r="N472" s="1572"/>
      <c r="O472" s="1572"/>
      <c r="P472" s="1572"/>
      <c r="Q472" s="80"/>
      <c r="R472" s="5"/>
      <c r="S472" s="1571" t="str">
        <f>IF( Medicover!A463&lt;&gt;0,CONCATENATE( Medicover!A463," ",CONCATENATE( Medicover!J463,""),CONCATENATE("; ")),"")&amp;IF( Medicover!A464&lt;&gt;0,CONCATENATE( Medicover!A464," ",CONCATENATE( Medicover!J464,""),CONCATENATE("; ")),"")&amp;IF( Medicover!A465&lt;&gt;0,CONCATENATE( Medicover!A465," ",CONCATENATE( Medicover!J465,""),CONCATENATE("; ")),"")&amp;IF( Medicover!A466&lt;&gt;0,CONCATENATE( Medicover!A466," ",CONCATENATE( Medicover!J466,""),CONCATENATE("; ")),"")&amp;IF( Medicover!A467&lt;&gt;0,CONCATENATE( Medicover!A467," ",CONCATENATE( Medicover!J467,""),CONCATENATE("; ")),"")&amp;IF(Medicover!A468&lt;&gt;0,CONCATENATE(Medicover!A468," ",CONCATENATE(Medicover!J468,""),CONCATENATE("; ")),"")&amp;IF(Medicover!A469&lt;&gt;0,CONCATENATE( Medicover!A469," ",CONCATENATE(Medicover!J469,""),CONCATENATE("; ")),"")&amp;IF(Medicover!A470&lt;&gt;0,CONCATENATE(Medicover!A470," ",CONCATENATE(Medicover!J470,""),CONCATENATE("; ")),"")&amp;IF(Medicover!A471&lt;&gt;0,CONCATENATE(Medicover!A471," ",CONCATENATE(Medicover!J471,""),CONCATENATE("; ")),"")&amp;IF(Medicover!A472&lt;&gt;0,CONCATENATE(Medicover!A472," ",CONCATENATE(Medicover!J472,""),CONCATENATE("; ")),"")&amp;IF(Medicover!A473&lt;&gt;0,CONCATENATE(Medicover!A473," ",CONCATENATE(Medicover!J473,""),CONCATENATE("; ")),"")&amp;IF(Medicover!A474&lt;&gt;0,CONCATENATE(Medicover!A474," ",CONCATENATE(Medicover!J474,""),CONCATENATE("; ")),"")&amp;IF(Medicover!A475&lt;&gt;0,CONCATENATE(Medicover!A475," ",CONCATENATE(Medicover!J475,""),CONCATENATE("; ")),"")&amp;IF(Medicover!A476&lt;&gt;0,CONCATENATE(Medicover!A476," ",CONCATENATE(Medicover!J476,""),CONCATENATE("; ")),"")&amp;IF(Medicover!A477&lt;&gt;0,CONCATENATE(Medicover!A477," ",CONCATENATE(Medicover!J477,""),CONCATENATE("; ")),"")&amp;IF(Medicover!A478&lt;&gt;0,CONCATENATE(Medicover!A478," ",CONCATENATE(Medicover!J478,""),CONCATENATE("; ")),"")&amp;IF(Medicover!A479&lt;&gt;0,CONCATENATE(Medicover!A479," ",CONCATENATE(Medicover!J479,""),CONCATENATE("; ")),"")&amp;IF(Medicover!A480&lt;&gt;0,CONCATENATE(Medicover!A480," ",CONCATENATE(Medicover!J480,""),CONCATENATE("; ")),"")&amp;IF(Medicover!A481&lt;&gt;0,CONCATENATE(Medicover!A481," ",CONCATENATE(Medicover!J481,""),CONCATENATE("; ")),"")&amp;IF(Medicover!A482&lt;&gt;0,CONCATENATE(Medicover!A482," ",CONCATENATE(Medicover!J482,""),CONCATENATE("; ")),"")&amp;IF(Medicover!A483&lt;&gt;0,CONCATENATE(Medicover!A483," ",CONCATENATE(Medicover!J483,""),CONCATENATE("; ")),"")&amp;IF(Medicover!A484&lt;&gt;0,CONCATENATE(Medicover!A484," ",CONCATENATE(Medicover!J484,""),CONCATENATE("; ")),"")&amp;IF(Medicover!A485&lt;&gt;0,CONCATENATE(Medicover!A485," ",CONCATENATE(Medicover!J485,""),CONCATENATE("; ")),"")&amp;IF(Medicover!A486&lt;&gt;0,CONCATENATE(Medicover!A486," ",CONCATENATE(Medicover!J486,""),CONCATENATE("; ")),"")&amp;IF(Medicover!A487&lt;&gt;0,CONCATENATE(Medicover!A487," ",CONCATENATE(Medicover!J487,""),CONCATENATE("; ")),"")&amp;IF(Medicover!A488&lt;&gt;0,CONCATENATE(Medicover!A488," ",CONCATENATE(Medicover!J488,""),CONCATENATE("; ")),"")&amp;IF(Medicover!A489&lt;&gt;0,CONCATENATE(Medicover!A489," ",CONCATENATE(Medicover!J489,""),CONCATENATE("; ")),"")&amp;IF(Medicover!A491&lt;&gt;0,CONCATENATE(Medicover!A491," ",CONCATENATE(Medicover!J491,""),CONCATENATE("; ")),"")&amp;IF(Medicover!A492&lt;&gt;0,CONCATENATE(Medicover!A492," ",CONCATENATE(Medicover!J492,""),CONCATENATE("; ")),"")&amp;IF(Medicover!A493&lt;&gt;0,CONCATENATE(Medicover!A493," ",CONCATENATE(Medicover!J493,""),CONCATENATE("; ")),"")&amp;IF(Medicover!A494&lt;&gt;0,CONCATENATE(Medicover!A494," ",CONCATENATE(Medicover!J494,""),CONCATENATE("; ")),"")&amp;IF(Medicover!A495&lt;&gt;0,CONCATENATE(Medicover!A495," ",CONCATENATE(Medicover!J495,""),CONCATENATE("; ")),"")&amp;IF(Medicover!A496&lt;&gt;0,CONCATENATE(Medicover!A496," ",CONCATENATE(Medicover!J496,""),CONCATENATE("; ")),"")</f>
        <v xml:space="preserve">1 darab vizelet (AVI); 1 darab reggeli első vizelet első sugarából; 1 darab 24 órás vizelet jégecettel; </v>
      </c>
      <c r="T472" s="1571"/>
      <c r="U472" s="1571"/>
      <c r="V472" s="1571"/>
      <c r="W472" s="1571"/>
      <c r="X472" s="1571"/>
      <c r="Y472" s="1571"/>
      <c r="Z472" s="1571"/>
      <c r="AA472" s="1571"/>
      <c r="AB472" s="1571"/>
      <c r="AC472" s="1571"/>
      <c r="AD472" s="1571"/>
      <c r="AE472" s="1571"/>
      <c r="AF472" s="1571"/>
      <c r="AG472" s="1571"/>
      <c r="AH472" s="1571"/>
      <c r="AI472" s="1571"/>
      <c r="AJ472" s="1571"/>
      <c r="AK472" s="1571"/>
      <c r="AL472" s="1571"/>
      <c r="AM472" s="1571"/>
      <c r="AN472" s="1571"/>
      <c r="AO472" s="1571"/>
      <c r="AP472" s="1571"/>
      <c r="AQ472" s="1571"/>
      <c r="AR472" s="1571"/>
      <c r="AS472" s="1571"/>
      <c r="AT472" s="1571"/>
      <c r="AU472" s="1571"/>
      <c r="AV472" s="1571"/>
      <c r="AW472" s="1571"/>
      <c r="AX472" s="1571"/>
      <c r="AY472" s="1571"/>
      <c r="AZ472" s="1571"/>
      <c r="BA472" s="1571"/>
      <c r="BB472" s="1571"/>
      <c r="BC472" s="1571"/>
      <c r="BD472" s="1571"/>
    </row>
    <row r="473" spans="1:56" s="7" customFormat="1" ht="15.8" customHeight="1">
      <c r="A473" s="5">
        <f t="shared" si="55"/>
        <v>0</v>
      </c>
      <c r="B473" s="5"/>
      <c r="C473" s="5"/>
      <c r="D473" s="5"/>
      <c r="E473" s="5"/>
      <c r="F473" s="5"/>
      <c r="G473" s="5"/>
      <c r="H473" s="5"/>
      <c r="I473" s="5"/>
      <c r="J473" s="1572" t="s">
        <v>925</v>
      </c>
      <c r="K473" s="1572"/>
      <c r="L473" s="1572"/>
      <c r="M473" s="1572"/>
      <c r="N473" s="1572"/>
      <c r="O473" s="1572"/>
      <c r="P473" s="1572"/>
      <c r="Q473" s="80"/>
      <c r="R473" s="5"/>
      <c r="S473" s="128"/>
      <c r="Y473" s="323"/>
    </row>
    <row r="474" spans="1:56" s="7" customFormat="1" ht="15.8" customHeight="1">
      <c r="A474" s="5">
        <f t="shared" si="55"/>
        <v>0</v>
      </c>
      <c r="B474" s="5"/>
      <c r="C474" s="5"/>
      <c r="D474" s="5"/>
      <c r="E474" s="5"/>
      <c r="F474" s="5"/>
      <c r="G474" s="5"/>
      <c r="H474" s="5"/>
      <c r="I474" s="5"/>
      <c r="J474" s="1572" t="s">
        <v>926</v>
      </c>
      <c r="K474" s="1572"/>
      <c r="L474" s="1572"/>
      <c r="M474" s="1572"/>
      <c r="N474" s="1572"/>
      <c r="O474" s="1572"/>
      <c r="P474" s="1572"/>
      <c r="Q474" s="80"/>
      <c r="R474" s="5"/>
      <c r="S474" s="103"/>
      <c r="T474" s="104"/>
      <c r="U474" s="104"/>
      <c r="Y474" s="323"/>
    </row>
    <row r="475" spans="1:56" s="7" customFormat="1" ht="15.8" customHeight="1">
      <c r="A475" s="5">
        <f t="shared" si="55"/>
        <v>0</v>
      </c>
      <c r="B475" s="5"/>
      <c r="C475" s="5"/>
      <c r="D475" s="5"/>
      <c r="E475" s="5"/>
      <c r="F475" s="5"/>
      <c r="G475" s="5"/>
      <c r="H475" s="5"/>
      <c r="I475" s="5"/>
      <c r="J475" s="1572" t="s">
        <v>927</v>
      </c>
      <c r="K475" s="1572"/>
      <c r="L475" s="1572"/>
      <c r="M475" s="1572"/>
      <c r="N475" s="1572"/>
      <c r="O475" s="1572"/>
      <c r="P475" s="1572"/>
      <c r="Q475" s="80"/>
      <c r="R475" s="5"/>
      <c r="S475" s="103"/>
      <c r="T475" s="104"/>
      <c r="U475" s="104"/>
      <c r="Y475" s="323"/>
    </row>
    <row r="476" spans="1:56" s="7" customFormat="1" ht="15.8" customHeight="1">
      <c r="A476" s="5">
        <f t="shared" si="55"/>
        <v>0</v>
      </c>
      <c r="B476" s="5"/>
      <c r="C476" s="5"/>
      <c r="D476" s="5"/>
      <c r="E476" s="5"/>
      <c r="F476" s="5"/>
      <c r="G476" s="5"/>
      <c r="H476" s="5"/>
      <c r="I476" s="5"/>
      <c r="J476" s="1572" t="s">
        <v>928</v>
      </c>
      <c r="K476" s="1572"/>
      <c r="L476" s="1572"/>
      <c r="M476" s="1572"/>
      <c r="N476" s="1572"/>
      <c r="O476" s="1572"/>
      <c r="P476" s="1572"/>
      <c r="Q476" s="80"/>
      <c r="R476" s="5"/>
      <c r="S476" s="103"/>
      <c r="T476" s="104"/>
      <c r="U476" s="104"/>
      <c r="Y476" s="323"/>
    </row>
    <row r="477" spans="1:56" s="7" customFormat="1" ht="15.8" customHeight="1">
      <c r="A477" s="5">
        <f t="shared" si="55"/>
        <v>0</v>
      </c>
      <c r="B477" s="5"/>
      <c r="C477" s="5"/>
      <c r="D477" s="5"/>
      <c r="E477" s="5"/>
      <c r="F477" s="5"/>
      <c r="G477" s="5"/>
      <c r="H477" s="5"/>
      <c r="I477" s="5"/>
      <c r="J477" s="1582" t="s">
        <v>929</v>
      </c>
      <c r="K477" s="1582"/>
      <c r="L477" s="1582"/>
      <c r="M477" s="1582"/>
      <c r="N477" s="1582"/>
      <c r="O477" s="1582"/>
      <c r="P477" s="1582"/>
      <c r="R477" s="5"/>
      <c r="S477" s="103"/>
      <c r="Y477" s="323"/>
    </row>
    <row r="478" spans="1:56" s="7" customFormat="1" ht="15.8" customHeight="1">
      <c r="A478" s="5">
        <f t="shared" si="55"/>
        <v>0</v>
      </c>
      <c r="B478" s="5"/>
      <c r="C478" s="5"/>
      <c r="D478" s="5"/>
      <c r="E478" s="5"/>
      <c r="F478" s="5"/>
      <c r="G478" s="5"/>
      <c r="H478" s="5"/>
      <c r="I478" s="5"/>
      <c r="J478" s="1581" t="s">
        <v>930</v>
      </c>
      <c r="K478" s="1581"/>
      <c r="L478" s="1581"/>
      <c r="M478" s="1581"/>
      <c r="N478" s="1581"/>
      <c r="O478" s="1581"/>
      <c r="P478" s="1581"/>
      <c r="R478" s="5"/>
      <c r="S478" s="103"/>
      <c r="T478" s="5"/>
      <c r="Y478" s="323"/>
    </row>
    <row r="479" spans="1:56" s="7" customFormat="1" ht="15.8" customHeight="1">
      <c r="A479" s="5">
        <f t="shared" si="55"/>
        <v>0</v>
      </c>
      <c r="B479" s="5"/>
      <c r="C479" s="5"/>
      <c r="D479" s="5"/>
      <c r="E479" s="5"/>
      <c r="F479" s="5"/>
      <c r="G479" s="5"/>
      <c r="H479" s="5"/>
      <c r="I479" s="5"/>
      <c r="J479" s="5" t="s">
        <v>931</v>
      </c>
      <c r="K479" s="67"/>
      <c r="L479" s="67"/>
      <c r="M479" s="67"/>
      <c r="N479" s="67"/>
      <c r="O479" s="67"/>
      <c r="P479" s="18"/>
      <c r="R479" s="5"/>
      <c r="S479" s="103"/>
      <c r="T479" s="103"/>
      <c r="U479" s="103"/>
      <c r="V479" s="103"/>
      <c r="Y479" s="323"/>
    </row>
    <row r="480" spans="1:56" s="7" customFormat="1" ht="15.8" customHeight="1">
      <c r="A480" s="5">
        <f t="shared" si="55"/>
        <v>0</v>
      </c>
      <c r="B480" s="5"/>
      <c r="C480" s="5"/>
      <c r="D480" s="5"/>
      <c r="E480" s="5"/>
      <c r="F480" s="5"/>
      <c r="G480" s="5"/>
      <c r="H480" s="5"/>
      <c r="I480" s="5"/>
      <c r="J480" s="5" t="s">
        <v>932</v>
      </c>
      <c r="K480" s="67"/>
      <c r="L480" s="67"/>
      <c r="M480" s="67"/>
      <c r="N480" s="67"/>
      <c r="O480" s="67"/>
      <c r="P480" s="18"/>
      <c r="R480" s="5"/>
      <c r="S480" s="5"/>
      <c r="T480" s="103"/>
      <c r="U480" s="103"/>
      <c r="V480" s="103"/>
      <c r="Y480" s="323"/>
    </row>
    <row r="481" spans="1:25" s="7" customFormat="1" ht="15.8" customHeight="1">
      <c r="A481" s="5">
        <f t="shared" si="55"/>
        <v>0</v>
      </c>
      <c r="B481" s="5"/>
      <c r="C481" s="5"/>
      <c r="D481" s="5"/>
      <c r="E481" s="5"/>
      <c r="F481" s="5"/>
      <c r="G481" s="5"/>
      <c r="H481" s="5"/>
      <c r="I481" s="5"/>
      <c r="J481" s="5" t="s">
        <v>933</v>
      </c>
      <c r="K481" s="67"/>
      <c r="L481" s="67"/>
      <c r="M481" s="67"/>
      <c r="N481" s="67"/>
      <c r="O481" s="67"/>
      <c r="P481" s="18"/>
      <c r="R481" s="5"/>
      <c r="S481" s="5"/>
      <c r="T481" s="103"/>
      <c r="U481" s="103"/>
      <c r="V481" s="103"/>
      <c r="X481" s="27"/>
      <c r="Y481" s="323"/>
    </row>
    <row r="482" spans="1:25" s="7" customFormat="1" ht="15.8" customHeight="1">
      <c r="A482" s="5">
        <f t="shared" si="55"/>
        <v>0</v>
      </c>
      <c r="B482" s="5"/>
      <c r="C482" s="5"/>
      <c r="D482" s="5"/>
      <c r="E482" s="5"/>
      <c r="F482" s="5"/>
      <c r="G482" s="5"/>
      <c r="H482" s="5"/>
      <c r="I482" s="5"/>
      <c r="J482" s="5" t="s">
        <v>934</v>
      </c>
      <c r="K482" s="67"/>
      <c r="L482" s="67"/>
      <c r="M482" s="67"/>
      <c r="N482" s="67"/>
      <c r="O482" s="67"/>
      <c r="P482" s="18"/>
      <c r="R482" s="5"/>
      <c r="S482" s="5"/>
      <c r="T482" s="103"/>
      <c r="U482" s="103"/>
      <c r="V482" s="103"/>
      <c r="Y482" s="323"/>
    </row>
    <row r="483" spans="1:25" s="7" customFormat="1" ht="15.8" customHeight="1">
      <c r="A483" s="5">
        <f t="shared" si="55"/>
        <v>0</v>
      </c>
      <c r="B483" s="5"/>
      <c r="C483" s="5"/>
      <c r="D483" s="5"/>
      <c r="E483" s="5"/>
      <c r="F483" s="5"/>
      <c r="G483" s="5"/>
      <c r="H483" s="5"/>
      <c r="I483" s="5"/>
      <c r="J483" s="5" t="s">
        <v>935</v>
      </c>
      <c r="K483" s="67"/>
      <c r="L483" s="67"/>
      <c r="M483" s="67"/>
      <c r="N483" s="67"/>
      <c r="O483" s="67"/>
      <c r="P483" s="18"/>
      <c r="R483" s="5"/>
      <c r="S483" s="5"/>
      <c r="T483" s="103"/>
      <c r="U483" s="103"/>
      <c r="V483" s="103"/>
      <c r="Y483" s="323"/>
    </row>
    <row r="484" spans="1:25" s="7" customFormat="1" ht="15.8" customHeight="1">
      <c r="A484" s="5">
        <f t="shared" si="55"/>
        <v>1</v>
      </c>
      <c r="B484" s="5"/>
      <c r="C484" s="5"/>
      <c r="D484" s="5"/>
      <c r="E484" s="5"/>
      <c r="F484" s="5"/>
      <c r="G484" s="5"/>
      <c r="H484" s="5"/>
      <c r="I484" s="5"/>
      <c r="J484" s="5" t="s">
        <v>1254</v>
      </c>
      <c r="K484" s="67"/>
      <c r="L484" s="67"/>
      <c r="M484" s="67"/>
      <c r="N484" s="67"/>
      <c r="O484" s="67"/>
      <c r="P484" s="18"/>
      <c r="R484" s="5"/>
      <c r="S484" s="5"/>
      <c r="T484" s="103"/>
      <c r="U484" s="103"/>
      <c r="V484" s="103"/>
      <c r="Y484" s="323"/>
    </row>
    <row r="485" spans="1:25" s="7" customFormat="1" ht="15.8" customHeight="1">
      <c r="A485" s="5">
        <f t="shared" si="55"/>
        <v>0</v>
      </c>
      <c r="B485" s="5"/>
      <c r="C485" s="5"/>
      <c r="D485" s="5"/>
      <c r="E485" s="5"/>
      <c r="F485" s="5"/>
      <c r="G485" s="5"/>
      <c r="H485" s="5"/>
      <c r="I485" s="5"/>
      <c r="J485" s="5" t="s">
        <v>936</v>
      </c>
      <c r="K485" s="67"/>
      <c r="L485" s="67"/>
      <c r="M485" s="67"/>
      <c r="N485" s="67"/>
      <c r="O485" s="67"/>
      <c r="P485" s="18"/>
      <c r="R485" s="5"/>
      <c r="S485" s="5"/>
      <c r="T485" s="103"/>
      <c r="U485" s="103"/>
      <c r="V485" s="103"/>
      <c r="Y485" s="323"/>
    </row>
    <row r="486" spans="1:25" s="7" customFormat="1" ht="15.8" customHeight="1">
      <c r="A486" s="5">
        <f t="shared" si="55"/>
        <v>0</v>
      </c>
      <c r="B486" s="5"/>
      <c r="C486" s="5"/>
      <c r="D486" s="5"/>
      <c r="E486" s="5"/>
      <c r="F486" s="5"/>
      <c r="G486" s="5"/>
      <c r="H486" s="5"/>
      <c r="I486" s="5"/>
      <c r="J486" s="5" t="s">
        <v>937</v>
      </c>
      <c r="K486" s="67"/>
      <c r="L486" s="67"/>
      <c r="M486" s="67"/>
      <c r="N486" s="67"/>
      <c r="O486" s="67"/>
      <c r="P486" s="18"/>
      <c r="R486" s="5"/>
      <c r="S486" s="5"/>
      <c r="T486" s="103"/>
      <c r="U486" s="103"/>
      <c r="V486" s="103"/>
      <c r="Y486" s="323"/>
    </row>
    <row r="487" spans="1:25" s="7" customFormat="1" ht="15.8" customHeight="1">
      <c r="A487" s="5">
        <f t="shared" si="55"/>
        <v>1</v>
      </c>
      <c r="B487" s="5"/>
      <c r="C487" s="5"/>
      <c r="D487" s="5"/>
      <c r="E487" s="5"/>
      <c r="F487" s="5"/>
      <c r="G487" s="5"/>
      <c r="H487" s="5"/>
      <c r="I487" s="5"/>
      <c r="J487" s="5" t="s">
        <v>938</v>
      </c>
      <c r="K487" s="67"/>
      <c r="L487" s="67"/>
      <c r="M487" s="67"/>
      <c r="N487" s="67"/>
      <c r="O487" s="67"/>
      <c r="P487" s="18"/>
      <c r="R487" s="5"/>
      <c r="S487" s="5"/>
      <c r="Y487" s="323"/>
    </row>
    <row r="488" spans="1:25" s="7" customFormat="1" ht="15.8" customHeight="1">
      <c r="A488" s="5">
        <f t="shared" si="55"/>
        <v>1</v>
      </c>
      <c r="B488" s="5"/>
      <c r="C488" s="5"/>
      <c r="D488" s="5"/>
      <c r="E488" s="5"/>
      <c r="F488" s="5"/>
      <c r="G488" s="5"/>
      <c r="H488" s="5"/>
      <c r="I488" s="5"/>
      <c r="J488" s="5" t="s">
        <v>939</v>
      </c>
      <c r="K488" s="67"/>
      <c r="L488" s="67"/>
      <c r="M488" s="67"/>
      <c r="N488" s="67"/>
      <c r="O488" s="67"/>
      <c r="P488" s="18"/>
      <c r="R488" s="5"/>
      <c r="S488" s="5"/>
      <c r="Y488" s="323"/>
    </row>
    <row r="489" spans="1:25" s="7" customFormat="1" ht="15.8" customHeight="1">
      <c r="A489" s="5">
        <f t="shared" si="55"/>
        <v>0</v>
      </c>
      <c r="B489" s="5"/>
      <c r="C489" s="5"/>
      <c r="D489" s="5"/>
      <c r="E489" s="5"/>
      <c r="F489" s="5"/>
      <c r="G489" s="5"/>
      <c r="H489" s="5"/>
      <c r="I489" s="5"/>
      <c r="J489" s="5" t="s">
        <v>940</v>
      </c>
      <c r="K489" s="67"/>
      <c r="L489" s="67"/>
      <c r="M489" s="67"/>
      <c r="N489" s="67"/>
      <c r="O489" s="67"/>
      <c r="P489" s="18"/>
      <c r="R489" s="5"/>
      <c r="S489" s="5"/>
      <c r="Y489" s="323"/>
    </row>
    <row r="490" spans="1:25" s="7" customFormat="1" ht="15.8" customHeight="1">
      <c r="A490" s="5"/>
      <c r="B490" s="5"/>
      <c r="C490" s="5"/>
      <c r="D490" s="5"/>
      <c r="E490" s="5"/>
      <c r="F490" s="5"/>
      <c r="G490" s="5"/>
      <c r="H490" s="5"/>
      <c r="I490" s="5"/>
      <c r="J490" s="5"/>
      <c r="K490" s="67"/>
      <c r="L490" s="67"/>
      <c r="M490" s="67"/>
      <c r="N490" s="67"/>
      <c r="O490" s="67"/>
      <c r="P490" s="18"/>
      <c r="R490" s="5"/>
      <c r="S490" s="5"/>
      <c r="Y490" s="323"/>
    </row>
    <row r="491" spans="1:25" s="7" customFormat="1" ht="15.8" customHeight="1">
      <c r="A491" s="5">
        <f t="shared" ref="A491:A496" si="56">COUNTIF(S463,"&lt;&gt;0")</f>
        <v>0</v>
      </c>
      <c r="B491" s="5"/>
      <c r="C491" s="5"/>
      <c r="D491" s="5"/>
      <c r="E491" s="5"/>
      <c r="F491" s="5"/>
      <c r="G491" s="5"/>
      <c r="H491" s="5"/>
      <c r="I491" s="5"/>
      <c r="J491" s="62" t="s">
        <v>1210</v>
      </c>
      <c r="K491" s="67"/>
      <c r="L491" s="67"/>
      <c r="M491" s="67"/>
      <c r="N491" s="67"/>
      <c r="O491" s="67"/>
      <c r="P491" s="18"/>
      <c r="R491" s="5"/>
      <c r="S491" s="5"/>
      <c r="Y491" s="323"/>
    </row>
    <row r="492" spans="1:25" s="7" customFormat="1" ht="15.8" customHeight="1">
      <c r="A492" s="5">
        <f t="shared" si="56"/>
        <v>0</v>
      </c>
      <c r="B492" s="5"/>
      <c r="C492" s="5"/>
      <c r="D492" s="5"/>
      <c r="E492" s="5"/>
      <c r="F492" s="5"/>
      <c r="G492" s="5"/>
      <c r="H492" s="5"/>
      <c r="I492" s="5"/>
      <c r="J492" s="62" t="s">
        <v>1211</v>
      </c>
      <c r="K492" s="67"/>
      <c r="L492" s="67"/>
      <c r="M492" s="67"/>
      <c r="N492" s="67"/>
      <c r="O492" s="67"/>
      <c r="P492" s="18"/>
      <c r="R492" s="5"/>
      <c r="S492" s="5"/>
      <c r="Y492" s="323"/>
    </row>
    <row r="493" spans="1:25" s="7" customFormat="1" ht="15.8" customHeight="1">
      <c r="A493" s="5">
        <f t="shared" si="56"/>
        <v>0</v>
      </c>
      <c r="B493" s="5"/>
      <c r="C493" s="5"/>
      <c r="D493" s="5"/>
      <c r="E493" s="5"/>
      <c r="F493" s="5"/>
      <c r="G493" s="5"/>
      <c r="H493" s="5"/>
      <c r="I493" s="5"/>
      <c r="J493" s="62" t="s">
        <v>1212</v>
      </c>
      <c r="K493" s="67"/>
      <c r="L493" s="67"/>
      <c r="M493" s="67"/>
      <c r="N493" s="67"/>
      <c r="O493" s="67"/>
      <c r="P493" s="18"/>
      <c r="R493" s="5"/>
      <c r="S493" s="5"/>
      <c r="Y493" s="323"/>
    </row>
    <row r="494" spans="1:25" s="7" customFormat="1" ht="15.8" customHeight="1">
      <c r="A494" s="5">
        <f t="shared" si="56"/>
        <v>0</v>
      </c>
      <c r="B494" s="5"/>
      <c r="C494" s="5"/>
      <c r="D494" s="5"/>
      <c r="E494" s="5"/>
      <c r="F494" s="5"/>
      <c r="G494" s="5"/>
      <c r="H494" s="5"/>
      <c r="I494" s="5"/>
      <c r="J494" s="62" t="s">
        <v>1213</v>
      </c>
      <c r="K494" s="67"/>
      <c r="L494" s="67"/>
      <c r="M494" s="67"/>
      <c r="N494" s="67"/>
      <c r="O494" s="67"/>
      <c r="P494" s="18"/>
      <c r="R494" s="5"/>
      <c r="S494" s="5"/>
      <c r="Y494" s="323"/>
    </row>
    <row r="495" spans="1:25" s="7" customFormat="1" ht="15.8" customHeight="1">
      <c r="A495" s="5">
        <f t="shared" si="56"/>
        <v>0</v>
      </c>
      <c r="B495" s="5"/>
      <c r="C495" s="5"/>
      <c r="D495" s="5"/>
      <c r="E495" s="5"/>
      <c r="F495" s="5"/>
      <c r="G495" s="5"/>
      <c r="H495" s="5"/>
      <c r="I495" s="5"/>
      <c r="J495" s="62" t="s">
        <v>1214</v>
      </c>
      <c r="K495" s="67"/>
      <c r="L495" s="67"/>
      <c r="M495" s="67"/>
      <c r="N495" s="67"/>
      <c r="O495" s="67"/>
      <c r="P495" s="18"/>
      <c r="R495" s="5"/>
      <c r="S495" s="5"/>
      <c r="Y495" s="323"/>
    </row>
    <row r="496" spans="1:25" s="7" customFormat="1" ht="15.8" customHeight="1">
      <c r="A496" s="5">
        <f t="shared" si="56"/>
        <v>0</v>
      </c>
      <c r="B496" s="5"/>
      <c r="C496" s="5"/>
      <c r="D496" s="5"/>
      <c r="E496" s="5"/>
      <c r="F496" s="5"/>
      <c r="G496" s="5"/>
      <c r="H496" s="5"/>
      <c r="I496" s="5"/>
      <c r="J496" s="62" t="s">
        <v>1215</v>
      </c>
      <c r="K496" s="67"/>
      <c r="L496" s="67"/>
      <c r="M496" s="67"/>
      <c r="N496" s="67"/>
      <c r="O496" s="67"/>
      <c r="P496" s="18"/>
      <c r="R496" s="5"/>
      <c r="S496" s="5"/>
      <c r="Y496" s="323"/>
    </row>
    <row r="497" spans="1:25" s="7" customFormat="1" ht="15.8" customHeight="1">
      <c r="A497" s="5"/>
      <c r="B497" s="5"/>
      <c r="C497" s="5"/>
      <c r="D497" s="5"/>
      <c r="E497" s="5"/>
      <c r="F497" s="5"/>
      <c r="G497" s="5"/>
      <c r="H497" s="5"/>
      <c r="I497" s="5"/>
      <c r="J497" s="5"/>
      <c r="K497" s="67"/>
      <c r="L497" s="67"/>
      <c r="M497" s="67"/>
      <c r="N497" s="67"/>
      <c r="O497" s="67"/>
      <c r="P497" s="18"/>
      <c r="R497" s="5"/>
      <c r="S497" s="5"/>
      <c r="Y497" s="323"/>
    </row>
    <row r="498" spans="1:25" s="7" customFormat="1" ht="15.8" customHeight="1">
      <c r="A498" s="5"/>
      <c r="B498" s="5"/>
      <c r="C498" s="5"/>
      <c r="D498" s="5"/>
      <c r="E498" s="5"/>
      <c r="F498" s="5"/>
      <c r="G498" s="5"/>
      <c r="H498" s="5"/>
      <c r="I498" s="5"/>
      <c r="J498" s="5"/>
      <c r="K498" s="67"/>
      <c r="L498" s="67"/>
      <c r="M498" s="67"/>
      <c r="N498" s="67"/>
      <c r="O498" s="67"/>
      <c r="P498" s="18"/>
      <c r="R498" s="5"/>
      <c r="S498" s="5"/>
      <c r="Y498" s="323"/>
    </row>
    <row r="499" spans="1:25" s="7" customFormat="1" ht="15.8" customHeight="1">
      <c r="A499" s="5"/>
      <c r="B499" s="5"/>
      <c r="C499" s="5"/>
      <c r="D499" s="5"/>
      <c r="E499" s="5"/>
      <c r="F499" s="5"/>
      <c r="G499" s="5"/>
      <c r="H499" s="5"/>
      <c r="I499" s="5"/>
      <c r="J499" s="5"/>
      <c r="K499" s="67"/>
      <c r="L499" s="67"/>
      <c r="M499" s="67"/>
      <c r="N499" s="67"/>
      <c r="O499" s="67"/>
      <c r="P499" s="18"/>
      <c r="R499" s="5"/>
      <c r="S499" s="5"/>
      <c r="Y499" s="323"/>
    </row>
    <row r="500" spans="1:25" s="7" customFormat="1" ht="15.8" customHeight="1">
      <c r="A500" s="5"/>
      <c r="B500" s="5"/>
      <c r="C500" s="5"/>
      <c r="D500" s="5"/>
      <c r="E500" s="5"/>
      <c r="F500" s="5"/>
      <c r="G500" s="5"/>
      <c r="H500" s="5"/>
      <c r="I500" s="5"/>
      <c r="J500" s="5"/>
      <c r="K500" s="67"/>
      <c r="L500" s="67"/>
      <c r="M500" s="67"/>
      <c r="N500" s="67"/>
      <c r="O500" s="67"/>
      <c r="P500" s="18"/>
      <c r="R500" s="5"/>
      <c r="S500" s="5"/>
      <c r="Y500" s="323"/>
    </row>
    <row r="501" spans="1:25" s="7" customFormat="1" ht="15.8" customHeight="1">
      <c r="A501" s="5"/>
      <c r="B501" s="5"/>
      <c r="C501" s="5"/>
      <c r="D501" s="5"/>
      <c r="E501" s="5"/>
      <c r="F501" s="5"/>
      <c r="G501" s="5"/>
      <c r="H501" s="5"/>
      <c r="I501" s="5"/>
      <c r="J501" s="5"/>
      <c r="K501" s="67"/>
      <c r="L501" s="67"/>
      <c r="M501" s="67"/>
      <c r="N501" s="67"/>
      <c r="O501" s="67"/>
      <c r="P501" s="18"/>
      <c r="R501" s="5"/>
      <c r="S501" s="5"/>
      <c r="Y501" s="323"/>
    </row>
    <row r="502" spans="1:25" s="7" customFormat="1" ht="15.8" customHeight="1">
      <c r="A502" s="5"/>
      <c r="B502" s="5"/>
      <c r="C502" s="5"/>
      <c r="D502" s="5"/>
      <c r="E502" s="5"/>
      <c r="F502" s="5"/>
      <c r="G502" s="5"/>
      <c r="H502" s="5"/>
      <c r="I502" s="5"/>
      <c r="J502" s="5"/>
      <c r="K502" s="67"/>
      <c r="L502" s="67"/>
      <c r="M502" s="67"/>
      <c r="N502" s="67"/>
      <c r="O502" s="67"/>
      <c r="P502" s="18"/>
      <c r="R502" s="5"/>
      <c r="S502" s="5"/>
      <c r="Y502" s="323"/>
    </row>
    <row r="503" spans="1:25" s="7" customFormat="1" ht="15.8" customHeight="1">
      <c r="A503" s="5"/>
      <c r="B503" s="5"/>
      <c r="C503" s="5"/>
      <c r="D503" s="5"/>
      <c r="E503" s="5"/>
      <c r="F503" s="5"/>
      <c r="G503" s="5"/>
      <c r="H503" s="5"/>
      <c r="I503" s="5"/>
      <c r="J503" s="5"/>
      <c r="K503" s="67"/>
      <c r="L503" s="67"/>
      <c r="M503" s="67"/>
      <c r="N503" s="67"/>
      <c r="O503" s="67"/>
      <c r="P503" s="18"/>
      <c r="R503" s="5"/>
      <c r="S503" s="5"/>
      <c r="Y503" s="323"/>
    </row>
    <row r="504" spans="1:25" s="7" customFormat="1" ht="15.8" customHeight="1">
      <c r="A504" s="5"/>
      <c r="B504" s="5"/>
      <c r="C504" s="5"/>
      <c r="D504" s="5"/>
      <c r="E504" s="5"/>
      <c r="F504" s="5"/>
      <c r="G504" s="5"/>
      <c r="H504" s="5"/>
      <c r="I504" s="5"/>
      <c r="J504" s="5"/>
      <c r="K504" s="67"/>
      <c r="L504" s="67"/>
      <c r="M504" s="67"/>
      <c r="N504" s="67"/>
      <c r="O504" s="67"/>
      <c r="P504" s="18"/>
      <c r="R504" s="5"/>
      <c r="S504" s="5"/>
      <c r="Y504" s="323"/>
    </row>
    <row r="505" spans="1:25" s="7" customFormat="1" ht="15.8" customHeight="1">
      <c r="A505" s="5"/>
      <c r="B505" s="5"/>
      <c r="C505" s="5"/>
      <c r="D505" s="5"/>
      <c r="E505" s="5"/>
      <c r="F505" s="5"/>
      <c r="G505" s="5"/>
      <c r="H505" s="5"/>
      <c r="I505" s="5"/>
      <c r="J505" s="5"/>
      <c r="K505" s="67"/>
      <c r="L505" s="67"/>
      <c r="M505" s="67"/>
      <c r="N505" s="67"/>
      <c r="O505" s="67"/>
      <c r="P505" s="18"/>
      <c r="R505" s="5"/>
      <c r="S505" s="5"/>
      <c r="Y505" s="323"/>
    </row>
    <row r="506" spans="1:25" s="7" customFormat="1" ht="15.8" customHeight="1">
      <c r="A506" s="5"/>
      <c r="B506" s="5"/>
      <c r="C506" s="5"/>
      <c r="D506" s="5"/>
      <c r="E506" s="5"/>
      <c r="F506" s="5"/>
      <c r="G506" s="5"/>
      <c r="H506" s="5"/>
      <c r="I506" s="5"/>
      <c r="J506" s="5"/>
      <c r="K506" s="67"/>
      <c r="L506" s="67"/>
      <c r="M506" s="67"/>
      <c r="N506" s="67"/>
      <c r="O506" s="67"/>
      <c r="P506" s="18"/>
      <c r="R506" s="5"/>
      <c r="S506" s="5"/>
      <c r="Y506" s="323"/>
    </row>
    <row r="507" spans="1:25" s="7" customFormat="1" ht="15.8" customHeight="1">
      <c r="A507" s="5"/>
      <c r="B507" s="5"/>
      <c r="C507" s="5"/>
      <c r="D507" s="5"/>
      <c r="E507" s="5"/>
      <c r="F507" s="5"/>
      <c r="G507" s="5"/>
      <c r="H507" s="5"/>
      <c r="I507" s="5"/>
      <c r="J507" s="5"/>
      <c r="K507" s="67"/>
      <c r="L507" s="67"/>
      <c r="M507" s="67"/>
      <c r="N507" s="67"/>
      <c r="O507" s="67"/>
      <c r="P507" s="18"/>
      <c r="R507" s="5"/>
      <c r="S507" s="5"/>
      <c r="Y507" s="323"/>
    </row>
    <row r="508" spans="1:25" s="7" customFormat="1" ht="15.8" customHeight="1">
      <c r="A508" s="5"/>
      <c r="B508" s="5"/>
      <c r="C508" s="5"/>
      <c r="D508" s="5"/>
      <c r="E508" s="5"/>
      <c r="F508" s="5"/>
      <c r="G508" s="5"/>
      <c r="H508" s="5"/>
      <c r="I508" s="5"/>
      <c r="J508" s="5"/>
      <c r="K508" s="67"/>
      <c r="L508" s="67"/>
      <c r="M508" s="67"/>
      <c r="N508" s="67"/>
      <c r="O508" s="67"/>
      <c r="P508" s="18"/>
      <c r="R508" s="5"/>
      <c r="S508" s="5"/>
      <c r="Y508" s="323"/>
    </row>
    <row r="509" spans="1:25" s="7" customFormat="1" ht="15.8" customHeight="1">
      <c r="A509" s="5"/>
      <c r="B509" s="5"/>
      <c r="C509" s="5"/>
      <c r="D509" s="5"/>
      <c r="E509" s="5"/>
      <c r="F509" s="5"/>
      <c r="G509" s="5"/>
      <c r="H509" s="5"/>
      <c r="I509" s="5"/>
      <c r="J509" s="5"/>
      <c r="K509" s="67"/>
      <c r="L509" s="67"/>
      <c r="M509" s="67"/>
      <c r="N509" s="67"/>
      <c r="O509" s="67"/>
      <c r="P509" s="18"/>
      <c r="R509" s="5"/>
      <c r="S509" s="5"/>
      <c r="Y509" s="323"/>
    </row>
    <row r="510" spans="1:25" s="7" customFormat="1" ht="15.8" customHeight="1">
      <c r="A510" s="5"/>
      <c r="B510" s="5"/>
      <c r="C510" s="5"/>
      <c r="D510" s="5"/>
      <c r="E510" s="5"/>
      <c r="F510" s="5"/>
      <c r="G510" s="5"/>
      <c r="H510" s="5"/>
      <c r="I510" s="5"/>
      <c r="J510" s="5"/>
      <c r="K510" s="67"/>
      <c r="L510" s="67"/>
      <c r="M510" s="67"/>
      <c r="N510" s="67"/>
      <c r="O510" s="67"/>
      <c r="P510" s="18"/>
      <c r="R510" s="5"/>
      <c r="S510" s="5"/>
      <c r="Y510" s="323"/>
    </row>
    <row r="511" spans="1:25" s="7" customFormat="1" ht="15.8" customHeight="1">
      <c r="A511" s="5"/>
      <c r="B511" s="5"/>
      <c r="C511" s="5"/>
      <c r="D511" s="5"/>
      <c r="E511" s="5"/>
      <c r="F511" s="5"/>
      <c r="G511" s="5"/>
      <c r="H511" s="5"/>
      <c r="I511" s="5"/>
      <c r="J511" s="5"/>
      <c r="K511" s="67"/>
      <c r="L511" s="67"/>
      <c r="M511" s="67"/>
      <c r="N511" s="67"/>
      <c r="O511" s="67"/>
      <c r="P511" s="18"/>
      <c r="R511" s="5"/>
      <c r="S511" s="5"/>
      <c r="Y511" s="323"/>
    </row>
    <row r="512" spans="1:25" s="7" customFormat="1" ht="15.8" customHeight="1">
      <c r="A512" s="5"/>
      <c r="B512" s="5"/>
      <c r="C512" s="5"/>
      <c r="D512" s="5"/>
      <c r="E512" s="5"/>
      <c r="F512" s="5"/>
      <c r="G512" s="5"/>
      <c r="H512" s="5"/>
      <c r="I512" s="5"/>
      <c r="J512" s="5"/>
      <c r="K512" s="67"/>
      <c r="L512" s="67"/>
      <c r="M512" s="67"/>
      <c r="N512" s="67"/>
      <c r="O512" s="67"/>
      <c r="P512" s="18"/>
      <c r="R512" s="5"/>
      <c r="S512" s="5"/>
      <c r="Y512" s="323"/>
    </row>
    <row r="513" spans="1:25" s="7" customFormat="1" ht="15.8" customHeight="1">
      <c r="A513" s="5"/>
      <c r="B513" s="5"/>
      <c r="C513" s="5"/>
      <c r="D513" s="5"/>
      <c r="E513" s="5"/>
      <c r="F513" s="5"/>
      <c r="G513" s="5"/>
      <c r="H513" s="5"/>
      <c r="I513" s="5"/>
      <c r="J513" s="5"/>
      <c r="K513" s="67"/>
      <c r="L513" s="67"/>
      <c r="M513" s="67"/>
      <c r="N513" s="67"/>
      <c r="O513" s="67"/>
      <c r="P513" s="18"/>
      <c r="R513" s="5"/>
      <c r="S513" s="5"/>
      <c r="Y513" s="323"/>
    </row>
    <row r="514" spans="1:25" s="7" customFormat="1" ht="15.8" customHeight="1">
      <c r="A514" s="5"/>
      <c r="B514" s="5"/>
      <c r="C514" s="5"/>
      <c r="D514" s="5"/>
      <c r="E514" s="5"/>
      <c r="F514" s="5"/>
      <c r="G514" s="5"/>
      <c r="H514" s="5"/>
      <c r="I514" s="5"/>
      <c r="J514" s="5"/>
      <c r="K514" s="67"/>
      <c r="L514" s="67"/>
      <c r="M514" s="67"/>
      <c r="N514" s="67"/>
      <c r="O514" s="67"/>
      <c r="P514" s="18"/>
      <c r="R514" s="5"/>
      <c r="S514" s="5"/>
      <c r="Y514" s="323"/>
    </row>
    <row r="515" spans="1:25" s="7" customFormat="1" ht="15.8" customHeight="1">
      <c r="A515" s="5"/>
      <c r="B515" s="5"/>
      <c r="C515" s="5"/>
      <c r="D515" s="5"/>
      <c r="E515" s="5"/>
      <c r="F515" s="5"/>
      <c r="G515" s="5"/>
      <c r="H515" s="5"/>
      <c r="I515" s="5"/>
      <c r="J515" s="5"/>
      <c r="K515" s="67"/>
      <c r="L515" s="67"/>
      <c r="M515" s="67"/>
      <c r="N515" s="67"/>
      <c r="O515" s="67"/>
      <c r="P515" s="18"/>
      <c r="R515" s="5"/>
      <c r="S515" s="5"/>
      <c r="Y515" s="323"/>
    </row>
    <row r="516" spans="1:25" s="7" customFormat="1" ht="15.8" customHeight="1">
      <c r="A516" s="5"/>
      <c r="B516" s="5"/>
      <c r="C516" s="5"/>
      <c r="D516" s="5"/>
      <c r="E516" s="5"/>
      <c r="F516" s="5"/>
      <c r="G516" s="5"/>
      <c r="H516" s="5"/>
      <c r="I516" s="5"/>
      <c r="J516" s="5"/>
      <c r="K516" s="67"/>
      <c r="L516" s="67"/>
      <c r="M516" s="67"/>
      <c r="N516" s="67"/>
      <c r="O516" s="67"/>
      <c r="P516" s="18"/>
      <c r="R516" s="5"/>
      <c r="S516" s="5"/>
      <c r="Y516" s="323"/>
    </row>
    <row r="517" spans="1:25" s="7" customFormat="1" ht="15.8" customHeight="1">
      <c r="A517" s="5"/>
      <c r="B517" s="5"/>
      <c r="C517" s="5"/>
      <c r="D517" s="5"/>
      <c r="E517" s="5"/>
      <c r="F517" s="5"/>
      <c r="G517" s="5"/>
      <c r="H517" s="5"/>
      <c r="I517" s="5"/>
      <c r="J517" s="5"/>
      <c r="K517" s="67"/>
      <c r="L517" s="67"/>
      <c r="M517" s="67"/>
      <c r="N517" s="67"/>
      <c r="O517" s="67"/>
      <c r="P517" s="18"/>
      <c r="R517" s="5"/>
      <c r="S517" s="5"/>
      <c r="Y517" s="323"/>
    </row>
    <row r="518" spans="1:25" s="7" customFormat="1" ht="15.8" customHeight="1">
      <c r="A518" s="5"/>
      <c r="B518" s="5"/>
      <c r="C518" s="5"/>
      <c r="D518" s="5"/>
      <c r="E518" s="5"/>
      <c r="F518" s="5"/>
      <c r="G518" s="5"/>
      <c r="H518" s="5"/>
      <c r="I518" s="5"/>
      <c r="J518" s="5"/>
      <c r="K518" s="67"/>
      <c r="L518" s="67"/>
      <c r="M518" s="67"/>
      <c r="N518" s="67"/>
      <c r="O518" s="67"/>
      <c r="P518" s="18"/>
      <c r="R518" s="5"/>
      <c r="S518" s="5"/>
      <c r="Y518" s="323"/>
    </row>
    <row r="519" spans="1:25" s="7" customFormat="1" ht="15.8" customHeight="1">
      <c r="A519" s="5"/>
      <c r="B519" s="5"/>
      <c r="C519" s="5"/>
      <c r="D519" s="5"/>
      <c r="E519" s="5"/>
      <c r="F519" s="5"/>
      <c r="G519" s="5"/>
      <c r="H519" s="5"/>
      <c r="I519" s="5"/>
      <c r="J519" s="5"/>
      <c r="K519" s="67"/>
      <c r="L519" s="67"/>
      <c r="M519" s="67"/>
      <c r="N519" s="67"/>
      <c r="O519" s="67"/>
      <c r="P519" s="18"/>
      <c r="R519" s="5"/>
      <c r="S519" s="5"/>
      <c r="Y519" s="323"/>
    </row>
    <row r="520" spans="1:25" s="7" customFormat="1" ht="15.8" customHeight="1">
      <c r="A520" s="5"/>
      <c r="B520" s="5"/>
      <c r="C520" s="5"/>
      <c r="D520" s="5"/>
      <c r="E520" s="5"/>
      <c r="F520" s="5"/>
      <c r="G520" s="5"/>
      <c r="H520" s="5"/>
      <c r="I520" s="5"/>
      <c r="J520" s="5"/>
      <c r="K520" s="67"/>
      <c r="L520" s="67"/>
      <c r="M520" s="67"/>
      <c r="N520" s="67"/>
      <c r="O520" s="67"/>
      <c r="P520" s="18"/>
      <c r="R520" s="5"/>
      <c r="S520" s="5"/>
      <c r="Y520" s="323"/>
    </row>
    <row r="521" spans="1:25" s="7" customFormat="1" ht="15.8" customHeight="1">
      <c r="A521" s="5"/>
      <c r="B521" s="5"/>
      <c r="C521" s="5"/>
      <c r="D521" s="5"/>
      <c r="E521" s="5"/>
      <c r="F521" s="5"/>
      <c r="G521" s="5"/>
      <c r="H521" s="5"/>
      <c r="I521" s="5"/>
      <c r="J521" s="5"/>
      <c r="K521" s="67"/>
      <c r="L521" s="67"/>
      <c r="M521" s="67"/>
      <c r="N521" s="67"/>
      <c r="O521" s="67"/>
      <c r="P521" s="18"/>
      <c r="R521" s="5"/>
      <c r="S521" s="5"/>
      <c r="Y521" s="323"/>
    </row>
    <row r="522" spans="1:25" s="7" customFormat="1" ht="15.8" customHeight="1">
      <c r="A522" s="5"/>
      <c r="B522" s="5"/>
      <c r="C522" s="5"/>
      <c r="D522" s="5"/>
      <c r="E522" s="5"/>
      <c r="F522" s="5"/>
      <c r="G522" s="5"/>
      <c r="H522" s="5"/>
      <c r="I522" s="5"/>
      <c r="J522" s="5"/>
      <c r="K522" s="67"/>
      <c r="L522" s="67"/>
      <c r="M522" s="67"/>
      <c r="N522" s="67"/>
      <c r="O522" s="67"/>
      <c r="P522" s="18"/>
      <c r="R522" s="5"/>
      <c r="S522" s="5"/>
      <c r="Y522" s="323"/>
    </row>
    <row r="523" spans="1:25" s="7" customFormat="1" ht="15.8" customHeight="1">
      <c r="A523" s="5"/>
      <c r="B523" s="5"/>
      <c r="C523" s="5"/>
      <c r="D523" s="5"/>
      <c r="E523" s="5"/>
      <c r="F523" s="5"/>
      <c r="G523" s="5"/>
      <c r="H523" s="5"/>
      <c r="I523" s="5"/>
      <c r="J523" s="5"/>
      <c r="K523" s="67"/>
      <c r="L523" s="67"/>
      <c r="M523" s="67"/>
      <c r="N523" s="67"/>
      <c r="O523" s="67"/>
      <c r="P523" s="18"/>
      <c r="R523" s="5"/>
      <c r="S523" s="5"/>
      <c r="Y523" s="323"/>
    </row>
    <row r="524" spans="1:25" s="7" customFormat="1" ht="15.8" customHeight="1">
      <c r="A524" s="5"/>
      <c r="B524" s="5"/>
      <c r="C524" s="5"/>
      <c r="D524" s="5"/>
      <c r="E524" s="5"/>
      <c r="F524" s="5"/>
      <c r="G524" s="5"/>
      <c r="H524" s="5"/>
      <c r="I524" s="5"/>
      <c r="J524" s="5"/>
      <c r="K524" s="67"/>
      <c r="L524" s="67"/>
      <c r="M524" s="67"/>
      <c r="N524" s="67"/>
      <c r="O524" s="67"/>
      <c r="P524" s="18"/>
      <c r="R524" s="5"/>
      <c r="S524" s="5"/>
      <c r="Y524" s="323"/>
    </row>
    <row r="525" spans="1:25" s="7" customFormat="1" ht="15.8" customHeight="1">
      <c r="A525" s="5"/>
      <c r="B525" s="5"/>
      <c r="C525" s="5"/>
      <c r="D525" s="5"/>
      <c r="E525" s="5"/>
      <c r="F525" s="5"/>
      <c r="G525" s="5"/>
      <c r="H525" s="5"/>
      <c r="I525" s="5"/>
      <c r="J525" s="5"/>
      <c r="K525" s="67"/>
      <c r="L525" s="67"/>
      <c r="M525" s="67"/>
      <c r="N525" s="67"/>
      <c r="O525" s="67"/>
      <c r="P525" s="18"/>
      <c r="R525" s="5"/>
      <c r="S525" s="5"/>
      <c r="Y525" s="323"/>
    </row>
    <row r="526" spans="1:25" s="7" customFormat="1" ht="15.8" customHeight="1">
      <c r="A526" s="5"/>
      <c r="B526" s="5"/>
      <c r="C526" s="5"/>
      <c r="D526" s="5"/>
      <c r="E526" s="5"/>
      <c r="F526" s="5"/>
      <c r="G526" s="5"/>
      <c r="H526" s="5"/>
      <c r="I526" s="5"/>
      <c r="J526" s="5"/>
      <c r="K526" s="67"/>
      <c r="L526" s="67"/>
      <c r="M526" s="67"/>
      <c r="N526" s="67"/>
      <c r="O526" s="67"/>
      <c r="P526" s="18"/>
      <c r="R526" s="5"/>
      <c r="S526" s="5"/>
      <c r="Y526" s="323"/>
    </row>
    <row r="527" spans="1:25" s="7" customFormat="1" ht="15.8" customHeight="1">
      <c r="A527" s="5"/>
      <c r="B527" s="5"/>
      <c r="C527" s="5"/>
      <c r="D527" s="5"/>
      <c r="E527" s="5"/>
      <c r="F527" s="5"/>
      <c r="G527" s="5"/>
      <c r="H527" s="5"/>
      <c r="I527" s="5"/>
      <c r="J527" s="5"/>
      <c r="K527" s="67"/>
      <c r="L527" s="67"/>
      <c r="M527" s="67"/>
      <c r="N527" s="67"/>
      <c r="O527" s="67"/>
      <c r="P527" s="18"/>
      <c r="R527" s="5"/>
      <c r="S527" s="5"/>
      <c r="Y527" s="323"/>
    </row>
    <row r="528" spans="1:25" s="7" customFormat="1" ht="15.8" customHeight="1">
      <c r="A528" s="5"/>
      <c r="B528" s="5"/>
      <c r="C528" s="5"/>
      <c r="D528" s="5"/>
      <c r="E528" s="5"/>
      <c r="F528" s="5"/>
      <c r="G528" s="5"/>
      <c r="H528" s="5"/>
      <c r="I528" s="5"/>
      <c r="J528" s="5"/>
      <c r="K528" s="67"/>
      <c r="L528" s="67"/>
      <c r="M528" s="67"/>
      <c r="N528" s="67"/>
      <c r="O528" s="67"/>
      <c r="P528" s="18"/>
      <c r="R528" s="5"/>
      <c r="S528" s="5"/>
      <c r="Y528" s="323"/>
    </row>
    <row r="529" spans="1:25" s="7" customFormat="1" ht="15.8" customHeight="1">
      <c r="A529" s="5"/>
      <c r="B529" s="5"/>
      <c r="C529" s="5"/>
      <c r="D529" s="5"/>
      <c r="E529" s="5"/>
      <c r="F529" s="5"/>
      <c r="G529" s="5"/>
      <c r="H529" s="5"/>
      <c r="I529" s="5"/>
      <c r="J529" s="5"/>
      <c r="K529" s="67"/>
      <c r="L529" s="67"/>
      <c r="M529" s="67"/>
      <c r="N529" s="67"/>
      <c r="O529" s="67"/>
      <c r="P529" s="18"/>
      <c r="R529" s="5"/>
      <c r="S529" s="5"/>
      <c r="Y529" s="323"/>
    </row>
    <row r="530" spans="1:25" s="7" customFormat="1" ht="15.8" customHeight="1">
      <c r="A530" s="5"/>
      <c r="B530" s="5"/>
      <c r="C530" s="5"/>
      <c r="D530" s="5"/>
      <c r="E530" s="5"/>
      <c r="F530" s="5"/>
      <c r="G530" s="5"/>
      <c r="H530" s="5"/>
      <c r="I530" s="5"/>
      <c r="J530" s="5"/>
      <c r="K530" s="67"/>
      <c r="L530" s="67"/>
      <c r="M530" s="67"/>
      <c r="N530" s="67"/>
      <c r="O530" s="67"/>
      <c r="P530" s="18"/>
      <c r="R530" s="5"/>
      <c r="S530" s="5"/>
      <c r="Y530" s="323"/>
    </row>
    <row r="531" spans="1:25" s="7" customFormat="1" ht="15.8" customHeight="1">
      <c r="A531" s="5"/>
      <c r="B531" s="5"/>
      <c r="C531" s="5"/>
      <c r="D531" s="5"/>
      <c r="E531" s="5"/>
      <c r="F531" s="5"/>
      <c r="G531" s="5"/>
      <c r="H531" s="5"/>
      <c r="I531" s="5"/>
      <c r="J531" s="5"/>
      <c r="K531" s="67"/>
      <c r="L531" s="67"/>
      <c r="M531" s="67"/>
      <c r="N531" s="67"/>
      <c r="O531" s="67"/>
      <c r="P531" s="18"/>
      <c r="R531" s="5"/>
      <c r="S531" s="5"/>
      <c r="Y531" s="323"/>
    </row>
    <row r="532" spans="1:25" s="7" customFormat="1" ht="15.8" customHeight="1">
      <c r="A532" s="5"/>
      <c r="B532" s="5"/>
      <c r="C532" s="5"/>
      <c r="D532" s="5"/>
      <c r="E532" s="5"/>
      <c r="F532" s="5"/>
      <c r="G532" s="5"/>
      <c r="H532" s="5"/>
      <c r="I532" s="5"/>
      <c r="J532" s="5"/>
      <c r="K532" s="67"/>
      <c r="L532" s="67"/>
      <c r="M532" s="67"/>
      <c r="N532" s="67"/>
      <c r="O532" s="67"/>
      <c r="P532" s="18"/>
      <c r="R532" s="5"/>
      <c r="S532" s="5"/>
      <c r="Y532" s="323"/>
    </row>
    <row r="533" spans="1:25" s="7" customFormat="1" ht="15.8" customHeight="1">
      <c r="A533" s="5"/>
      <c r="B533" s="5"/>
      <c r="C533" s="5"/>
      <c r="D533" s="5"/>
      <c r="E533" s="5"/>
      <c r="F533" s="5"/>
      <c r="G533" s="5"/>
      <c r="H533" s="5"/>
      <c r="I533" s="5"/>
      <c r="J533" s="5"/>
      <c r="K533" s="67"/>
      <c r="L533" s="67"/>
      <c r="M533" s="67"/>
      <c r="N533" s="67"/>
      <c r="O533" s="67"/>
      <c r="P533" s="18"/>
      <c r="R533" s="5"/>
      <c r="S533" s="5"/>
      <c r="Y533" s="323"/>
    </row>
    <row r="534" spans="1:25" s="7" customFormat="1" ht="15.8" customHeight="1">
      <c r="A534" s="5"/>
      <c r="B534" s="5"/>
      <c r="C534" s="5"/>
      <c r="D534" s="5"/>
      <c r="E534" s="5"/>
      <c r="F534" s="5"/>
      <c r="G534" s="5"/>
      <c r="H534" s="5"/>
      <c r="I534" s="5"/>
      <c r="J534" s="5"/>
      <c r="K534" s="67"/>
      <c r="L534" s="67"/>
      <c r="M534" s="67"/>
      <c r="N534" s="67"/>
      <c r="O534" s="67"/>
      <c r="P534" s="18"/>
      <c r="R534" s="5"/>
      <c r="S534" s="5"/>
      <c r="Y534" s="323"/>
    </row>
    <row r="535" spans="1:25" s="7" customFormat="1" ht="15.8" customHeight="1">
      <c r="A535" s="5"/>
      <c r="B535" s="5"/>
      <c r="C535" s="5"/>
      <c r="D535" s="5"/>
      <c r="E535" s="5"/>
      <c r="F535" s="5"/>
      <c r="G535" s="5"/>
      <c r="H535" s="5"/>
      <c r="I535" s="5"/>
      <c r="J535" s="5"/>
      <c r="K535" s="67"/>
      <c r="L535" s="67"/>
      <c r="M535" s="67"/>
      <c r="N535" s="67"/>
      <c r="O535" s="67"/>
      <c r="P535" s="18"/>
      <c r="R535" s="5"/>
      <c r="S535" s="5"/>
      <c r="Y535" s="323"/>
    </row>
    <row r="536" spans="1:25" s="7" customFormat="1" ht="15.8" customHeight="1">
      <c r="A536" s="5"/>
      <c r="B536" s="5"/>
      <c r="C536" s="5"/>
      <c r="D536" s="5"/>
      <c r="E536" s="5"/>
      <c r="F536" s="5"/>
      <c r="G536" s="5"/>
      <c r="H536" s="5"/>
      <c r="I536" s="5"/>
      <c r="J536" s="5"/>
      <c r="K536" s="67"/>
      <c r="L536" s="67"/>
      <c r="M536" s="67"/>
      <c r="N536" s="67"/>
      <c r="O536" s="67"/>
      <c r="P536" s="18"/>
      <c r="R536" s="5"/>
      <c r="S536" s="5"/>
      <c r="Y536" s="323"/>
    </row>
    <row r="537" spans="1:25" s="7" customFormat="1" ht="15.8" customHeight="1">
      <c r="A537" s="5"/>
      <c r="B537" s="5"/>
      <c r="C537" s="5"/>
      <c r="D537" s="5"/>
      <c r="E537" s="5"/>
      <c r="F537" s="5"/>
      <c r="G537" s="5"/>
      <c r="H537" s="5"/>
      <c r="I537" s="5"/>
      <c r="J537" s="5"/>
      <c r="K537" s="67"/>
      <c r="L537" s="67"/>
      <c r="M537" s="67"/>
      <c r="N537" s="67"/>
      <c r="O537" s="67"/>
      <c r="P537" s="18"/>
      <c r="R537" s="5"/>
      <c r="S537" s="5"/>
      <c r="Y537" s="323"/>
    </row>
    <row r="538" spans="1:25" s="7" customFormat="1" ht="15.8" customHeight="1">
      <c r="A538" s="5"/>
      <c r="B538" s="5"/>
      <c r="C538" s="5"/>
      <c r="D538" s="5"/>
      <c r="E538" s="5"/>
      <c r="F538" s="5"/>
      <c r="G538" s="5"/>
      <c r="H538" s="5"/>
      <c r="I538" s="5"/>
      <c r="J538" s="5"/>
      <c r="K538" s="67"/>
      <c r="L538" s="67"/>
      <c r="M538" s="67"/>
      <c r="N538" s="67"/>
      <c r="O538" s="67"/>
      <c r="P538" s="18"/>
      <c r="R538" s="5"/>
      <c r="S538" s="5"/>
      <c r="Y538" s="323"/>
    </row>
    <row r="539" spans="1:25" s="7" customFormat="1" ht="15.8" customHeight="1">
      <c r="A539" s="5"/>
      <c r="B539" s="5"/>
      <c r="C539" s="5"/>
      <c r="D539" s="5"/>
      <c r="E539" s="5"/>
      <c r="F539" s="5"/>
      <c r="G539" s="5"/>
      <c r="H539" s="5"/>
      <c r="I539" s="5"/>
      <c r="J539" s="5"/>
      <c r="K539" s="67"/>
      <c r="L539" s="67"/>
      <c r="M539" s="67"/>
      <c r="N539" s="67"/>
      <c r="O539" s="67"/>
      <c r="P539" s="18"/>
      <c r="R539" s="5"/>
      <c r="S539" s="5"/>
      <c r="Y539" s="323"/>
    </row>
    <row r="540" spans="1:25" s="7" customFormat="1" ht="15.8" customHeight="1">
      <c r="A540" s="5"/>
      <c r="B540" s="5"/>
      <c r="C540" s="5"/>
      <c r="D540" s="5"/>
      <c r="E540" s="5"/>
      <c r="F540" s="5"/>
      <c r="G540" s="5"/>
      <c r="H540" s="5"/>
      <c r="I540" s="5"/>
      <c r="J540" s="5"/>
      <c r="K540" s="67"/>
      <c r="L540" s="67"/>
      <c r="M540" s="67"/>
      <c r="N540" s="67"/>
      <c r="O540" s="67"/>
      <c r="P540" s="18"/>
      <c r="R540" s="5"/>
      <c r="S540" s="5"/>
      <c r="Y540" s="323"/>
    </row>
    <row r="541" spans="1:25" s="7" customFormat="1" ht="15.8" customHeight="1">
      <c r="A541" s="5"/>
      <c r="B541" s="5"/>
      <c r="C541" s="5"/>
      <c r="D541" s="5"/>
      <c r="E541" s="5"/>
      <c r="F541" s="5"/>
      <c r="G541" s="5"/>
      <c r="H541" s="5"/>
      <c r="I541" s="5"/>
      <c r="J541" s="5"/>
      <c r="K541" s="67"/>
      <c r="L541" s="67"/>
      <c r="M541" s="67"/>
      <c r="N541" s="67"/>
      <c r="O541" s="67"/>
      <c r="P541" s="18"/>
      <c r="R541" s="5"/>
      <c r="S541" s="5"/>
      <c r="Y541" s="323"/>
    </row>
    <row r="542" spans="1:25" s="7" customFormat="1" ht="15.8" customHeight="1">
      <c r="A542" s="5"/>
      <c r="B542" s="5"/>
      <c r="C542" s="5"/>
      <c r="D542" s="5"/>
      <c r="E542" s="5"/>
      <c r="F542" s="5"/>
      <c r="G542" s="5"/>
      <c r="H542" s="5"/>
      <c r="I542" s="5"/>
      <c r="J542" s="5"/>
      <c r="K542" s="67"/>
      <c r="L542" s="67"/>
      <c r="M542" s="67"/>
      <c r="N542" s="67"/>
      <c r="O542" s="67"/>
      <c r="P542" s="18"/>
      <c r="R542" s="5"/>
      <c r="S542" s="5"/>
      <c r="Y542" s="323"/>
    </row>
    <row r="543" spans="1:25" s="7" customFormat="1" ht="15.8" customHeight="1">
      <c r="A543" s="5"/>
      <c r="B543" s="5"/>
      <c r="C543" s="5"/>
      <c r="D543" s="5"/>
      <c r="E543" s="5"/>
      <c r="F543" s="5"/>
      <c r="G543" s="5"/>
      <c r="H543" s="5"/>
      <c r="I543" s="5"/>
      <c r="J543" s="5"/>
      <c r="K543" s="67"/>
      <c r="L543" s="67"/>
      <c r="M543" s="67"/>
      <c r="N543" s="67"/>
      <c r="O543" s="67"/>
      <c r="P543" s="18"/>
      <c r="R543" s="5"/>
      <c r="S543" s="5"/>
      <c r="Y543" s="323"/>
    </row>
    <row r="544" spans="1:25" s="7" customFormat="1" ht="15.8" customHeight="1">
      <c r="A544" s="5"/>
      <c r="B544" s="5"/>
      <c r="C544" s="5"/>
      <c r="D544" s="5"/>
      <c r="E544" s="5"/>
      <c r="F544" s="5"/>
      <c r="G544" s="5"/>
      <c r="H544" s="5"/>
      <c r="I544" s="5"/>
      <c r="J544" s="5"/>
      <c r="K544" s="67"/>
      <c r="L544" s="67"/>
      <c r="M544" s="67"/>
      <c r="N544" s="67"/>
      <c r="O544" s="67"/>
      <c r="P544" s="18"/>
      <c r="R544" s="5"/>
      <c r="S544" s="5"/>
      <c r="Y544" s="323"/>
    </row>
    <row r="545" spans="1:25" s="7" customFormat="1" ht="15.8" customHeight="1">
      <c r="A545" s="5"/>
      <c r="B545" s="5"/>
      <c r="C545" s="5"/>
      <c r="D545" s="5"/>
      <c r="E545" s="5"/>
      <c r="F545" s="5"/>
      <c r="G545" s="5"/>
      <c r="H545" s="5"/>
      <c r="I545" s="5"/>
      <c r="J545" s="5"/>
      <c r="K545" s="67"/>
      <c r="L545" s="67"/>
      <c r="M545" s="67"/>
      <c r="N545" s="67"/>
      <c r="O545" s="67"/>
      <c r="P545" s="18"/>
      <c r="R545" s="5"/>
      <c r="S545" s="5"/>
      <c r="Y545" s="323"/>
    </row>
    <row r="546" spans="1:25" s="7" customFormat="1" ht="15.8" customHeight="1">
      <c r="A546" s="5"/>
      <c r="B546" s="5"/>
      <c r="C546" s="5"/>
      <c r="D546" s="5"/>
      <c r="E546" s="5"/>
      <c r="F546" s="5"/>
      <c r="G546" s="5"/>
      <c r="H546" s="5"/>
      <c r="I546" s="5"/>
      <c r="J546" s="5"/>
      <c r="K546" s="67"/>
      <c r="L546" s="67"/>
      <c r="M546" s="67"/>
      <c r="N546" s="67"/>
      <c r="O546" s="67"/>
      <c r="P546" s="18"/>
      <c r="R546" s="5"/>
      <c r="S546" s="5"/>
      <c r="Y546" s="323"/>
    </row>
    <row r="547" spans="1:25" s="7" customFormat="1" ht="15.8" customHeight="1">
      <c r="A547" s="5"/>
      <c r="B547" s="5"/>
      <c r="C547" s="5"/>
      <c r="D547" s="5"/>
      <c r="E547" s="5"/>
      <c r="F547" s="5"/>
      <c r="G547" s="5"/>
      <c r="H547" s="5"/>
      <c r="I547" s="5"/>
      <c r="J547" s="5"/>
      <c r="K547" s="67"/>
      <c r="L547" s="67"/>
      <c r="M547" s="67"/>
      <c r="N547" s="67"/>
      <c r="O547" s="67"/>
      <c r="P547" s="18"/>
      <c r="R547" s="5"/>
      <c r="S547" s="5"/>
      <c r="Y547" s="323"/>
    </row>
    <row r="548" spans="1:25" s="7" customFormat="1" ht="15.8" customHeight="1">
      <c r="A548" s="5"/>
      <c r="B548" s="5"/>
      <c r="C548" s="5"/>
      <c r="D548" s="5"/>
      <c r="E548" s="5"/>
      <c r="F548" s="5"/>
      <c r="G548" s="5"/>
      <c r="H548" s="5"/>
      <c r="I548" s="5"/>
      <c r="J548" s="5"/>
      <c r="K548" s="67"/>
      <c r="L548" s="67"/>
      <c r="M548" s="67"/>
      <c r="N548" s="67"/>
      <c r="O548" s="67"/>
      <c r="P548" s="18"/>
      <c r="R548" s="5"/>
      <c r="S548" s="5"/>
      <c r="Y548" s="323"/>
    </row>
    <row r="549" spans="1:25" s="7" customFormat="1" ht="15.8" customHeight="1">
      <c r="A549" s="5"/>
      <c r="B549" s="5"/>
      <c r="C549" s="5"/>
      <c r="D549" s="5"/>
      <c r="E549" s="5"/>
      <c r="F549" s="5"/>
      <c r="G549" s="5"/>
      <c r="H549" s="5"/>
      <c r="I549" s="5"/>
      <c r="J549" s="5"/>
      <c r="K549" s="67"/>
      <c r="L549" s="67"/>
      <c r="M549" s="67"/>
      <c r="N549" s="67"/>
      <c r="O549" s="67"/>
      <c r="P549" s="18"/>
      <c r="R549" s="5"/>
      <c r="S549" s="5"/>
      <c r="Y549" s="323"/>
    </row>
    <row r="550" spans="1:25" s="7" customFormat="1" ht="15.8" customHeight="1">
      <c r="A550" s="5"/>
      <c r="B550" s="5"/>
      <c r="C550" s="5"/>
      <c r="D550" s="5"/>
      <c r="E550" s="5"/>
      <c r="F550" s="5"/>
      <c r="G550" s="5"/>
      <c r="H550" s="5"/>
      <c r="I550" s="5"/>
      <c r="J550" s="5"/>
      <c r="K550" s="67"/>
      <c r="L550" s="67"/>
      <c r="M550" s="67"/>
      <c r="N550" s="67"/>
      <c r="O550" s="67"/>
      <c r="P550" s="18"/>
      <c r="R550" s="5"/>
      <c r="S550" s="5"/>
      <c r="Y550" s="323"/>
    </row>
    <row r="551" spans="1:25" s="7" customFormat="1" ht="15.8" customHeight="1">
      <c r="A551" s="5"/>
      <c r="B551" s="5"/>
      <c r="C551" s="5"/>
      <c r="D551" s="5"/>
      <c r="E551" s="5"/>
      <c r="F551" s="5"/>
      <c r="G551" s="5"/>
      <c r="H551" s="5"/>
      <c r="I551" s="5"/>
      <c r="J551" s="5"/>
      <c r="K551" s="67"/>
      <c r="L551" s="67"/>
      <c r="M551" s="67"/>
      <c r="N551" s="67"/>
      <c r="O551" s="67"/>
      <c r="P551" s="18"/>
      <c r="R551" s="5"/>
      <c r="S551" s="5"/>
      <c r="Y551" s="323"/>
    </row>
    <row r="552" spans="1:25" s="7" customFormat="1" ht="15.8" customHeight="1">
      <c r="A552" s="5"/>
      <c r="B552" s="5"/>
      <c r="C552" s="5"/>
      <c r="D552" s="5"/>
      <c r="E552" s="5"/>
      <c r="F552" s="5"/>
      <c r="G552" s="5"/>
      <c r="H552" s="5"/>
      <c r="I552" s="5"/>
      <c r="J552" s="5"/>
      <c r="K552" s="67"/>
      <c r="L552" s="67"/>
      <c r="M552" s="67"/>
      <c r="N552" s="67"/>
      <c r="O552" s="67"/>
      <c r="P552" s="18"/>
      <c r="R552" s="5"/>
      <c r="S552" s="5"/>
      <c r="Y552" s="323"/>
    </row>
    <row r="553" spans="1:25" s="7" customFormat="1" ht="15.8" customHeight="1">
      <c r="A553" s="5"/>
      <c r="B553" s="5"/>
      <c r="C553" s="5"/>
      <c r="D553" s="5"/>
      <c r="E553" s="5"/>
      <c r="F553" s="5"/>
      <c r="G553" s="5"/>
      <c r="H553" s="5"/>
      <c r="I553" s="5"/>
      <c r="J553" s="5"/>
      <c r="K553" s="67"/>
      <c r="L553" s="67"/>
      <c r="M553" s="67"/>
      <c r="N553" s="67"/>
      <c r="O553" s="67"/>
      <c r="P553" s="18"/>
      <c r="R553" s="5"/>
      <c r="S553" s="5"/>
      <c r="Y553" s="323"/>
    </row>
    <row r="554" spans="1:25" s="7" customFormat="1" ht="15.8" customHeight="1">
      <c r="A554" s="5"/>
      <c r="B554" s="5"/>
      <c r="C554" s="5"/>
      <c r="D554" s="5"/>
      <c r="E554" s="5"/>
      <c r="F554" s="5"/>
      <c r="G554" s="5"/>
      <c r="H554" s="5"/>
      <c r="I554" s="5"/>
      <c r="J554" s="5"/>
      <c r="K554" s="67"/>
      <c r="L554" s="67"/>
      <c r="M554" s="67"/>
      <c r="N554" s="67"/>
      <c r="O554" s="67"/>
      <c r="P554" s="18"/>
      <c r="R554" s="5"/>
      <c r="S554" s="5"/>
      <c r="Y554" s="323"/>
    </row>
    <row r="555" spans="1:25" s="7" customFormat="1" ht="15.8" customHeight="1">
      <c r="A555" s="5"/>
      <c r="B555" s="5"/>
      <c r="C555" s="5"/>
      <c r="D555" s="5"/>
      <c r="E555" s="5"/>
      <c r="F555" s="5"/>
      <c r="G555" s="5"/>
      <c r="H555" s="5"/>
      <c r="I555" s="5"/>
      <c r="J555" s="5"/>
      <c r="K555" s="67"/>
      <c r="L555" s="67"/>
      <c r="M555" s="67"/>
      <c r="N555" s="67"/>
      <c r="O555" s="67"/>
      <c r="P555" s="18"/>
      <c r="R555" s="5"/>
      <c r="S555" s="5"/>
      <c r="Y555" s="323"/>
    </row>
    <row r="556" spans="1:25" s="7" customFormat="1" ht="15.8" customHeight="1">
      <c r="A556" s="5"/>
      <c r="B556" s="5"/>
      <c r="C556" s="5"/>
      <c r="D556" s="5"/>
      <c r="E556" s="5"/>
      <c r="F556" s="5"/>
      <c r="G556" s="5"/>
      <c r="H556" s="5"/>
      <c r="I556" s="5"/>
      <c r="J556" s="5"/>
      <c r="K556" s="67"/>
      <c r="L556" s="67"/>
      <c r="M556" s="67"/>
      <c r="N556" s="67"/>
      <c r="O556" s="67"/>
      <c r="P556" s="18"/>
      <c r="R556" s="5"/>
      <c r="S556" s="5"/>
      <c r="Y556" s="323"/>
    </row>
    <row r="557" spans="1:25" s="7" customFormat="1" ht="15.8" customHeight="1">
      <c r="A557" s="5"/>
      <c r="B557" s="5"/>
      <c r="C557" s="5"/>
      <c r="D557" s="5"/>
      <c r="E557" s="5"/>
      <c r="F557" s="5"/>
      <c r="G557" s="5"/>
      <c r="H557" s="5"/>
      <c r="I557" s="5"/>
      <c r="J557" s="5"/>
      <c r="K557" s="67"/>
      <c r="L557" s="67"/>
      <c r="M557" s="67"/>
      <c r="N557" s="67"/>
      <c r="O557" s="67"/>
      <c r="P557" s="18"/>
      <c r="R557" s="5"/>
      <c r="S557" s="5"/>
      <c r="Y557" s="323"/>
    </row>
    <row r="558" spans="1:25" s="7" customFormat="1" ht="15.8" customHeight="1">
      <c r="A558" s="5"/>
      <c r="B558" s="5"/>
      <c r="C558" s="5"/>
      <c r="D558" s="5"/>
      <c r="E558" s="5"/>
      <c r="F558" s="5"/>
      <c r="G558" s="5"/>
      <c r="H558" s="5"/>
      <c r="I558" s="5"/>
      <c r="J558" s="5"/>
      <c r="K558" s="67"/>
      <c r="L558" s="67"/>
      <c r="M558" s="67"/>
      <c r="N558" s="67"/>
      <c r="O558" s="67"/>
      <c r="P558" s="18"/>
      <c r="R558" s="5"/>
      <c r="S558" s="5"/>
      <c r="Y558" s="323"/>
    </row>
    <row r="559" spans="1:25" s="7" customFormat="1" ht="15.8" customHeight="1">
      <c r="A559" s="5"/>
      <c r="B559" s="5"/>
      <c r="C559" s="5"/>
      <c r="D559" s="5"/>
      <c r="E559" s="5"/>
      <c r="F559" s="5"/>
      <c r="G559" s="5"/>
      <c r="H559" s="5"/>
      <c r="I559" s="5"/>
      <c r="J559" s="5"/>
      <c r="K559" s="67"/>
      <c r="L559" s="67"/>
      <c r="M559" s="67"/>
      <c r="N559" s="67"/>
      <c r="O559" s="67"/>
      <c r="P559" s="18"/>
      <c r="R559" s="5"/>
      <c r="S559" s="5"/>
      <c r="Y559" s="323"/>
    </row>
    <row r="560" spans="1:25" s="7" customFormat="1" ht="15.8" customHeight="1">
      <c r="A560" s="5"/>
      <c r="B560" s="5"/>
      <c r="C560" s="5"/>
      <c r="D560" s="5"/>
      <c r="E560" s="5"/>
      <c r="F560" s="5"/>
      <c r="G560" s="5"/>
      <c r="H560" s="5"/>
      <c r="I560" s="5"/>
      <c r="J560" s="5"/>
      <c r="K560" s="67"/>
      <c r="L560" s="67"/>
      <c r="M560" s="67"/>
      <c r="N560" s="67"/>
      <c r="O560" s="67"/>
      <c r="P560" s="18"/>
      <c r="R560" s="5"/>
      <c r="S560" s="5"/>
      <c r="Y560" s="323"/>
    </row>
    <row r="561" spans="1:25" s="7" customFormat="1" ht="15.8" customHeight="1">
      <c r="A561" s="5"/>
      <c r="B561" s="5"/>
      <c r="C561" s="5"/>
      <c r="D561" s="5"/>
      <c r="E561" s="5"/>
      <c r="F561" s="5"/>
      <c r="G561" s="5"/>
      <c r="H561" s="5"/>
      <c r="I561" s="5"/>
      <c r="J561" s="5"/>
      <c r="K561" s="67"/>
      <c r="L561" s="67"/>
      <c r="M561" s="67"/>
      <c r="N561" s="67"/>
      <c r="O561" s="67"/>
      <c r="P561" s="18"/>
      <c r="R561" s="5"/>
      <c r="S561" s="5"/>
      <c r="Y561" s="323"/>
    </row>
    <row r="562" spans="1:25" s="7" customFormat="1" ht="15.8" customHeight="1">
      <c r="A562" s="5"/>
      <c r="B562" s="5"/>
      <c r="C562" s="5"/>
      <c r="D562" s="5"/>
      <c r="E562" s="5"/>
      <c r="F562" s="5"/>
      <c r="G562" s="5"/>
      <c r="H562" s="5"/>
      <c r="I562" s="5"/>
      <c r="J562" s="5"/>
      <c r="K562" s="67"/>
      <c r="L562" s="67"/>
      <c r="M562" s="67"/>
      <c r="N562" s="67"/>
      <c r="O562" s="67"/>
      <c r="P562" s="18"/>
      <c r="R562" s="5"/>
      <c r="S562" s="5"/>
      <c r="Y562" s="323"/>
    </row>
    <row r="563" spans="1:25" s="7" customFormat="1" ht="15.8" customHeight="1">
      <c r="A563" s="5"/>
      <c r="B563" s="5"/>
      <c r="C563" s="5"/>
      <c r="D563" s="5"/>
      <c r="E563" s="5"/>
      <c r="F563" s="5"/>
      <c r="G563" s="5"/>
      <c r="H563" s="5"/>
      <c r="I563" s="5"/>
      <c r="J563" s="5"/>
      <c r="K563" s="67"/>
      <c r="L563" s="67"/>
      <c r="M563" s="67"/>
      <c r="N563" s="67"/>
      <c r="O563" s="67"/>
      <c r="P563" s="18"/>
      <c r="R563" s="5"/>
      <c r="S563" s="5"/>
      <c r="Y563" s="323"/>
    </row>
    <row r="564" spans="1:25" s="7" customFormat="1" ht="15.8" customHeight="1">
      <c r="A564" s="5"/>
      <c r="B564" s="5"/>
      <c r="C564" s="5"/>
      <c r="D564" s="5"/>
      <c r="E564" s="5"/>
      <c r="F564" s="5"/>
      <c r="G564" s="5"/>
      <c r="H564" s="5"/>
      <c r="I564" s="5"/>
      <c r="J564" s="5"/>
      <c r="K564" s="67"/>
      <c r="L564" s="67"/>
      <c r="M564" s="67"/>
      <c r="N564" s="67"/>
      <c r="O564" s="67"/>
      <c r="P564" s="18"/>
      <c r="R564" s="5"/>
      <c r="S564" s="5"/>
      <c r="Y564" s="323"/>
    </row>
    <row r="565" spans="1:25" s="7" customFormat="1" ht="15.8" customHeight="1">
      <c r="A565" s="5"/>
      <c r="B565" s="5"/>
      <c r="C565" s="5"/>
      <c r="D565" s="5"/>
      <c r="E565" s="5"/>
      <c r="F565" s="5"/>
      <c r="G565" s="5"/>
      <c r="H565" s="5"/>
      <c r="I565" s="5"/>
      <c r="J565" s="5"/>
      <c r="K565" s="67"/>
      <c r="L565" s="67"/>
      <c r="M565" s="67"/>
      <c r="N565" s="67"/>
      <c r="O565" s="67"/>
      <c r="P565" s="18"/>
      <c r="R565" s="5"/>
      <c r="S565" s="5"/>
      <c r="Y565" s="323"/>
    </row>
    <row r="566" spans="1:25" s="7" customFormat="1" ht="15.8" customHeight="1">
      <c r="A566" s="5"/>
      <c r="B566" s="5"/>
      <c r="C566" s="5"/>
      <c r="D566" s="5"/>
      <c r="E566" s="5"/>
      <c r="F566" s="5"/>
      <c r="G566" s="5"/>
      <c r="H566" s="5"/>
      <c r="I566" s="5"/>
      <c r="J566" s="5"/>
      <c r="K566" s="67"/>
      <c r="L566" s="67"/>
      <c r="M566" s="67"/>
      <c r="N566" s="67"/>
      <c r="O566" s="67"/>
      <c r="P566" s="18"/>
      <c r="R566" s="5"/>
      <c r="S566" s="5"/>
      <c r="Y566" s="323"/>
    </row>
    <row r="567" spans="1:25" s="7" customFormat="1" ht="15.8" customHeight="1">
      <c r="A567" s="5"/>
      <c r="B567" s="5"/>
      <c r="C567" s="5"/>
      <c r="D567" s="5"/>
      <c r="E567" s="5"/>
      <c r="F567" s="5"/>
      <c r="G567" s="5"/>
      <c r="H567" s="5"/>
      <c r="I567" s="5"/>
      <c r="J567" s="5"/>
      <c r="K567" s="67"/>
      <c r="L567" s="67"/>
      <c r="M567" s="67"/>
      <c r="N567" s="67"/>
      <c r="O567" s="67"/>
      <c r="P567" s="18"/>
      <c r="R567" s="5"/>
      <c r="S567" s="5"/>
      <c r="Y567" s="323"/>
    </row>
    <row r="568" spans="1:25" s="7" customFormat="1" ht="15.8" customHeight="1">
      <c r="A568" s="5"/>
      <c r="B568" s="5"/>
      <c r="C568" s="5"/>
      <c r="D568" s="5"/>
      <c r="E568" s="5"/>
      <c r="F568" s="5"/>
      <c r="G568" s="5"/>
      <c r="H568" s="5"/>
      <c r="I568" s="5"/>
      <c r="J568" s="5"/>
      <c r="K568" s="67"/>
      <c r="L568" s="67"/>
      <c r="M568" s="67"/>
      <c r="N568" s="67"/>
      <c r="O568" s="67"/>
      <c r="P568" s="18"/>
      <c r="R568" s="5"/>
      <c r="S568" s="5"/>
      <c r="Y568" s="323"/>
    </row>
    <row r="569" spans="1:25" s="7" customFormat="1" ht="15.8" customHeight="1">
      <c r="A569" s="5"/>
      <c r="B569" s="5"/>
      <c r="C569" s="5"/>
      <c r="D569" s="5"/>
      <c r="E569" s="5"/>
      <c r="F569" s="5"/>
      <c r="G569" s="5"/>
      <c r="H569" s="5"/>
      <c r="I569" s="5"/>
      <c r="J569" s="5"/>
      <c r="K569" s="67"/>
      <c r="L569" s="67"/>
      <c r="M569" s="67"/>
      <c r="N569" s="67"/>
      <c r="O569" s="67"/>
      <c r="P569" s="18"/>
      <c r="R569" s="5"/>
      <c r="S569" s="5"/>
      <c r="Y569" s="323"/>
    </row>
    <row r="570" spans="1:25" s="7" customFormat="1" ht="15.8" customHeight="1">
      <c r="A570" s="5"/>
      <c r="B570" s="5"/>
      <c r="C570" s="5"/>
      <c r="D570" s="5"/>
      <c r="E570" s="5"/>
      <c r="F570" s="5"/>
      <c r="G570" s="5"/>
      <c r="H570" s="5"/>
      <c r="I570" s="5"/>
      <c r="J570" s="5"/>
      <c r="K570" s="67"/>
      <c r="L570" s="67"/>
      <c r="M570" s="67"/>
      <c r="N570" s="67"/>
      <c r="O570" s="67"/>
      <c r="P570" s="18"/>
      <c r="R570" s="5"/>
      <c r="S570" s="5"/>
      <c r="Y570" s="323"/>
    </row>
    <row r="571" spans="1:25" s="7" customFormat="1" ht="15.8" customHeight="1">
      <c r="A571" s="5"/>
      <c r="B571" s="5"/>
      <c r="C571" s="5"/>
      <c r="D571" s="5"/>
      <c r="E571" s="5"/>
      <c r="F571" s="5"/>
      <c r="G571" s="5"/>
      <c r="H571" s="5"/>
      <c r="I571" s="5"/>
      <c r="J571" s="5"/>
      <c r="K571" s="67"/>
      <c r="L571" s="67"/>
      <c r="M571" s="67"/>
      <c r="N571" s="67"/>
      <c r="O571" s="67"/>
      <c r="P571" s="18"/>
      <c r="R571" s="5"/>
      <c r="S571" s="5"/>
      <c r="Y571" s="323"/>
    </row>
    <row r="572" spans="1:25" s="7" customFormat="1" ht="15.8" customHeight="1">
      <c r="A572" s="5"/>
      <c r="B572" s="5"/>
      <c r="C572" s="5"/>
      <c r="D572" s="5"/>
      <c r="E572" s="5"/>
      <c r="F572" s="5"/>
      <c r="G572" s="5"/>
      <c r="H572" s="5"/>
      <c r="I572" s="5"/>
      <c r="J572" s="5"/>
      <c r="K572" s="67"/>
      <c r="L572" s="67"/>
      <c r="M572" s="67"/>
      <c r="N572" s="67"/>
      <c r="O572" s="67"/>
      <c r="P572" s="18"/>
      <c r="R572" s="5"/>
      <c r="S572" s="5"/>
      <c r="Y572" s="323"/>
    </row>
    <row r="573" spans="1:25" s="7" customFormat="1" ht="15.8" customHeight="1">
      <c r="A573" s="5"/>
      <c r="B573" s="5"/>
      <c r="C573" s="5"/>
      <c r="D573" s="5"/>
      <c r="E573" s="5"/>
      <c r="F573" s="5"/>
      <c r="G573" s="5"/>
      <c r="H573" s="5"/>
      <c r="I573" s="5"/>
      <c r="J573" s="5"/>
      <c r="K573" s="67"/>
      <c r="L573" s="67"/>
      <c r="M573" s="67"/>
      <c r="N573" s="67"/>
      <c r="O573" s="67"/>
      <c r="P573" s="18"/>
      <c r="R573" s="5"/>
      <c r="S573" s="5"/>
      <c r="Y573" s="323"/>
    </row>
    <row r="574" spans="1:25" s="7" customFormat="1" ht="15.8" customHeight="1">
      <c r="A574" s="5"/>
      <c r="B574" s="5"/>
      <c r="C574" s="5"/>
      <c r="D574" s="5"/>
      <c r="E574" s="5"/>
      <c r="F574" s="5"/>
      <c r="G574" s="5"/>
      <c r="H574" s="5"/>
      <c r="I574" s="5"/>
      <c r="J574" s="5"/>
      <c r="K574" s="67"/>
      <c r="L574" s="67"/>
      <c r="M574" s="67"/>
      <c r="N574" s="67"/>
      <c r="O574" s="67"/>
      <c r="P574" s="18"/>
      <c r="R574" s="5"/>
      <c r="S574" s="5"/>
      <c r="Y574" s="323"/>
    </row>
    <row r="575" spans="1:25" s="7" customFormat="1" ht="15.8" customHeight="1">
      <c r="A575" s="5"/>
      <c r="B575" s="5"/>
      <c r="C575" s="5"/>
      <c r="D575" s="5"/>
      <c r="E575" s="5"/>
      <c r="F575" s="5"/>
      <c r="G575" s="5"/>
      <c r="H575" s="5"/>
      <c r="I575" s="5"/>
      <c r="J575" s="5"/>
      <c r="K575" s="67"/>
      <c r="L575" s="67"/>
      <c r="M575" s="67"/>
      <c r="N575" s="67"/>
      <c r="O575" s="67"/>
      <c r="P575" s="18"/>
      <c r="R575" s="5"/>
      <c r="S575" s="5"/>
      <c r="Y575" s="323"/>
    </row>
    <row r="576" spans="1:25" s="7" customFormat="1" ht="15.8" customHeight="1">
      <c r="A576" s="5"/>
      <c r="B576" s="5"/>
      <c r="C576" s="5"/>
      <c r="D576" s="5"/>
      <c r="E576" s="5"/>
      <c r="F576" s="5"/>
      <c r="G576" s="5"/>
      <c r="H576" s="5"/>
      <c r="I576" s="5"/>
      <c r="J576" s="5"/>
      <c r="K576" s="67"/>
      <c r="L576" s="67"/>
      <c r="M576" s="67"/>
      <c r="N576" s="67"/>
      <c r="O576" s="67"/>
      <c r="P576" s="18"/>
      <c r="R576" s="5"/>
      <c r="S576" s="5"/>
      <c r="Y576" s="323"/>
    </row>
    <row r="577" spans="1:25" s="7" customFormat="1" ht="15.8" customHeight="1">
      <c r="A577" s="5"/>
      <c r="B577" s="5"/>
      <c r="C577" s="5"/>
      <c r="D577" s="5"/>
      <c r="E577" s="5"/>
      <c r="F577" s="5"/>
      <c r="G577" s="5"/>
      <c r="H577" s="5"/>
      <c r="I577" s="5"/>
      <c r="J577" s="5"/>
      <c r="K577" s="67"/>
      <c r="L577" s="67"/>
      <c r="M577" s="67"/>
      <c r="N577" s="67"/>
      <c r="O577" s="67"/>
      <c r="P577" s="18"/>
      <c r="R577" s="5"/>
      <c r="S577" s="5"/>
      <c r="Y577" s="323"/>
    </row>
    <row r="578" spans="1:25" s="7" customFormat="1" ht="15.8" customHeight="1">
      <c r="A578" s="5"/>
      <c r="B578" s="5"/>
      <c r="C578" s="5"/>
      <c r="D578" s="5"/>
      <c r="E578" s="5"/>
      <c r="F578" s="5"/>
      <c r="G578" s="5"/>
      <c r="H578" s="5"/>
      <c r="I578" s="5"/>
      <c r="J578" s="5"/>
      <c r="K578" s="67"/>
      <c r="L578" s="67"/>
      <c r="M578" s="67"/>
      <c r="N578" s="67"/>
      <c r="O578" s="67"/>
      <c r="P578" s="18"/>
      <c r="R578" s="5"/>
      <c r="S578" s="5"/>
      <c r="Y578" s="323"/>
    </row>
    <row r="579" spans="1:25" s="7" customFormat="1" ht="15.8" customHeight="1">
      <c r="A579" s="5"/>
      <c r="B579" s="5"/>
      <c r="C579" s="5"/>
      <c r="D579" s="5"/>
      <c r="E579" s="5"/>
      <c r="F579" s="5"/>
      <c r="G579" s="5"/>
      <c r="H579" s="5"/>
      <c r="I579" s="5"/>
      <c r="J579" s="5"/>
      <c r="K579" s="67"/>
      <c r="L579" s="67"/>
      <c r="M579" s="67"/>
      <c r="N579" s="67"/>
      <c r="O579" s="67"/>
      <c r="P579" s="18"/>
      <c r="R579" s="5"/>
      <c r="S579" s="5"/>
      <c r="Y579" s="323"/>
    </row>
    <row r="580" spans="1:25" s="7" customFormat="1" ht="15.8" customHeight="1">
      <c r="A580" s="5"/>
      <c r="B580" s="5"/>
      <c r="C580" s="5"/>
      <c r="D580" s="5"/>
      <c r="E580" s="5"/>
      <c r="F580" s="5"/>
      <c r="G580" s="5"/>
      <c r="H580" s="5"/>
      <c r="I580" s="5"/>
      <c r="J580" s="5"/>
      <c r="K580" s="67"/>
      <c r="L580" s="67"/>
      <c r="M580" s="67"/>
      <c r="N580" s="67"/>
      <c r="O580" s="67"/>
      <c r="P580" s="18"/>
      <c r="R580" s="5"/>
      <c r="S580" s="5"/>
      <c r="Y580" s="323"/>
    </row>
    <row r="581" spans="1:25" s="7" customFormat="1" ht="15.8" customHeight="1">
      <c r="A581" s="5"/>
      <c r="B581" s="5"/>
      <c r="C581" s="5"/>
      <c r="D581" s="5"/>
      <c r="E581" s="5"/>
      <c r="F581" s="5"/>
      <c r="G581" s="5"/>
      <c r="H581" s="5"/>
      <c r="I581" s="5"/>
      <c r="J581" s="5"/>
      <c r="K581" s="67"/>
      <c r="L581" s="67"/>
      <c r="M581" s="67"/>
      <c r="N581" s="67"/>
      <c r="O581" s="67"/>
      <c r="P581" s="18"/>
      <c r="R581" s="5"/>
      <c r="S581" s="5"/>
      <c r="Y581" s="323"/>
    </row>
    <row r="582" spans="1:25" s="7" customFormat="1" ht="15.8" customHeight="1">
      <c r="A582" s="5"/>
      <c r="B582" s="5"/>
      <c r="C582" s="5"/>
      <c r="D582" s="5"/>
      <c r="E582" s="5"/>
      <c r="F582" s="5"/>
      <c r="G582" s="5"/>
      <c r="H582" s="5"/>
      <c r="I582" s="5"/>
      <c r="J582" s="5"/>
      <c r="K582" s="67"/>
      <c r="L582" s="67"/>
      <c r="M582" s="67"/>
      <c r="N582" s="67"/>
      <c r="O582" s="67"/>
      <c r="P582" s="18"/>
      <c r="R582" s="5"/>
      <c r="S582" s="5"/>
      <c r="Y582" s="323"/>
    </row>
    <row r="583" spans="1:25" s="7" customFormat="1" ht="15.8" customHeight="1">
      <c r="A583" s="5"/>
      <c r="B583" s="5"/>
      <c r="C583" s="5"/>
      <c r="D583" s="5"/>
      <c r="E583" s="5"/>
      <c r="F583" s="5"/>
      <c r="G583" s="5"/>
      <c r="H583" s="5"/>
      <c r="I583" s="5"/>
      <c r="J583" s="5"/>
      <c r="K583" s="67"/>
      <c r="L583" s="67"/>
      <c r="M583" s="67"/>
      <c r="N583" s="67"/>
      <c r="O583" s="67"/>
      <c r="P583" s="18"/>
      <c r="R583" s="5"/>
      <c r="S583" s="5"/>
      <c r="Y583" s="323"/>
    </row>
    <row r="584" spans="1:25" s="7" customFormat="1" ht="15.8" customHeight="1">
      <c r="A584" s="5"/>
      <c r="B584" s="5"/>
      <c r="C584" s="5"/>
      <c r="D584" s="5"/>
      <c r="E584" s="5"/>
      <c r="F584" s="5"/>
      <c r="G584" s="5"/>
      <c r="H584" s="5"/>
      <c r="I584" s="5"/>
      <c r="J584" s="5"/>
      <c r="K584" s="67"/>
      <c r="L584" s="67"/>
      <c r="M584" s="67"/>
      <c r="N584" s="67"/>
      <c r="O584" s="67"/>
      <c r="P584" s="18"/>
      <c r="R584" s="5"/>
      <c r="S584" s="5"/>
      <c r="Y584" s="323"/>
    </row>
    <row r="585" spans="1:25" s="7" customFormat="1" ht="15.8" customHeight="1">
      <c r="A585" s="5"/>
      <c r="B585" s="5"/>
      <c r="C585" s="5"/>
      <c r="D585" s="5"/>
      <c r="E585" s="5"/>
      <c r="F585" s="5"/>
      <c r="G585" s="5"/>
      <c r="H585" s="5"/>
      <c r="I585" s="5"/>
      <c r="J585" s="5"/>
      <c r="K585" s="67"/>
      <c r="L585" s="67"/>
      <c r="M585" s="67"/>
      <c r="N585" s="67"/>
      <c r="O585" s="67"/>
      <c r="P585" s="18"/>
      <c r="R585" s="5"/>
      <c r="S585" s="5"/>
      <c r="Y585" s="323"/>
    </row>
    <row r="586" spans="1:25" s="7" customFormat="1" ht="15.8" customHeight="1">
      <c r="A586" s="5"/>
      <c r="B586" s="5"/>
      <c r="C586" s="5"/>
      <c r="D586" s="5"/>
      <c r="E586" s="5"/>
      <c r="F586" s="5"/>
      <c r="G586" s="5"/>
      <c r="H586" s="5"/>
      <c r="I586" s="5"/>
      <c r="J586" s="5"/>
      <c r="K586" s="67"/>
      <c r="L586" s="67"/>
      <c r="M586" s="67"/>
      <c r="N586" s="67"/>
      <c r="O586" s="67"/>
      <c r="P586" s="18"/>
      <c r="R586" s="5"/>
      <c r="S586" s="5"/>
      <c r="Y586" s="323"/>
    </row>
    <row r="587" spans="1:25" s="7" customFormat="1" ht="15.8" customHeight="1">
      <c r="A587" s="5"/>
      <c r="B587" s="5"/>
      <c r="C587" s="5"/>
      <c r="D587" s="5"/>
      <c r="E587" s="5"/>
      <c r="F587" s="5"/>
      <c r="G587" s="5"/>
      <c r="H587" s="5"/>
      <c r="I587" s="5"/>
      <c r="J587" s="5"/>
      <c r="K587" s="67"/>
      <c r="L587" s="67"/>
      <c r="M587" s="67"/>
      <c r="N587" s="67"/>
      <c r="O587" s="67"/>
      <c r="P587" s="18"/>
      <c r="R587" s="5"/>
      <c r="S587" s="5"/>
      <c r="Y587" s="323"/>
    </row>
    <row r="588" spans="1:25" s="7" customFormat="1" ht="15.8" customHeight="1">
      <c r="A588" s="5"/>
      <c r="B588" s="5"/>
      <c r="C588" s="5"/>
      <c r="D588" s="5"/>
      <c r="E588" s="5"/>
      <c r="F588" s="5"/>
      <c r="G588" s="5"/>
      <c r="H588" s="5"/>
      <c r="I588" s="5"/>
      <c r="J588" s="5"/>
      <c r="K588" s="67"/>
      <c r="L588" s="67"/>
      <c r="M588" s="67"/>
      <c r="N588" s="67"/>
      <c r="O588" s="67"/>
      <c r="P588" s="18"/>
      <c r="R588" s="5"/>
      <c r="S588" s="5"/>
      <c r="Y588" s="323"/>
    </row>
    <row r="589" spans="1:25" s="7" customFormat="1" ht="15.8" customHeight="1">
      <c r="A589" s="5"/>
      <c r="B589" s="5"/>
      <c r="C589" s="5"/>
      <c r="D589" s="5"/>
      <c r="E589" s="5"/>
      <c r="F589" s="5"/>
      <c r="G589" s="5"/>
      <c r="H589" s="5"/>
      <c r="I589" s="5"/>
      <c r="J589" s="5"/>
      <c r="K589" s="67"/>
      <c r="L589" s="67"/>
      <c r="M589" s="67"/>
      <c r="N589" s="67"/>
      <c r="O589" s="67"/>
      <c r="P589" s="18"/>
      <c r="R589" s="5"/>
      <c r="S589" s="5"/>
      <c r="Y589" s="323"/>
    </row>
    <row r="590" spans="1:25" s="7" customFormat="1" ht="15.8" customHeight="1">
      <c r="A590" s="5"/>
      <c r="B590" s="5"/>
      <c r="C590" s="5"/>
      <c r="D590" s="5"/>
      <c r="E590" s="5"/>
      <c r="F590" s="5"/>
      <c r="G590" s="5"/>
      <c r="H590" s="5"/>
      <c r="I590" s="5"/>
      <c r="J590" s="5"/>
      <c r="K590" s="67"/>
      <c r="L590" s="67"/>
      <c r="M590" s="67"/>
      <c r="N590" s="67"/>
      <c r="O590" s="67"/>
      <c r="P590" s="18"/>
      <c r="R590" s="5"/>
      <c r="S590" s="5"/>
      <c r="Y590" s="323"/>
    </row>
    <row r="591" spans="1:25" s="7" customFormat="1" ht="15.8" customHeight="1">
      <c r="A591" s="5"/>
      <c r="B591" s="5"/>
      <c r="C591" s="5"/>
      <c r="D591" s="5"/>
      <c r="E591" s="5"/>
      <c r="F591" s="5"/>
      <c r="G591" s="5"/>
      <c r="H591" s="5"/>
      <c r="I591" s="5"/>
      <c r="J591" s="5"/>
      <c r="K591" s="67"/>
      <c r="L591" s="67"/>
      <c r="M591" s="67"/>
      <c r="N591" s="67"/>
      <c r="O591" s="67"/>
      <c r="P591" s="18"/>
      <c r="R591" s="5"/>
      <c r="S591" s="5"/>
      <c r="Y591" s="323"/>
    </row>
    <row r="592" spans="1:25" s="7" customFormat="1" ht="15.8" customHeight="1">
      <c r="A592" s="5"/>
      <c r="B592" s="5"/>
      <c r="C592" s="5"/>
      <c r="D592" s="5"/>
      <c r="E592" s="5"/>
      <c r="F592" s="5"/>
      <c r="G592" s="5"/>
      <c r="H592" s="5"/>
      <c r="I592" s="5"/>
      <c r="J592" s="5"/>
      <c r="K592" s="67"/>
      <c r="L592" s="67"/>
      <c r="M592" s="67"/>
      <c r="N592" s="67"/>
      <c r="O592" s="67"/>
      <c r="P592" s="18"/>
      <c r="R592" s="5"/>
      <c r="S592" s="5"/>
      <c r="Y592" s="323"/>
    </row>
    <row r="593" spans="1:25" s="7" customFormat="1" ht="15.8" customHeight="1">
      <c r="A593" s="5"/>
      <c r="B593" s="5"/>
      <c r="C593" s="5"/>
      <c r="D593" s="5"/>
      <c r="E593" s="5"/>
      <c r="F593" s="5"/>
      <c r="G593" s="5"/>
      <c r="H593" s="5"/>
      <c r="I593" s="5"/>
      <c r="J593" s="5"/>
      <c r="K593" s="67"/>
      <c r="L593" s="67"/>
      <c r="M593" s="67"/>
      <c r="N593" s="67"/>
      <c r="O593" s="67"/>
      <c r="P593" s="18"/>
      <c r="R593" s="5"/>
      <c r="S593" s="5"/>
      <c r="Y593" s="323"/>
    </row>
    <row r="594" spans="1:25" s="7" customFormat="1" ht="15.8" customHeight="1">
      <c r="A594" s="5"/>
      <c r="B594" s="5"/>
      <c r="C594" s="5"/>
      <c r="D594" s="5"/>
      <c r="E594" s="5"/>
      <c r="F594" s="5"/>
      <c r="G594" s="5"/>
      <c r="H594" s="5"/>
      <c r="I594" s="5"/>
      <c r="J594" s="5"/>
      <c r="K594" s="67"/>
      <c r="L594" s="67"/>
      <c r="M594" s="67"/>
      <c r="N594" s="67"/>
      <c r="O594" s="67"/>
      <c r="P594" s="18"/>
      <c r="R594" s="5"/>
      <c r="S594" s="5"/>
      <c r="Y594" s="323"/>
    </row>
    <row r="595" spans="1:25" s="7" customFormat="1" ht="15.8" customHeight="1">
      <c r="A595" s="5"/>
      <c r="B595" s="5"/>
      <c r="C595" s="5"/>
      <c r="D595" s="5"/>
      <c r="E595" s="5"/>
      <c r="F595" s="5"/>
      <c r="G595" s="5"/>
      <c r="H595" s="5"/>
      <c r="I595" s="5"/>
      <c r="J595" s="5"/>
      <c r="K595" s="67"/>
      <c r="L595" s="67"/>
      <c r="M595" s="67"/>
      <c r="N595" s="67"/>
      <c r="O595" s="67"/>
      <c r="P595" s="18"/>
      <c r="R595" s="5"/>
      <c r="S595" s="5"/>
      <c r="Y595" s="323"/>
    </row>
    <row r="596" spans="1:25" s="7" customFormat="1" ht="15.8" customHeight="1">
      <c r="A596" s="5"/>
      <c r="B596" s="5"/>
      <c r="C596" s="5"/>
      <c r="D596" s="5"/>
      <c r="E596" s="5"/>
      <c r="F596" s="5"/>
      <c r="G596" s="5"/>
      <c r="H596" s="5"/>
      <c r="I596" s="5"/>
      <c r="J596" s="5"/>
      <c r="K596" s="67"/>
      <c r="L596" s="67"/>
      <c r="M596" s="67"/>
      <c r="N596" s="67"/>
      <c r="O596" s="67"/>
      <c r="P596" s="18"/>
      <c r="R596" s="5"/>
      <c r="S596" s="5"/>
      <c r="Y596" s="323"/>
    </row>
    <row r="597" spans="1:25" s="7" customFormat="1" ht="15.8" customHeight="1">
      <c r="A597" s="5"/>
      <c r="B597" s="5"/>
      <c r="C597" s="5"/>
      <c r="D597" s="5"/>
      <c r="E597" s="5"/>
      <c r="F597" s="5"/>
      <c r="G597" s="5"/>
      <c r="H597" s="5"/>
      <c r="I597" s="5"/>
      <c r="J597" s="5"/>
      <c r="K597" s="67"/>
      <c r="L597" s="67"/>
      <c r="M597" s="67"/>
      <c r="N597" s="67"/>
      <c r="O597" s="67"/>
      <c r="P597" s="18"/>
      <c r="R597" s="5"/>
      <c r="S597" s="5"/>
      <c r="Y597" s="323"/>
    </row>
    <row r="598" spans="1:25" s="7" customFormat="1" ht="15.8" customHeight="1">
      <c r="A598" s="5"/>
      <c r="B598" s="5"/>
      <c r="C598" s="5"/>
      <c r="D598" s="5"/>
      <c r="E598" s="5"/>
      <c r="F598" s="5"/>
      <c r="G598" s="5"/>
      <c r="H598" s="5"/>
      <c r="I598" s="5"/>
      <c r="J598" s="5"/>
      <c r="K598" s="67"/>
      <c r="L598" s="67"/>
      <c r="M598" s="67"/>
      <c r="N598" s="67"/>
      <c r="O598" s="67"/>
      <c r="P598" s="18"/>
      <c r="R598" s="5"/>
      <c r="S598" s="5"/>
      <c r="Y598" s="323"/>
    </row>
    <row r="599" spans="1:25" s="7" customFormat="1" ht="15.8" customHeight="1">
      <c r="A599" s="5"/>
      <c r="B599" s="5"/>
      <c r="C599" s="5"/>
      <c r="D599" s="5"/>
      <c r="E599" s="5"/>
      <c r="F599" s="5"/>
      <c r="G599" s="5"/>
      <c r="H599" s="5"/>
      <c r="I599" s="5"/>
      <c r="J599" s="5"/>
      <c r="K599" s="67"/>
      <c r="L599" s="67"/>
      <c r="M599" s="67"/>
      <c r="N599" s="67"/>
      <c r="O599" s="67"/>
      <c r="P599" s="18"/>
      <c r="R599" s="5"/>
      <c r="S599" s="5"/>
      <c r="Y599" s="323"/>
    </row>
    <row r="600" spans="1:25" s="7" customFormat="1" ht="15.8" customHeight="1">
      <c r="A600" s="5"/>
      <c r="B600" s="5"/>
      <c r="C600" s="5"/>
      <c r="D600" s="5"/>
      <c r="E600" s="5"/>
      <c r="F600" s="5"/>
      <c r="G600" s="5"/>
      <c r="H600" s="5"/>
      <c r="I600" s="5"/>
      <c r="J600" s="5"/>
      <c r="K600" s="67"/>
      <c r="L600" s="67"/>
      <c r="M600" s="67"/>
      <c r="N600" s="67"/>
      <c r="O600" s="67"/>
      <c r="P600" s="18"/>
      <c r="R600" s="5"/>
      <c r="S600" s="5"/>
      <c r="Y600" s="323"/>
    </row>
    <row r="601" spans="1:25" s="7" customFormat="1" ht="15.8" customHeight="1">
      <c r="A601" s="5"/>
      <c r="B601" s="5"/>
      <c r="C601" s="5"/>
      <c r="D601" s="5"/>
      <c r="E601" s="5"/>
      <c r="F601" s="5"/>
      <c r="G601" s="5"/>
      <c r="H601" s="5"/>
      <c r="I601" s="5"/>
      <c r="J601" s="5"/>
      <c r="K601" s="67"/>
      <c r="L601" s="67"/>
      <c r="M601" s="67"/>
      <c r="N601" s="67"/>
      <c r="O601" s="67"/>
      <c r="P601" s="18"/>
      <c r="R601" s="5"/>
      <c r="S601" s="5"/>
      <c r="Y601" s="323"/>
    </row>
    <row r="602" spans="1:25" s="7" customFormat="1" ht="15.8" customHeight="1">
      <c r="A602" s="5"/>
      <c r="B602" s="5"/>
      <c r="C602" s="5"/>
      <c r="D602" s="5"/>
      <c r="E602" s="5"/>
      <c r="F602" s="5"/>
      <c r="G602" s="5"/>
      <c r="H602" s="5"/>
      <c r="I602" s="5"/>
      <c r="J602" s="5"/>
      <c r="K602" s="67"/>
      <c r="L602" s="67"/>
      <c r="M602" s="67"/>
      <c r="N602" s="67"/>
      <c r="O602" s="67"/>
      <c r="P602" s="18"/>
      <c r="R602" s="5"/>
      <c r="S602" s="5"/>
      <c r="Y602" s="323"/>
    </row>
    <row r="603" spans="1:25" s="7" customFormat="1" ht="15.8" customHeight="1">
      <c r="A603" s="5"/>
      <c r="B603" s="5"/>
      <c r="C603" s="5"/>
      <c r="D603" s="5"/>
      <c r="E603" s="5"/>
      <c r="F603" s="5"/>
      <c r="G603" s="5"/>
      <c r="H603" s="5"/>
      <c r="I603" s="5"/>
      <c r="J603" s="5"/>
      <c r="K603" s="67"/>
      <c r="L603" s="67"/>
      <c r="M603" s="67"/>
      <c r="N603" s="67"/>
      <c r="O603" s="67"/>
      <c r="P603" s="18"/>
      <c r="R603" s="5"/>
      <c r="S603" s="5"/>
      <c r="Y603" s="323"/>
    </row>
    <row r="604" spans="1:25" s="7" customFormat="1" ht="15.8" customHeight="1">
      <c r="A604" s="5"/>
      <c r="B604" s="5"/>
      <c r="C604" s="5"/>
      <c r="D604" s="5"/>
      <c r="E604" s="5"/>
      <c r="F604" s="5"/>
      <c r="G604" s="5"/>
      <c r="H604" s="5"/>
      <c r="I604" s="5"/>
      <c r="J604" s="5"/>
      <c r="K604" s="67"/>
      <c r="L604" s="67"/>
      <c r="M604" s="67"/>
      <c r="N604" s="67"/>
      <c r="O604" s="67"/>
      <c r="P604" s="18"/>
      <c r="R604" s="5"/>
      <c r="S604" s="5"/>
      <c r="Y604" s="323"/>
    </row>
    <row r="605" spans="1:25" s="7" customFormat="1" ht="15.8" customHeight="1">
      <c r="A605" s="5"/>
      <c r="B605" s="5"/>
      <c r="C605" s="5"/>
      <c r="D605" s="5"/>
      <c r="E605" s="5"/>
      <c r="F605" s="5"/>
      <c r="G605" s="5"/>
      <c r="H605" s="5"/>
      <c r="I605" s="5"/>
      <c r="J605" s="5"/>
      <c r="K605" s="67"/>
      <c r="L605" s="67"/>
      <c r="M605" s="67"/>
      <c r="N605" s="67"/>
      <c r="O605" s="67"/>
      <c r="P605" s="18"/>
      <c r="R605" s="5"/>
      <c r="S605" s="5"/>
      <c r="Y605" s="323"/>
    </row>
    <row r="606" spans="1:25" s="7" customFormat="1" ht="15.8" customHeight="1">
      <c r="A606" s="5"/>
      <c r="B606" s="5"/>
      <c r="C606" s="5"/>
      <c r="D606" s="5"/>
      <c r="E606" s="5"/>
      <c r="F606" s="5"/>
      <c r="G606" s="5"/>
      <c r="H606" s="5"/>
      <c r="I606" s="5"/>
      <c r="J606" s="5"/>
      <c r="K606" s="67"/>
      <c r="L606" s="67"/>
      <c r="M606" s="67"/>
      <c r="N606" s="67"/>
      <c r="O606" s="67"/>
      <c r="P606" s="18"/>
      <c r="R606" s="5"/>
      <c r="S606" s="5"/>
      <c r="Y606" s="323"/>
    </row>
    <row r="607" spans="1:25" s="7" customFormat="1" ht="15.8" customHeight="1">
      <c r="A607" s="5"/>
      <c r="B607" s="5"/>
      <c r="C607" s="5"/>
      <c r="D607" s="5"/>
      <c r="E607" s="5"/>
      <c r="F607" s="5"/>
      <c r="G607" s="5"/>
      <c r="H607" s="5"/>
      <c r="I607" s="5"/>
      <c r="J607" s="5"/>
      <c r="K607" s="67"/>
      <c r="L607" s="67"/>
      <c r="M607" s="67"/>
      <c r="N607" s="67"/>
      <c r="O607" s="67"/>
      <c r="P607" s="18"/>
      <c r="R607" s="5"/>
      <c r="S607" s="5"/>
      <c r="Y607" s="323"/>
    </row>
    <row r="608" spans="1:25" s="7" customFormat="1" ht="15.8" customHeight="1">
      <c r="A608" s="5"/>
      <c r="B608" s="5"/>
      <c r="C608" s="5"/>
      <c r="D608" s="5"/>
      <c r="E608" s="5"/>
      <c r="F608" s="5"/>
      <c r="G608" s="5"/>
      <c r="H608" s="5"/>
      <c r="I608" s="5"/>
      <c r="J608" s="5"/>
      <c r="K608" s="67"/>
      <c r="L608" s="67"/>
      <c r="M608" s="67"/>
      <c r="N608" s="67"/>
      <c r="O608" s="67"/>
      <c r="P608" s="18"/>
      <c r="R608" s="5"/>
      <c r="S608" s="5"/>
      <c r="Y608" s="323"/>
    </row>
    <row r="609" spans="1:25" s="7" customFormat="1" ht="15.8" customHeight="1">
      <c r="A609" s="5"/>
      <c r="B609" s="5"/>
      <c r="C609" s="5"/>
      <c r="D609" s="5"/>
      <c r="E609" s="5"/>
      <c r="F609" s="5"/>
      <c r="G609" s="5"/>
      <c r="H609" s="5"/>
      <c r="I609" s="5"/>
      <c r="J609" s="5"/>
      <c r="K609" s="67"/>
      <c r="L609" s="67"/>
      <c r="M609" s="67"/>
      <c r="N609" s="67"/>
      <c r="O609" s="67"/>
      <c r="P609" s="18"/>
      <c r="R609" s="5"/>
      <c r="S609" s="5"/>
      <c r="Y609" s="323"/>
    </row>
    <row r="610" spans="1:25" s="7" customFormat="1" ht="15.8" customHeight="1">
      <c r="A610" s="5"/>
      <c r="B610" s="5"/>
      <c r="C610" s="5"/>
      <c r="D610" s="5"/>
      <c r="E610" s="5"/>
      <c r="F610" s="5"/>
      <c r="G610" s="5"/>
      <c r="H610" s="5"/>
      <c r="I610" s="5"/>
      <c r="J610" s="5"/>
      <c r="K610" s="67"/>
      <c r="L610" s="67"/>
      <c r="M610" s="67"/>
      <c r="N610" s="67"/>
      <c r="O610" s="67"/>
      <c r="P610" s="18"/>
      <c r="R610" s="5"/>
      <c r="S610" s="5"/>
      <c r="Y610" s="323"/>
    </row>
    <row r="611" spans="1:25" s="7" customFormat="1" ht="15.8" customHeight="1">
      <c r="A611" s="5"/>
      <c r="B611" s="5"/>
      <c r="C611" s="5"/>
      <c r="D611" s="5"/>
      <c r="E611" s="5"/>
      <c r="F611" s="5"/>
      <c r="G611" s="5"/>
      <c r="H611" s="5"/>
      <c r="I611" s="5"/>
      <c r="J611" s="5"/>
      <c r="K611" s="67"/>
      <c r="L611" s="67"/>
      <c r="M611" s="67"/>
      <c r="N611" s="67"/>
      <c r="O611" s="67"/>
      <c r="P611" s="18"/>
      <c r="R611" s="5"/>
      <c r="S611" s="5"/>
      <c r="Y611" s="323"/>
    </row>
    <row r="612" spans="1:25" s="7" customFormat="1" ht="15.8" customHeight="1">
      <c r="A612" s="5"/>
      <c r="B612" s="5"/>
      <c r="C612" s="5"/>
      <c r="D612" s="5"/>
      <c r="E612" s="5"/>
      <c r="F612" s="5"/>
      <c r="G612" s="5"/>
      <c r="H612" s="5"/>
      <c r="I612" s="5"/>
      <c r="J612" s="5"/>
      <c r="K612" s="67"/>
      <c r="L612" s="67"/>
      <c r="M612" s="67"/>
      <c r="N612" s="67"/>
      <c r="O612" s="67"/>
      <c r="P612" s="18"/>
      <c r="R612" s="5"/>
      <c r="S612" s="5"/>
      <c r="Y612" s="323"/>
    </row>
    <row r="613" spans="1:25" s="7" customFormat="1" ht="15.8" customHeight="1">
      <c r="A613" s="5"/>
      <c r="B613" s="5"/>
      <c r="C613" s="5"/>
      <c r="D613" s="5"/>
      <c r="E613" s="5"/>
      <c r="F613" s="5"/>
      <c r="G613" s="5"/>
      <c r="H613" s="5"/>
      <c r="I613" s="5"/>
      <c r="J613" s="5"/>
      <c r="K613" s="67"/>
      <c r="L613" s="67"/>
      <c r="M613" s="67"/>
      <c r="N613" s="67"/>
      <c r="O613" s="67"/>
      <c r="P613" s="18"/>
      <c r="R613" s="5"/>
      <c r="S613" s="5"/>
      <c r="Y613" s="323"/>
    </row>
    <row r="614" spans="1:25" s="7" customFormat="1" ht="15.8" customHeight="1">
      <c r="A614" s="5"/>
      <c r="B614" s="5"/>
      <c r="C614" s="5"/>
      <c r="D614" s="5"/>
      <c r="E614" s="5"/>
      <c r="F614" s="5"/>
      <c r="G614" s="5"/>
      <c r="H614" s="5"/>
      <c r="I614" s="5"/>
      <c r="J614" s="5"/>
      <c r="K614" s="67"/>
      <c r="L614" s="67"/>
      <c r="M614" s="67"/>
      <c r="N614" s="67"/>
      <c r="O614" s="67"/>
      <c r="P614" s="18"/>
      <c r="R614" s="5"/>
      <c r="S614" s="5"/>
      <c r="Y614" s="323"/>
    </row>
    <row r="615" spans="1:25" s="7" customFormat="1" ht="15.8" customHeight="1">
      <c r="A615" s="5"/>
      <c r="B615" s="5"/>
      <c r="C615" s="5"/>
      <c r="D615" s="5"/>
      <c r="E615" s="5"/>
      <c r="F615" s="5"/>
      <c r="G615" s="5"/>
      <c r="H615" s="5"/>
      <c r="I615" s="5"/>
      <c r="J615" s="5"/>
      <c r="K615" s="67"/>
      <c r="L615" s="67"/>
      <c r="M615" s="67"/>
      <c r="N615" s="67"/>
      <c r="O615" s="67"/>
      <c r="P615" s="18"/>
      <c r="R615" s="5"/>
      <c r="S615" s="5"/>
      <c r="Y615" s="323"/>
    </row>
    <row r="616" spans="1:25" s="7" customFormat="1" ht="15.8" customHeight="1">
      <c r="A616" s="5"/>
      <c r="B616" s="5"/>
      <c r="C616" s="5"/>
      <c r="D616" s="5"/>
      <c r="E616" s="5"/>
      <c r="F616" s="5"/>
      <c r="G616" s="5"/>
      <c r="H616" s="5"/>
      <c r="I616" s="5"/>
      <c r="J616" s="5"/>
      <c r="K616" s="67"/>
      <c r="L616" s="67"/>
      <c r="M616" s="67"/>
      <c r="N616" s="67"/>
      <c r="O616" s="67"/>
      <c r="P616" s="18"/>
      <c r="R616" s="5"/>
      <c r="S616" s="5"/>
      <c r="Y616" s="323"/>
    </row>
    <row r="617" spans="1:25" s="7" customFormat="1" ht="15.8" customHeight="1">
      <c r="A617" s="5"/>
      <c r="B617" s="5"/>
      <c r="C617" s="5"/>
      <c r="D617" s="5"/>
      <c r="E617" s="5"/>
      <c r="F617" s="5"/>
      <c r="G617" s="5"/>
      <c r="H617" s="5"/>
      <c r="I617" s="5"/>
      <c r="J617" s="5"/>
      <c r="K617" s="67"/>
      <c r="L617" s="67"/>
      <c r="M617" s="67"/>
      <c r="N617" s="67"/>
      <c r="O617" s="67"/>
      <c r="P617" s="18"/>
      <c r="R617" s="5"/>
      <c r="S617" s="5"/>
      <c r="Y617" s="323"/>
    </row>
    <row r="618" spans="1:25" s="7" customFormat="1" ht="15.8" customHeight="1">
      <c r="A618" s="5"/>
      <c r="B618" s="5"/>
      <c r="C618" s="5"/>
      <c r="D618" s="5"/>
      <c r="E618" s="5"/>
      <c r="F618" s="5"/>
      <c r="G618" s="5"/>
      <c r="H618" s="5"/>
      <c r="I618" s="5"/>
      <c r="J618" s="5"/>
      <c r="K618" s="67"/>
      <c r="L618" s="67"/>
      <c r="M618" s="67"/>
      <c r="N618" s="67"/>
      <c r="O618" s="67"/>
      <c r="P618" s="18"/>
      <c r="R618" s="5"/>
      <c r="S618" s="5"/>
      <c r="Y618" s="323"/>
    </row>
    <row r="619" spans="1:25" s="7" customFormat="1" ht="15.8" customHeight="1">
      <c r="A619" s="5"/>
      <c r="B619" s="5"/>
      <c r="C619" s="5"/>
      <c r="D619" s="5"/>
      <c r="E619" s="5"/>
      <c r="F619" s="5"/>
      <c r="G619" s="5"/>
      <c r="H619" s="5"/>
      <c r="I619" s="5"/>
      <c r="J619" s="5"/>
      <c r="K619" s="67"/>
      <c r="L619" s="67"/>
      <c r="M619" s="67"/>
      <c r="N619" s="67"/>
      <c r="O619" s="67"/>
      <c r="P619" s="18"/>
      <c r="R619" s="5"/>
      <c r="S619" s="5"/>
      <c r="Y619" s="323"/>
    </row>
    <row r="620" spans="1:25" s="7" customFormat="1" ht="15.8" customHeight="1">
      <c r="A620" s="5"/>
      <c r="B620" s="5"/>
      <c r="C620" s="5"/>
      <c r="D620" s="5"/>
      <c r="E620" s="5"/>
      <c r="F620" s="5"/>
      <c r="G620" s="5"/>
      <c r="H620" s="5"/>
      <c r="I620" s="5"/>
      <c r="J620" s="5"/>
      <c r="K620" s="67"/>
      <c r="L620" s="67"/>
      <c r="M620" s="67"/>
      <c r="N620" s="67"/>
      <c r="O620" s="67"/>
      <c r="P620" s="18"/>
      <c r="R620" s="5"/>
      <c r="S620" s="5"/>
      <c r="Y620" s="323"/>
    </row>
    <row r="621" spans="1:25" s="7" customFormat="1" ht="15.8" customHeight="1">
      <c r="A621" s="5"/>
      <c r="B621" s="5"/>
      <c r="C621" s="5"/>
      <c r="D621" s="5"/>
      <c r="E621" s="5"/>
      <c r="F621" s="5"/>
      <c r="G621" s="5"/>
      <c r="H621" s="5"/>
      <c r="I621" s="5"/>
      <c r="J621" s="5"/>
      <c r="K621" s="67"/>
      <c r="L621" s="67"/>
      <c r="M621" s="67"/>
      <c r="N621" s="67"/>
      <c r="O621" s="67"/>
      <c r="P621" s="18"/>
      <c r="R621" s="5"/>
      <c r="S621" s="5"/>
      <c r="Y621" s="323"/>
    </row>
    <row r="622" spans="1:25" s="7" customFormat="1" ht="15.8" customHeight="1">
      <c r="A622" s="5"/>
      <c r="B622" s="5"/>
      <c r="C622" s="5"/>
      <c r="D622" s="5"/>
      <c r="E622" s="5"/>
      <c r="F622" s="5"/>
      <c r="G622" s="5"/>
      <c r="H622" s="5"/>
      <c r="I622" s="5"/>
      <c r="J622" s="5"/>
      <c r="K622" s="67"/>
      <c r="L622" s="67"/>
      <c r="M622" s="67"/>
      <c r="N622" s="67"/>
      <c r="O622" s="67"/>
      <c r="P622" s="18"/>
      <c r="R622" s="5"/>
      <c r="S622" s="5"/>
      <c r="Y622" s="323"/>
    </row>
    <row r="623" spans="1:25" s="7" customFormat="1" ht="15.8" customHeight="1">
      <c r="A623" s="5"/>
      <c r="B623" s="5"/>
      <c r="C623" s="5"/>
      <c r="D623" s="5"/>
      <c r="E623" s="5"/>
      <c r="F623" s="5"/>
      <c r="G623" s="5"/>
      <c r="H623" s="5"/>
      <c r="I623" s="5"/>
      <c r="J623" s="5"/>
      <c r="K623" s="67"/>
      <c r="L623" s="67"/>
      <c r="M623" s="67"/>
      <c r="N623" s="67"/>
      <c r="O623" s="67"/>
      <c r="P623" s="18"/>
      <c r="R623" s="5"/>
      <c r="S623" s="5"/>
      <c r="Y623" s="323"/>
    </row>
    <row r="624" spans="1:25" s="7" customFormat="1" ht="15.8" customHeight="1">
      <c r="A624" s="5"/>
      <c r="B624" s="5"/>
      <c r="C624" s="5"/>
      <c r="D624" s="5"/>
      <c r="E624" s="5"/>
      <c r="F624" s="5"/>
      <c r="G624" s="5"/>
      <c r="H624" s="5"/>
      <c r="I624" s="5"/>
      <c r="J624" s="5"/>
      <c r="K624" s="67"/>
      <c r="L624" s="67"/>
      <c r="M624" s="67"/>
      <c r="N624" s="67"/>
      <c r="O624" s="67"/>
      <c r="P624" s="18"/>
      <c r="R624" s="5"/>
      <c r="S624" s="5"/>
      <c r="Y624" s="323"/>
    </row>
    <row r="625" spans="1:25" s="7" customFormat="1" ht="15.8" customHeight="1">
      <c r="A625" s="5"/>
      <c r="B625" s="5"/>
      <c r="C625" s="5"/>
      <c r="D625" s="5"/>
      <c r="E625" s="5"/>
      <c r="F625" s="5"/>
      <c r="G625" s="5"/>
      <c r="H625" s="5"/>
      <c r="I625" s="5"/>
      <c r="J625" s="5"/>
      <c r="K625" s="67"/>
      <c r="L625" s="67"/>
      <c r="M625" s="67"/>
      <c r="N625" s="67"/>
      <c r="O625" s="67"/>
      <c r="P625" s="18"/>
      <c r="R625" s="5"/>
      <c r="S625" s="5"/>
      <c r="Y625" s="323"/>
    </row>
    <row r="626" spans="1:25" s="7" customFormat="1" ht="15.8" customHeight="1">
      <c r="A626" s="5"/>
      <c r="B626" s="5"/>
      <c r="C626" s="5"/>
      <c r="D626" s="5"/>
      <c r="E626" s="5"/>
      <c r="F626" s="5"/>
      <c r="G626" s="5"/>
      <c r="H626" s="5"/>
      <c r="I626" s="5"/>
      <c r="J626" s="5"/>
      <c r="K626" s="67"/>
      <c r="L626" s="67"/>
      <c r="M626" s="67"/>
      <c r="N626" s="67"/>
      <c r="O626" s="67"/>
      <c r="P626" s="18"/>
      <c r="R626" s="5"/>
      <c r="S626" s="5"/>
      <c r="Y626" s="323"/>
    </row>
    <row r="627" spans="1:25" s="7" customFormat="1" ht="15.8" customHeight="1">
      <c r="A627" s="5"/>
      <c r="B627" s="5"/>
      <c r="C627" s="5"/>
      <c r="D627" s="5"/>
      <c r="E627" s="5"/>
      <c r="F627" s="5"/>
      <c r="G627" s="5"/>
      <c r="H627" s="5"/>
      <c r="I627" s="5"/>
      <c r="J627" s="5"/>
      <c r="K627" s="67"/>
      <c r="L627" s="67"/>
      <c r="M627" s="67"/>
      <c r="N627" s="67"/>
      <c r="O627" s="67"/>
      <c r="P627" s="18"/>
      <c r="R627" s="5"/>
      <c r="S627" s="5"/>
      <c r="Y627" s="323"/>
    </row>
    <row r="628" spans="1:25" s="7" customFormat="1" ht="15.8" customHeight="1">
      <c r="A628" s="5"/>
      <c r="B628" s="5"/>
      <c r="C628" s="5"/>
      <c r="D628" s="5"/>
      <c r="E628" s="5"/>
      <c r="F628" s="5"/>
      <c r="G628" s="5"/>
      <c r="H628" s="5"/>
      <c r="I628" s="5"/>
      <c r="J628" s="5"/>
      <c r="K628" s="67"/>
      <c r="L628" s="67"/>
      <c r="M628" s="67"/>
      <c r="N628" s="67"/>
      <c r="O628" s="67"/>
      <c r="P628" s="18"/>
      <c r="R628" s="5"/>
      <c r="S628" s="5"/>
      <c r="Y628" s="323"/>
    </row>
    <row r="629" spans="1:25" s="7" customFormat="1" ht="15.8" customHeight="1">
      <c r="A629" s="5"/>
      <c r="B629" s="5"/>
      <c r="C629" s="5"/>
      <c r="D629" s="5"/>
      <c r="E629" s="5"/>
      <c r="F629" s="5"/>
      <c r="G629" s="5"/>
      <c r="H629" s="5"/>
      <c r="I629" s="5"/>
      <c r="J629" s="5"/>
      <c r="K629" s="67"/>
      <c r="L629" s="67"/>
      <c r="M629" s="67"/>
      <c r="N629" s="67"/>
      <c r="O629" s="67"/>
      <c r="P629" s="18"/>
      <c r="R629" s="5"/>
      <c r="S629" s="5"/>
      <c r="Y629" s="323"/>
    </row>
    <row r="630" spans="1:25" s="7" customFormat="1" ht="15.8" customHeight="1">
      <c r="A630" s="5"/>
      <c r="B630" s="5"/>
      <c r="C630" s="5"/>
      <c r="D630" s="5"/>
      <c r="E630" s="5"/>
      <c r="F630" s="5"/>
      <c r="G630" s="5"/>
      <c r="H630" s="5"/>
      <c r="I630" s="5"/>
      <c r="J630" s="5"/>
      <c r="K630" s="67"/>
      <c r="L630" s="67"/>
      <c r="M630" s="67"/>
      <c r="N630" s="67"/>
      <c r="O630" s="67"/>
      <c r="P630" s="18"/>
      <c r="R630" s="5"/>
      <c r="S630" s="5"/>
      <c r="Y630" s="323"/>
    </row>
    <row r="631" spans="1:25" s="7" customFormat="1" ht="15.8" customHeight="1">
      <c r="A631" s="5"/>
      <c r="B631" s="5"/>
      <c r="C631" s="5"/>
      <c r="D631" s="5"/>
      <c r="E631" s="5"/>
      <c r="F631" s="5"/>
      <c r="G631" s="5"/>
      <c r="H631" s="5"/>
      <c r="I631" s="5"/>
      <c r="J631" s="5"/>
      <c r="K631" s="67"/>
      <c r="L631" s="67"/>
      <c r="M631" s="67"/>
      <c r="N631" s="67"/>
      <c r="O631" s="67"/>
      <c r="P631" s="18"/>
      <c r="R631" s="5"/>
      <c r="S631" s="5"/>
      <c r="Y631" s="323"/>
    </row>
    <row r="632" spans="1:25" s="7" customFormat="1" ht="15.8" customHeight="1">
      <c r="A632" s="5"/>
      <c r="B632" s="5"/>
      <c r="C632" s="5"/>
      <c r="D632" s="5"/>
      <c r="E632" s="5"/>
      <c r="F632" s="5"/>
      <c r="G632" s="5"/>
      <c r="H632" s="5"/>
      <c r="I632" s="5"/>
      <c r="J632" s="5"/>
      <c r="K632" s="67"/>
      <c r="L632" s="67"/>
      <c r="M632" s="67"/>
      <c r="N632" s="67"/>
      <c r="O632" s="67"/>
      <c r="P632" s="18"/>
      <c r="R632" s="5"/>
      <c r="S632" s="5"/>
      <c r="Y632" s="323"/>
    </row>
    <row r="633" spans="1:25" s="7" customFormat="1" ht="15.8" customHeight="1">
      <c r="A633" s="5"/>
      <c r="B633" s="5"/>
      <c r="C633" s="5"/>
      <c r="D633" s="5"/>
      <c r="E633" s="5"/>
      <c r="F633" s="5"/>
      <c r="G633" s="5"/>
      <c r="H633" s="5"/>
      <c r="I633" s="5"/>
      <c r="J633" s="5"/>
      <c r="K633" s="67"/>
      <c r="L633" s="67"/>
      <c r="M633" s="67"/>
      <c r="N633" s="67"/>
      <c r="O633" s="67"/>
      <c r="P633" s="18"/>
      <c r="R633" s="5"/>
      <c r="S633" s="5"/>
      <c r="Y633" s="323"/>
    </row>
    <row r="634" spans="1:25" s="7" customFormat="1" ht="15.8" customHeight="1">
      <c r="A634" s="5"/>
      <c r="B634" s="5"/>
      <c r="C634" s="5"/>
      <c r="D634" s="5"/>
      <c r="E634" s="5"/>
      <c r="F634" s="5"/>
      <c r="G634" s="5"/>
      <c r="H634" s="5"/>
      <c r="I634" s="5"/>
      <c r="J634" s="5"/>
      <c r="K634" s="67"/>
      <c r="L634" s="67"/>
      <c r="M634" s="67"/>
      <c r="N634" s="67"/>
      <c r="O634" s="67"/>
      <c r="P634" s="18"/>
      <c r="R634" s="5"/>
      <c r="S634" s="5"/>
      <c r="Y634" s="323"/>
    </row>
    <row r="635" spans="1:25" s="7" customFormat="1" ht="15.8" customHeight="1">
      <c r="A635" s="5"/>
      <c r="B635" s="5"/>
      <c r="C635" s="5"/>
      <c r="D635" s="5"/>
      <c r="E635" s="5"/>
      <c r="F635" s="5"/>
      <c r="G635" s="5"/>
      <c r="H635" s="5"/>
      <c r="I635" s="5"/>
      <c r="J635" s="5"/>
      <c r="K635" s="67"/>
      <c r="L635" s="67"/>
      <c r="M635" s="67"/>
      <c r="N635" s="67"/>
      <c r="O635" s="67"/>
      <c r="P635" s="18"/>
      <c r="R635" s="5"/>
      <c r="S635" s="5"/>
      <c r="Y635" s="323"/>
    </row>
    <row r="636" spans="1:25" s="7" customFormat="1" ht="15.8" customHeight="1">
      <c r="A636" s="5"/>
      <c r="B636" s="5"/>
      <c r="C636" s="5"/>
      <c r="D636" s="5"/>
      <c r="E636" s="5"/>
      <c r="F636" s="5"/>
      <c r="G636" s="5"/>
      <c r="H636" s="5"/>
      <c r="I636" s="5"/>
      <c r="J636" s="5"/>
      <c r="K636" s="67"/>
      <c r="L636" s="67"/>
      <c r="M636" s="67"/>
      <c r="N636" s="67"/>
      <c r="O636" s="67"/>
      <c r="P636" s="18"/>
      <c r="R636" s="5"/>
      <c r="S636" s="5"/>
      <c r="Y636" s="323"/>
    </row>
    <row r="637" spans="1:25" s="7" customFormat="1" ht="15.8" customHeight="1">
      <c r="A637" s="5"/>
      <c r="B637" s="5"/>
      <c r="C637" s="5"/>
      <c r="D637" s="5"/>
      <c r="E637" s="5"/>
      <c r="F637" s="5"/>
      <c r="G637" s="5"/>
      <c r="H637" s="5"/>
      <c r="I637" s="5"/>
      <c r="J637" s="5"/>
      <c r="K637" s="67"/>
      <c r="L637" s="67"/>
      <c r="M637" s="67"/>
      <c r="N637" s="67"/>
      <c r="O637" s="67"/>
      <c r="P637" s="18"/>
      <c r="R637" s="5"/>
      <c r="S637" s="5"/>
      <c r="Y637" s="323"/>
    </row>
    <row r="638" spans="1:25" s="7" customFormat="1" ht="15.8" customHeight="1">
      <c r="A638" s="5"/>
      <c r="B638" s="5"/>
      <c r="C638" s="5"/>
      <c r="D638" s="5"/>
      <c r="E638" s="5"/>
      <c r="F638" s="5"/>
      <c r="G638" s="5"/>
      <c r="H638" s="5"/>
      <c r="I638" s="5"/>
      <c r="J638" s="5"/>
      <c r="K638" s="67"/>
      <c r="L638" s="67"/>
      <c r="M638" s="67"/>
      <c r="N638" s="67"/>
      <c r="O638" s="67"/>
      <c r="P638" s="18"/>
      <c r="R638" s="5"/>
      <c r="S638" s="5"/>
      <c r="Y638" s="323"/>
    </row>
    <row r="639" spans="1:25" s="7" customFormat="1" ht="15.8" customHeight="1">
      <c r="A639" s="5"/>
      <c r="B639" s="5"/>
      <c r="C639" s="5"/>
      <c r="D639" s="5"/>
      <c r="E639" s="5"/>
      <c r="F639" s="5"/>
      <c r="G639" s="5"/>
      <c r="H639" s="5"/>
      <c r="I639" s="5"/>
      <c r="J639" s="5"/>
      <c r="K639" s="67"/>
      <c r="L639" s="67"/>
      <c r="M639" s="67"/>
      <c r="N639" s="67"/>
      <c r="O639" s="67"/>
      <c r="P639" s="18"/>
      <c r="R639" s="5"/>
      <c r="S639" s="5"/>
      <c r="Y639" s="323"/>
    </row>
    <row r="640" spans="1:25" s="7" customFormat="1" ht="15.8" customHeight="1">
      <c r="A640" s="5"/>
      <c r="B640" s="5"/>
      <c r="C640" s="5"/>
      <c r="D640" s="5"/>
      <c r="E640" s="5"/>
      <c r="F640" s="5"/>
      <c r="G640" s="5"/>
      <c r="H640" s="5"/>
      <c r="I640" s="5"/>
      <c r="J640" s="5"/>
      <c r="K640" s="67"/>
      <c r="L640" s="67"/>
      <c r="M640" s="67"/>
      <c r="N640" s="67"/>
      <c r="O640" s="67"/>
      <c r="P640" s="18"/>
      <c r="R640" s="5"/>
      <c r="S640" s="5"/>
      <c r="Y640" s="323"/>
    </row>
    <row r="641" spans="1:25" s="7" customFormat="1" ht="15.8" customHeight="1">
      <c r="A641" s="5"/>
      <c r="B641" s="5"/>
      <c r="C641" s="5"/>
      <c r="D641" s="5"/>
      <c r="E641" s="5"/>
      <c r="F641" s="5"/>
      <c r="G641" s="5"/>
      <c r="H641" s="5"/>
      <c r="I641" s="5"/>
      <c r="J641" s="5"/>
      <c r="K641" s="67"/>
      <c r="L641" s="67"/>
      <c r="M641" s="67"/>
      <c r="N641" s="67"/>
      <c r="O641" s="67"/>
      <c r="P641" s="18"/>
      <c r="R641" s="5"/>
      <c r="S641" s="5"/>
      <c r="Y641" s="323"/>
    </row>
    <row r="642" spans="1:25" s="7" customFormat="1" ht="15.8" customHeight="1">
      <c r="A642" s="5"/>
      <c r="B642" s="5"/>
      <c r="C642" s="5"/>
      <c r="D642" s="5"/>
      <c r="E642" s="5"/>
      <c r="F642" s="5"/>
      <c r="G642" s="5"/>
      <c r="H642" s="5"/>
      <c r="I642" s="5"/>
      <c r="J642" s="5"/>
      <c r="K642" s="67"/>
      <c r="L642" s="67"/>
      <c r="M642" s="67"/>
      <c r="N642" s="67"/>
      <c r="O642" s="67"/>
      <c r="P642" s="18"/>
      <c r="R642" s="5"/>
      <c r="S642" s="5"/>
      <c r="Y642" s="323"/>
    </row>
    <row r="643" spans="1:25" s="7" customFormat="1" ht="15.8" customHeight="1">
      <c r="A643" s="5"/>
      <c r="B643" s="5"/>
      <c r="C643" s="5"/>
      <c r="D643" s="5"/>
      <c r="E643" s="5"/>
      <c r="F643" s="5"/>
      <c r="G643" s="5"/>
      <c r="H643" s="5"/>
      <c r="I643" s="5"/>
      <c r="J643" s="5"/>
      <c r="K643" s="67"/>
      <c r="L643" s="67"/>
      <c r="M643" s="67"/>
      <c r="N643" s="67"/>
      <c r="O643" s="67"/>
      <c r="P643" s="18"/>
      <c r="R643" s="5"/>
      <c r="S643" s="5"/>
      <c r="Y643" s="323"/>
    </row>
    <row r="644" spans="1:25" s="7" customFormat="1" ht="15.8" customHeight="1">
      <c r="A644" s="5"/>
      <c r="B644" s="5"/>
      <c r="C644" s="5"/>
      <c r="D644" s="5"/>
      <c r="E644" s="5"/>
      <c r="F644" s="5"/>
      <c r="G644" s="5"/>
      <c r="H644" s="5"/>
      <c r="I644" s="5"/>
      <c r="J644" s="5"/>
      <c r="K644" s="67"/>
      <c r="L644" s="67"/>
      <c r="M644" s="67"/>
      <c r="N644" s="67"/>
      <c r="O644" s="67"/>
      <c r="P644" s="18"/>
      <c r="R644" s="5"/>
      <c r="S644" s="5"/>
      <c r="Y644" s="323"/>
    </row>
    <row r="645" spans="1:25" s="7" customFormat="1" ht="15.8" customHeight="1">
      <c r="A645" s="5"/>
      <c r="B645" s="5"/>
      <c r="C645" s="5"/>
      <c r="D645" s="5"/>
      <c r="E645" s="5"/>
      <c r="F645" s="5"/>
      <c r="G645" s="5"/>
      <c r="H645" s="5"/>
      <c r="I645" s="5"/>
      <c r="J645" s="5"/>
      <c r="K645" s="67"/>
      <c r="L645" s="67"/>
      <c r="M645" s="67"/>
      <c r="N645" s="67"/>
      <c r="O645" s="67"/>
      <c r="P645" s="18"/>
      <c r="R645" s="5"/>
      <c r="S645" s="5"/>
      <c r="Y645" s="323"/>
    </row>
    <row r="646" spans="1:25" s="7" customFormat="1" ht="15.8" customHeight="1">
      <c r="A646" s="5"/>
      <c r="B646" s="5"/>
      <c r="C646" s="5"/>
      <c r="D646" s="5"/>
      <c r="E646" s="5"/>
      <c r="F646" s="5"/>
      <c r="G646" s="5"/>
      <c r="H646" s="5"/>
      <c r="I646" s="5"/>
      <c r="J646" s="5"/>
      <c r="K646" s="67"/>
      <c r="L646" s="67"/>
      <c r="M646" s="67"/>
      <c r="N646" s="67"/>
      <c r="O646" s="67"/>
      <c r="P646" s="18"/>
      <c r="R646" s="5"/>
      <c r="S646" s="5"/>
      <c r="Y646" s="323"/>
    </row>
    <row r="647" spans="1:25" s="7" customFormat="1" ht="15.8" customHeight="1">
      <c r="A647" s="5"/>
      <c r="B647" s="5"/>
      <c r="C647" s="5"/>
      <c r="D647" s="5"/>
      <c r="E647" s="5"/>
      <c r="F647" s="5"/>
      <c r="G647" s="5"/>
      <c r="H647" s="5"/>
      <c r="I647" s="5"/>
      <c r="J647" s="5"/>
      <c r="K647" s="67"/>
      <c r="L647" s="67"/>
      <c r="M647" s="67"/>
      <c r="N647" s="67"/>
      <c r="O647" s="67"/>
      <c r="P647" s="18"/>
      <c r="R647" s="5"/>
      <c r="S647" s="5"/>
      <c r="Y647" s="323"/>
    </row>
    <row r="648" spans="1:25" s="7" customFormat="1" ht="15.8" customHeight="1">
      <c r="A648" s="5"/>
      <c r="B648" s="5"/>
      <c r="C648" s="5"/>
      <c r="D648" s="5"/>
      <c r="E648" s="5"/>
      <c r="F648" s="5"/>
      <c r="G648" s="5"/>
      <c r="H648" s="5"/>
      <c r="I648" s="5"/>
      <c r="J648" s="5"/>
      <c r="K648" s="67"/>
      <c r="L648" s="67"/>
      <c r="M648" s="67"/>
      <c r="N648" s="67"/>
      <c r="O648" s="67"/>
      <c r="P648" s="18"/>
      <c r="R648" s="5"/>
      <c r="S648" s="5"/>
      <c r="Y648" s="323"/>
    </row>
    <row r="649" spans="1:25" s="7" customFormat="1" ht="15.8" customHeight="1">
      <c r="A649" s="5"/>
      <c r="B649" s="5"/>
      <c r="C649" s="5"/>
      <c r="D649" s="5"/>
      <c r="E649" s="5"/>
      <c r="F649" s="5"/>
      <c r="G649" s="5"/>
      <c r="H649" s="5"/>
      <c r="I649" s="5"/>
      <c r="J649" s="5"/>
      <c r="K649" s="67"/>
      <c r="L649" s="67"/>
      <c r="M649" s="67"/>
      <c r="N649" s="67"/>
      <c r="O649" s="67"/>
      <c r="P649" s="18"/>
      <c r="R649" s="5"/>
      <c r="S649" s="5"/>
      <c r="Y649" s="323"/>
    </row>
    <row r="650" spans="1:25" s="7" customFormat="1" ht="15.8" customHeight="1">
      <c r="A650" s="5"/>
      <c r="B650" s="5"/>
      <c r="C650" s="5"/>
      <c r="D650" s="5"/>
      <c r="E650" s="5"/>
      <c r="F650" s="5"/>
      <c r="G650" s="5"/>
      <c r="H650" s="5"/>
      <c r="I650" s="5"/>
      <c r="J650" s="5"/>
      <c r="K650" s="67"/>
      <c r="L650" s="67"/>
      <c r="M650" s="67"/>
      <c r="N650" s="67"/>
      <c r="O650" s="67"/>
      <c r="P650" s="18"/>
      <c r="R650" s="5"/>
      <c r="S650" s="5"/>
      <c r="Y650" s="323"/>
    </row>
    <row r="651" spans="1:25" s="7" customFormat="1" ht="15.8" customHeight="1">
      <c r="A651" s="5"/>
      <c r="B651" s="5"/>
      <c r="C651" s="5"/>
      <c r="D651" s="5"/>
      <c r="E651" s="5"/>
      <c r="F651" s="5"/>
      <c r="G651" s="5"/>
      <c r="H651" s="5"/>
      <c r="I651" s="5"/>
      <c r="J651" s="5"/>
      <c r="K651" s="67"/>
      <c r="L651" s="67"/>
      <c r="M651" s="67"/>
      <c r="N651" s="67"/>
      <c r="O651" s="67"/>
      <c r="P651" s="18"/>
      <c r="R651" s="5"/>
      <c r="S651" s="5"/>
      <c r="Y651" s="323"/>
    </row>
    <row r="652" spans="1:25" s="7" customFormat="1" ht="15.8" customHeight="1">
      <c r="A652" s="5"/>
      <c r="B652" s="5"/>
      <c r="C652" s="5"/>
      <c r="D652" s="5"/>
      <c r="E652" s="5"/>
      <c r="F652" s="5"/>
      <c r="G652" s="5"/>
      <c r="H652" s="5"/>
      <c r="I652" s="5"/>
      <c r="J652" s="5"/>
      <c r="K652" s="67"/>
      <c r="L652" s="67"/>
      <c r="M652" s="67"/>
      <c r="N652" s="67"/>
      <c r="O652" s="67"/>
      <c r="P652" s="18"/>
      <c r="R652" s="5"/>
      <c r="S652" s="5"/>
      <c r="Y652" s="323"/>
    </row>
    <row r="653" spans="1:25" s="7" customFormat="1" ht="15.8" customHeight="1">
      <c r="A653" s="5"/>
      <c r="B653" s="5"/>
      <c r="C653" s="5"/>
      <c r="D653" s="5"/>
      <c r="E653" s="5"/>
      <c r="F653" s="5"/>
      <c r="G653" s="5"/>
      <c r="H653" s="5"/>
      <c r="I653" s="5"/>
      <c r="J653" s="5"/>
      <c r="K653" s="67"/>
      <c r="L653" s="67"/>
      <c r="M653" s="67"/>
      <c r="N653" s="67"/>
      <c r="O653" s="67"/>
      <c r="P653" s="18"/>
      <c r="R653" s="5"/>
      <c r="S653" s="5"/>
      <c r="Y653" s="323"/>
    </row>
    <row r="654" spans="1:25" s="7" customFormat="1" ht="15.8" customHeight="1">
      <c r="A654" s="5"/>
      <c r="B654" s="5"/>
      <c r="C654" s="5"/>
      <c r="D654" s="5"/>
      <c r="E654" s="5"/>
      <c r="F654" s="5"/>
      <c r="G654" s="5"/>
      <c r="H654" s="5"/>
      <c r="I654" s="5"/>
      <c r="J654" s="5"/>
      <c r="K654" s="67"/>
      <c r="L654" s="67"/>
      <c r="M654" s="67"/>
      <c r="N654" s="67"/>
      <c r="O654" s="67"/>
      <c r="P654" s="18"/>
      <c r="R654" s="5"/>
      <c r="S654" s="5"/>
      <c r="Y654" s="323"/>
    </row>
    <row r="655" spans="1:25" s="7" customFormat="1" ht="15.8" customHeight="1">
      <c r="A655" s="5"/>
      <c r="B655" s="5"/>
      <c r="C655" s="5"/>
      <c r="D655" s="5"/>
      <c r="E655" s="5"/>
      <c r="F655" s="5"/>
      <c r="G655" s="5"/>
      <c r="H655" s="5"/>
      <c r="I655" s="5"/>
      <c r="J655" s="5"/>
      <c r="K655" s="67"/>
      <c r="L655" s="67"/>
      <c r="M655" s="67"/>
      <c r="N655" s="67"/>
      <c r="O655" s="67"/>
      <c r="P655" s="18"/>
      <c r="R655" s="5"/>
      <c r="S655" s="5"/>
      <c r="Y655" s="323"/>
    </row>
    <row r="656" spans="1:25" s="7" customFormat="1" ht="15.8" customHeight="1">
      <c r="A656" s="5"/>
      <c r="B656" s="5"/>
      <c r="C656" s="5"/>
      <c r="D656" s="5"/>
      <c r="E656" s="5"/>
      <c r="F656" s="5"/>
      <c r="G656" s="5"/>
      <c r="H656" s="5"/>
      <c r="I656" s="5"/>
      <c r="J656" s="5"/>
      <c r="K656" s="67"/>
      <c r="L656" s="67"/>
      <c r="M656" s="67"/>
      <c r="N656" s="67"/>
      <c r="O656" s="67"/>
      <c r="P656" s="18"/>
      <c r="R656" s="5"/>
      <c r="S656" s="5"/>
      <c r="Y656" s="323"/>
    </row>
    <row r="657" spans="1:25" s="7" customFormat="1" ht="15.8" customHeight="1">
      <c r="A657" s="5"/>
      <c r="B657" s="5"/>
      <c r="C657" s="5"/>
      <c r="D657" s="5"/>
      <c r="E657" s="5"/>
      <c r="F657" s="5"/>
      <c r="G657" s="5"/>
      <c r="H657" s="5"/>
      <c r="I657" s="5"/>
      <c r="J657" s="5"/>
      <c r="K657" s="67"/>
      <c r="L657" s="67"/>
      <c r="M657" s="67"/>
      <c r="N657" s="67"/>
      <c r="O657" s="67"/>
      <c r="P657" s="18"/>
      <c r="R657" s="5"/>
      <c r="S657" s="5"/>
      <c r="Y657" s="323"/>
    </row>
    <row r="658" spans="1:25" s="7" customFormat="1" ht="15.8" customHeight="1">
      <c r="A658" s="5"/>
      <c r="B658" s="5"/>
      <c r="C658" s="5"/>
      <c r="D658" s="5"/>
      <c r="E658" s="5"/>
      <c r="F658" s="5"/>
      <c r="G658" s="5"/>
      <c r="H658" s="5"/>
      <c r="I658" s="5"/>
      <c r="J658" s="5"/>
      <c r="K658" s="67"/>
      <c r="L658" s="67"/>
      <c r="M658" s="67"/>
      <c r="N658" s="67"/>
      <c r="O658" s="67"/>
      <c r="P658" s="18"/>
      <c r="R658" s="5"/>
      <c r="S658" s="5"/>
      <c r="Y658" s="323"/>
    </row>
    <row r="659" spans="1:25" s="7" customFormat="1" ht="15.8" customHeight="1">
      <c r="A659" s="5"/>
      <c r="B659" s="5"/>
      <c r="C659" s="5"/>
      <c r="D659" s="5"/>
      <c r="E659" s="5"/>
      <c r="F659" s="5"/>
      <c r="G659" s="5"/>
      <c r="H659" s="5"/>
      <c r="I659" s="5"/>
      <c r="J659" s="5"/>
      <c r="K659" s="67"/>
      <c r="L659" s="67"/>
      <c r="M659" s="67"/>
      <c r="N659" s="67"/>
      <c r="O659" s="67"/>
      <c r="P659" s="18"/>
      <c r="R659" s="5"/>
      <c r="S659" s="5"/>
      <c r="Y659" s="323"/>
    </row>
    <row r="660" spans="1:25" s="7" customFormat="1" ht="15.8" customHeight="1">
      <c r="A660" s="5"/>
      <c r="B660" s="5"/>
      <c r="C660" s="5"/>
      <c r="D660" s="5"/>
      <c r="E660" s="5"/>
      <c r="F660" s="5"/>
      <c r="G660" s="5"/>
      <c r="H660" s="5"/>
      <c r="I660" s="5"/>
      <c r="J660" s="5"/>
      <c r="K660" s="67"/>
      <c r="L660" s="67"/>
      <c r="M660" s="67"/>
      <c r="N660" s="67"/>
      <c r="O660" s="67"/>
      <c r="P660" s="18"/>
      <c r="R660" s="5"/>
      <c r="S660" s="5"/>
      <c r="Y660" s="323"/>
    </row>
    <row r="661" spans="1:25" s="7" customFormat="1" ht="15.8" customHeight="1">
      <c r="A661" s="5"/>
      <c r="B661" s="5"/>
      <c r="C661" s="5"/>
      <c r="D661" s="5"/>
      <c r="E661" s="5"/>
      <c r="F661" s="5"/>
      <c r="G661" s="5"/>
      <c r="H661" s="5"/>
      <c r="I661" s="5"/>
      <c r="J661" s="5"/>
      <c r="K661" s="67"/>
      <c r="L661" s="67"/>
      <c r="M661" s="67"/>
      <c r="N661" s="67"/>
      <c r="O661" s="67"/>
      <c r="P661" s="18"/>
      <c r="R661" s="5"/>
      <c r="S661" s="5"/>
      <c r="Y661" s="323"/>
    </row>
    <row r="662" spans="1:25" s="7" customFormat="1" ht="15.8" customHeight="1">
      <c r="A662" s="5"/>
      <c r="B662" s="5"/>
      <c r="C662" s="5"/>
      <c r="D662" s="5"/>
      <c r="E662" s="5"/>
      <c r="F662" s="5"/>
      <c r="G662" s="5"/>
      <c r="H662" s="5"/>
      <c r="I662" s="5"/>
      <c r="J662" s="5"/>
      <c r="K662" s="67"/>
      <c r="L662" s="67"/>
      <c r="M662" s="67"/>
      <c r="N662" s="67"/>
      <c r="O662" s="67"/>
      <c r="P662" s="18"/>
      <c r="R662" s="5"/>
      <c r="S662" s="5"/>
      <c r="Y662" s="323"/>
    </row>
    <row r="663" spans="1:25" s="7" customFormat="1" ht="15.8" customHeight="1">
      <c r="A663" s="5"/>
      <c r="B663" s="5"/>
      <c r="C663" s="5"/>
      <c r="D663" s="5"/>
      <c r="E663" s="5"/>
      <c r="F663" s="5"/>
      <c r="G663" s="5"/>
      <c r="H663" s="5"/>
      <c r="I663" s="5"/>
      <c r="J663" s="5"/>
      <c r="K663" s="67"/>
      <c r="L663" s="67"/>
      <c r="M663" s="67"/>
      <c r="N663" s="67"/>
      <c r="O663" s="67"/>
      <c r="P663" s="18"/>
      <c r="R663" s="5"/>
      <c r="S663" s="5"/>
      <c r="Y663" s="323"/>
    </row>
    <row r="664" spans="1:25" s="7" customFormat="1" ht="15.8" customHeight="1">
      <c r="A664" s="5"/>
      <c r="B664" s="5"/>
      <c r="C664" s="5"/>
      <c r="D664" s="5"/>
      <c r="E664" s="5"/>
      <c r="F664" s="5"/>
      <c r="G664" s="5"/>
      <c r="H664" s="5"/>
      <c r="I664" s="5"/>
      <c r="J664" s="5"/>
      <c r="K664" s="67"/>
      <c r="L664" s="67"/>
      <c r="M664" s="67"/>
      <c r="N664" s="67"/>
      <c r="O664" s="67"/>
      <c r="P664" s="18"/>
      <c r="R664" s="5"/>
      <c r="S664" s="5"/>
      <c r="Y664" s="323"/>
    </row>
    <row r="665" spans="1:25" s="7" customFormat="1" ht="15.8" customHeight="1">
      <c r="A665" s="5"/>
      <c r="B665" s="5"/>
      <c r="C665" s="5"/>
      <c r="D665" s="5"/>
      <c r="E665" s="5"/>
      <c r="F665" s="5"/>
      <c r="G665" s="5"/>
      <c r="H665" s="5"/>
      <c r="I665" s="5"/>
      <c r="J665" s="5"/>
      <c r="K665" s="67"/>
      <c r="L665" s="67"/>
      <c r="M665" s="67"/>
      <c r="N665" s="67"/>
      <c r="O665" s="67"/>
      <c r="P665" s="18"/>
      <c r="R665" s="5"/>
      <c r="S665" s="5"/>
      <c r="Y665" s="323"/>
    </row>
    <row r="666" spans="1:25" s="7" customFormat="1" ht="15.8" customHeight="1">
      <c r="A666" s="5"/>
      <c r="B666" s="5"/>
      <c r="C666" s="5"/>
      <c r="D666" s="5"/>
      <c r="E666" s="5"/>
      <c r="F666" s="5"/>
      <c r="G666" s="5"/>
      <c r="H666" s="5"/>
      <c r="I666" s="5"/>
      <c r="J666" s="5"/>
      <c r="K666" s="67"/>
      <c r="L666" s="67"/>
      <c r="M666" s="67"/>
      <c r="N666" s="67"/>
      <c r="O666" s="67"/>
      <c r="P666" s="18"/>
      <c r="R666" s="5"/>
      <c r="S666" s="5"/>
      <c r="Y666" s="323"/>
    </row>
    <row r="667" spans="1:25" s="7" customFormat="1" ht="15.8" customHeight="1">
      <c r="A667" s="5"/>
      <c r="B667" s="5"/>
      <c r="C667" s="5"/>
      <c r="D667" s="5"/>
      <c r="E667" s="5"/>
      <c r="F667" s="5"/>
      <c r="G667" s="5"/>
      <c r="H667" s="5"/>
      <c r="I667" s="5"/>
      <c r="J667" s="5"/>
      <c r="K667" s="67"/>
      <c r="L667" s="67"/>
      <c r="M667" s="67"/>
      <c r="N667" s="67"/>
      <c r="O667" s="67"/>
      <c r="P667" s="18"/>
      <c r="R667" s="5"/>
      <c r="S667" s="5"/>
      <c r="Y667" s="323"/>
    </row>
    <row r="668" spans="1:25" s="7" customFormat="1" ht="15.8" customHeight="1">
      <c r="A668" s="5"/>
      <c r="B668" s="5"/>
      <c r="C668" s="5"/>
      <c r="D668" s="5"/>
      <c r="E668" s="5"/>
      <c r="F668" s="5"/>
      <c r="G668" s="5"/>
      <c r="H668" s="5"/>
      <c r="I668" s="5"/>
      <c r="J668" s="5"/>
      <c r="K668" s="67"/>
      <c r="L668" s="67"/>
      <c r="M668" s="67"/>
      <c r="N668" s="67"/>
      <c r="O668" s="67"/>
      <c r="P668" s="18"/>
      <c r="R668" s="5"/>
      <c r="S668" s="5"/>
      <c r="Y668" s="323"/>
    </row>
    <row r="669" spans="1:25" s="7" customFormat="1" ht="15.8" customHeight="1">
      <c r="A669" s="5"/>
      <c r="B669" s="5"/>
      <c r="C669" s="5"/>
      <c r="D669" s="5"/>
      <c r="E669" s="5"/>
      <c r="F669" s="5"/>
      <c r="G669" s="5"/>
      <c r="H669" s="5"/>
      <c r="I669" s="5"/>
      <c r="J669" s="5"/>
      <c r="K669" s="67"/>
      <c r="L669" s="67"/>
      <c r="M669" s="67"/>
      <c r="N669" s="67"/>
      <c r="O669" s="67"/>
      <c r="P669" s="18"/>
      <c r="R669" s="5"/>
      <c r="S669" s="5"/>
      <c r="Y669" s="323"/>
    </row>
    <row r="670" spans="1:25" s="7" customFormat="1" ht="15.8" customHeight="1">
      <c r="A670" s="5"/>
      <c r="B670" s="5"/>
      <c r="C670" s="5"/>
      <c r="D670" s="5"/>
      <c r="E670" s="5"/>
      <c r="F670" s="5"/>
      <c r="G670" s="5"/>
      <c r="H670" s="5"/>
      <c r="I670" s="5"/>
      <c r="J670" s="5"/>
      <c r="K670" s="67"/>
      <c r="L670" s="67"/>
      <c r="M670" s="67"/>
      <c r="N670" s="67"/>
      <c r="O670" s="67"/>
      <c r="P670" s="18"/>
      <c r="R670" s="5"/>
      <c r="S670" s="5"/>
      <c r="Y670" s="323"/>
    </row>
    <row r="671" spans="1:25" s="7" customFormat="1" ht="15.8" customHeight="1">
      <c r="A671" s="5"/>
      <c r="B671" s="5"/>
      <c r="C671" s="5"/>
      <c r="D671" s="5"/>
      <c r="E671" s="5"/>
      <c r="F671" s="5"/>
      <c r="G671" s="5"/>
      <c r="H671" s="5"/>
      <c r="I671" s="5"/>
      <c r="J671" s="5"/>
      <c r="K671" s="67"/>
      <c r="L671" s="67"/>
      <c r="M671" s="67"/>
      <c r="N671" s="67"/>
      <c r="O671" s="67"/>
      <c r="P671" s="18"/>
      <c r="R671" s="5"/>
      <c r="S671" s="5"/>
      <c r="Y671" s="323"/>
    </row>
    <row r="672" spans="1:25" s="7" customFormat="1" ht="15.8" customHeight="1">
      <c r="A672" s="5"/>
      <c r="B672" s="5"/>
      <c r="C672" s="5"/>
      <c r="D672" s="5"/>
      <c r="E672" s="5"/>
      <c r="F672" s="5"/>
      <c r="G672" s="5"/>
      <c r="H672" s="5"/>
      <c r="I672" s="5"/>
      <c r="J672" s="5"/>
      <c r="K672" s="67"/>
      <c r="L672" s="67"/>
      <c r="M672" s="67"/>
      <c r="N672" s="67"/>
      <c r="O672" s="67"/>
      <c r="P672" s="18"/>
      <c r="R672" s="5"/>
      <c r="S672" s="5"/>
      <c r="Y672" s="323"/>
    </row>
    <row r="673" spans="1:25" s="7" customFormat="1" ht="15.8" customHeight="1">
      <c r="A673" s="5"/>
      <c r="B673" s="5"/>
      <c r="C673" s="5"/>
      <c r="D673" s="5"/>
      <c r="E673" s="5"/>
      <c r="F673" s="5"/>
      <c r="G673" s="5"/>
      <c r="H673" s="5"/>
      <c r="I673" s="5"/>
      <c r="J673" s="5"/>
      <c r="K673" s="67"/>
      <c r="L673" s="67"/>
      <c r="M673" s="67"/>
      <c r="N673" s="67"/>
      <c r="O673" s="67"/>
      <c r="P673" s="18"/>
      <c r="R673" s="5"/>
      <c r="S673" s="5"/>
      <c r="Y673" s="323"/>
    </row>
    <row r="674" spans="1:25" s="7" customFormat="1" ht="15.8" customHeight="1">
      <c r="A674" s="5"/>
      <c r="B674" s="5"/>
      <c r="C674" s="5"/>
      <c r="D674" s="5"/>
      <c r="E674" s="5"/>
      <c r="F674" s="5"/>
      <c r="G674" s="5"/>
      <c r="H674" s="5"/>
      <c r="I674" s="5"/>
      <c r="J674" s="5"/>
      <c r="K674" s="67"/>
      <c r="L674" s="67"/>
      <c r="M674" s="67"/>
      <c r="N674" s="67"/>
      <c r="O674" s="67"/>
      <c r="P674" s="18"/>
      <c r="R674" s="5"/>
      <c r="S674" s="5"/>
      <c r="Y674" s="323"/>
    </row>
    <row r="675" spans="1:25" s="7" customFormat="1" ht="15.8" customHeight="1">
      <c r="A675" s="5"/>
      <c r="B675" s="5"/>
      <c r="C675" s="5"/>
      <c r="D675" s="5"/>
      <c r="E675" s="5"/>
      <c r="F675" s="5"/>
      <c r="G675" s="5"/>
      <c r="H675" s="5"/>
      <c r="I675" s="5"/>
      <c r="J675" s="5"/>
      <c r="K675" s="67"/>
      <c r="L675" s="67"/>
      <c r="M675" s="67"/>
      <c r="N675" s="67"/>
      <c r="O675" s="67"/>
      <c r="P675" s="18"/>
      <c r="R675" s="5"/>
      <c r="S675" s="5"/>
      <c r="Y675" s="323"/>
    </row>
    <row r="676" spans="1:25" s="7" customFormat="1" ht="15.8" customHeight="1">
      <c r="A676" s="5"/>
      <c r="B676" s="5"/>
      <c r="C676" s="5"/>
      <c r="D676" s="5"/>
      <c r="E676" s="5"/>
      <c r="F676" s="5"/>
      <c r="G676" s="5"/>
      <c r="H676" s="5"/>
      <c r="I676" s="5"/>
      <c r="J676" s="5"/>
      <c r="K676" s="67"/>
      <c r="L676" s="67"/>
      <c r="M676" s="67"/>
      <c r="N676" s="67"/>
      <c r="O676" s="67"/>
      <c r="P676" s="18"/>
      <c r="R676" s="5"/>
      <c r="S676" s="5"/>
      <c r="Y676" s="323"/>
    </row>
    <row r="677" spans="1:25" s="7" customFormat="1" ht="15.8" customHeight="1">
      <c r="A677" s="5"/>
      <c r="B677" s="5"/>
      <c r="C677" s="5"/>
      <c r="D677" s="5"/>
      <c r="E677" s="5"/>
      <c r="F677" s="5"/>
      <c r="G677" s="5"/>
      <c r="H677" s="5"/>
      <c r="I677" s="5"/>
      <c r="J677" s="5"/>
      <c r="K677" s="67"/>
      <c r="L677" s="67"/>
      <c r="M677" s="67"/>
      <c r="N677" s="67"/>
      <c r="O677" s="67"/>
      <c r="P677" s="18"/>
      <c r="R677" s="5"/>
      <c r="S677" s="5"/>
      <c r="Y677" s="323"/>
    </row>
    <row r="678" spans="1:25" s="7" customFormat="1" ht="15.8" customHeight="1">
      <c r="A678" s="5"/>
      <c r="B678" s="5"/>
      <c r="C678" s="5"/>
      <c r="D678" s="5"/>
      <c r="E678" s="5"/>
      <c r="F678" s="5"/>
      <c r="G678" s="5"/>
      <c r="H678" s="5"/>
      <c r="I678" s="5"/>
      <c r="J678" s="5"/>
      <c r="K678" s="67"/>
      <c r="L678" s="67"/>
      <c r="M678" s="67"/>
      <c r="N678" s="67"/>
      <c r="O678" s="67"/>
      <c r="P678" s="18"/>
      <c r="R678" s="5"/>
      <c r="S678" s="5"/>
      <c r="Y678" s="323"/>
    </row>
    <row r="679" spans="1:25" s="7" customFormat="1" ht="15.8" customHeight="1">
      <c r="A679" s="5"/>
      <c r="B679" s="5"/>
      <c r="C679" s="5"/>
      <c r="D679" s="5"/>
      <c r="E679" s="5"/>
      <c r="F679" s="5"/>
      <c r="G679" s="5"/>
      <c r="H679" s="5"/>
      <c r="I679" s="5"/>
      <c r="J679" s="5"/>
      <c r="K679" s="67"/>
      <c r="L679" s="67"/>
      <c r="M679" s="67"/>
      <c r="N679" s="67"/>
      <c r="O679" s="67"/>
      <c r="P679" s="18"/>
      <c r="R679" s="5"/>
      <c r="S679" s="5"/>
      <c r="Y679" s="323"/>
    </row>
    <row r="680" spans="1:25" s="7" customFormat="1" ht="15.8" customHeight="1">
      <c r="A680" s="5"/>
      <c r="B680" s="5"/>
      <c r="C680" s="5"/>
      <c r="D680" s="5"/>
      <c r="E680" s="5"/>
      <c r="F680" s="5"/>
      <c r="G680" s="5"/>
      <c r="H680" s="5"/>
      <c r="I680" s="5"/>
      <c r="J680" s="5"/>
      <c r="K680" s="67"/>
      <c r="L680" s="67"/>
      <c r="M680" s="67"/>
      <c r="N680" s="67"/>
      <c r="O680" s="67"/>
      <c r="P680" s="18"/>
      <c r="R680" s="5"/>
      <c r="S680" s="5"/>
      <c r="Y680" s="323"/>
    </row>
    <row r="681" spans="1:25" s="7" customFormat="1" ht="15.8" customHeight="1">
      <c r="A681" s="5"/>
      <c r="B681" s="5"/>
      <c r="C681" s="5"/>
      <c r="D681" s="5"/>
      <c r="E681" s="5"/>
      <c r="F681" s="5"/>
      <c r="G681" s="5"/>
      <c r="H681" s="5"/>
      <c r="I681" s="5"/>
      <c r="J681" s="5"/>
      <c r="K681" s="67"/>
      <c r="L681" s="67"/>
      <c r="M681" s="67"/>
      <c r="N681" s="67"/>
      <c r="O681" s="67"/>
      <c r="P681" s="18"/>
      <c r="R681" s="5"/>
      <c r="S681" s="5"/>
      <c r="Y681" s="323"/>
    </row>
    <row r="682" spans="1:25" s="7" customFormat="1" ht="15.8" customHeight="1">
      <c r="A682" s="5"/>
      <c r="B682" s="5"/>
      <c r="C682" s="5"/>
      <c r="D682" s="5"/>
      <c r="E682" s="5"/>
      <c r="F682" s="5"/>
      <c r="G682" s="5"/>
      <c r="H682" s="5"/>
      <c r="I682" s="5"/>
      <c r="J682" s="5"/>
      <c r="K682" s="67"/>
      <c r="L682" s="67"/>
      <c r="M682" s="67"/>
      <c r="N682" s="67"/>
      <c r="O682" s="67"/>
      <c r="P682" s="18"/>
      <c r="R682" s="5"/>
      <c r="S682" s="5"/>
      <c r="Y682" s="323"/>
    </row>
    <row r="683" spans="1:25" s="7" customFormat="1" ht="15.8" customHeight="1">
      <c r="A683" s="5"/>
      <c r="B683" s="5"/>
      <c r="C683" s="5"/>
      <c r="D683" s="5"/>
      <c r="E683" s="5"/>
      <c r="F683" s="5"/>
      <c r="G683" s="5"/>
      <c r="H683" s="5"/>
      <c r="I683" s="5"/>
      <c r="J683" s="5"/>
      <c r="K683" s="67"/>
      <c r="L683" s="67"/>
      <c r="M683" s="67"/>
      <c r="N683" s="67"/>
      <c r="O683" s="67"/>
      <c r="P683" s="18"/>
      <c r="R683" s="5"/>
      <c r="S683" s="5"/>
      <c r="Y683" s="323"/>
    </row>
    <row r="684" spans="1:25" s="7" customFormat="1" ht="15.8" customHeight="1">
      <c r="A684" s="5"/>
      <c r="B684" s="5"/>
      <c r="C684" s="5"/>
      <c r="D684" s="5"/>
      <c r="E684" s="5"/>
      <c r="F684" s="5"/>
      <c r="G684" s="5"/>
      <c r="H684" s="5"/>
      <c r="I684" s="5"/>
      <c r="J684" s="5"/>
      <c r="K684" s="67"/>
      <c r="L684" s="67"/>
      <c r="M684" s="67"/>
      <c r="N684" s="67"/>
      <c r="O684" s="67"/>
      <c r="P684" s="18"/>
      <c r="R684" s="5"/>
      <c r="S684" s="5"/>
      <c r="Y684" s="323"/>
    </row>
    <row r="685" spans="1:25" s="7" customFormat="1" ht="15.8" customHeight="1">
      <c r="A685" s="5"/>
      <c r="B685" s="5"/>
      <c r="C685" s="5"/>
      <c r="D685" s="5"/>
      <c r="E685" s="5"/>
      <c r="F685" s="5"/>
      <c r="G685" s="5"/>
      <c r="H685" s="5"/>
      <c r="I685" s="5"/>
      <c r="J685" s="5"/>
      <c r="K685" s="67"/>
      <c r="L685" s="67"/>
      <c r="M685" s="67"/>
      <c r="N685" s="67"/>
      <c r="O685" s="67"/>
      <c r="P685" s="18"/>
      <c r="R685" s="5"/>
      <c r="S685" s="5"/>
      <c r="Y685" s="323"/>
    </row>
    <row r="686" spans="1:25" s="7" customFormat="1" ht="15.8" customHeight="1">
      <c r="A686" s="5"/>
      <c r="B686" s="5"/>
      <c r="C686" s="5"/>
      <c r="D686" s="5"/>
      <c r="E686" s="5"/>
      <c r="F686" s="5"/>
      <c r="G686" s="5"/>
      <c r="H686" s="5"/>
      <c r="I686" s="5"/>
      <c r="J686" s="5"/>
      <c r="K686" s="67"/>
      <c r="L686" s="67"/>
      <c r="M686" s="67"/>
      <c r="N686" s="67"/>
      <c r="O686" s="67"/>
      <c r="P686" s="18"/>
      <c r="R686" s="5"/>
      <c r="S686" s="5"/>
      <c r="Y686" s="323"/>
    </row>
    <row r="687" spans="1:25" s="7" customFormat="1" ht="15.8" customHeight="1">
      <c r="A687" s="5"/>
      <c r="B687" s="5"/>
      <c r="C687" s="5"/>
      <c r="D687" s="5"/>
      <c r="E687" s="5"/>
      <c r="F687" s="5"/>
      <c r="G687" s="5"/>
      <c r="H687" s="5"/>
      <c r="I687" s="5"/>
      <c r="J687" s="5"/>
      <c r="K687" s="67"/>
      <c r="L687" s="67"/>
      <c r="M687" s="67"/>
      <c r="N687" s="67"/>
      <c r="O687" s="67"/>
      <c r="P687" s="18"/>
      <c r="R687" s="5"/>
      <c r="S687" s="5"/>
      <c r="Y687" s="323"/>
    </row>
    <row r="688" spans="1:25" s="7" customFormat="1" ht="15.8" customHeight="1">
      <c r="A688" s="5"/>
      <c r="B688" s="5"/>
      <c r="C688" s="5"/>
      <c r="D688" s="5"/>
      <c r="E688" s="5"/>
      <c r="F688" s="5"/>
      <c r="G688" s="5"/>
      <c r="H688" s="5"/>
      <c r="I688" s="5"/>
      <c r="J688" s="5"/>
      <c r="K688" s="67"/>
      <c r="L688" s="67"/>
      <c r="M688" s="67"/>
      <c r="N688" s="67"/>
      <c r="O688" s="67"/>
      <c r="P688" s="18"/>
      <c r="R688" s="5"/>
      <c r="S688" s="5"/>
      <c r="Y688" s="323"/>
    </row>
    <row r="689" spans="1:25" s="7" customFormat="1" ht="15.8" customHeight="1">
      <c r="A689" s="5"/>
      <c r="B689" s="5"/>
      <c r="C689" s="5"/>
      <c r="D689" s="5"/>
      <c r="E689" s="5"/>
      <c r="F689" s="5"/>
      <c r="G689" s="5"/>
      <c r="H689" s="5"/>
      <c r="I689" s="5"/>
      <c r="J689" s="5"/>
      <c r="K689" s="67"/>
      <c r="L689" s="67"/>
      <c r="M689" s="67"/>
      <c r="N689" s="67"/>
      <c r="O689" s="67"/>
      <c r="P689" s="18"/>
      <c r="R689" s="5"/>
      <c r="S689" s="5"/>
      <c r="Y689" s="323"/>
    </row>
    <row r="690" spans="1:25" s="7" customFormat="1" ht="15.8" customHeight="1">
      <c r="A690" s="5"/>
      <c r="B690" s="5"/>
      <c r="C690" s="5"/>
      <c r="D690" s="5"/>
      <c r="E690" s="5"/>
      <c r="F690" s="5"/>
      <c r="G690" s="5"/>
      <c r="H690" s="5"/>
      <c r="I690" s="5"/>
      <c r="J690" s="5"/>
      <c r="K690" s="67"/>
      <c r="L690" s="67"/>
      <c r="M690" s="67"/>
      <c r="N690" s="67"/>
      <c r="O690" s="67"/>
      <c r="P690" s="18"/>
      <c r="R690" s="5"/>
      <c r="S690" s="5"/>
      <c r="Y690" s="323"/>
    </row>
    <row r="691" spans="1:25" s="7" customFormat="1" ht="15.8" customHeight="1">
      <c r="A691" s="5"/>
      <c r="B691" s="5"/>
      <c r="C691" s="5"/>
      <c r="D691" s="5"/>
      <c r="E691" s="5"/>
      <c r="F691" s="5"/>
      <c r="G691" s="5"/>
      <c r="H691" s="5"/>
      <c r="I691" s="5"/>
      <c r="J691" s="5"/>
      <c r="K691" s="67"/>
      <c r="L691" s="67"/>
      <c r="M691" s="67"/>
      <c r="N691" s="67"/>
      <c r="O691" s="67"/>
      <c r="P691" s="18"/>
      <c r="R691" s="5"/>
      <c r="S691" s="5"/>
      <c r="Y691" s="323"/>
    </row>
    <row r="692" spans="1:25" s="7" customFormat="1" ht="15.8" customHeight="1">
      <c r="A692" s="5"/>
      <c r="B692" s="5"/>
      <c r="C692" s="5"/>
      <c r="D692" s="5"/>
      <c r="E692" s="5"/>
      <c r="F692" s="5"/>
      <c r="G692" s="5"/>
      <c r="H692" s="5"/>
      <c r="I692" s="5"/>
      <c r="J692" s="5"/>
      <c r="K692" s="67"/>
      <c r="L692" s="67"/>
      <c r="M692" s="67"/>
      <c r="N692" s="67"/>
      <c r="O692" s="67"/>
      <c r="P692" s="18"/>
      <c r="R692" s="5"/>
      <c r="S692" s="5"/>
      <c r="Y692" s="323"/>
    </row>
    <row r="693" spans="1:25" s="7" customFormat="1" ht="15.8" customHeight="1">
      <c r="A693" s="5"/>
      <c r="B693" s="5"/>
      <c r="C693" s="5"/>
      <c r="D693" s="5"/>
      <c r="E693" s="5"/>
      <c r="F693" s="5"/>
      <c r="G693" s="5"/>
      <c r="H693" s="5"/>
      <c r="I693" s="5"/>
      <c r="J693" s="5"/>
      <c r="K693" s="67"/>
      <c r="L693" s="67"/>
      <c r="M693" s="67"/>
      <c r="N693" s="67"/>
      <c r="O693" s="67"/>
      <c r="P693" s="18"/>
      <c r="R693" s="5"/>
      <c r="S693" s="5"/>
      <c r="Y693" s="323"/>
    </row>
    <row r="694" spans="1:25" s="7" customFormat="1" ht="15.8" customHeight="1">
      <c r="A694" s="5"/>
      <c r="B694" s="5"/>
      <c r="C694" s="5"/>
      <c r="D694" s="5"/>
      <c r="E694" s="5"/>
      <c r="F694" s="5"/>
      <c r="G694" s="5"/>
      <c r="H694" s="5"/>
      <c r="I694" s="5"/>
      <c r="J694" s="5"/>
      <c r="K694" s="67"/>
      <c r="L694" s="67"/>
      <c r="M694" s="67"/>
      <c r="N694" s="67"/>
      <c r="O694" s="67"/>
      <c r="P694" s="18"/>
      <c r="R694" s="5"/>
      <c r="S694" s="5"/>
      <c r="Y694" s="323"/>
    </row>
    <row r="695" spans="1:25" s="7" customFormat="1" ht="15.8" customHeight="1">
      <c r="A695" s="5"/>
      <c r="B695" s="5"/>
      <c r="C695" s="5"/>
      <c r="D695" s="5"/>
      <c r="E695" s="5"/>
      <c r="F695" s="5"/>
      <c r="G695" s="5"/>
      <c r="H695" s="5"/>
      <c r="I695" s="5"/>
      <c r="J695" s="5"/>
      <c r="K695" s="67"/>
      <c r="L695" s="67"/>
      <c r="M695" s="67"/>
      <c r="N695" s="67"/>
      <c r="O695" s="67"/>
      <c r="P695" s="18"/>
      <c r="R695" s="5"/>
      <c r="S695" s="5"/>
      <c r="Y695" s="323"/>
    </row>
    <row r="696" spans="1:25" s="7" customFormat="1" ht="15.8" customHeight="1">
      <c r="A696" s="5"/>
      <c r="B696" s="5"/>
      <c r="C696" s="5"/>
      <c r="D696" s="5"/>
      <c r="E696" s="5"/>
      <c r="F696" s="5"/>
      <c r="G696" s="5"/>
      <c r="H696" s="5"/>
      <c r="I696" s="5"/>
      <c r="J696" s="5"/>
      <c r="K696" s="67"/>
      <c r="L696" s="67"/>
      <c r="M696" s="67"/>
      <c r="N696" s="67"/>
      <c r="O696" s="67"/>
      <c r="P696" s="18"/>
      <c r="R696" s="5"/>
      <c r="S696" s="5"/>
      <c r="Y696" s="323"/>
    </row>
    <row r="697" spans="1:25" s="7" customFormat="1" ht="15.8" customHeight="1">
      <c r="A697" s="5"/>
      <c r="B697" s="5"/>
      <c r="C697" s="5"/>
      <c r="D697" s="5"/>
      <c r="E697" s="5"/>
      <c r="F697" s="5"/>
      <c r="G697" s="5"/>
      <c r="H697" s="5"/>
      <c r="I697" s="5"/>
      <c r="J697" s="5"/>
      <c r="K697" s="67"/>
      <c r="L697" s="67"/>
      <c r="M697" s="67"/>
      <c r="N697" s="67"/>
      <c r="O697" s="67"/>
      <c r="P697" s="18"/>
      <c r="R697" s="5"/>
      <c r="S697" s="5"/>
      <c r="Y697" s="323"/>
    </row>
    <row r="698" spans="1:25" s="7" customFormat="1" ht="15.8" customHeight="1">
      <c r="A698" s="5"/>
      <c r="B698" s="5"/>
      <c r="C698" s="5"/>
      <c r="D698" s="5"/>
      <c r="E698" s="5"/>
      <c r="F698" s="5"/>
      <c r="G698" s="5"/>
      <c r="H698" s="5"/>
      <c r="I698" s="5"/>
      <c r="J698" s="5"/>
      <c r="K698" s="67"/>
      <c r="L698" s="67"/>
      <c r="M698" s="67"/>
      <c r="N698" s="67"/>
      <c r="O698" s="67"/>
      <c r="P698" s="18"/>
      <c r="R698" s="5"/>
      <c r="S698" s="5"/>
      <c r="Y698" s="323"/>
    </row>
    <row r="699" spans="1:25" s="7" customFormat="1" ht="15.8" customHeight="1">
      <c r="A699" s="5"/>
      <c r="B699" s="5"/>
      <c r="C699" s="5"/>
      <c r="D699" s="5"/>
      <c r="E699" s="5"/>
      <c r="F699" s="5"/>
      <c r="G699" s="5"/>
      <c r="H699" s="5"/>
      <c r="I699" s="5"/>
      <c r="J699" s="5"/>
      <c r="K699" s="67"/>
      <c r="L699" s="67"/>
      <c r="M699" s="67"/>
      <c r="N699" s="67"/>
      <c r="O699" s="67"/>
      <c r="P699" s="18"/>
      <c r="R699" s="5"/>
      <c r="S699" s="5"/>
      <c r="Y699" s="323"/>
    </row>
    <row r="700" spans="1:25" s="7" customFormat="1" ht="15.8" customHeight="1">
      <c r="A700" s="5"/>
      <c r="B700" s="5"/>
      <c r="C700" s="5"/>
      <c r="D700" s="5"/>
      <c r="E700" s="5"/>
      <c r="F700" s="5"/>
      <c r="G700" s="5"/>
      <c r="H700" s="5"/>
      <c r="I700" s="5"/>
      <c r="J700" s="5"/>
      <c r="K700" s="67"/>
      <c r="L700" s="67"/>
      <c r="M700" s="67"/>
      <c r="N700" s="67"/>
      <c r="O700" s="67"/>
      <c r="P700" s="18"/>
      <c r="R700" s="5"/>
      <c r="S700" s="5"/>
      <c r="Y700" s="323"/>
    </row>
    <row r="701" spans="1:25" s="7" customFormat="1" ht="15.8" customHeight="1">
      <c r="A701" s="5"/>
      <c r="B701" s="5"/>
      <c r="C701" s="5"/>
      <c r="D701" s="5"/>
      <c r="E701" s="5"/>
      <c r="F701" s="5"/>
      <c r="G701" s="5"/>
      <c r="H701" s="5"/>
      <c r="I701" s="5"/>
      <c r="J701" s="5"/>
      <c r="K701" s="67"/>
      <c r="L701" s="67"/>
      <c r="M701" s="67"/>
      <c r="N701" s="67"/>
      <c r="O701" s="67"/>
      <c r="P701" s="18"/>
      <c r="R701" s="5"/>
      <c r="S701" s="5"/>
      <c r="Y701" s="323"/>
    </row>
    <row r="702" spans="1:25" s="7" customFormat="1" ht="15.8" customHeight="1">
      <c r="A702" s="5"/>
      <c r="B702" s="5"/>
      <c r="C702" s="5"/>
      <c r="D702" s="5"/>
      <c r="E702" s="5"/>
      <c r="F702" s="5"/>
      <c r="G702" s="5"/>
      <c r="H702" s="5"/>
      <c r="I702" s="5"/>
      <c r="J702" s="5"/>
      <c r="K702" s="67"/>
      <c r="L702" s="67"/>
      <c r="M702" s="67"/>
      <c r="N702" s="67"/>
      <c r="O702" s="67"/>
      <c r="P702" s="18"/>
      <c r="R702" s="5"/>
      <c r="S702" s="5"/>
      <c r="Y702" s="323"/>
    </row>
    <row r="703" spans="1:25" s="7" customFormat="1" ht="15.8" customHeight="1">
      <c r="A703" s="5"/>
      <c r="B703" s="5"/>
      <c r="C703" s="5"/>
      <c r="D703" s="5"/>
      <c r="E703" s="5"/>
      <c r="F703" s="5"/>
      <c r="G703" s="5"/>
      <c r="H703" s="5"/>
      <c r="I703" s="5"/>
      <c r="J703" s="5"/>
      <c r="K703" s="67"/>
      <c r="L703" s="67"/>
      <c r="M703" s="67"/>
      <c r="N703" s="67"/>
      <c r="O703" s="67"/>
      <c r="P703" s="18"/>
      <c r="R703" s="5"/>
      <c r="S703" s="5"/>
      <c r="Y703" s="323"/>
    </row>
    <row r="704" spans="1:25" s="7" customFormat="1" ht="15.8" customHeight="1">
      <c r="A704" s="5"/>
      <c r="B704" s="5"/>
      <c r="C704" s="5"/>
      <c r="D704" s="5"/>
      <c r="E704" s="5"/>
      <c r="F704" s="5"/>
      <c r="G704" s="5"/>
      <c r="H704" s="5"/>
      <c r="I704" s="5"/>
      <c r="J704" s="5"/>
      <c r="K704" s="67"/>
      <c r="L704" s="67"/>
      <c r="M704" s="67"/>
      <c r="N704" s="67"/>
      <c r="O704" s="67"/>
      <c r="P704" s="18"/>
      <c r="R704" s="5"/>
      <c r="S704" s="5"/>
      <c r="Y704" s="323"/>
    </row>
    <row r="705" spans="1:25" s="7" customFormat="1" ht="15.8" customHeight="1">
      <c r="A705" s="5"/>
      <c r="B705" s="5"/>
      <c r="C705" s="5"/>
      <c r="D705" s="5"/>
      <c r="E705" s="5"/>
      <c r="F705" s="5"/>
      <c r="G705" s="5"/>
      <c r="H705" s="5"/>
      <c r="I705" s="5"/>
      <c r="J705" s="5"/>
      <c r="K705" s="67"/>
      <c r="L705" s="67"/>
      <c r="M705" s="67"/>
      <c r="N705" s="67"/>
      <c r="O705" s="67"/>
      <c r="P705" s="18"/>
      <c r="R705" s="5"/>
      <c r="S705" s="5"/>
      <c r="Y705" s="323"/>
    </row>
    <row r="706" spans="1:25" s="7" customFormat="1" ht="15.8" customHeight="1">
      <c r="A706" s="5"/>
      <c r="B706" s="5"/>
      <c r="C706" s="5"/>
      <c r="D706" s="5"/>
      <c r="E706" s="5"/>
      <c r="F706" s="5"/>
      <c r="G706" s="5"/>
      <c r="H706" s="5"/>
      <c r="I706" s="5"/>
      <c r="J706" s="5"/>
      <c r="K706" s="67"/>
      <c r="L706" s="67"/>
      <c r="M706" s="67"/>
      <c r="N706" s="67"/>
      <c r="O706" s="67"/>
      <c r="P706" s="18"/>
      <c r="R706" s="5"/>
      <c r="S706" s="5"/>
      <c r="Y706" s="323"/>
    </row>
    <row r="707" spans="1:25" s="7" customFormat="1" ht="15.8" customHeight="1">
      <c r="A707" s="5"/>
      <c r="B707" s="5"/>
      <c r="C707" s="5"/>
      <c r="D707" s="5"/>
      <c r="E707" s="5"/>
      <c r="F707" s="5"/>
      <c r="G707" s="5"/>
      <c r="H707" s="5"/>
      <c r="I707" s="5"/>
      <c r="J707" s="5"/>
      <c r="K707" s="67"/>
      <c r="L707" s="67"/>
      <c r="M707" s="67"/>
      <c r="N707" s="67"/>
      <c r="O707" s="67"/>
      <c r="P707" s="18"/>
      <c r="R707" s="5"/>
      <c r="S707" s="5"/>
      <c r="Y707" s="323"/>
    </row>
    <row r="708" spans="1:25" s="7" customFormat="1" ht="15.8" customHeight="1">
      <c r="A708" s="5"/>
      <c r="B708" s="5"/>
      <c r="C708" s="5"/>
      <c r="D708" s="5"/>
      <c r="E708" s="5"/>
      <c r="F708" s="5"/>
      <c r="G708" s="5"/>
      <c r="H708" s="5"/>
      <c r="I708" s="5"/>
      <c r="J708" s="5"/>
      <c r="K708" s="67"/>
      <c r="L708" s="67"/>
      <c r="M708" s="67"/>
      <c r="N708" s="67"/>
      <c r="O708" s="67"/>
      <c r="P708" s="18"/>
      <c r="R708" s="5"/>
      <c r="S708" s="5"/>
      <c r="Y708" s="323"/>
    </row>
    <row r="709" spans="1:25" s="7" customFormat="1" ht="15.8" customHeight="1">
      <c r="A709" s="5"/>
      <c r="B709" s="5"/>
      <c r="C709" s="5"/>
      <c r="D709" s="5"/>
      <c r="E709" s="5"/>
      <c r="F709" s="5"/>
      <c r="G709" s="5"/>
      <c r="H709" s="5"/>
      <c r="I709" s="5"/>
      <c r="J709" s="5"/>
      <c r="K709" s="67"/>
      <c r="L709" s="67"/>
      <c r="M709" s="67"/>
      <c r="N709" s="67"/>
      <c r="O709" s="67"/>
      <c r="P709" s="18"/>
      <c r="R709" s="5"/>
      <c r="S709" s="5"/>
      <c r="Y709" s="323"/>
    </row>
    <row r="710" spans="1:25" s="7" customFormat="1" ht="15.8" customHeight="1">
      <c r="A710" s="5"/>
      <c r="B710" s="5"/>
      <c r="C710" s="5"/>
      <c r="D710" s="5"/>
      <c r="E710" s="5"/>
      <c r="F710" s="5"/>
      <c r="G710" s="5"/>
      <c r="H710" s="5"/>
      <c r="I710" s="5"/>
      <c r="J710" s="5"/>
      <c r="K710" s="67"/>
      <c r="L710" s="67"/>
      <c r="M710" s="67"/>
      <c r="N710" s="67"/>
      <c r="O710" s="67"/>
      <c r="P710" s="18"/>
      <c r="R710" s="5"/>
      <c r="S710" s="5"/>
      <c r="Y710" s="323"/>
    </row>
    <row r="711" spans="1:25" s="7" customFormat="1" ht="15.8" customHeight="1">
      <c r="A711" s="5"/>
      <c r="B711" s="5"/>
      <c r="C711" s="5"/>
      <c r="D711" s="5"/>
      <c r="E711" s="5"/>
      <c r="F711" s="5"/>
      <c r="G711" s="5"/>
      <c r="H711" s="5"/>
      <c r="I711" s="5"/>
      <c r="J711" s="5"/>
      <c r="K711" s="67"/>
      <c r="L711" s="67"/>
      <c r="M711" s="67"/>
      <c r="N711" s="67"/>
      <c r="O711" s="67"/>
      <c r="P711" s="18"/>
      <c r="R711" s="5"/>
      <c r="S711" s="5"/>
      <c r="Y711" s="323"/>
    </row>
    <row r="712" spans="1:25" s="7" customFormat="1" ht="15.8" customHeight="1">
      <c r="A712" s="5"/>
      <c r="B712" s="5"/>
      <c r="C712" s="5"/>
      <c r="D712" s="5"/>
      <c r="E712" s="5"/>
      <c r="F712" s="5"/>
      <c r="G712" s="5"/>
      <c r="H712" s="5"/>
      <c r="I712" s="5"/>
      <c r="J712" s="5"/>
      <c r="K712" s="67"/>
      <c r="L712" s="67"/>
      <c r="M712" s="67"/>
      <c r="N712" s="67"/>
      <c r="O712" s="67"/>
      <c r="P712" s="18"/>
      <c r="R712" s="5"/>
      <c r="S712" s="5"/>
      <c r="Y712" s="323"/>
    </row>
    <row r="713" spans="1:25" s="7" customFormat="1" ht="15.8" customHeight="1">
      <c r="A713" s="5"/>
      <c r="B713" s="5"/>
      <c r="C713" s="5"/>
      <c r="D713" s="5"/>
      <c r="E713" s="5"/>
      <c r="F713" s="5"/>
      <c r="G713" s="5"/>
      <c r="H713" s="5"/>
      <c r="I713" s="5"/>
      <c r="J713" s="5"/>
      <c r="K713" s="67"/>
      <c r="L713" s="67"/>
      <c r="M713" s="67"/>
      <c r="N713" s="67"/>
      <c r="O713" s="67"/>
      <c r="P713" s="18"/>
      <c r="R713" s="5"/>
      <c r="S713" s="5"/>
      <c r="Y713" s="323"/>
    </row>
    <row r="714" spans="1:25" s="7" customFormat="1" ht="15.8" customHeight="1">
      <c r="A714" s="5"/>
      <c r="B714" s="5"/>
      <c r="C714" s="5"/>
      <c r="D714" s="5"/>
      <c r="E714" s="5"/>
      <c r="F714" s="5"/>
      <c r="G714" s="5"/>
      <c r="H714" s="5"/>
      <c r="I714" s="5"/>
      <c r="J714" s="5"/>
      <c r="K714" s="67"/>
      <c r="L714" s="67"/>
      <c r="M714" s="67"/>
      <c r="N714" s="67"/>
      <c r="O714" s="67"/>
      <c r="P714" s="18"/>
      <c r="R714" s="5"/>
      <c r="S714" s="5"/>
      <c r="Y714" s="323"/>
    </row>
    <row r="715" spans="1:25" s="7" customFormat="1" ht="15.8" customHeight="1">
      <c r="A715" s="5"/>
      <c r="B715" s="5"/>
      <c r="C715" s="5"/>
      <c r="D715" s="5"/>
      <c r="E715" s="5"/>
      <c r="F715" s="5"/>
      <c r="G715" s="5"/>
      <c r="H715" s="5"/>
      <c r="I715" s="5"/>
      <c r="J715" s="5"/>
      <c r="K715" s="67"/>
      <c r="L715" s="67"/>
      <c r="M715" s="67"/>
      <c r="N715" s="67"/>
      <c r="O715" s="67"/>
      <c r="P715" s="18"/>
      <c r="R715" s="5"/>
      <c r="S715" s="5"/>
      <c r="Y715" s="323"/>
    </row>
    <row r="716" spans="1:25" s="7" customFormat="1" ht="15.8" customHeight="1">
      <c r="A716" s="5"/>
      <c r="B716" s="5"/>
      <c r="C716" s="5"/>
      <c r="D716" s="5"/>
      <c r="E716" s="5"/>
      <c r="F716" s="5"/>
      <c r="G716" s="5"/>
      <c r="H716" s="5"/>
      <c r="I716" s="5"/>
      <c r="J716" s="5"/>
      <c r="K716" s="67"/>
      <c r="L716" s="67"/>
      <c r="M716" s="67"/>
      <c r="N716" s="67"/>
      <c r="O716" s="67"/>
      <c r="P716" s="18"/>
      <c r="R716" s="5"/>
      <c r="S716" s="5"/>
      <c r="Y716" s="323"/>
    </row>
    <row r="717" spans="1:25" s="7" customFormat="1" ht="15.8" customHeight="1">
      <c r="A717" s="5"/>
      <c r="B717" s="5"/>
      <c r="C717" s="5"/>
      <c r="D717" s="5"/>
      <c r="E717" s="5"/>
      <c r="F717" s="5"/>
      <c r="G717" s="5"/>
      <c r="H717" s="5"/>
      <c r="I717" s="5"/>
      <c r="J717" s="5"/>
      <c r="K717" s="67"/>
      <c r="L717" s="67"/>
      <c r="M717" s="67"/>
      <c r="N717" s="67"/>
      <c r="O717" s="67"/>
      <c r="P717" s="18"/>
      <c r="R717" s="5"/>
      <c r="S717" s="5"/>
      <c r="Y717" s="323"/>
    </row>
    <row r="718" spans="1:25" s="7" customFormat="1" ht="15.8" customHeight="1">
      <c r="A718" s="5"/>
      <c r="B718" s="5"/>
      <c r="C718" s="5"/>
      <c r="D718" s="5"/>
      <c r="E718" s="5"/>
      <c r="F718" s="5"/>
      <c r="G718" s="5"/>
      <c r="H718" s="5"/>
      <c r="I718" s="5"/>
      <c r="J718" s="5"/>
      <c r="K718" s="67"/>
      <c r="L718" s="67"/>
      <c r="M718" s="67"/>
      <c r="N718" s="67"/>
      <c r="O718" s="67"/>
      <c r="P718" s="18"/>
      <c r="R718" s="5"/>
      <c r="S718" s="5"/>
      <c r="Y718" s="323"/>
    </row>
    <row r="719" spans="1:25" s="7" customFormat="1" ht="15.8" customHeight="1">
      <c r="A719" s="5"/>
      <c r="B719" s="5"/>
      <c r="C719" s="5"/>
      <c r="D719" s="5"/>
      <c r="E719" s="5"/>
      <c r="F719" s="5"/>
      <c r="G719" s="5"/>
      <c r="H719" s="5"/>
      <c r="I719" s="5"/>
      <c r="J719" s="5"/>
      <c r="K719" s="67"/>
      <c r="L719" s="67"/>
      <c r="M719" s="67"/>
      <c r="N719" s="67"/>
      <c r="O719" s="67"/>
      <c r="P719" s="18"/>
      <c r="R719" s="5"/>
      <c r="S719" s="5"/>
      <c r="Y719" s="323"/>
    </row>
    <row r="720" spans="1:25" s="7" customFormat="1" ht="15.8" customHeight="1">
      <c r="A720" s="5"/>
      <c r="B720" s="5"/>
      <c r="C720" s="5"/>
      <c r="D720" s="5"/>
      <c r="E720" s="5"/>
      <c r="F720" s="5"/>
      <c r="G720" s="5"/>
      <c r="H720" s="5"/>
      <c r="I720" s="5"/>
      <c r="J720" s="5"/>
      <c r="K720" s="67"/>
      <c r="L720" s="67"/>
      <c r="M720" s="67"/>
      <c r="N720" s="67"/>
      <c r="O720" s="67"/>
      <c r="P720" s="18"/>
      <c r="R720" s="5"/>
      <c r="S720" s="5"/>
      <c r="Y720" s="323"/>
    </row>
    <row r="721" spans="1:25" s="7" customFormat="1" ht="15.8" customHeight="1">
      <c r="A721" s="5"/>
      <c r="B721" s="5"/>
      <c r="C721" s="5"/>
      <c r="D721" s="5"/>
      <c r="E721" s="5"/>
      <c r="F721" s="5"/>
      <c r="G721" s="5"/>
      <c r="H721" s="5"/>
      <c r="I721" s="5"/>
      <c r="J721" s="5"/>
      <c r="K721" s="67"/>
      <c r="L721" s="67"/>
      <c r="M721" s="67"/>
      <c r="N721" s="67"/>
      <c r="O721" s="67"/>
      <c r="P721" s="18"/>
      <c r="R721" s="5"/>
      <c r="S721" s="5"/>
      <c r="Y721" s="323"/>
    </row>
    <row r="722" spans="1:25" s="7" customFormat="1" ht="15.8" customHeight="1">
      <c r="A722" s="5"/>
      <c r="B722" s="5"/>
      <c r="C722" s="5"/>
      <c r="D722" s="5"/>
      <c r="E722" s="5"/>
      <c r="F722" s="5"/>
      <c r="G722" s="5"/>
      <c r="H722" s="5"/>
      <c r="I722" s="5"/>
      <c r="J722" s="5"/>
      <c r="K722" s="67"/>
      <c r="L722" s="67"/>
      <c r="M722" s="67"/>
      <c r="N722" s="67"/>
      <c r="O722" s="67"/>
      <c r="P722" s="18"/>
      <c r="R722" s="5"/>
      <c r="S722" s="5"/>
      <c r="Y722" s="323"/>
    </row>
    <row r="723" spans="1:25" s="7" customFormat="1" ht="15.8" customHeight="1">
      <c r="A723" s="5"/>
      <c r="B723" s="5"/>
      <c r="C723" s="5"/>
      <c r="D723" s="5"/>
      <c r="E723" s="5"/>
      <c r="F723" s="5"/>
      <c r="G723" s="5"/>
      <c r="H723" s="5"/>
      <c r="I723" s="5"/>
      <c r="J723" s="5"/>
      <c r="K723" s="67"/>
      <c r="L723" s="67"/>
      <c r="M723" s="67"/>
      <c r="N723" s="67"/>
      <c r="O723" s="67"/>
      <c r="P723" s="18"/>
      <c r="R723" s="5"/>
      <c r="S723" s="5"/>
      <c r="Y723" s="323"/>
    </row>
    <row r="724" spans="1:25" s="7" customFormat="1" ht="15.8" customHeight="1">
      <c r="A724" s="5"/>
      <c r="B724" s="5"/>
      <c r="C724" s="5"/>
      <c r="D724" s="5"/>
      <c r="E724" s="5"/>
      <c r="F724" s="5"/>
      <c r="G724" s="5"/>
      <c r="H724" s="5"/>
      <c r="I724" s="5"/>
      <c r="J724" s="5"/>
      <c r="K724" s="67"/>
      <c r="L724" s="67"/>
      <c r="M724" s="67"/>
      <c r="N724" s="67"/>
      <c r="O724" s="67"/>
      <c r="P724" s="18"/>
      <c r="R724" s="5"/>
      <c r="S724" s="5"/>
      <c r="Y724" s="323"/>
    </row>
    <row r="725" spans="1:25" s="7" customFormat="1" ht="15.8" customHeight="1">
      <c r="A725" s="5"/>
      <c r="B725" s="5"/>
      <c r="C725" s="5"/>
      <c r="D725" s="5"/>
      <c r="E725" s="5"/>
      <c r="F725" s="5"/>
      <c r="G725" s="5"/>
      <c r="H725" s="5"/>
      <c r="I725" s="5"/>
      <c r="J725" s="5"/>
      <c r="K725" s="67"/>
      <c r="L725" s="67"/>
      <c r="M725" s="67"/>
      <c r="N725" s="67"/>
      <c r="O725" s="67"/>
      <c r="P725" s="18"/>
      <c r="R725" s="5"/>
      <c r="S725" s="5"/>
      <c r="Y725" s="323"/>
    </row>
    <row r="726" spans="1:25" s="7" customFormat="1" ht="15.8" customHeight="1">
      <c r="A726" s="5"/>
      <c r="B726" s="5"/>
      <c r="C726" s="5"/>
      <c r="D726" s="5"/>
      <c r="E726" s="5"/>
      <c r="F726" s="5"/>
      <c r="G726" s="5"/>
      <c r="H726" s="5"/>
      <c r="I726" s="5"/>
      <c r="J726" s="5"/>
      <c r="K726" s="67"/>
      <c r="L726" s="67"/>
      <c r="M726" s="67"/>
      <c r="N726" s="67"/>
      <c r="O726" s="67"/>
      <c r="P726" s="18"/>
      <c r="R726" s="5"/>
      <c r="S726" s="5"/>
      <c r="Y726" s="323"/>
    </row>
    <row r="727" spans="1:25" s="7" customFormat="1" ht="15.8" customHeight="1">
      <c r="A727" s="5"/>
      <c r="B727" s="5"/>
      <c r="C727" s="5"/>
      <c r="D727" s="5"/>
      <c r="E727" s="5"/>
      <c r="F727" s="5"/>
      <c r="G727" s="5"/>
      <c r="H727" s="5"/>
      <c r="I727" s="5"/>
      <c r="J727" s="5"/>
      <c r="K727" s="67"/>
      <c r="L727" s="67"/>
      <c r="M727" s="67"/>
      <c r="N727" s="67"/>
      <c r="O727" s="67"/>
      <c r="P727" s="18"/>
      <c r="R727" s="5"/>
      <c r="S727" s="5"/>
      <c r="Y727" s="323"/>
    </row>
    <row r="728" spans="1:25" s="7" customFormat="1" ht="15.8" customHeight="1">
      <c r="A728" s="5"/>
      <c r="B728" s="5"/>
      <c r="C728" s="5"/>
      <c r="D728" s="5"/>
      <c r="E728" s="5"/>
      <c r="F728" s="5"/>
      <c r="G728" s="5"/>
      <c r="H728" s="5"/>
      <c r="I728" s="5"/>
      <c r="J728" s="5"/>
      <c r="K728" s="67"/>
      <c r="L728" s="67"/>
      <c r="M728" s="67"/>
      <c r="N728" s="67"/>
      <c r="O728" s="67"/>
      <c r="P728" s="18"/>
      <c r="R728" s="5"/>
      <c r="S728" s="5"/>
      <c r="Y728" s="323"/>
    </row>
    <row r="729" spans="1:25" s="7" customFormat="1" ht="15.8" customHeight="1">
      <c r="A729" s="5"/>
      <c r="B729" s="5"/>
      <c r="C729" s="5"/>
      <c r="D729" s="5"/>
      <c r="E729" s="5"/>
      <c r="F729" s="5"/>
      <c r="G729" s="5"/>
      <c r="H729" s="5"/>
      <c r="I729" s="5"/>
      <c r="J729" s="5"/>
      <c r="K729" s="67"/>
      <c r="L729" s="67"/>
      <c r="M729" s="67"/>
      <c r="N729" s="67"/>
      <c r="O729" s="67"/>
      <c r="P729" s="18"/>
      <c r="R729" s="5"/>
      <c r="S729" s="5"/>
      <c r="Y729" s="323"/>
    </row>
    <row r="730" spans="1:25" s="7" customFormat="1" ht="15.8" customHeight="1">
      <c r="A730" s="5"/>
      <c r="B730" s="5"/>
      <c r="C730" s="5"/>
      <c r="D730" s="5"/>
      <c r="E730" s="5"/>
      <c r="F730" s="5"/>
      <c r="G730" s="5"/>
      <c r="H730" s="5"/>
      <c r="I730" s="5"/>
      <c r="J730" s="5"/>
      <c r="K730" s="67"/>
      <c r="L730" s="67"/>
      <c r="M730" s="67"/>
      <c r="N730" s="67"/>
      <c r="O730" s="67"/>
      <c r="P730" s="18"/>
      <c r="R730" s="5"/>
      <c r="S730" s="5"/>
      <c r="Y730" s="323"/>
    </row>
    <row r="731" spans="1:25" s="7" customFormat="1" ht="15.8" customHeight="1">
      <c r="A731" s="5"/>
      <c r="B731" s="5"/>
      <c r="C731" s="5"/>
      <c r="D731" s="5"/>
      <c r="E731" s="5"/>
      <c r="F731" s="5"/>
      <c r="G731" s="5"/>
      <c r="H731" s="5"/>
      <c r="I731" s="5"/>
      <c r="J731" s="5"/>
      <c r="K731" s="67"/>
      <c r="L731" s="67"/>
      <c r="M731" s="67"/>
      <c r="N731" s="67"/>
      <c r="O731" s="67"/>
      <c r="P731" s="18"/>
      <c r="R731" s="5"/>
      <c r="S731" s="5"/>
      <c r="Y731" s="323"/>
    </row>
    <row r="732" spans="1:25" s="7" customFormat="1" ht="15.8" customHeight="1">
      <c r="A732" s="5"/>
      <c r="B732" s="5"/>
      <c r="C732" s="5"/>
      <c r="D732" s="5"/>
      <c r="E732" s="5"/>
      <c r="F732" s="5"/>
      <c r="G732" s="5"/>
      <c r="H732" s="5"/>
      <c r="I732" s="5"/>
      <c r="J732" s="5"/>
      <c r="K732" s="67"/>
      <c r="L732" s="67"/>
      <c r="M732" s="67"/>
      <c r="N732" s="67"/>
      <c r="O732" s="67"/>
      <c r="P732" s="18"/>
      <c r="R732" s="5"/>
      <c r="S732" s="5"/>
      <c r="Y732" s="323"/>
    </row>
    <row r="733" spans="1:25" s="7" customFormat="1" ht="15.8" customHeight="1">
      <c r="A733" s="5"/>
      <c r="B733" s="5"/>
      <c r="C733" s="5"/>
      <c r="D733" s="5"/>
      <c r="E733" s="5"/>
      <c r="F733" s="5"/>
      <c r="G733" s="5"/>
      <c r="H733" s="5"/>
      <c r="I733" s="5"/>
      <c r="J733" s="5"/>
      <c r="K733" s="67"/>
      <c r="L733" s="67"/>
      <c r="M733" s="67"/>
      <c r="N733" s="67"/>
      <c r="O733" s="67"/>
      <c r="P733" s="18"/>
      <c r="R733" s="5"/>
      <c r="S733" s="5"/>
      <c r="Y733" s="323"/>
    </row>
    <row r="734" spans="1:25" s="7" customFormat="1" ht="15.8" customHeight="1">
      <c r="A734" s="5"/>
      <c r="B734" s="5"/>
      <c r="C734" s="5"/>
      <c r="D734" s="5"/>
      <c r="E734" s="5"/>
      <c r="F734" s="5"/>
      <c r="G734" s="5"/>
      <c r="H734" s="5"/>
      <c r="I734" s="5"/>
      <c r="J734" s="5"/>
      <c r="K734" s="67"/>
      <c r="L734" s="67"/>
      <c r="M734" s="67"/>
      <c r="N734" s="67"/>
      <c r="O734" s="67"/>
      <c r="P734" s="18"/>
      <c r="R734" s="5"/>
      <c r="S734" s="5"/>
      <c r="Y734" s="323"/>
    </row>
    <row r="735" spans="1:25" s="7" customFormat="1" ht="15.8" customHeight="1">
      <c r="A735" s="5"/>
      <c r="B735" s="5"/>
      <c r="C735" s="5"/>
      <c r="D735" s="5"/>
      <c r="E735" s="5"/>
      <c r="F735" s="5"/>
      <c r="G735" s="5"/>
      <c r="H735" s="5"/>
      <c r="I735" s="5"/>
      <c r="J735" s="5"/>
      <c r="K735" s="67"/>
      <c r="L735" s="67"/>
      <c r="M735" s="67"/>
      <c r="N735" s="67"/>
      <c r="O735" s="67"/>
      <c r="P735" s="18"/>
      <c r="R735" s="5"/>
      <c r="S735" s="5"/>
      <c r="Y735" s="323"/>
    </row>
    <row r="736" spans="1:25" s="7" customFormat="1" ht="15.8" customHeight="1">
      <c r="A736" s="5"/>
      <c r="B736" s="5"/>
      <c r="C736" s="5"/>
      <c r="D736" s="5"/>
      <c r="E736" s="5"/>
      <c r="F736" s="5"/>
      <c r="G736" s="5"/>
      <c r="H736" s="5"/>
      <c r="I736" s="5"/>
      <c r="J736" s="5"/>
      <c r="K736" s="67"/>
      <c r="L736" s="67"/>
      <c r="M736" s="67"/>
      <c r="N736" s="67"/>
      <c r="O736" s="67"/>
      <c r="P736" s="18"/>
      <c r="R736" s="5"/>
      <c r="S736" s="5"/>
      <c r="Y736" s="323"/>
    </row>
    <row r="737" spans="1:25" s="7" customFormat="1" ht="15.8" customHeight="1">
      <c r="A737" s="5"/>
      <c r="B737" s="5"/>
      <c r="C737" s="5"/>
      <c r="D737" s="5"/>
      <c r="E737" s="5"/>
      <c r="F737" s="5"/>
      <c r="G737" s="5"/>
      <c r="H737" s="5"/>
      <c r="I737" s="5"/>
      <c r="J737" s="5"/>
      <c r="K737" s="67"/>
      <c r="L737" s="67"/>
      <c r="M737" s="67"/>
      <c r="N737" s="67"/>
      <c r="O737" s="67"/>
      <c r="P737" s="18"/>
      <c r="R737" s="5"/>
      <c r="S737" s="5"/>
      <c r="Y737" s="323"/>
    </row>
    <row r="738" spans="1:25" s="7" customFormat="1" ht="15.8" customHeight="1">
      <c r="A738" s="5"/>
      <c r="B738" s="5"/>
      <c r="C738" s="5"/>
      <c r="D738" s="5"/>
      <c r="E738" s="5"/>
      <c r="F738" s="5"/>
      <c r="G738" s="5"/>
      <c r="H738" s="5"/>
      <c r="I738" s="5"/>
      <c r="J738" s="5"/>
      <c r="K738" s="67"/>
      <c r="L738" s="67"/>
      <c r="M738" s="67"/>
      <c r="N738" s="67"/>
      <c r="O738" s="67"/>
      <c r="P738" s="18"/>
      <c r="R738" s="5"/>
      <c r="S738" s="5"/>
      <c r="Y738" s="323"/>
    </row>
    <row r="739" spans="1:25" s="7" customFormat="1" ht="15.8" customHeight="1">
      <c r="A739" s="5"/>
      <c r="B739" s="5"/>
      <c r="C739" s="5"/>
      <c r="D739" s="5"/>
      <c r="E739" s="5"/>
      <c r="F739" s="5"/>
      <c r="G739" s="5"/>
      <c r="H739" s="5"/>
      <c r="I739" s="5"/>
      <c r="J739" s="5"/>
      <c r="K739" s="67"/>
      <c r="L739" s="67"/>
      <c r="M739" s="67"/>
      <c r="N739" s="67"/>
      <c r="O739" s="67"/>
      <c r="P739" s="18"/>
      <c r="R739" s="5"/>
      <c r="S739" s="5"/>
      <c r="Y739" s="323"/>
    </row>
    <row r="740" spans="1:25" s="7" customFormat="1" ht="15.8" customHeight="1">
      <c r="A740" s="5"/>
      <c r="B740" s="5"/>
      <c r="C740" s="5"/>
      <c r="D740" s="5"/>
      <c r="E740" s="5"/>
      <c r="F740" s="5"/>
      <c r="G740" s="5"/>
      <c r="H740" s="5"/>
      <c r="I740" s="5"/>
      <c r="J740" s="5"/>
      <c r="K740" s="67"/>
      <c r="L740" s="67"/>
      <c r="M740" s="67"/>
      <c r="N740" s="67"/>
      <c r="O740" s="67"/>
      <c r="P740" s="18"/>
      <c r="R740" s="5"/>
      <c r="S740" s="5"/>
      <c r="Y740" s="323"/>
    </row>
    <row r="741" spans="1:25" s="7" customFormat="1" ht="15.8" customHeight="1">
      <c r="A741" s="5"/>
      <c r="B741" s="5"/>
      <c r="C741" s="5"/>
      <c r="D741" s="5"/>
      <c r="E741" s="5"/>
      <c r="F741" s="5"/>
      <c r="G741" s="5"/>
      <c r="H741" s="5"/>
      <c r="I741" s="5"/>
      <c r="J741" s="5"/>
      <c r="K741" s="67"/>
      <c r="L741" s="67"/>
      <c r="M741" s="67"/>
      <c r="N741" s="67"/>
      <c r="O741" s="67"/>
      <c r="P741" s="18"/>
      <c r="R741" s="5"/>
      <c r="S741" s="5"/>
      <c r="Y741" s="323"/>
    </row>
    <row r="742" spans="1:25" s="7" customFormat="1" ht="15.8" customHeight="1">
      <c r="A742" s="5"/>
      <c r="B742" s="5"/>
      <c r="C742" s="5"/>
      <c r="D742" s="5"/>
      <c r="E742" s="5"/>
      <c r="F742" s="5"/>
      <c r="G742" s="5"/>
      <c r="H742" s="5"/>
      <c r="I742" s="5"/>
      <c r="J742" s="5"/>
      <c r="K742" s="67"/>
      <c r="L742" s="67"/>
      <c r="M742" s="67"/>
      <c r="N742" s="67"/>
      <c r="O742" s="67"/>
      <c r="P742" s="18"/>
      <c r="R742" s="5"/>
      <c r="S742" s="5"/>
      <c r="Y742" s="323"/>
    </row>
    <row r="743" spans="1:25" s="7" customFormat="1" ht="15.8" customHeight="1">
      <c r="A743" s="5"/>
      <c r="B743" s="5"/>
      <c r="C743" s="5"/>
      <c r="D743" s="5"/>
      <c r="E743" s="5"/>
      <c r="F743" s="5"/>
      <c r="G743" s="5"/>
      <c r="H743" s="5"/>
      <c r="I743" s="5"/>
      <c r="J743" s="5"/>
      <c r="K743" s="67"/>
      <c r="L743" s="67"/>
      <c r="M743" s="67"/>
      <c r="N743" s="67"/>
      <c r="O743" s="67"/>
      <c r="P743" s="18"/>
      <c r="R743" s="5"/>
      <c r="S743" s="5"/>
      <c r="Y743" s="323"/>
    </row>
    <row r="744" spans="1:25" s="7" customFormat="1" ht="15.8" customHeight="1">
      <c r="A744" s="5"/>
      <c r="B744" s="5"/>
      <c r="C744" s="5"/>
      <c r="D744" s="5"/>
      <c r="E744" s="5"/>
      <c r="F744" s="5"/>
      <c r="G744" s="5"/>
      <c r="H744" s="5"/>
      <c r="I744" s="5"/>
      <c r="J744" s="5"/>
      <c r="K744" s="67"/>
      <c r="L744" s="67"/>
      <c r="M744" s="67"/>
      <c r="N744" s="67"/>
      <c r="O744" s="67"/>
      <c r="P744" s="18"/>
      <c r="R744" s="5"/>
      <c r="S744" s="5"/>
      <c r="Y744" s="323"/>
    </row>
    <row r="745" spans="1:25" s="7" customFormat="1" ht="15.8" customHeight="1">
      <c r="A745" s="5"/>
      <c r="B745" s="5"/>
      <c r="C745" s="5"/>
      <c r="D745" s="5"/>
      <c r="E745" s="5"/>
      <c r="F745" s="5"/>
      <c r="G745" s="5"/>
      <c r="H745" s="5"/>
      <c r="I745" s="5"/>
      <c r="J745" s="5"/>
      <c r="K745" s="67"/>
      <c r="L745" s="67"/>
      <c r="M745" s="67"/>
      <c r="N745" s="67"/>
      <c r="O745" s="67"/>
      <c r="P745" s="18"/>
      <c r="R745" s="5"/>
      <c r="S745" s="5"/>
      <c r="Y745" s="323"/>
    </row>
    <row r="746" spans="1:25" s="7" customFormat="1" ht="15.8" customHeight="1">
      <c r="A746" s="5"/>
      <c r="B746" s="5"/>
      <c r="C746" s="5"/>
      <c r="D746" s="5"/>
      <c r="E746" s="5"/>
      <c r="F746" s="5"/>
      <c r="G746" s="5"/>
      <c r="H746" s="5"/>
      <c r="I746" s="5"/>
      <c r="J746" s="5"/>
      <c r="K746" s="67"/>
      <c r="L746" s="67"/>
      <c r="M746" s="67"/>
      <c r="N746" s="67"/>
      <c r="O746" s="67"/>
      <c r="P746" s="18"/>
      <c r="R746" s="5"/>
      <c r="S746" s="5"/>
      <c r="Y746" s="323"/>
    </row>
    <row r="747" spans="1:25" s="7" customFormat="1" ht="15.8" customHeight="1">
      <c r="A747" s="5"/>
      <c r="B747" s="5"/>
      <c r="C747" s="5"/>
      <c r="D747" s="5"/>
      <c r="E747" s="5"/>
      <c r="F747" s="5"/>
      <c r="G747" s="5"/>
      <c r="H747" s="5"/>
      <c r="I747" s="5"/>
      <c r="J747" s="5"/>
      <c r="K747" s="67"/>
      <c r="L747" s="67"/>
      <c r="M747" s="67"/>
      <c r="N747" s="67"/>
      <c r="O747" s="67"/>
      <c r="P747" s="18"/>
      <c r="R747" s="5"/>
      <c r="S747" s="5"/>
      <c r="Y747" s="323"/>
    </row>
    <row r="748" spans="1:25" s="7" customFormat="1" ht="15.8" customHeight="1">
      <c r="A748" s="5"/>
      <c r="B748" s="5"/>
      <c r="C748" s="5"/>
      <c r="D748" s="5"/>
      <c r="E748" s="5"/>
      <c r="F748" s="5"/>
      <c r="G748" s="5"/>
      <c r="H748" s="5"/>
      <c r="I748" s="5"/>
      <c r="J748" s="5"/>
      <c r="K748" s="67"/>
      <c r="L748" s="67"/>
      <c r="M748" s="67"/>
      <c r="N748" s="67"/>
      <c r="O748" s="67"/>
      <c r="P748" s="18"/>
      <c r="R748" s="5"/>
      <c r="S748" s="5"/>
      <c r="Y748" s="323"/>
    </row>
    <row r="749" spans="1:25" s="7" customFormat="1" ht="15.8" customHeight="1">
      <c r="A749" s="5"/>
      <c r="B749" s="5"/>
      <c r="C749" s="5"/>
      <c r="D749" s="5"/>
      <c r="E749" s="5"/>
      <c r="F749" s="5"/>
      <c r="G749" s="5"/>
      <c r="H749" s="5"/>
      <c r="I749" s="5"/>
      <c r="J749" s="5"/>
      <c r="K749" s="67"/>
      <c r="L749" s="67"/>
      <c r="M749" s="67"/>
      <c r="N749" s="67"/>
      <c r="O749" s="67"/>
      <c r="P749" s="18"/>
      <c r="R749" s="5"/>
      <c r="S749" s="5"/>
      <c r="Y749" s="323"/>
    </row>
    <row r="750" spans="1:25" s="7" customFormat="1" ht="15.8" customHeight="1">
      <c r="A750" s="5"/>
      <c r="B750" s="5"/>
      <c r="C750" s="5"/>
      <c r="D750" s="5"/>
      <c r="E750" s="5"/>
      <c r="F750" s="5"/>
      <c r="G750" s="5"/>
      <c r="H750" s="5"/>
      <c r="I750" s="5"/>
      <c r="J750" s="5"/>
      <c r="K750" s="67"/>
      <c r="L750" s="67"/>
      <c r="M750" s="67"/>
      <c r="N750" s="67"/>
      <c r="O750" s="67"/>
      <c r="P750" s="18"/>
      <c r="R750" s="5"/>
      <c r="S750" s="5"/>
      <c r="Y750" s="323"/>
    </row>
    <row r="751" spans="1:25" s="7" customFormat="1" ht="15.8" customHeight="1">
      <c r="A751" s="5"/>
      <c r="B751" s="5"/>
      <c r="C751" s="5"/>
      <c r="D751" s="5"/>
      <c r="E751" s="5"/>
      <c r="F751" s="5"/>
      <c r="G751" s="5"/>
      <c r="H751" s="5"/>
      <c r="I751" s="5"/>
      <c r="J751" s="5"/>
      <c r="K751" s="67"/>
      <c r="L751" s="67"/>
      <c r="M751" s="67"/>
      <c r="N751" s="67"/>
      <c r="O751" s="67"/>
      <c r="P751" s="18"/>
      <c r="R751" s="5"/>
      <c r="S751" s="5"/>
      <c r="Y751" s="323"/>
    </row>
    <row r="752" spans="1:25" s="7" customFormat="1" ht="15.8" customHeight="1">
      <c r="A752" s="5"/>
      <c r="B752" s="5"/>
      <c r="C752" s="5"/>
      <c r="D752" s="5"/>
      <c r="E752" s="5"/>
      <c r="F752" s="5"/>
      <c r="G752" s="5"/>
      <c r="H752" s="5"/>
      <c r="I752" s="5"/>
      <c r="J752" s="5"/>
      <c r="K752" s="67"/>
      <c r="L752" s="67"/>
      <c r="M752" s="67"/>
      <c r="N752" s="67"/>
      <c r="O752" s="67"/>
      <c r="P752" s="18"/>
      <c r="R752" s="5"/>
      <c r="S752" s="5"/>
      <c r="Y752" s="323"/>
    </row>
    <row r="753" spans="1:25" s="7" customFormat="1" ht="15.8" customHeight="1">
      <c r="A753" s="5"/>
      <c r="B753" s="5"/>
      <c r="C753" s="5"/>
      <c r="D753" s="5"/>
      <c r="E753" s="5"/>
      <c r="F753" s="5"/>
      <c r="G753" s="5"/>
      <c r="H753" s="5"/>
      <c r="I753" s="5"/>
      <c r="J753" s="5"/>
      <c r="K753" s="67"/>
      <c r="L753" s="67"/>
      <c r="M753" s="67"/>
      <c r="N753" s="67"/>
      <c r="O753" s="67"/>
      <c r="P753" s="18"/>
      <c r="R753" s="5"/>
      <c r="S753" s="5"/>
      <c r="Y753" s="323"/>
    </row>
    <row r="754" spans="1:25" s="7" customFormat="1" ht="15.8" customHeight="1">
      <c r="A754" s="5"/>
      <c r="B754" s="5"/>
      <c r="C754" s="5"/>
      <c r="D754" s="5"/>
      <c r="E754" s="5"/>
      <c r="F754" s="5"/>
      <c r="G754" s="5"/>
      <c r="H754" s="5"/>
      <c r="I754" s="5"/>
      <c r="J754" s="5"/>
      <c r="K754" s="67"/>
      <c r="L754" s="67"/>
      <c r="M754" s="67"/>
      <c r="N754" s="67"/>
      <c r="O754" s="67"/>
      <c r="P754" s="18"/>
      <c r="R754" s="5"/>
      <c r="S754" s="5"/>
      <c r="Y754" s="323"/>
    </row>
    <row r="755" spans="1:25" s="7" customFormat="1" ht="15.8" customHeight="1">
      <c r="A755" s="5"/>
      <c r="B755" s="5"/>
      <c r="C755" s="5"/>
      <c r="D755" s="5"/>
      <c r="E755" s="5"/>
      <c r="F755" s="5"/>
      <c r="G755" s="5"/>
      <c r="H755" s="5"/>
      <c r="I755" s="5"/>
      <c r="J755" s="5"/>
      <c r="K755" s="67"/>
      <c r="L755" s="67"/>
      <c r="M755" s="67"/>
      <c r="N755" s="67"/>
      <c r="O755" s="67"/>
      <c r="P755" s="18"/>
      <c r="R755" s="5"/>
      <c r="S755" s="5"/>
      <c r="Y755" s="323"/>
    </row>
    <row r="756" spans="1:25" s="7" customFormat="1" ht="15.8" customHeight="1">
      <c r="A756" s="5"/>
      <c r="B756" s="5"/>
      <c r="C756" s="5"/>
      <c r="D756" s="5"/>
      <c r="E756" s="5"/>
      <c r="F756" s="5"/>
      <c r="G756" s="5"/>
      <c r="H756" s="5"/>
      <c r="I756" s="5"/>
      <c r="J756" s="5"/>
      <c r="K756" s="67"/>
      <c r="L756" s="67"/>
      <c r="M756" s="67"/>
      <c r="N756" s="67"/>
      <c r="O756" s="67"/>
      <c r="P756" s="18"/>
      <c r="R756" s="5"/>
      <c r="S756" s="5"/>
      <c r="Y756" s="323"/>
    </row>
    <row r="757" spans="1:25" s="7" customFormat="1" ht="15.8" customHeight="1">
      <c r="A757" s="5"/>
      <c r="B757" s="5"/>
      <c r="C757" s="5"/>
      <c r="D757" s="5"/>
      <c r="E757" s="5"/>
      <c r="F757" s="5"/>
      <c r="G757" s="5"/>
      <c r="H757" s="5"/>
      <c r="I757" s="5"/>
      <c r="J757" s="5"/>
      <c r="K757" s="67"/>
      <c r="L757" s="67"/>
      <c r="M757" s="67"/>
      <c r="N757" s="67"/>
      <c r="O757" s="67"/>
      <c r="P757" s="18"/>
      <c r="R757" s="5"/>
      <c r="S757" s="5"/>
      <c r="Y757" s="323"/>
    </row>
    <row r="758" spans="1:25" s="7" customFormat="1" ht="15.8" customHeight="1">
      <c r="A758" s="5"/>
      <c r="B758" s="5"/>
      <c r="C758" s="5"/>
      <c r="D758" s="5"/>
      <c r="E758" s="5"/>
      <c r="F758" s="5"/>
      <c r="G758" s="5"/>
      <c r="H758" s="5"/>
      <c r="I758" s="5"/>
      <c r="J758" s="5"/>
      <c r="K758" s="67"/>
      <c r="L758" s="67"/>
      <c r="M758" s="67"/>
      <c r="N758" s="67"/>
      <c r="O758" s="67"/>
      <c r="P758" s="18"/>
      <c r="R758" s="5"/>
      <c r="S758" s="5"/>
      <c r="Y758" s="323"/>
    </row>
    <row r="759" spans="1:25" s="7" customFormat="1" ht="15.8" customHeight="1">
      <c r="A759" s="5"/>
      <c r="B759" s="5"/>
      <c r="C759" s="5"/>
      <c r="D759" s="5"/>
      <c r="E759" s="5"/>
      <c r="F759" s="5"/>
      <c r="G759" s="5"/>
      <c r="H759" s="5"/>
      <c r="I759" s="5"/>
      <c r="J759" s="5"/>
      <c r="K759" s="67"/>
      <c r="L759" s="67"/>
      <c r="M759" s="67"/>
      <c r="N759" s="67"/>
      <c r="O759" s="67"/>
      <c r="P759" s="18"/>
      <c r="R759" s="5"/>
      <c r="S759" s="5"/>
      <c r="Y759" s="323"/>
    </row>
    <row r="760" spans="1:25" s="7" customFormat="1" ht="15.8" customHeight="1">
      <c r="A760" s="5"/>
      <c r="B760" s="5"/>
      <c r="C760" s="5"/>
      <c r="D760" s="5"/>
      <c r="E760" s="5"/>
      <c r="F760" s="5"/>
      <c r="G760" s="5"/>
      <c r="H760" s="5"/>
      <c r="I760" s="5"/>
      <c r="J760" s="5"/>
      <c r="K760" s="67"/>
      <c r="L760" s="67"/>
      <c r="M760" s="67"/>
      <c r="N760" s="67"/>
      <c r="O760" s="67"/>
      <c r="P760" s="18"/>
      <c r="R760" s="5"/>
      <c r="S760" s="5"/>
      <c r="Y760" s="323"/>
    </row>
    <row r="761" spans="1:25" s="7" customFormat="1" ht="15.8" customHeight="1">
      <c r="A761" s="5"/>
      <c r="B761" s="5"/>
      <c r="C761" s="5"/>
      <c r="D761" s="5"/>
      <c r="E761" s="5"/>
      <c r="F761" s="5"/>
      <c r="G761" s="5"/>
      <c r="H761" s="5"/>
      <c r="I761" s="5"/>
      <c r="J761" s="5"/>
      <c r="K761" s="67"/>
      <c r="L761" s="67"/>
      <c r="M761" s="67"/>
      <c r="N761" s="67"/>
      <c r="O761" s="67"/>
      <c r="P761" s="18"/>
      <c r="R761" s="5"/>
      <c r="S761" s="5"/>
      <c r="Y761" s="323"/>
    </row>
    <row r="762" spans="1:25" s="7" customFormat="1" ht="15.8" customHeight="1">
      <c r="A762" s="5"/>
      <c r="B762" s="5"/>
      <c r="C762" s="5"/>
      <c r="D762" s="5"/>
      <c r="E762" s="5"/>
      <c r="F762" s="5"/>
      <c r="G762" s="5"/>
      <c r="H762" s="5"/>
      <c r="I762" s="5"/>
      <c r="J762" s="5"/>
      <c r="K762" s="67"/>
      <c r="L762" s="67"/>
      <c r="M762" s="67"/>
      <c r="N762" s="67"/>
      <c r="O762" s="67"/>
      <c r="P762" s="18"/>
      <c r="R762" s="5"/>
      <c r="S762" s="5"/>
      <c r="Y762" s="323"/>
    </row>
    <row r="763" spans="1:25" s="7" customFormat="1" ht="15.8" customHeight="1">
      <c r="A763" s="5"/>
      <c r="B763" s="5"/>
      <c r="C763" s="5"/>
      <c r="D763" s="5"/>
      <c r="E763" s="5"/>
      <c r="F763" s="5"/>
      <c r="G763" s="5"/>
      <c r="H763" s="5"/>
      <c r="I763" s="5"/>
      <c r="J763" s="5"/>
      <c r="K763" s="67"/>
      <c r="L763" s="67"/>
      <c r="M763" s="67"/>
      <c r="N763" s="67"/>
      <c r="O763" s="67"/>
      <c r="P763" s="18"/>
      <c r="R763" s="5"/>
      <c r="S763" s="5"/>
      <c r="Y763" s="323"/>
    </row>
    <row r="764" spans="1:25" s="7" customFormat="1" ht="15.8" customHeight="1">
      <c r="A764" s="5"/>
      <c r="B764" s="5"/>
      <c r="C764" s="5"/>
      <c r="D764" s="5"/>
      <c r="E764" s="5"/>
      <c r="F764" s="5"/>
      <c r="G764" s="5"/>
      <c r="H764" s="5"/>
      <c r="I764" s="5"/>
      <c r="J764" s="5"/>
      <c r="K764" s="67"/>
      <c r="L764" s="67"/>
      <c r="M764" s="67"/>
      <c r="N764" s="67"/>
      <c r="O764" s="67"/>
      <c r="P764" s="18"/>
      <c r="R764" s="5"/>
      <c r="S764" s="5"/>
      <c r="Y764" s="323"/>
    </row>
    <row r="765" spans="1:25" s="7" customFormat="1" ht="15.8" customHeight="1">
      <c r="A765" s="5"/>
      <c r="B765" s="5"/>
      <c r="C765" s="5"/>
      <c r="D765" s="5"/>
      <c r="E765" s="5"/>
      <c r="F765" s="5"/>
      <c r="G765" s="5"/>
      <c r="H765" s="5"/>
      <c r="I765" s="5"/>
      <c r="J765" s="5"/>
      <c r="K765" s="67"/>
      <c r="L765" s="67"/>
      <c r="M765" s="67"/>
      <c r="N765" s="67"/>
      <c r="O765" s="67"/>
      <c r="P765" s="18"/>
      <c r="R765" s="5"/>
      <c r="S765" s="5"/>
      <c r="Y765" s="323"/>
    </row>
    <row r="766" spans="1:25" s="7" customFormat="1" ht="15.8" customHeight="1">
      <c r="A766" s="5"/>
      <c r="B766" s="5"/>
      <c r="C766" s="5"/>
      <c r="D766" s="5"/>
      <c r="E766" s="5"/>
      <c r="F766" s="5"/>
      <c r="G766" s="5"/>
      <c r="H766" s="5"/>
      <c r="I766" s="5"/>
      <c r="J766" s="5"/>
      <c r="K766" s="67"/>
      <c r="L766" s="67"/>
      <c r="M766" s="67"/>
      <c r="N766" s="67"/>
      <c r="O766" s="67"/>
      <c r="P766" s="18"/>
      <c r="R766" s="5"/>
      <c r="S766" s="5"/>
      <c r="Y766" s="323"/>
    </row>
    <row r="767" spans="1:25" s="7" customFormat="1" ht="15.8" customHeight="1">
      <c r="A767" s="5"/>
      <c r="B767" s="5"/>
      <c r="C767" s="5"/>
      <c r="D767" s="5"/>
      <c r="E767" s="5"/>
      <c r="F767" s="5"/>
      <c r="G767" s="5"/>
      <c r="H767" s="5"/>
      <c r="I767" s="5"/>
      <c r="J767" s="5"/>
      <c r="K767" s="67"/>
      <c r="L767" s="67"/>
      <c r="M767" s="67"/>
      <c r="N767" s="67"/>
      <c r="O767" s="67"/>
      <c r="P767" s="18"/>
      <c r="R767" s="5"/>
      <c r="S767" s="5"/>
      <c r="Y767" s="323"/>
    </row>
    <row r="768" spans="1:25" s="7" customFormat="1" ht="15.8" customHeight="1">
      <c r="A768" s="5"/>
      <c r="B768" s="5"/>
      <c r="C768" s="5"/>
      <c r="D768" s="5"/>
      <c r="E768" s="5"/>
      <c r="F768" s="5"/>
      <c r="G768" s="5"/>
      <c r="H768" s="5"/>
      <c r="I768" s="5"/>
      <c r="J768" s="5"/>
      <c r="K768" s="67"/>
      <c r="L768" s="67"/>
      <c r="M768" s="67"/>
      <c r="N768" s="67"/>
      <c r="O768" s="67"/>
      <c r="P768" s="18"/>
      <c r="R768" s="5"/>
      <c r="S768" s="5"/>
      <c r="Y768" s="323"/>
    </row>
    <row r="769" spans="1:25" s="7" customFormat="1" ht="15.8" customHeight="1">
      <c r="A769" s="5"/>
      <c r="B769" s="5"/>
      <c r="C769" s="5"/>
      <c r="D769" s="5"/>
      <c r="E769" s="5"/>
      <c r="F769" s="5"/>
      <c r="G769" s="5"/>
      <c r="H769" s="5"/>
      <c r="I769" s="5"/>
      <c r="J769" s="5"/>
      <c r="K769" s="67"/>
      <c r="L769" s="67"/>
      <c r="M769" s="67"/>
      <c r="N769" s="67"/>
      <c r="O769" s="67"/>
      <c r="P769" s="18"/>
      <c r="R769" s="5"/>
      <c r="S769" s="5"/>
      <c r="Y769" s="323"/>
    </row>
    <row r="770" spans="1:25" s="7" customFormat="1" ht="15.8" customHeight="1">
      <c r="A770" s="5"/>
      <c r="B770" s="5"/>
      <c r="C770" s="5"/>
      <c r="D770" s="5"/>
      <c r="E770" s="5"/>
      <c r="F770" s="5"/>
      <c r="G770" s="5"/>
      <c r="H770" s="5"/>
      <c r="I770" s="5"/>
      <c r="J770" s="5"/>
      <c r="K770" s="67"/>
      <c r="L770" s="67"/>
      <c r="M770" s="67"/>
      <c r="N770" s="67"/>
      <c r="O770" s="67"/>
      <c r="P770" s="18"/>
      <c r="R770" s="5"/>
      <c r="S770" s="5"/>
      <c r="Y770" s="323"/>
    </row>
    <row r="771" spans="1:25" s="7" customFormat="1" ht="15.8" customHeight="1">
      <c r="A771" s="5"/>
      <c r="B771" s="5"/>
      <c r="C771" s="5"/>
      <c r="D771" s="5"/>
      <c r="E771" s="5"/>
      <c r="F771" s="5"/>
      <c r="G771" s="5"/>
      <c r="H771" s="5"/>
      <c r="I771" s="5"/>
      <c r="J771" s="5"/>
      <c r="K771" s="67"/>
      <c r="L771" s="67"/>
      <c r="M771" s="67"/>
      <c r="N771" s="67"/>
      <c r="O771" s="67"/>
      <c r="P771" s="18"/>
      <c r="R771" s="5"/>
      <c r="S771" s="5"/>
      <c r="Y771" s="323"/>
    </row>
    <row r="772" spans="1:25" s="7" customFormat="1" ht="15.8" customHeight="1">
      <c r="A772" s="5"/>
      <c r="B772" s="5"/>
      <c r="C772" s="5"/>
      <c r="D772" s="5"/>
      <c r="E772" s="5"/>
      <c r="F772" s="5"/>
      <c r="G772" s="5"/>
      <c r="H772" s="5"/>
      <c r="I772" s="5"/>
      <c r="J772" s="5"/>
      <c r="K772" s="67"/>
      <c r="L772" s="67"/>
      <c r="M772" s="67"/>
      <c r="N772" s="67"/>
      <c r="O772" s="67"/>
      <c r="P772" s="18"/>
      <c r="R772" s="5"/>
      <c r="S772" s="5"/>
      <c r="Y772" s="323"/>
    </row>
    <row r="773" spans="1:25" s="7" customFormat="1" ht="15.8" customHeight="1">
      <c r="A773" s="5"/>
      <c r="B773" s="5"/>
      <c r="C773" s="5"/>
      <c r="D773" s="5"/>
      <c r="E773" s="5"/>
      <c r="F773" s="5"/>
      <c r="G773" s="5"/>
      <c r="H773" s="5"/>
      <c r="I773" s="5"/>
      <c r="J773" s="5"/>
      <c r="K773" s="67"/>
      <c r="L773" s="67"/>
      <c r="M773" s="67"/>
      <c r="N773" s="67"/>
      <c r="O773" s="67"/>
      <c r="P773" s="18"/>
      <c r="R773" s="5"/>
      <c r="S773" s="5"/>
      <c r="Y773" s="323"/>
    </row>
    <row r="774" spans="1:25" s="7" customFormat="1" ht="15.8" customHeight="1">
      <c r="A774" s="5"/>
      <c r="B774" s="5"/>
      <c r="C774" s="5"/>
      <c r="D774" s="5"/>
      <c r="E774" s="5"/>
      <c r="F774" s="5"/>
      <c r="G774" s="5"/>
      <c r="H774" s="5"/>
      <c r="I774" s="5"/>
      <c r="J774" s="5"/>
      <c r="K774" s="67"/>
      <c r="L774" s="67"/>
      <c r="M774" s="67"/>
      <c r="N774" s="67"/>
      <c r="O774" s="67"/>
      <c r="P774" s="18"/>
      <c r="R774" s="5"/>
      <c r="S774" s="5"/>
      <c r="Y774" s="323"/>
    </row>
    <row r="775" spans="1:25" s="7" customFormat="1" ht="15.8" customHeight="1">
      <c r="A775" s="5"/>
      <c r="B775" s="5"/>
      <c r="C775" s="5"/>
      <c r="D775" s="5"/>
      <c r="E775" s="5"/>
      <c r="F775" s="5"/>
      <c r="G775" s="5"/>
      <c r="H775" s="5"/>
      <c r="I775" s="5"/>
      <c r="J775" s="5"/>
      <c r="K775" s="67"/>
      <c r="L775" s="67"/>
      <c r="M775" s="67"/>
      <c r="N775" s="67"/>
      <c r="O775" s="67"/>
      <c r="P775" s="18"/>
      <c r="R775" s="5"/>
      <c r="S775" s="5"/>
      <c r="Y775" s="323"/>
    </row>
    <row r="776" spans="1:25" s="7" customFormat="1" ht="15.8" customHeight="1">
      <c r="A776" s="5"/>
      <c r="B776" s="5"/>
      <c r="C776" s="5"/>
      <c r="D776" s="5"/>
      <c r="E776" s="5"/>
      <c r="F776" s="5"/>
      <c r="G776" s="5"/>
      <c r="H776" s="5"/>
      <c r="I776" s="5"/>
      <c r="J776" s="5"/>
      <c r="K776" s="67"/>
      <c r="L776" s="67"/>
      <c r="M776" s="67"/>
      <c r="N776" s="67"/>
      <c r="O776" s="67"/>
      <c r="P776" s="18"/>
      <c r="R776" s="5"/>
      <c r="S776" s="5"/>
      <c r="Y776" s="323"/>
    </row>
    <row r="777" spans="1:25" s="7" customFormat="1" ht="15.8" customHeight="1">
      <c r="A777" s="5"/>
      <c r="B777" s="5"/>
      <c r="C777" s="5"/>
      <c r="D777" s="5"/>
      <c r="E777" s="5"/>
      <c r="F777" s="5"/>
      <c r="G777" s="5"/>
      <c r="H777" s="5"/>
      <c r="I777" s="5"/>
      <c r="J777" s="5"/>
      <c r="K777" s="67"/>
      <c r="L777" s="67"/>
      <c r="M777" s="67"/>
      <c r="N777" s="67"/>
      <c r="O777" s="67"/>
      <c r="P777" s="18"/>
      <c r="R777" s="5"/>
      <c r="S777" s="5"/>
      <c r="Y777" s="323"/>
    </row>
    <row r="778" spans="1:25" s="7" customFormat="1" ht="15.8" customHeight="1">
      <c r="A778" s="5"/>
      <c r="B778" s="5"/>
      <c r="C778" s="5"/>
      <c r="D778" s="5"/>
      <c r="E778" s="5"/>
      <c r="F778" s="5"/>
      <c r="G778" s="5"/>
      <c r="H778" s="5"/>
      <c r="I778" s="5"/>
      <c r="J778" s="5"/>
      <c r="K778" s="67"/>
      <c r="L778" s="67"/>
      <c r="M778" s="67"/>
      <c r="N778" s="67"/>
      <c r="O778" s="67"/>
      <c r="P778" s="18"/>
      <c r="R778" s="5"/>
      <c r="S778" s="5"/>
      <c r="Y778" s="323"/>
    </row>
    <row r="779" spans="1:25" s="7" customFormat="1" ht="15.8" customHeight="1">
      <c r="A779" s="5"/>
      <c r="B779" s="5"/>
      <c r="C779" s="5"/>
      <c r="D779" s="5"/>
      <c r="E779" s="5"/>
      <c r="F779" s="5"/>
      <c r="G779" s="5"/>
      <c r="H779" s="5"/>
      <c r="I779" s="5"/>
      <c r="J779" s="5"/>
      <c r="K779" s="67"/>
      <c r="L779" s="67"/>
      <c r="M779" s="67"/>
      <c r="N779" s="67"/>
      <c r="O779" s="67"/>
      <c r="P779" s="18"/>
      <c r="R779" s="5"/>
      <c r="S779" s="5"/>
      <c r="Y779" s="323"/>
    </row>
    <row r="780" spans="1:25" s="7" customFormat="1" ht="15.8" customHeight="1">
      <c r="A780" s="5"/>
      <c r="B780" s="5"/>
      <c r="C780" s="5"/>
      <c r="D780" s="5"/>
      <c r="E780" s="5"/>
      <c r="F780" s="5"/>
      <c r="G780" s="5"/>
      <c r="H780" s="5"/>
      <c r="I780" s="5"/>
      <c r="J780" s="5"/>
      <c r="K780" s="67"/>
      <c r="L780" s="67"/>
      <c r="M780" s="67"/>
      <c r="N780" s="67"/>
      <c r="O780" s="67"/>
      <c r="P780" s="18"/>
      <c r="R780" s="5"/>
      <c r="S780" s="5"/>
      <c r="Y780" s="323"/>
    </row>
    <row r="781" spans="1:25" s="7" customFormat="1" ht="15.8" customHeight="1">
      <c r="A781" s="5"/>
      <c r="B781" s="5"/>
      <c r="C781" s="5"/>
      <c r="D781" s="5"/>
      <c r="E781" s="5"/>
      <c r="F781" s="5"/>
      <c r="G781" s="5"/>
      <c r="H781" s="5"/>
      <c r="I781" s="5"/>
      <c r="J781" s="5"/>
      <c r="K781" s="67"/>
      <c r="L781" s="67"/>
      <c r="M781" s="67"/>
      <c r="N781" s="67"/>
      <c r="O781" s="67"/>
      <c r="P781" s="18"/>
      <c r="R781" s="5"/>
      <c r="S781" s="5"/>
      <c r="Y781" s="323"/>
    </row>
    <row r="782" spans="1:25" s="7" customFormat="1" ht="15.8" customHeight="1">
      <c r="A782" s="5"/>
      <c r="B782" s="5"/>
      <c r="C782" s="5"/>
      <c r="D782" s="5"/>
      <c r="E782" s="5"/>
      <c r="F782" s="5"/>
      <c r="G782" s="5"/>
      <c r="H782" s="5"/>
      <c r="I782" s="5"/>
      <c r="J782" s="5"/>
      <c r="K782" s="67"/>
      <c r="L782" s="67"/>
      <c r="M782" s="67"/>
      <c r="N782" s="67"/>
      <c r="O782" s="67"/>
      <c r="P782" s="18"/>
      <c r="R782" s="5"/>
      <c r="S782" s="5"/>
      <c r="Y782" s="323"/>
    </row>
    <row r="783" spans="1:25" s="7" customFormat="1" ht="15.8" customHeight="1">
      <c r="A783" s="5"/>
      <c r="B783" s="5"/>
      <c r="C783" s="5"/>
      <c r="D783" s="5"/>
      <c r="E783" s="5"/>
      <c r="F783" s="5"/>
      <c r="G783" s="5"/>
      <c r="H783" s="5"/>
      <c r="I783" s="5"/>
      <c r="J783" s="5"/>
      <c r="K783" s="67"/>
      <c r="L783" s="67"/>
      <c r="M783" s="67"/>
      <c r="N783" s="67"/>
      <c r="O783" s="67"/>
      <c r="P783" s="18"/>
      <c r="R783" s="5"/>
      <c r="S783" s="5"/>
      <c r="Y783" s="323"/>
    </row>
    <row r="784" spans="1:25" s="7" customFormat="1" ht="15.8" customHeight="1">
      <c r="A784" s="5"/>
      <c r="B784" s="5"/>
      <c r="C784" s="5"/>
      <c r="D784" s="5"/>
      <c r="E784" s="5"/>
      <c r="F784" s="5"/>
      <c r="G784" s="5"/>
      <c r="H784" s="5"/>
      <c r="I784" s="5"/>
      <c r="J784" s="5"/>
      <c r="K784" s="67"/>
      <c r="L784" s="67"/>
      <c r="M784" s="67"/>
      <c r="N784" s="67"/>
      <c r="O784" s="67"/>
      <c r="P784" s="18"/>
      <c r="R784" s="5"/>
      <c r="S784" s="5"/>
      <c r="Y784" s="323"/>
    </row>
    <row r="785" spans="1:25" s="7" customFormat="1" ht="15.8" customHeight="1">
      <c r="A785" s="5"/>
      <c r="B785" s="5"/>
      <c r="C785" s="5"/>
      <c r="D785" s="5"/>
      <c r="E785" s="5"/>
      <c r="F785" s="5"/>
      <c r="G785" s="5"/>
      <c r="H785" s="5"/>
      <c r="I785" s="5"/>
      <c r="J785" s="5"/>
      <c r="K785" s="67"/>
      <c r="L785" s="67"/>
      <c r="M785" s="67"/>
      <c r="N785" s="67"/>
      <c r="O785" s="67"/>
      <c r="P785" s="18"/>
      <c r="R785" s="5"/>
      <c r="S785" s="5"/>
      <c r="Y785" s="323"/>
    </row>
    <row r="786" spans="1:25" s="7" customFormat="1" ht="15.8" customHeight="1">
      <c r="A786" s="5"/>
      <c r="B786" s="5"/>
      <c r="C786" s="5"/>
      <c r="D786" s="5"/>
      <c r="E786" s="5"/>
      <c r="F786" s="5"/>
      <c r="G786" s="5"/>
      <c r="H786" s="5"/>
      <c r="I786" s="5"/>
      <c r="J786" s="5"/>
      <c r="K786" s="67"/>
      <c r="L786" s="67"/>
      <c r="M786" s="67"/>
      <c r="N786" s="67"/>
      <c r="O786" s="67"/>
      <c r="P786" s="18"/>
      <c r="R786" s="5"/>
      <c r="S786" s="5"/>
      <c r="Y786" s="323"/>
    </row>
    <row r="787" spans="1:25" s="7" customFormat="1" ht="15.8" customHeight="1">
      <c r="A787" s="5"/>
      <c r="B787" s="5"/>
      <c r="C787" s="5"/>
      <c r="D787" s="5"/>
      <c r="E787" s="5"/>
      <c r="F787" s="5"/>
      <c r="G787" s="5"/>
      <c r="H787" s="5"/>
      <c r="I787" s="5"/>
      <c r="J787" s="5"/>
      <c r="K787" s="67"/>
      <c r="L787" s="67"/>
      <c r="M787" s="67"/>
      <c r="N787" s="67"/>
      <c r="O787" s="67"/>
      <c r="P787" s="18"/>
      <c r="R787" s="5"/>
      <c r="S787" s="5"/>
      <c r="Y787" s="323"/>
    </row>
    <row r="788" spans="1:25" s="7" customFormat="1" ht="15.8" customHeight="1">
      <c r="A788" s="5"/>
      <c r="B788" s="5"/>
      <c r="C788" s="5"/>
      <c r="D788" s="5"/>
      <c r="E788" s="5"/>
      <c r="F788" s="5"/>
      <c r="G788" s="5"/>
      <c r="H788" s="5"/>
      <c r="I788" s="5"/>
      <c r="J788" s="5"/>
      <c r="K788" s="67"/>
      <c r="L788" s="67"/>
      <c r="M788" s="67"/>
      <c r="N788" s="67"/>
      <c r="O788" s="67"/>
      <c r="P788" s="18"/>
      <c r="R788" s="5"/>
      <c r="S788" s="5"/>
      <c r="Y788" s="323"/>
    </row>
    <row r="789" spans="1:25" s="7" customFormat="1" ht="15.8" customHeight="1">
      <c r="A789" s="5"/>
      <c r="B789" s="5"/>
      <c r="C789" s="5"/>
      <c r="D789" s="5"/>
      <c r="E789" s="5"/>
      <c r="F789" s="5"/>
      <c r="G789" s="5"/>
      <c r="H789" s="5"/>
      <c r="I789" s="5"/>
      <c r="J789" s="5"/>
      <c r="K789" s="67"/>
      <c r="L789" s="67"/>
      <c r="M789" s="67"/>
      <c r="N789" s="67"/>
      <c r="O789" s="67"/>
      <c r="P789" s="18"/>
      <c r="R789" s="5"/>
      <c r="S789" s="5"/>
      <c r="Y789" s="323"/>
    </row>
    <row r="790" spans="1:25" s="7" customFormat="1" ht="15.8" customHeight="1">
      <c r="A790" s="5"/>
      <c r="B790" s="5"/>
      <c r="C790" s="5"/>
      <c r="D790" s="5"/>
      <c r="E790" s="5"/>
      <c r="F790" s="5"/>
      <c r="G790" s="5"/>
      <c r="H790" s="5"/>
      <c r="I790" s="5"/>
      <c r="J790" s="5"/>
      <c r="K790" s="67"/>
      <c r="L790" s="67"/>
      <c r="M790" s="67"/>
      <c r="N790" s="67"/>
      <c r="O790" s="67"/>
      <c r="P790" s="18"/>
      <c r="R790" s="5"/>
      <c r="S790" s="5"/>
      <c r="Y790" s="323"/>
    </row>
    <row r="791" spans="1:25" s="7" customFormat="1" ht="15.8" customHeight="1">
      <c r="A791" s="5"/>
      <c r="B791" s="5"/>
      <c r="C791" s="5"/>
      <c r="D791" s="5"/>
      <c r="E791" s="5"/>
      <c r="F791" s="5"/>
      <c r="G791" s="5"/>
      <c r="H791" s="5"/>
      <c r="I791" s="5"/>
      <c r="J791" s="5"/>
      <c r="K791" s="67"/>
      <c r="L791" s="67"/>
      <c r="M791" s="67"/>
      <c r="N791" s="67"/>
      <c r="O791" s="67"/>
      <c r="P791" s="18"/>
      <c r="R791" s="5"/>
      <c r="S791" s="5"/>
      <c r="Y791" s="323"/>
    </row>
    <row r="792" spans="1:25" s="7" customFormat="1" ht="15.8" customHeight="1">
      <c r="A792" s="5"/>
      <c r="B792" s="5"/>
      <c r="C792" s="5"/>
      <c r="D792" s="5"/>
      <c r="E792" s="5"/>
      <c r="F792" s="5"/>
      <c r="G792" s="5"/>
      <c r="H792" s="5"/>
      <c r="I792" s="5"/>
      <c r="J792" s="5"/>
      <c r="K792" s="67"/>
      <c r="L792" s="67"/>
      <c r="M792" s="67"/>
      <c r="N792" s="67"/>
      <c r="O792" s="67"/>
      <c r="P792" s="18"/>
      <c r="R792" s="5"/>
      <c r="S792" s="5"/>
      <c r="Y792" s="323"/>
    </row>
    <row r="793" spans="1:25" s="7" customFormat="1" ht="15.8" customHeight="1">
      <c r="A793" s="5"/>
      <c r="B793" s="5"/>
      <c r="C793" s="5"/>
      <c r="D793" s="5"/>
      <c r="E793" s="5"/>
      <c r="F793" s="5"/>
      <c r="G793" s="5"/>
      <c r="H793" s="5"/>
      <c r="I793" s="5"/>
      <c r="J793" s="5"/>
      <c r="K793" s="67"/>
      <c r="L793" s="67"/>
      <c r="M793" s="67"/>
      <c r="N793" s="67"/>
      <c r="O793" s="67"/>
      <c r="P793" s="18"/>
      <c r="R793" s="5"/>
      <c r="S793" s="5"/>
      <c r="Y793" s="323"/>
    </row>
    <row r="794" spans="1:25" s="7" customFormat="1" ht="15.8" customHeight="1">
      <c r="A794" s="5"/>
      <c r="B794" s="5"/>
      <c r="C794" s="5"/>
      <c r="D794" s="5"/>
      <c r="E794" s="5"/>
      <c r="F794" s="5"/>
      <c r="G794" s="5"/>
      <c r="H794" s="5"/>
      <c r="I794" s="5"/>
      <c r="J794" s="5"/>
      <c r="K794" s="67"/>
      <c r="L794" s="67"/>
      <c r="M794" s="67"/>
      <c r="N794" s="67"/>
      <c r="O794" s="67"/>
      <c r="P794" s="18"/>
      <c r="R794" s="5"/>
      <c r="S794" s="5"/>
      <c r="Y794" s="323"/>
    </row>
    <row r="795" spans="1:25" s="7" customFormat="1" ht="15.8" customHeight="1">
      <c r="A795" s="5"/>
      <c r="B795" s="5"/>
      <c r="C795" s="5"/>
      <c r="D795" s="5"/>
      <c r="E795" s="5"/>
      <c r="F795" s="5"/>
      <c r="G795" s="5"/>
      <c r="H795" s="5"/>
      <c r="I795" s="5"/>
      <c r="J795" s="5"/>
      <c r="K795" s="67"/>
      <c r="L795" s="67"/>
      <c r="M795" s="67"/>
      <c r="N795" s="67"/>
      <c r="O795" s="67"/>
      <c r="P795" s="18"/>
      <c r="R795" s="5"/>
      <c r="S795" s="5"/>
      <c r="Y795" s="323"/>
    </row>
    <row r="796" spans="1:25" s="7" customFormat="1" ht="15.8" customHeight="1">
      <c r="A796" s="5"/>
      <c r="B796" s="5"/>
      <c r="C796" s="5"/>
      <c r="D796" s="5"/>
      <c r="E796" s="5"/>
      <c r="F796" s="5"/>
      <c r="G796" s="5"/>
      <c r="H796" s="5"/>
      <c r="I796" s="5"/>
      <c r="J796" s="5"/>
      <c r="K796" s="67"/>
      <c r="L796" s="67"/>
      <c r="M796" s="67"/>
      <c r="N796" s="67"/>
      <c r="O796" s="67"/>
      <c r="P796" s="18"/>
      <c r="R796" s="5"/>
      <c r="S796" s="5"/>
      <c r="Y796" s="323"/>
    </row>
    <row r="797" spans="1:25" s="7" customFormat="1" ht="15.8" customHeight="1">
      <c r="A797" s="5"/>
      <c r="B797" s="5"/>
      <c r="C797" s="5"/>
      <c r="D797" s="5"/>
      <c r="E797" s="5"/>
      <c r="F797" s="5"/>
      <c r="G797" s="5"/>
      <c r="H797" s="5"/>
      <c r="I797" s="5"/>
      <c r="J797" s="5"/>
      <c r="K797" s="67"/>
      <c r="L797" s="67"/>
      <c r="M797" s="67"/>
      <c r="N797" s="67"/>
      <c r="O797" s="67"/>
      <c r="P797" s="18"/>
      <c r="R797" s="5"/>
      <c r="S797" s="5"/>
      <c r="Y797" s="323"/>
    </row>
    <row r="798" spans="1:25" s="7" customFormat="1" ht="15.8" customHeight="1">
      <c r="A798" s="5"/>
      <c r="B798" s="5"/>
      <c r="C798" s="5"/>
      <c r="D798" s="5"/>
      <c r="E798" s="5"/>
      <c r="F798" s="5"/>
      <c r="G798" s="5"/>
      <c r="H798" s="5"/>
      <c r="I798" s="5"/>
      <c r="J798" s="5"/>
      <c r="K798" s="67"/>
      <c r="L798" s="67"/>
      <c r="M798" s="67"/>
      <c r="N798" s="67"/>
      <c r="O798" s="67"/>
      <c r="P798" s="18"/>
      <c r="R798" s="5"/>
      <c r="S798" s="5"/>
      <c r="Y798" s="323"/>
    </row>
    <row r="799" spans="1:25" s="7" customFormat="1" ht="15.8" customHeight="1">
      <c r="A799" s="5"/>
      <c r="B799" s="5"/>
      <c r="C799" s="5"/>
      <c r="D799" s="5"/>
      <c r="E799" s="5"/>
      <c r="F799" s="5"/>
      <c r="G799" s="5"/>
      <c r="H799" s="5"/>
      <c r="I799" s="5"/>
      <c r="J799" s="5"/>
      <c r="K799" s="67"/>
      <c r="L799" s="67"/>
      <c r="M799" s="67"/>
      <c r="N799" s="67"/>
      <c r="O799" s="67"/>
      <c r="P799" s="18"/>
      <c r="R799" s="5"/>
      <c r="S799" s="5"/>
      <c r="Y799" s="323"/>
    </row>
    <row r="800" spans="1:25" s="7" customFormat="1" ht="15.8" customHeight="1">
      <c r="A800" s="5"/>
      <c r="B800" s="5"/>
      <c r="C800" s="5"/>
      <c r="D800" s="5"/>
      <c r="E800" s="5"/>
      <c r="F800" s="5"/>
      <c r="G800" s="5"/>
      <c r="H800" s="5"/>
      <c r="I800" s="5"/>
      <c r="J800" s="5"/>
      <c r="K800" s="67"/>
      <c r="L800" s="67"/>
      <c r="M800" s="67"/>
      <c r="N800" s="67"/>
      <c r="O800" s="67"/>
      <c r="P800" s="18"/>
      <c r="R800" s="5"/>
      <c r="S800" s="5"/>
      <c r="Y800" s="323"/>
    </row>
    <row r="801" spans="1:25" s="7" customFormat="1" ht="15.8" customHeight="1">
      <c r="A801" s="5"/>
      <c r="B801" s="5"/>
      <c r="C801" s="5"/>
      <c r="D801" s="5"/>
      <c r="E801" s="5"/>
      <c r="F801" s="5"/>
      <c r="G801" s="5"/>
      <c r="H801" s="5"/>
      <c r="I801" s="5"/>
      <c r="J801" s="5"/>
      <c r="K801" s="67"/>
      <c r="L801" s="67"/>
      <c r="M801" s="67"/>
      <c r="N801" s="67"/>
      <c r="O801" s="67"/>
      <c r="P801" s="18"/>
      <c r="R801" s="5"/>
      <c r="S801" s="5"/>
      <c r="Y801" s="323"/>
    </row>
    <row r="802" spans="1:25" s="7" customFormat="1" ht="15.8" customHeight="1">
      <c r="A802" s="5"/>
      <c r="B802" s="5"/>
      <c r="C802" s="5"/>
      <c r="D802" s="5"/>
      <c r="E802" s="5"/>
      <c r="F802" s="5"/>
      <c r="G802" s="5"/>
      <c r="H802" s="5"/>
      <c r="I802" s="5"/>
      <c r="J802" s="5"/>
      <c r="K802" s="67"/>
      <c r="L802" s="67"/>
      <c r="M802" s="67"/>
      <c r="N802" s="67"/>
      <c r="O802" s="67"/>
      <c r="P802" s="18"/>
      <c r="R802" s="5"/>
      <c r="S802" s="5"/>
      <c r="Y802" s="323"/>
    </row>
    <row r="803" spans="1:25" s="7" customFormat="1" ht="15.8" customHeight="1">
      <c r="A803" s="5"/>
      <c r="B803" s="5"/>
      <c r="C803" s="5"/>
      <c r="D803" s="5"/>
      <c r="E803" s="5"/>
      <c r="F803" s="5"/>
      <c r="G803" s="5"/>
      <c r="H803" s="5"/>
      <c r="I803" s="5"/>
      <c r="J803" s="5"/>
      <c r="K803" s="67"/>
      <c r="L803" s="67"/>
      <c r="M803" s="67"/>
      <c r="N803" s="67"/>
      <c r="O803" s="67"/>
      <c r="P803" s="18"/>
      <c r="R803" s="5"/>
      <c r="S803" s="5"/>
      <c r="Y803" s="323"/>
    </row>
    <row r="804" spans="1:25" s="7" customFormat="1" ht="15.8" customHeight="1">
      <c r="A804" s="5"/>
      <c r="B804" s="5"/>
      <c r="C804" s="5"/>
      <c r="D804" s="5"/>
      <c r="E804" s="5"/>
      <c r="F804" s="5"/>
      <c r="G804" s="5"/>
      <c r="H804" s="5"/>
      <c r="I804" s="5"/>
      <c r="J804" s="5"/>
      <c r="K804" s="67"/>
      <c r="L804" s="67"/>
      <c r="M804" s="67"/>
      <c r="N804" s="67"/>
      <c r="O804" s="67"/>
      <c r="P804" s="18"/>
      <c r="R804" s="5"/>
      <c r="S804" s="5"/>
      <c r="Y804" s="323"/>
    </row>
    <row r="805" spans="1:25" s="7" customFormat="1" ht="15.8" customHeight="1">
      <c r="A805" s="5"/>
      <c r="B805" s="5"/>
      <c r="C805" s="5"/>
      <c r="D805" s="5"/>
      <c r="E805" s="5"/>
      <c r="F805" s="5"/>
      <c r="G805" s="5"/>
      <c r="H805" s="5"/>
      <c r="I805" s="5"/>
      <c r="J805" s="5"/>
      <c r="K805" s="67"/>
      <c r="L805" s="67"/>
      <c r="M805" s="67"/>
      <c r="N805" s="67"/>
      <c r="O805" s="67"/>
      <c r="P805" s="18"/>
      <c r="R805" s="5"/>
      <c r="S805" s="5"/>
      <c r="Y805" s="323"/>
    </row>
    <row r="806" spans="1:25" s="7" customFormat="1" ht="15.8" customHeight="1">
      <c r="A806" s="5"/>
      <c r="B806" s="5"/>
      <c r="C806" s="5"/>
      <c r="D806" s="5"/>
      <c r="E806" s="5"/>
      <c r="F806" s="5"/>
      <c r="G806" s="5"/>
      <c r="H806" s="5"/>
      <c r="I806" s="5"/>
      <c r="J806" s="5"/>
      <c r="K806" s="67"/>
      <c r="L806" s="67"/>
      <c r="M806" s="67"/>
      <c r="N806" s="67"/>
      <c r="O806" s="67"/>
      <c r="P806" s="18"/>
      <c r="R806" s="5"/>
      <c r="S806" s="5"/>
      <c r="Y806" s="323"/>
    </row>
    <row r="807" spans="1:25" s="7" customFormat="1" ht="15.8" customHeight="1">
      <c r="A807" s="5"/>
      <c r="B807" s="5"/>
      <c r="C807" s="5"/>
      <c r="D807" s="5"/>
      <c r="E807" s="5"/>
      <c r="F807" s="5"/>
      <c r="G807" s="5"/>
      <c r="H807" s="5"/>
      <c r="I807" s="5"/>
      <c r="J807" s="5"/>
      <c r="K807" s="67"/>
      <c r="L807" s="67"/>
      <c r="M807" s="67"/>
      <c r="N807" s="67"/>
      <c r="O807" s="67"/>
      <c r="P807" s="18"/>
      <c r="R807" s="5"/>
      <c r="S807" s="5"/>
      <c r="Y807" s="323"/>
    </row>
    <row r="808" spans="1:25" s="7" customFormat="1" ht="15.8" customHeight="1">
      <c r="A808" s="5"/>
      <c r="B808" s="5"/>
      <c r="C808" s="5"/>
      <c r="D808" s="5"/>
      <c r="E808" s="5"/>
      <c r="F808" s="5"/>
      <c r="G808" s="5"/>
      <c r="H808" s="5"/>
      <c r="I808" s="5"/>
      <c r="J808" s="5"/>
      <c r="K808" s="67"/>
      <c r="L808" s="67"/>
      <c r="M808" s="67"/>
      <c r="N808" s="67"/>
      <c r="O808" s="67"/>
      <c r="P808" s="18"/>
      <c r="R808" s="5"/>
      <c r="S808" s="5"/>
      <c r="Y808" s="323"/>
    </row>
    <row r="809" spans="1:25" s="7" customFormat="1" ht="15.8" customHeight="1">
      <c r="A809" s="5"/>
      <c r="B809" s="5"/>
      <c r="C809" s="5"/>
      <c r="D809" s="5"/>
      <c r="E809" s="5"/>
      <c r="F809" s="5"/>
      <c r="G809" s="5"/>
      <c r="H809" s="5"/>
      <c r="I809" s="5"/>
      <c r="J809" s="5"/>
      <c r="K809" s="67"/>
      <c r="L809" s="67"/>
      <c r="M809" s="67"/>
      <c r="N809" s="67"/>
      <c r="O809" s="67"/>
      <c r="P809" s="18"/>
      <c r="R809" s="5"/>
      <c r="S809" s="5"/>
      <c r="Y809" s="323"/>
    </row>
    <row r="810" spans="1:25" s="7" customFormat="1" ht="15.8" customHeight="1">
      <c r="A810" s="5"/>
      <c r="B810" s="5"/>
      <c r="C810" s="5"/>
      <c r="D810" s="5"/>
      <c r="E810" s="5"/>
      <c r="F810" s="5"/>
      <c r="G810" s="5"/>
      <c r="H810" s="5"/>
      <c r="I810" s="5"/>
      <c r="J810" s="5"/>
      <c r="K810" s="67"/>
      <c r="L810" s="67"/>
      <c r="M810" s="67"/>
      <c r="N810" s="67"/>
      <c r="O810" s="67"/>
      <c r="P810" s="18"/>
      <c r="R810" s="5"/>
      <c r="S810" s="5"/>
      <c r="Y810" s="323"/>
    </row>
    <row r="811" spans="1:25" s="7" customFormat="1" ht="15.8" customHeight="1">
      <c r="A811" s="5"/>
      <c r="B811" s="5"/>
      <c r="C811" s="5"/>
      <c r="D811" s="5"/>
      <c r="E811" s="5"/>
      <c r="F811" s="5"/>
      <c r="G811" s="5"/>
      <c r="H811" s="5"/>
      <c r="I811" s="5"/>
      <c r="J811" s="5"/>
      <c r="K811" s="67"/>
      <c r="L811" s="67"/>
      <c r="M811" s="67"/>
      <c r="N811" s="67"/>
      <c r="O811" s="67"/>
      <c r="P811" s="18"/>
      <c r="R811" s="5"/>
      <c r="S811" s="5"/>
      <c r="Y811" s="323"/>
    </row>
    <row r="812" spans="1:25" s="7" customFormat="1" ht="15.8" customHeight="1">
      <c r="A812" s="5"/>
      <c r="B812" s="5"/>
      <c r="C812" s="5"/>
      <c r="D812" s="5"/>
      <c r="E812" s="5"/>
      <c r="F812" s="5"/>
      <c r="G812" s="5"/>
      <c r="H812" s="5"/>
      <c r="I812" s="5"/>
      <c r="J812" s="5"/>
      <c r="K812" s="67"/>
      <c r="L812" s="67"/>
      <c r="M812" s="67"/>
      <c r="N812" s="67"/>
      <c r="O812" s="67"/>
      <c r="P812" s="18"/>
      <c r="R812" s="5"/>
      <c r="S812" s="5"/>
      <c r="Y812" s="323"/>
    </row>
    <row r="813" spans="1:25" s="7" customFormat="1" ht="15.8" customHeight="1">
      <c r="A813" s="5"/>
      <c r="B813" s="5"/>
      <c r="C813" s="5"/>
      <c r="D813" s="5"/>
      <c r="E813" s="5"/>
      <c r="F813" s="5"/>
      <c r="G813" s="5"/>
      <c r="H813" s="5"/>
      <c r="I813" s="5"/>
      <c r="J813" s="5"/>
      <c r="K813" s="67"/>
      <c r="L813" s="67"/>
      <c r="M813" s="67"/>
      <c r="N813" s="67"/>
      <c r="O813" s="67"/>
      <c r="P813" s="18"/>
      <c r="R813" s="5"/>
      <c r="S813" s="5"/>
      <c r="Y813" s="323"/>
    </row>
    <row r="814" spans="1:25" s="7" customFormat="1" ht="15.8" customHeight="1">
      <c r="A814" s="5"/>
      <c r="B814" s="5"/>
      <c r="C814" s="5"/>
      <c r="D814" s="5"/>
      <c r="E814" s="5"/>
      <c r="F814" s="5"/>
      <c r="G814" s="5"/>
      <c r="H814" s="5"/>
      <c r="I814" s="5"/>
      <c r="J814" s="5"/>
      <c r="K814" s="67"/>
      <c r="L814" s="67"/>
      <c r="M814" s="67"/>
      <c r="N814" s="67"/>
      <c r="O814" s="67"/>
      <c r="P814" s="18"/>
      <c r="R814" s="5"/>
      <c r="S814" s="5"/>
      <c r="Y814" s="323"/>
    </row>
    <row r="815" spans="1:25" s="7" customFormat="1" ht="15.8" customHeight="1">
      <c r="A815" s="5"/>
      <c r="B815" s="5"/>
      <c r="C815" s="5"/>
      <c r="D815" s="5"/>
      <c r="E815" s="5"/>
      <c r="F815" s="5"/>
      <c r="G815" s="5"/>
      <c r="H815" s="5"/>
      <c r="I815" s="5"/>
      <c r="J815" s="5"/>
      <c r="K815" s="67"/>
      <c r="L815" s="67"/>
      <c r="M815" s="67"/>
      <c r="N815" s="67"/>
      <c r="O815" s="67"/>
      <c r="P815" s="18"/>
      <c r="R815" s="5"/>
      <c r="S815" s="5"/>
      <c r="Y815" s="323"/>
    </row>
    <row r="816" spans="1:25" s="7" customFormat="1" ht="15.8" customHeight="1">
      <c r="A816" s="5"/>
      <c r="B816" s="5"/>
      <c r="C816" s="5"/>
      <c r="D816" s="5"/>
      <c r="E816" s="5"/>
      <c r="F816" s="5"/>
      <c r="G816" s="5"/>
      <c r="H816" s="5"/>
      <c r="I816" s="5"/>
      <c r="J816" s="5"/>
      <c r="K816" s="67"/>
      <c r="L816" s="67"/>
      <c r="M816" s="67"/>
      <c r="N816" s="67"/>
      <c r="O816" s="67"/>
      <c r="P816" s="18"/>
      <c r="R816" s="5"/>
      <c r="S816" s="5"/>
      <c r="Y816" s="323"/>
    </row>
    <row r="817" spans="1:25" s="7" customFormat="1" ht="15.8" customHeight="1">
      <c r="A817" s="5"/>
      <c r="B817" s="5"/>
      <c r="C817" s="5"/>
      <c r="D817" s="5"/>
      <c r="E817" s="5"/>
      <c r="F817" s="5"/>
      <c r="G817" s="5"/>
      <c r="H817" s="5"/>
      <c r="I817" s="5"/>
      <c r="J817" s="5"/>
      <c r="K817" s="67"/>
      <c r="L817" s="67"/>
      <c r="M817" s="67"/>
      <c r="N817" s="67"/>
      <c r="O817" s="67"/>
      <c r="P817" s="18"/>
      <c r="R817" s="5"/>
      <c r="S817" s="5"/>
      <c r="Y817" s="323"/>
    </row>
    <row r="818" spans="1:25" s="7" customFormat="1" ht="15.8" customHeight="1">
      <c r="A818" s="5"/>
      <c r="B818" s="5"/>
      <c r="C818" s="5"/>
      <c r="D818" s="5"/>
      <c r="E818" s="5"/>
      <c r="F818" s="5"/>
      <c r="G818" s="5"/>
      <c r="H818" s="5"/>
      <c r="I818" s="5"/>
      <c r="J818" s="5"/>
      <c r="K818" s="67"/>
      <c r="L818" s="67"/>
      <c r="M818" s="67"/>
      <c r="N818" s="67"/>
      <c r="O818" s="67"/>
      <c r="P818" s="18"/>
      <c r="R818" s="5"/>
      <c r="S818" s="5"/>
      <c r="Y818" s="323"/>
    </row>
    <row r="819" spans="1:25" s="7" customFormat="1" ht="15.8" customHeight="1">
      <c r="A819" s="5"/>
      <c r="B819" s="5"/>
      <c r="C819" s="5"/>
      <c r="D819" s="5"/>
      <c r="E819" s="5"/>
      <c r="F819" s="5"/>
      <c r="G819" s="5"/>
      <c r="H819" s="5"/>
      <c r="I819" s="5"/>
      <c r="J819" s="5"/>
      <c r="K819" s="67"/>
      <c r="L819" s="67"/>
      <c r="M819" s="67"/>
      <c r="N819" s="67"/>
      <c r="O819" s="67"/>
      <c r="P819" s="18"/>
      <c r="R819" s="5"/>
      <c r="S819" s="5"/>
      <c r="Y819" s="323"/>
    </row>
    <row r="820" spans="1:25" s="7" customFormat="1" ht="15.8" customHeight="1">
      <c r="A820" s="5"/>
      <c r="B820" s="5"/>
      <c r="C820" s="5"/>
      <c r="D820" s="5"/>
      <c r="E820" s="5"/>
      <c r="F820" s="5"/>
      <c r="G820" s="5"/>
      <c r="H820" s="5"/>
      <c r="I820" s="5"/>
      <c r="J820" s="5"/>
      <c r="K820" s="67"/>
      <c r="L820" s="67"/>
      <c r="M820" s="67"/>
      <c r="N820" s="67"/>
      <c r="O820" s="67"/>
      <c r="P820" s="18"/>
      <c r="R820" s="5"/>
      <c r="S820" s="5"/>
      <c r="Y820" s="323"/>
    </row>
    <row r="821" spans="1:25" s="7" customFormat="1" ht="15.8" customHeight="1">
      <c r="A821" s="5"/>
      <c r="B821" s="5"/>
      <c r="C821" s="5"/>
      <c r="D821" s="5"/>
      <c r="E821" s="5"/>
      <c r="F821" s="5"/>
      <c r="G821" s="5"/>
      <c r="H821" s="5"/>
      <c r="I821" s="5"/>
      <c r="J821" s="5"/>
      <c r="K821" s="67"/>
      <c r="L821" s="67"/>
      <c r="M821" s="67"/>
      <c r="N821" s="67"/>
      <c r="O821" s="67"/>
      <c r="P821" s="18"/>
      <c r="R821" s="5"/>
      <c r="S821" s="5"/>
      <c r="Y821" s="323"/>
    </row>
    <row r="822" spans="1:25" s="7" customFormat="1" ht="15.8" customHeight="1">
      <c r="A822" s="5"/>
      <c r="B822" s="5"/>
      <c r="C822" s="5"/>
      <c r="D822" s="5"/>
      <c r="E822" s="5"/>
      <c r="F822" s="5"/>
      <c r="G822" s="5"/>
      <c r="H822" s="5"/>
      <c r="I822" s="5"/>
      <c r="J822" s="5"/>
      <c r="K822" s="67"/>
      <c r="L822" s="67"/>
      <c r="M822" s="67"/>
      <c r="N822" s="67"/>
      <c r="O822" s="67"/>
      <c r="P822" s="18"/>
      <c r="R822" s="5"/>
      <c r="S822" s="5"/>
      <c r="Y822" s="323"/>
    </row>
    <row r="823" spans="1:25" s="7" customFormat="1" ht="15.8" customHeight="1">
      <c r="A823" s="5"/>
      <c r="B823" s="5"/>
      <c r="C823" s="5"/>
      <c r="D823" s="5"/>
      <c r="E823" s="5"/>
      <c r="F823" s="5"/>
      <c r="G823" s="5"/>
      <c r="H823" s="5"/>
      <c r="I823" s="5"/>
      <c r="J823" s="5"/>
      <c r="K823" s="67"/>
      <c r="L823" s="67"/>
      <c r="M823" s="67"/>
      <c r="N823" s="67"/>
      <c r="O823" s="67"/>
      <c r="P823" s="18"/>
      <c r="R823" s="5"/>
      <c r="S823" s="5"/>
      <c r="Y823" s="323"/>
    </row>
    <row r="824" spans="1:25" s="7" customFormat="1" ht="15.8" customHeight="1">
      <c r="A824" s="5"/>
      <c r="B824" s="5"/>
      <c r="C824" s="5"/>
      <c r="D824" s="5"/>
      <c r="E824" s="5"/>
      <c r="F824" s="5"/>
      <c r="G824" s="5"/>
      <c r="H824" s="5"/>
      <c r="I824" s="5"/>
      <c r="J824" s="5"/>
      <c r="K824" s="67"/>
      <c r="L824" s="67"/>
      <c r="M824" s="67"/>
      <c r="N824" s="67"/>
      <c r="O824" s="67"/>
      <c r="P824" s="18"/>
      <c r="R824" s="5"/>
      <c r="S824" s="5"/>
      <c r="Y824" s="323"/>
    </row>
    <row r="825" spans="1:25" s="7" customFormat="1" ht="15.8" customHeight="1">
      <c r="A825" s="5"/>
      <c r="B825" s="5"/>
      <c r="C825" s="5"/>
      <c r="D825" s="5"/>
      <c r="E825" s="5"/>
      <c r="F825" s="5"/>
      <c r="G825" s="5"/>
      <c r="H825" s="5"/>
      <c r="I825" s="5"/>
      <c r="J825" s="5"/>
      <c r="K825" s="67"/>
      <c r="L825" s="67"/>
      <c r="M825" s="67"/>
      <c r="N825" s="67"/>
      <c r="O825" s="67"/>
      <c r="P825" s="18"/>
      <c r="R825" s="5"/>
      <c r="S825" s="5"/>
      <c r="Y825" s="323"/>
    </row>
    <row r="826" spans="1:25" s="7" customFormat="1" ht="15.8" customHeight="1">
      <c r="A826" s="5"/>
      <c r="B826" s="5"/>
      <c r="C826" s="5"/>
      <c r="D826" s="5"/>
      <c r="E826" s="5"/>
      <c r="F826" s="5"/>
      <c r="G826" s="5"/>
      <c r="H826" s="5"/>
      <c r="I826" s="5"/>
      <c r="J826" s="5"/>
      <c r="K826" s="67"/>
      <c r="L826" s="67"/>
      <c r="M826" s="67"/>
      <c r="N826" s="67"/>
      <c r="O826" s="67"/>
      <c r="P826" s="18"/>
      <c r="R826" s="5"/>
      <c r="S826" s="5"/>
      <c r="Y826" s="323"/>
    </row>
    <row r="827" spans="1:25" s="7" customFormat="1" ht="15.8" customHeight="1">
      <c r="A827" s="5"/>
      <c r="B827" s="5"/>
      <c r="C827" s="5"/>
      <c r="D827" s="5"/>
      <c r="E827" s="5"/>
      <c r="F827" s="5"/>
      <c r="G827" s="5"/>
      <c r="H827" s="5"/>
      <c r="I827" s="5"/>
      <c r="J827" s="5"/>
      <c r="K827" s="67"/>
      <c r="L827" s="67"/>
      <c r="M827" s="67"/>
      <c r="N827" s="67"/>
      <c r="O827" s="67"/>
      <c r="P827" s="18"/>
      <c r="R827" s="5"/>
      <c r="S827" s="5"/>
      <c r="Y827" s="323"/>
    </row>
    <row r="828" spans="1:25" s="7" customFormat="1" ht="15.8" customHeight="1">
      <c r="A828" s="5"/>
      <c r="B828" s="5"/>
      <c r="C828" s="5"/>
      <c r="D828" s="5"/>
      <c r="E828" s="5"/>
      <c r="F828" s="5"/>
      <c r="G828" s="5"/>
      <c r="H828" s="5"/>
      <c r="I828" s="5"/>
      <c r="J828" s="5"/>
      <c r="K828" s="67"/>
      <c r="L828" s="67"/>
      <c r="M828" s="67"/>
      <c r="N828" s="67"/>
      <c r="O828" s="67"/>
      <c r="P828" s="18"/>
      <c r="R828" s="5"/>
      <c r="S828" s="5"/>
      <c r="Y828" s="323"/>
    </row>
    <row r="829" spans="1:25" s="7" customFormat="1" ht="15.8" customHeight="1">
      <c r="A829" s="5"/>
      <c r="B829" s="5"/>
      <c r="C829" s="5"/>
      <c r="D829" s="5"/>
      <c r="E829" s="5"/>
      <c r="F829" s="5"/>
      <c r="G829" s="5"/>
      <c r="H829" s="5"/>
      <c r="I829" s="5"/>
      <c r="J829" s="5"/>
      <c r="K829" s="67"/>
      <c r="L829" s="67"/>
      <c r="M829" s="67"/>
      <c r="N829" s="67"/>
      <c r="O829" s="67"/>
      <c r="P829" s="18"/>
      <c r="R829" s="5"/>
      <c r="S829" s="5"/>
      <c r="Y829" s="323"/>
    </row>
    <row r="830" spans="1:25" s="7" customFormat="1" ht="15.8" customHeight="1">
      <c r="A830" s="5"/>
      <c r="B830" s="5"/>
      <c r="C830" s="5"/>
      <c r="D830" s="5"/>
      <c r="E830" s="5"/>
      <c r="F830" s="5"/>
      <c r="G830" s="5"/>
      <c r="H830" s="5"/>
      <c r="I830" s="5"/>
      <c r="J830" s="5"/>
      <c r="K830" s="67"/>
      <c r="L830" s="67"/>
      <c r="M830" s="67"/>
      <c r="N830" s="67"/>
      <c r="O830" s="67"/>
      <c r="P830" s="18"/>
      <c r="R830" s="5"/>
      <c r="S830" s="5"/>
      <c r="Y830" s="323"/>
    </row>
    <row r="831" spans="1:25" s="7" customFormat="1" ht="15.8" customHeight="1">
      <c r="A831" s="5"/>
      <c r="B831" s="5"/>
      <c r="C831" s="5"/>
      <c r="D831" s="5"/>
      <c r="E831" s="5"/>
      <c r="F831" s="5"/>
      <c r="G831" s="5"/>
      <c r="H831" s="5"/>
      <c r="I831" s="5"/>
      <c r="J831" s="5"/>
      <c r="K831" s="67"/>
      <c r="L831" s="67"/>
      <c r="M831" s="67"/>
      <c r="N831" s="67"/>
      <c r="O831" s="67"/>
      <c r="P831" s="18"/>
      <c r="R831" s="5"/>
      <c r="S831" s="5"/>
      <c r="Y831" s="323"/>
    </row>
    <row r="832" spans="1:25" s="7" customFormat="1" ht="15.8" customHeight="1">
      <c r="A832" s="5"/>
      <c r="B832" s="5"/>
      <c r="C832" s="5"/>
      <c r="D832" s="5"/>
      <c r="E832" s="5"/>
      <c r="F832" s="5"/>
      <c r="G832" s="5"/>
      <c r="H832" s="5"/>
      <c r="I832" s="5"/>
      <c r="J832" s="5"/>
      <c r="K832" s="67"/>
      <c r="L832" s="67"/>
      <c r="M832" s="67"/>
      <c r="N832" s="67"/>
      <c r="O832" s="67"/>
      <c r="P832" s="18"/>
      <c r="R832" s="5"/>
      <c r="S832" s="5"/>
      <c r="Y832" s="323"/>
    </row>
    <row r="833" spans="1:25" s="7" customFormat="1" ht="15.8" customHeight="1">
      <c r="A833" s="5"/>
      <c r="B833" s="5"/>
      <c r="C833" s="5"/>
      <c r="D833" s="5"/>
      <c r="E833" s="5"/>
      <c r="F833" s="5"/>
      <c r="G833" s="5"/>
      <c r="H833" s="5"/>
      <c r="I833" s="5"/>
      <c r="J833" s="5"/>
      <c r="K833" s="67"/>
      <c r="L833" s="67"/>
      <c r="M833" s="67"/>
      <c r="N833" s="67"/>
      <c r="O833" s="67"/>
      <c r="P833" s="18"/>
      <c r="R833" s="5"/>
      <c r="S833" s="5"/>
      <c r="Y833" s="323"/>
    </row>
    <row r="834" spans="1:25" s="7" customFormat="1" ht="15.8" customHeight="1">
      <c r="A834" s="5"/>
      <c r="B834" s="5"/>
      <c r="C834" s="5"/>
      <c r="D834" s="5"/>
      <c r="E834" s="5"/>
      <c r="F834" s="5"/>
      <c r="G834" s="5"/>
      <c r="H834" s="5"/>
      <c r="I834" s="5"/>
      <c r="J834" s="5"/>
      <c r="K834" s="67"/>
      <c r="L834" s="67"/>
      <c r="M834" s="67"/>
      <c r="N834" s="67"/>
      <c r="O834" s="67"/>
      <c r="P834" s="18"/>
      <c r="R834" s="5"/>
      <c r="S834" s="5"/>
      <c r="Y834" s="323"/>
    </row>
    <row r="835" spans="1:25" s="7" customFormat="1" ht="15.8" customHeight="1">
      <c r="A835" s="5"/>
      <c r="B835" s="5"/>
      <c r="C835" s="5"/>
      <c r="D835" s="5"/>
      <c r="E835" s="5"/>
      <c r="F835" s="5"/>
      <c r="G835" s="5"/>
      <c r="H835" s="5"/>
      <c r="I835" s="5"/>
      <c r="J835" s="5"/>
      <c r="K835" s="67"/>
      <c r="L835" s="67"/>
      <c r="M835" s="67"/>
      <c r="N835" s="67"/>
      <c r="O835" s="67"/>
      <c r="P835" s="18"/>
      <c r="R835" s="5"/>
      <c r="S835" s="5"/>
      <c r="Y835" s="323"/>
    </row>
    <row r="836" spans="1:25" s="7" customFormat="1" ht="15.8" customHeight="1">
      <c r="A836" s="5"/>
      <c r="B836" s="5"/>
      <c r="C836" s="5"/>
      <c r="D836" s="5"/>
      <c r="E836" s="5"/>
      <c r="F836" s="5"/>
      <c r="G836" s="5"/>
      <c r="H836" s="5"/>
      <c r="I836" s="5"/>
      <c r="J836" s="5"/>
      <c r="K836" s="67"/>
      <c r="L836" s="67"/>
      <c r="M836" s="67"/>
      <c r="N836" s="67"/>
      <c r="O836" s="67"/>
      <c r="P836" s="18"/>
      <c r="R836" s="5"/>
      <c r="S836" s="5"/>
      <c r="Y836" s="323"/>
    </row>
    <row r="837" spans="1:25" s="7" customFormat="1" ht="15.8" customHeight="1">
      <c r="A837" s="5"/>
      <c r="B837" s="5"/>
      <c r="C837" s="5"/>
      <c r="D837" s="5"/>
      <c r="E837" s="5"/>
      <c r="F837" s="5"/>
      <c r="G837" s="5"/>
      <c r="H837" s="5"/>
      <c r="I837" s="5"/>
      <c r="J837" s="5"/>
      <c r="K837" s="67"/>
      <c r="L837" s="67"/>
      <c r="M837" s="67"/>
      <c r="N837" s="67"/>
      <c r="O837" s="67"/>
      <c r="P837" s="18"/>
      <c r="R837" s="5"/>
      <c r="S837" s="5"/>
      <c r="Y837" s="323"/>
    </row>
    <row r="838" spans="1:25" s="7" customFormat="1" ht="15.8" customHeight="1">
      <c r="A838" s="5"/>
      <c r="B838" s="5"/>
      <c r="C838" s="5"/>
      <c r="D838" s="5"/>
      <c r="E838" s="5"/>
      <c r="F838" s="5"/>
      <c r="G838" s="5"/>
      <c r="H838" s="5"/>
      <c r="I838" s="5"/>
      <c r="J838" s="5"/>
      <c r="K838" s="67"/>
      <c r="L838" s="67"/>
      <c r="M838" s="67"/>
      <c r="N838" s="67"/>
      <c r="O838" s="67"/>
      <c r="P838" s="18"/>
      <c r="R838" s="5"/>
      <c r="S838" s="5"/>
      <c r="Y838" s="323"/>
    </row>
    <row r="839" spans="1:25" s="7" customFormat="1" ht="15.8" customHeight="1">
      <c r="A839" s="5"/>
      <c r="B839" s="5"/>
      <c r="C839" s="5"/>
      <c r="D839" s="5"/>
      <c r="E839" s="5"/>
      <c r="F839" s="5"/>
      <c r="G839" s="5"/>
      <c r="H839" s="5"/>
      <c r="I839" s="5"/>
      <c r="J839" s="5"/>
      <c r="K839" s="67"/>
      <c r="L839" s="67"/>
      <c r="M839" s="67"/>
      <c r="N839" s="67"/>
      <c r="O839" s="67"/>
      <c r="P839" s="18"/>
      <c r="R839" s="5"/>
      <c r="S839" s="5"/>
      <c r="Y839" s="323"/>
    </row>
    <row r="840" spans="1:25" s="7" customFormat="1" ht="15.8" customHeight="1">
      <c r="A840" s="5"/>
      <c r="B840" s="5"/>
      <c r="C840" s="5"/>
      <c r="D840" s="5"/>
      <c r="E840" s="5"/>
      <c r="F840" s="5"/>
      <c r="G840" s="5"/>
      <c r="H840" s="5"/>
      <c r="I840" s="5"/>
      <c r="J840" s="5"/>
      <c r="K840" s="67"/>
      <c r="L840" s="67"/>
      <c r="M840" s="67"/>
      <c r="N840" s="67"/>
      <c r="O840" s="67"/>
      <c r="P840" s="18"/>
      <c r="R840" s="5"/>
      <c r="S840" s="5"/>
      <c r="Y840" s="323"/>
    </row>
    <row r="841" spans="1:25" s="7" customFormat="1" ht="15.8" customHeight="1">
      <c r="A841" s="5"/>
      <c r="B841" s="5"/>
      <c r="C841" s="5"/>
      <c r="D841" s="5"/>
      <c r="E841" s="5"/>
      <c r="F841" s="5"/>
      <c r="G841" s="5"/>
      <c r="H841" s="5"/>
      <c r="I841" s="5"/>
      <c r="J841" s="5"/>
      <c r="K841" s="67"/>
      <c r="L841" s="67"/>
      <c r="M841" s="67"/>
      <c r="N841" s="67"/>
      <c r="O841" s="67"/>
      <c r="P841" s="18"/>
      <c r="R841" s="5"/>
      <c r="S841" s="5"/>
      <c r="Y841" s="323"/>
    </row>
    <row r="842" spans="1:25" s="7" customFormat="1" ht="15.8" customHeight="1">
      <c r="A842" s="5"/>
      <c r="B842" s="5"/>
      <c r="C842" s="5"/>
      <c r="D842" s="5"/>
      <c r="E842" s="5"/>
      <c r="F842" s="5"/>
      <c r="G842" s="5"/>
      <c r="H842" s="5"/>
      <c r="I842" s="5"/>
      <c r="J842" s="5"/>
      <c r="K842" s="67"/>
      <c r="L842" s="67"/>
      <c r="M842" s="67"/>
      <c r="N842" s="67"/>
      <c r="O842" s="67"/>
      <c r="P842" s="18"/>
      <c r="R842" s="5"/>
      <c r="S842" s="5"/>
      <c r="Y842" s="323"/>
    </row>
    <row r="843" spans="1:25" s="7" customFormat="1" ht="15.8" customHeight="1">
      <c r="A843" s="5"/>
      <c r="B843" s="5"/>
      <c r="C843" s="5"/>
      <c r="D843" s="5"/>
      <c r="E843" s="5"/>
      <c r="F843" s="5"/>
      <c r="G843" s="5"/>
      <c r="H843" s="5"/>
      <c r="I843" s="5"/>
      <c r="J843" s="5"/>
      <c r="K843" s="67"/>
      <c r="L843" s="67"/>
      <c r="M843" s="67"/>
      <c r="N843" s="67"/>
      <c r="O843" s="67"/>
      <c r="P843" s="18"/>
      <c r="R843" s="5"/>
      <c r="S843" s="5"/>
      <c r="Y843" s="323"/>
    </row>
    <row r="844" spans="1:25" s="7" customFormat="1" ht="15.8" customHeight="1">
      <c r="A844" s="5"/>
      <c r="B844" s="5"/>
      <c r="C844" s="5"/>
      <c r="D844" s="5"/>
      <c r="E844" s="5"/>
      <c r="F844" s="5"/>
      <c r="G844" s="5"/>
      <c r="H844" s="5"/>
      <c r="I844" s="5"/>
      <c r="J844" s="5"/>
      <c r="K844" s="67"/>
      <c r="L844" s="67"/>
      <c r="M844" s="67"/>
      <c r="N844" s="67"/>
      <c r="O844" s="67"/>
      <c r="P844" s="18"/>
      <c r="R844" s="5"/>
      <c r="S844" s="5"/>
      <c r="Y844" s="323"/>
    </row>
    <row r="845" spans="1:25" s="7" customFormat="1" ht="15.8" customHeight="1">
      <c r="A845" s="5"/>
      <c r="B845" s="5"/>
      <c r="C845" s="5"/>
      <c r="D845" s="5"/>
      <c r="E845" s="5"/>
      <c r="F845" s="5"/>
      <c r="G845" s="5"/>
      <c r="H845" s="5"/>
      <c r="I845" s="5"/>
      <c r="J845" s="5"/>
      <c r="K845" s="67"/>
      <c r="L845" s="67"/>
      <c r="M845" s="67"/>
      <c r="N845" s="67"/>
      <c r="O845" s="67"/>
      <c r="P845" s="18"/>
      <c r="R845" s="5"/>
      <c r="S845" s="5"/>
      <c r="Y845" s="323"/>
    </row>
    <row r="846" spans="1:25" s="7" customFormat="1" ht="15.8" customHeight="1">
      <c r="A846" s="5"/>
      <c r="B846" s="5"/>
      <c r="C846" s="5"/>
      <c r="D846" s="5"/>
      <c r="E846" s="5"/>
      <c r="F846" s="5"/>
      <c r="G846" s="5"/>
      <c r="H846" s="5"/>
      <c r="I846" s="5"/>
      <c r="J846" s="5"/>
      <c r="K846" s="67"/>
      <c r="L846" s="67"/>
      <c r="M846" s="67"/>
      <c r="N846" s="67"/>
      <c r="O846" s="67"/>
      <c r="P846" s="18"/>
      <c r="R846" s="5"/>
      <c r="S846" s="5"/>
      <c r="Y846" s="323"/>
    </row>
    <row r="847" spans="1:25" s="7" customFormat="1" ht="15.8" customHeight="1">
      <c r="A847" s="5"/>
      <c r="B847" s="5"/>
      <c r="C847" s="5"/>
      <c r="D847" s="5"/>
      <c r="E847" s="5"/>
      <c r="F847" s="5"/>
      <c r="G847" s="5"/>
      <c r="H847" s="5"/>
      <c r="I847" s="5"/>
      <c r="J847" s="5"/>
      <c r="K847" s="67"/>
      <c r="L847" s="67"/>
      <c r="M847" s="67"/>
      <c r="N847" s="67"/>
      <c r="O847" s="67"/>
      <c r="P847" s="18"/>
      <c r="R847" s="5"/>
      <c r="S847" s="5"/>
      <c r="Y847" s="323"/>
    </row>
    <row r="848" spans="1:25" s="7" customFormat="1" ht="15.8" customHeight="1">
      <c r="A848" s="5"/>
      <c r="B848" s="5"/>
      <c r="C848" s="5"/>
      <c r="D848" s="5"/>
      <c r="E848" s="5"/>
      <c r="F848" s="5"/>
      <c r="G848" s="5"/>
      <c r="H848" s="5"/>
      <c r="I848" s="5"/>
      <c r="J848" s="5"/>
      <c r="K848" s="67"/>
      <c r="L848" s="67"/>
      <c r="M848" s="67"/>
      <c r="N848" s="67"/>
      <c r="O848" s="67"/>
      <c r="P848" s="18"/>
      <c r="R848" s="5"/>
      <c r="S848" s="5"/>
      <c r="Y848" s="323"/>
    </row>
    <row r="849" spans="1:25" s="7" customFormat="1" ht="15.8" customHeight="1">
      <c r="A849" s="5"/>
      <c r="B849" s="5"/>
      <c r="C849" s="5"/>
      <c r="D849" s="5"/>
      <c r="E849" s="5"/>
      <c r="F849" s="5"/>
      <c r="G849" s="5"/>
      <c r="H849" s="5"/>
      <c r="I849" s="5"/>
      <c r="J849" s="5"/>
      <c r="K849" s="67"/>
      <c r="L849" s="67"/>
      <c r="M849" s="67"/>
      <c r="N849" s="67"/>
      <c r="O849" s="67"/>
      <c r="P849" s="18"/>
      <c r="R849" s="5"/>
      <c r="S849" s="5"/>
      <c r="Y849" s="323"/>
    </row>
    <row r="850" spans="1:25" s="7" customFormat="1" ht="15.8" customHeight="1">
      <c r="A850" s="5"/>
      <c r="B850" s="5"/>
      <c r="C850" s="5"/>
      <c r="D850" s="5"/>
      <c r="E850" s="5"/>
      <c r="F850" s="5"/>
      <c r="G850" s="5"/>
      <c r="H850" s="5"/>
      <c r="I850" s="5"/>
      <c r="J850" s="5"/>
      <c r="K850" s="67"/>
      <c r="L850" s="67"/>
      <c r="M850" s="67"/>
      <c r="N850" s="67"/>
      <c r="O850" s="67"/>
      <c r="P850" s="18"/>
      <c r="R850" s="5"/>
      <c r="S850" s="5"/>
      <c r="Y850" s="323"/>
    </row>
    <row r="851" spans="1:25" s="7" customFormat="1" ht="15.8" customHeight="1">
      <c r="A851" s="5"/>
      <c r="B851" s="5"/>
      <c r="C851" s="5"/>
      <c r="D851" s="5"/>
      <c r="E851" s="5"/>
      <c r="F851" s="5"/>
      <c r="G851" s="5"/>
      <c r="H851" s="5"/>
      <c r="I851" s="5"/>
      <c r="J851" s="5"/>
      <c r="K851" s="67"/>
      <c r="L851" s="67"/>
      <c r="M851" s="67"/>
      <c r="N851" s="67"/>
      <c r="O851" s="67"/>
      <c r="P851" s="18"/>
      <c r="R851" s="5"/>
      <c r="S851" s="5"/>
      <c r="Y851" s="323"/>
    </row>
    <row r="852" spans="1:25" s="7" customFormat="1" ht="15.8" customHeight="1">
      <c r="A852" s="5"/>
      <c r="B852" s="5"/>
      <c r="C852" s="5"/>
      <c r="D852" s="5"/>
      <c r="E852" s="5"/>
      <c r="F852" s="5"/>
      <c r="G852" s="5"/>
      <c r="H852" s="5"/>
      <c r="I852" s="5"/>
      <c r="J852" s="5"/>
      <c r="K852" s="67"/>
      <c r="L852" s="67"/>
      <c r="M852" s="67"/>
      <c r="N852" s="67"/>
      <c r="O852" s="67"/>
      <c r="P852" s="18"/>
      <c r="R852" s="5"/>
      <c r="S852" s="5"/>
      <c r="Y852" s="323"/>
    </row>
    <row r="853" spans="1:25" s="7" customFormat="1" ht="15.8" customHeight="1">
      <c r="A853" s="5"/>
      <c r="B853" s="5"/>
      <c r="C853" s="5"/>
      <c r="D853" s="5"/>
      <c r="E853" s="5"/>
      <c r="F853" s="5"/>
      <c r="G853" s="5"/>
      <c r="H853" s="5"/>
      <c r="I853" s="5"/>
      <c r="J853" s="5"/>
      <c r="K853" s="67"/>
      <c r="L853" s="67"/>
      <c r="M853" s="67"/>
      <c r="N853" s="67"/>
      <c r="O853" s="67"/>
      <c r="P853" s="18"/>
      <c r="R853" s="5"/>
      <c r="S853" s="5"/>
      <c r="Y853" s="323"/>
    </row>
    <row r="854" spans="1:25" s="7" customFormat="1" ht="15.8" customHeight="1">
      <c r="A854" s="5"/>
      <c r="B854" s="5"/>
      <c r="C854" s="5"/>
      <c r="D854" s="5"/>
      <c r="E854" s="5"/>
      <c r="F854" s="5"/>
      <c r="G854" s="5"/>
      <c r="H854" s="5"/>
      <c r="I854" s="5"/>
      <c r="J854" s="5"/>
      <c r="K854" s="67"/>
      <c r="L854" s="67"/>
      <c r="M854" s="67"/>
      <c r="N854" s="67"/>
      <c r="O854" s="67"/>
      <c r="P854" s="18"/>
      <c r="R854" s="5"/>
      <c r="S854" s="5"/>
      <c r="Y854" s="323"/>
    </row>
    <row r="855" spans="1:25" s="7" customFormat="1" ht="15.8" customHeight="1">
      <c r="A855" s="5"/>
      <c r="B855" s="5"/>
      <c r="C855" s="5"/>
      <c r="D855" s="5"/>
      <c r="E855" s="5"/>
      <c r="F855" s="5"/>
      <c r="G855" s="5"/>
      <c r="H855" s="5"/>
      <c r="I855" s="5"/>
      <c r="J855" s="5"/>
      <c r="K855" s="67"/>
      <c r="L855" s="67"/>
      <c r="M855" s="67"/>
      <c r="N855" s="67"/>
      <c r="O855" s="67"/>
      <c r="P855" s="18"/>
      <c r="R855" s="5"/>
      <c r="S855" s="5"/>
      <c r="Y855" s="323"/>
    </row>
    <row r="856" spans="1:25" s="7" customFormat="1" ht="15.8" customHeight="1">
      <c r="A856" s="5"/>
      <c r="B856" s="5"/>
      <c r="C856" s="5"/>
      <c r="D856" s="5"/>
      <c r="E856" s="5"/>
      <c r="F856" s="5"/>
      <c r="G856" s="5"/>
      <c r="H856" s="5"/>
      <c r="I856" s="5"/>
      <c r="J856" s="5"/>
      <c r="K856" s="67"/>
      <c r="L856" s="67"/>
      <c r="M856" s="67"/>
      <c r="N856" s="67"/>
      <c r="O856" s="67"/>
      <c r="P856" s="18"/>
      <c r="R856" s="5"/>
      <c r="S856" s="5"/>
      <c r="Y856" s="323"/>
    </row>
    <row r="857" spans="1:25" s="7" customFormat="1" ht="15.8" customHeight="1">
      <c r="A857" s="5"/>
      <c r="B857" s="5"/>
      <c r="C857" s="5"/>
      <c r="D857" s="5"/>
      <c r="E857" s="5"/>
      <c r="F857" s="5"/>
      <c r="G857" s="5"/>
      <c r="H857" s="5"/>
      <c r="I857" s="5"/>
      <c r="J857" s="5"/>
      <c r="K857" s="67"/>
      <c r="L857" s="67"/>
      <c r="M857" s="67"/>
      <c r="N857" s="67"/>
      <c r="O857" s="67"/>
      <c r="P857" s="18"/>
      <c r="R857" s="5"/>
      <c r="S857" s="5"/>
      <c r="Y857" s="323"/>
    </row>
    <row r="858" spans="1:25" s="7" customFormat="1" ht="15.8" customHeight="1">
      <c r="A858" s="5"/>
      <c r="B858" s="5"/>
      <c r="C858" s="5"/>
      <c r="D858" s="5"/>
      <c r="E858" s="5"/>
      <c r="F858" s="5"/>
      <c r="G858" s="5"/>
      <c r="H858" s="5"/>
      <c r="I858" s="5"/>
      <c r="J858" s="5"/>
      <c r="K858" s="67"/>
      <c r="L858" s="67"/>
      <c r="M858" s="67"/>
      <c r="N858" s="67"/>
      <c r="O858" s="67"/>
      <c r="P858" s="18"/>
      <c r="R858" s="5"/>
      <c r="S858" s="5"/>
      <c r="Y858" s="323"/>
    </row>
    <row r="859" spans="1:25" s="7" customFormat="1" ht="15.8" customHeight="1">
      <c r="A859" s="5"/>
      <c r="B859" s="5"/>
      <c r="C859" s="5"/>
      <c r="D859" s="5"/>
      <c r="E859" s="5"/>
      <c r="F859" s="5"/>
      <c r="G859" s="5"/>
      <c r="H859" s="5"/>
      <c r="I859" s="5"/>
      <c r="J859" s="5"/>
      <c r="K859" s="67"/>
      <c r="L859" s="67"/>
      <c r="M859" s="67"/>
      <c r="N859" s="67"/>
      <c r="O859" s="67"/>
      <c r="P859" s="18"/>
      <c r="R859" s="5"/>
      <c r="S859" s="5"/>
      <c r="Y859" s="323"/>
    </row>
    <row r="860" spans="1:25" s="7" customFormat="1" ht="15.8" customHeight="1">
      <c r="A860" s="5"/>
      <c r="B860" s="5"/>
      <c r="C860" s="5"/>
      <c r="D860" s="5"/>
      <c r="E860" s="5"/>
      <c r="F860" s="5"/>
      <c r="G860" s="5"/>
      <c r="H860" s="5"/>
      <c r="I860" s="5"/>
      <c r="J860" s="5"/>
      <c r="K860" s="67"/>
      <c r="L860" s="67"/>
      <c r="M860" s="67"/>
      <c r="N860" s="67"/>
      <c r="O860" s="67"/>
      <c r="P860" s="18"/>
      <c r="R860" s="5"/>
      <c r="S860" s="5"/>
      <c r="Y860" s="323"/>
    </row>
    <row r="861" spans="1:25" s="7" customFormat="1" ht="15.8" customHeight="1">
      <c r="A861" s="5"/>
      <c r="B861" s="5"/>
      <c r="C861" s="5"/>
      <c r="D861" s="5"/>
      <c r="E861" s="5"/>
      <c r="F861" s="5"/>
      <c r="G861" s="5"/>
      <c r="H861" s="5"/>
      <c r="I861" s="5"/>
      <c r="J861" s="5"/>
      <c r="K861" s="67"/>
      <c r="L861" s="67"/>
      <c r="M861" s="67"/>
      <c r="N861" s="67"/>
      <c r="O861" s="67"/>
      <c r="P861" s="18"/>
      <c r="R861" s="5"/>
      <c r="S861" s="5"/>
      <c r="Y861" s="323"/>
    </row>
    <row r="862" spans="1:25" s="7" customFormat="1" ht="15.8" customHeight="1">
      <c r="A862" s="5"/>
      <c r="B862" s="5"/>
      <c r="C862" s="5"/>
      <c r="D862" s="5"/>
      <c r="E862" s="5"/>
      <c r="F862" s="5"/>
      <c r="G862" s="5"/>
      <c r="H862" s="5"/>
      <c r="I862" s="5"/>
      <c r="J862" s="5"/>
      <c r="K862" s="67"/>
      <c r="L862" s="67"/>
      <c r="M862" s="67"/>
      <c r="N862" s="67"/>
      <c r="O862" s="67"/>
      <c r="P862" s="18"/>
      <c r="R862" s="5"/>
      <c r="S862" s="5"/>
      <c r="Y862" s="323"/>
    </row>
    <row r="863" spans="1:25" s="7" customFormat="1" ht="15.8" customHeight="1">
      <c r="A863" s="5"/>
      <c r="B863" s="5"/>
      <c r="C863" s="5"/>
      <c r="D863" s="5"/>
      <c r="E863" s="5"/>
      <c r="F863" s="5"/>
      <c r="G863" s="5"/>
      <c r="H863" s="5"/>
      <c r="I863" s="5"/>
      <c r="J863" s="5"/>
      <c r="K863" s="67"/>
      <c r="L863" s="67"/>
      <c r="M863" s="67"/>
      <c r="N863" s="67"/>
      <c r="O863" s="67"/>
      <c r="P863" s="18"/>
      <c r="R863" s="5"/>
      <c r="S863" s="5"/>
      <c r="Y863" s="323"/>
    </row>
    <row r="864" spans="1:25" s="7" customFormat="1" ht="15.8" customHeight="1">
      <c r="A864" s="5"/>
      <c r="B864" s="5"/>
      <c r="C864" s="5"/>
      <c r="D864" s="5"/>
      <c r="E864" s="5"/>
      <c r="F864" s="5"/>
      <c r="G864" s="5"/>
      <c r="H864" s="5"/>
      <c r="I864" s="5"/>
      <c r="J864" s="5"/>
      <c r="K864" s="67"/>
      <c r="L864" s="67"/>
      <c r="M864" s="67"/>
      <c r="N864" s="67"/>
      <c r="O864" s="67"/>
      <c r="P864" s="18"/>
      <c r="R864" s="5"/>
      <c r="S864" s="5"/>
      <c r="Y864" s="323"/>
    </row>
    <row r="865" spans="1:25" s="7" customFormat="1" ht="15.8" customHeight="1">
      <c r="A865" s="5"/>
      <c r="B865" s="5"/>
      <c r="C865" s="5"/>
      <c r="D865" s="5"/>
      <c r="E865" s="5"/>
      <c r="F865" s="5"/>
      <c r="G865" s="5"/>
      <c r="H865" s="5"/>
      <c r="I865" s="5"/>
      <c r="J865" s="5"/>
      <c r="K865" s="67"/>
      <c r="L865" s="67"/>
      <c r="M865" s="67"/>
      <c r="N865" s="67"/>
      <c r="O865" s="67"/>
      <c r="P865" s="18"/>
      <c r="R865" s="5"/>
      <c r="S865" s="5"/>
      <c r="Y865" s="323"/>
    </row>
    <row r="866" spans="1:25" s="7" customFormat="1" ht="15.8" customHeight="1">
      <c r="A866" s="5"/>
      <c r="B866" s="5"/>
      <c r="C866" s="5"/>
      <c r="D866" s="5"/>
      <c r="E866" s="5"/>
      <c r="F866" s="5"/>
      <c r="G866" s="5"/>
      <c r="H866" s="5"/>
      <c r="I866" s="5"/>
      <c r="J866" s="5"/>
      <c r="K866" s="67"/>
      <c r="L866" s="67"/>
      <c r="M866" s="67"/>
      <c r="N866" s="67"/>
      <c r="O866" s="67"/>
      <c r="P866" s="18"/>
      <c r="R866" s="5"/>
      <c r="S866" s="5"/>
      <c r="Y866" s="323"/>
    </row>
    <row r="867" spans="1:25" s="7" customFormat="1" ht="15.8" customHeight="1">
      <c r="A867" s="5"/>
      <c r="B867" s="5"/>
      <c r="C867" s="5"/>
      <c r="D867" s="5"/>
      <c r="E867" s="5"/>
      <c r="F867" s="5"/>
      <c r="G867" s="5"/>
      <c r="H867" s="5"/>
      <c r="I867" s="5"/>
      <c r="J867" s="5"/>
      <c r="K867" s="67"/>
      <c r="L867" s="67"/>
      <c r="M867" s="67"/>
      <c r="N867" s="67"/>
      <c r="O867" s="67"/>
      <c r="P867" s="18"/>
      <c r="R867" s="5"/>
      <c r="S867" s="5"/>
      <c r="Y867" s="323"/>
    </row>
    <row r="868" spans="1:25" s="7" customFormat="1" ht="15.8" customHeight="1">
      <c r="A868" s="5"/>
      <c r="B868" s="5"/>
      <c r="C868" s="5"/>
      <c r="D868" s="5"/>
      <c r="E868" s="5"/>
      <c r="F868" s="5"/>
      <c r="G868" s="5"/>
      <c r="H868" s="5"/>
      <c r="I868" s="5"/>
      <c r="J868" s="5"/>
      <c r="K868" s="67"/>
      <c r="L868" s="67"/>
      <c r="M868" s="67"/>
      <c r="N868" s="67"/>
      <c r="O868" s="67"/>
      <c r="P868" s="18"/>
      <c r="R868" s="5"/>
      <c r="S868" s="5"/>
      <c r="Y868" s="323"/>
    </row>
    <row r="869" spans="1:25" s="7" customFormat="1" ht="15.8" customHeight="1">
      <c r="A869" s="5"/>
      <c r="B869" s="5"/>
      <c r="C869" s="5"/>
      <c r="D869" s="5"/>
      <c r="E869" s="5"/>
      <c r="F869" s="5"/>
      <c r="G869" s="5"/>
      <c r="H869" s="5"/>
      <c r="I869" s="5"/>
      <c r="J869" s="5"/>
      <c r="K869" s="67"/>
      <c r="L869" s="67"/>
      <c r="M869" s="67"/>
      <c r="N869" s="67"/>
      <c r="O869" s="67"/>
      <c r="P869" s="18"/>
      <c r="R869" s="5"/>
      <c r="S869" s="5"/>
      <c r="Y869" s="323"/>
    </row>
    <row r="870" spans="1:25" s="7" customFormat="1" ht="15.8" customHeight="1">
      <c r="A870" s="5"/>
      <c r="B870" s="5"/>
      <c r="C870" s="5"/>
      <c r="D870" s="5"/>
      <c r="E870" s="5"/>
      <c r="F870" s="5"/>
      <c r="G870" s="5"/>
      <c r="H870" s="5"/>
      <c r="I870" s="5"/>
      <c r="J870" s="5"/>
      <c r="K870" s="67"/>
      <c r="L870" s="67"/>
      <c r="M870" s="67"/>
      <c r="N870" s="67"/>
      <c r="O870" s="67"/>
      <c r="P870" s="18"/>
      <c r="R870" s="5"/>
      <c r="S870" s="5"/>
      <c r="Y870" s="323"/>
    </row>
    <row r="871" spans="1:25" s="7" customFormat="1" ht="15.8" customHeight="1">
      <c r="A871" s="5"/>
      <c r="B871" s="5"/>
      <c r="C871" s="5"/>
      <c r="D871" s="5"/>
      <c r="E871" s="5"/>
      <c r="F871" s="5"/>
      <c r="G871" s="5"/>
      <c r="H871" s="5"/>
      <c r="I871" s="5"/>
      <c r="J871" s="5"/>
      <c r="K871" s="67"/>
      <c r="L871" s="67"/>
      <c r="M871" s="67"/>
      <c r="N871" s="67"/>
      <c r="O871" s="67"/>
      <c r="P871" s="18"/>
      <c r="R871" s="5"/>
      <c r="S871" s="5"/>
      <c r="Y871" s="323"/>
    </row>
    <row r="872" spans="1:25" s="7" customFormat="1" ht="15.8" customHeight="1">
      <c r="A872" s="5"/>
      <c r="B872" s="5"/>
      <c r="C872" s="5"/>
      <c r="D872" s="5"/>
      <c r="E872" s="5"/>
      <c r="F872" s="5"/>
      <c r="G872" s="5"/>
      <c r="H872" s="5"/>
      <c r="I872" s="5"/>
      <c r="J872" s="5"/>
      <c r="K872" s="67"/>
      <c r="L872" s="67"/>
      <c r="M872" s="67"/>
      <c r="N872" s="67"/>
      <c r="O872" s="67"/>
      <c r="P872" s="18"/>
      <c r="R872" s="5"/>
      <c r="S872" s="5"/>
      <c r="Y872" s="323"/>
    </row>
    <row r="873" spans="1:25" s="7" customFormat="1" ht="15.8" customHeight="1">
      <c r="A873" s="5"/>
      <c r="B873" s="5"/>
      <c r="C873" s="5"/>
      <c r="D873" s="5"/>
      <c r="E873" s="5"/>
      <c r="F873" s="5"/>
      <c r="G873" s="5"/>
      <c r="H873" s="5"/>
      <c r="I873" s="5"/>
      <c r="J873" s="5"/>
      <c r="K873" s="67"/>
      <c r="L873" s="67"/>
      <c r="M873" s="67"/>
      <c r="N873" s="67"/>
      <c r="O873" s="67"/>
      <c r="P873" s="18"/>
      <c r="R873" s="5"/>
      <c r="S873" s="5"/>
      <c r="Y873" s="323"/>
    </row>
    <row r="874" spans="1:25" s="7" customFormat="1" ht="15.8" customHeight="1">
      <c r="A874" s="5"/>
      <c r="B874" s="5"/>
      <c r="C874" s="5"/>
      <c r="D874" s="5"/>
      <c r="E874" s="5"/>
      <c r="F874" s="5"/>
      <c r="G874" s="5"/>
      <c r="H874" s="5"/>
      <c r="I874" s="5"/>
      <c r="J874" s="5"/>
      <c r="K874" s="67"/>
      <c r="L874" s="67"/>
      <c r="M874" s="67"/>
      <c r="N874" s="67"/>
      <c r="O874" s="67"/>
      <c r="P874" s="18"/>
      <c r="R874" s="5"/>
      <c r="S874" s="5"/>
      <c r="Y874" s="323"/>
    </row>
    <row r="875" spans="1:25" s="7" customFormat="1" ht="15.8" customHeight="1">
      <c r="A875" s="5"/>
      <c r="B875" s="5"/>
      <c r="C875" s="5"/>
      <c r="D875" s="5"/>
      <c r="E875" s="5"/>
      <c r="F875" s="5"/>
      <c r="G875" s="5"/>
      <c r="H875" s="5"/>
      <c r="I875" s="5"/>
      <c r="J875" s="5"/>
      <c r="K875" s="67"/>
      <c r="L875" s="67"/>
      <c r="M875" s="67"/>
      <c r="N875" s="67"/>
      <c r="O875" s="67"/>
      <c r="P875" s="18"/>
      <c r="R875" s="5"/>
      <c r="S875" s="5"/>
      <c r="Y875" s="323"/>
    </row>
    <row r="876" spans="1:25" s="7" customFormat="1" ht="15.8" customHeight="1">
      <c r="A876" s="5"/>
      <c r="B876" s="5"/>
      <c r="C876" s="5"/>
      <c r="D876" s="5"/>
      <c r="E876" s="5"/>
      <c r="F876" s="5"/>
      <c r="G876" s="5"/>
      <c r="H876" s="5"/>
      <c r="I876" s="5"/>
      <c r="J876" s="5"/>
      <c r="K876" s="67"/>
      <c r="L876" s="67"/>
      <c r="M876" s="67"/>
      <c r="N876" s="67"/>
      <c r="O876" s="67"/>
      <c r="P876" s="18"/>
      <c r="R876" s="5"/>
      <c r="S876" s="5"/>
      <c r="Y876" s="323"/>
    </row>
    <row r="877" spans="1:25" s="7" customFormat="1" ht="15.8" customHeight="1">
      <c r="A877" s="5"/>
      <c r="B877" s="5"/>
      <c r="C877" s="5"/>
      <c r="D877" s="5"/>
      <c r="E877" s="5"/>
      <c r="F877" s="5"/>
      <c r="G877" s="5"/>
      <c r="H877" s="5"/>
      <c r="I877" s="5"/>
      <c r="J877" s="5"/>
      <c r="K877" s="67"/>
      <c r="L877" s="67"/>
      <c r="M877" s="67"/>
      <c r="N877" s="67"/>
      <c r="O877" s="67"/>
      <c r="P877" s="18"/>
      <c r="R877" s="5"/>
      <c r="S877" s="5"/>
      <c r="Y877" s="323"/>
    </row>
    <row r="878" spans="1:25" s="7" customFormat="1" ht="15.8" customHeight="1">
      <c r="A878" s="5"/>
      <c r="B878" s="5"/>
      <c r="C878" s="5"/>
      <c r="D878" s="5"/>
      <c r="E878" s="5"/>
      <c r="F878" s="5"/>
      <c r="G878" s="5"/>
      <c r="H878" s="5"/>
      <c r="I878" s="5"/>
      <c r="J878" s="5"/>
      <c r="K878" s="67"/>
      <c r="L878" s="67"/>
      <c r="M878" s="67"/>
      <c r="N878" s="67"/>
      <c r="O878" s="67"/>
      <c r="P878" s="18"/>
      <c r="R878" s="5"/>
      <c r="S878" s="5"/>
      <c r="Y878" s="323"/>
    </row>
    <row r="879" spans="1:25" s="7" customFormat="1" ht="15.8" customHeight="1">
      <c r="A879" s="5"/>
      <c r="B879" s="5"/>
      <c r="C879" s="5"/>
      <c r="D879" s="5"/>
      <c r="E879" s="5"/>
      <c r="F879" s="5"/>
      <c r="G879" s="5"/>
      <c r="H879" s="5"/>
      <c r="I879" s="5"/>
      <c r="J879" s="5"/>
      <c r="K879" s="67"/>
      <c r="L879" s="67"/>
      <c r="M879" s="67"/>
      <c r="N879" s="67"/>
      <c r="O879" s="67"/>
      <c r="P879" s="18"/>
      <c r="R879" s="5"/>
      <c r="S879" s="5"/>
      <c r="Y879" s="323"/>
    </row>
    <row r="880" spans="1:25" s="7" customFormat="1" ht="15.8" customHeight="1">
      <c r="A880" s="5"/>
      <c r="B880" s="5"/>
      <c r="C880" s="5"/>
      <c r="D880" s="5"/>
      <c r="E880" s="5"/>
      <c r="F880" s="5"/>
      <c r="G880" s="5"/>
      <c r="H880" s="5"/>
      <c r="I880" s="5"/>
      <c r="J880" s="5"/>
      <c r="K880" s="67"/>
      <c r="L880" s="67"/>
      <c r="M880" s="67"/>
      <c r="N880" s="67"/>
      <c r="O880" s="67"/>
      <c r="P880" s="18"/>
      <c r="R880" s="5"/>
      <c r="S880" s="5"/>
      <c r="Y880" s="323"/>
    </row>
    <row r="881" spans="1:25" s="7" customFormat="1" ht="15.8" customHeight="1">
      <c r="A881" s="5"/>
      <c r="B881" s="5"/>
      <c r="C881" s="5"/>
      <c r="D881" s="5"/>
      <c r="E881" s="5"/>
      <c r="F881" s="5"/>
      <c r="G881" s="5"/>
      <c r="H881" s="5"/>
      <c r="I881" s="5"/>
      <c r="J881" s="5"/>
      <c r="K881" s="67"/>
      <c r="L881" s="67"/>
      <c r="M881" s="67"/>
      <c r="N881" s="67"/>
      <c r="O881" s="67"/>
      <c r="P881" s="18"/>
      <c r="R881" s="5"/>
      <c r="S881" s="5"/>
      <c r="Y881" s="323"/>
    </row>
    <row r="882" spans="1:25" s="7" customFormat="1" ht="15.8" customHeight="1">
      <c r="A882" s="5"/>
      <c r="B882" s="5"/>
      <c r="C882" s="5"/>
      <c r="D882" s="5"/>
      <c r="E882" s="5"/>
      <c r="F882" s="5"/>
      <c r="G882" s="5"/>
      <c r="H882" s="5"/>
      <c r="I882" s="5"/>
      <c r="J882" s="5"/>
      <c r="K882" s="67"/>
      <c r="L882" s="67"/>
      <c r="M882" s="67"/>
      <c r="N882" s="67"/>
      <c r="O882" s="67"/>
      <c r="P882" s="18"/>
      <c r="R882" s="5"/>
      <c r="S882" s="5"/>
      <c r="Y882" s="323"/>
    </row>
    <row r="883" spans="1:25" s="7" customFormat="1" ht="15.8" customHeight="1">
      <c r="A883" s="5"/>
      <c r="B883" s="5"/>
      <c r="C883" s="5"/>
      <c r="D883" s="5"/>
      <c r="E883" s="5"/>
      <c r="F883" s="5"/>
      <c r="G883" s="5"/>
      <c r="H883" s="5"/>
      <c r="I883" s="5"/>
      <c r="J883" s="5"/>
      <c r="K883" s="67"/>
      <c r="L883" s="67"/>
      <c r="M883" s="67"/>
      <c r="N883" s="67"/>
      <c r="O883" s="67"/>
      <c r="P883" s="18"/>
      <c r="R883" s="5"/>
      <c r="S883" s="5"/>
      <c r="Y883" s="323"/>
    </row>
    <row r="884" spans="1:25" s="7" customFormat="1" ht="15.8" customHeight="1">
      <c r="A884" s="5"/>
      <c r="B884" s="5"/>
      <c r="C884" s="5"/>
      <c r="D884" s="5"/>
      <c r="E884" s="5"/>
      <c r="F884" s="5"/>
      <c r="G884" s="5"/>
      <c r="H884" s="5"/>
      <c r="I884" s="5"/>
      <c r="J884" s="5"/>
      <c r="K884" s="67"/>
      <c r="L884" s="67"/>
      <c r="M884" s="67"/>
      <c r="N884" s="67"/>
      <c r="O884" s="67"/>
      <c r="P884" s="18"/>
      <c r="R884" s="5"/>
      <c r="S884" s="5"/>
      <c r="Y884" s="323"/>
    </row>
    <row r="885" spans="1:25" s="7" customFormat="1" ht="15.8" customHeight="1">
      <c r="A885" s="5"/>
      <c r="B885" s="5"/>
      <c r="C885" s="5"/>
      <c r="D885" s="5"/>
      <c r="E885" s="5"/>
      <c r="F885" s="5"/>
      <c r="G885" s="5"/>
      <c r="H885" s="5"/>
      <c r="I885" s="5"/>
      <c r="J885" s="5"/>
      <c r="K885" s="67"/>
      <c r="L885" s="67"/>
      <c r="M885" s="67"/>
      <c r="N885" s="67"/>
      <c r="O885" s="67"/>
      <c r="P885" s="18"/>
      <c r="R885" s="5"/>
      <c r="S885" s="5"/>
      <c r="Y885" s="323"/>
    </row>
    <row r="886" spans="1:25" s="7" customFormat="1" ht="15.8" customHeight="1">
      <c r="A886" s="5"/>
      <c r="B886" s="5"/>
      <c r="C886" s="5"/>
      <c r="D886" s="5"/>
      <c r="E886" s="5"/>
      <c r="F886" s="5"/>
      <c r="G886" s="5"/>
      <c r="H886" s="5"/>
      <c r="I886" s="5"/>
      <c r="J886" s="5"/>
      <c r="K886" s="67"/>
      <c r="L886" s="67"/>
      <c r="M886" s="67"/>
      <c r="N886" s="67"/>
      <c r="O886" s="67"/>
      <c r="P886" s="18"/>
      <c r="R886" s="5"/>
      <c r="S886" s="5"/>
      <c r="Y886" s="323"/>
    </row>
    <row r="887" spans="1:25" s="7" customFormat="1" ht="15.8" customHeight="1">
      <c r="A887" s="5"/>
      <c r="B887" s="5"/>
      <c r="C887" s="5"/>
      <c r="D887" s="5"/>
      <c r="E887" s="5"/>
      <c r="F887" s="5"/>
      <c r="G887" s="5"/>
      <c r="H887" s="5"/>
      <c r="I887" s="5"/>
      <c r="J887" s="5"/>
      <c r="K887" s="67"/>
      <c r="L887" s="67"/>
      <c r="M887" s="67"/>
      <c r="N887" s="67"/>
      <c r="O887" s="67"/>
      <c r="P887" s="18"/>
      <c r="R887" s="5"/>
      <c r="S887" s="5"/>
      <c r="Y887" s="323"/>
    </row>
    <row r="888" spans="1:25" s="7" customFormat="1" ht="15.8" customHeight="1">
      <c r="A888" s="5"/>
      <c r="B888" s="5"/>
      <c r="C888" s="5"/>
      <c r="D888" s="5"/>
      <c r="E888" s="5"/>
      <c r="F888" s="5"/>
      <c r="G888" s="5"/>
      <c r="H888" s="5"/>
      <c r="I888" s="5"/>
      <c r="J888" s="5"/>
      <c r="K888" s="67"/>
      <c r="L888" s="67"/>
      <c r="M888" s="67"/>
      <c r="N888" s="67"/>
      <c r="O888" s="67"/>
      <c r="P888" s="18"/>
      <c r="R888" s="5"/>
      <c r="S888" s="5"/>
      <c r="Y888" s="323"/>
    </row>
    <row r="889" spans="1:25" s="7" customFormat="1" ht="15.8" customHeight="1">
      <c r="A889" s="5"/>
      <c r="B889" s="5"/>
      <c r="C889" s="5"/>
      <c r="D889" s="5"/>
      <c r="E889" s="5"/>
      <c r="F889" s="5"/>
      <c r="G889" s="5"/>
      <c r="H889" s="5"/>
      <c r="I889" s="5"/>
      <c r="J889" s="5"/>
      <c r="K889" s="67"/>
      <c r="L889" s="67"/>
      <c r="M889" s="67"/>
      <c r="N889" s="67"/>
      <c r="O889" s="67"/>
      <c r="P889" s="18"/>
      <c r="R889" s="5"/>
      <c r="S889" s="5"/>
      <c r="Y889" s="323"/>
    </row>
    <row r="890" spans="1:25" s="7" customFormat="1" ht="15.8" customHeight="1">
      <c r="A890" s="5"/>
      <c r="B890" s="5"/>
      <c r="C890" s="5"/>
      <c r="D890" s="5"/>
      <c r="E890" s="5"/>
      <c r="F890" s="5"/>
      <c r="G890" s="5"/>
      <c r="H890" s="5"/>
      <c r="I890" s="5"/>
      <c r="J890" s="5"/>
      <c r="K890" s="67"/>
      <c r="L890" s="67"/>
      <c r="M890" s="67"/>
      <c r="N890" s="67"/>
      <c r="O890" s="67"/>
      <c r="P890" s="18"/>
      <c r="R890" s="5"/>
      <c r="S890" s="5"/>
      <c r="Y890" s="323"/>
    </row>
    <row r="891" spans="1:25" s="7" customFormat="1" ht="15.8" customHeight="1">
      <c r="A891" s="5"/>
      <c r="B891" s="5"/>
      <c r="C891" s="5"/>
      <c r="D891" s="5"/>
      <c r="E891" s="5"/>
      <c r="F891" s="5"/>
      <c r="G891" s="5"/>
      <c r="H891" s="5"/>
      <c r="I891" s="5"/>
      <c r="J891" s="5"/>
      <c r="K891" s="67"/>
      <c r="L891" s="67"/>
      <c r="M891" s="67"/>
      <c r="N891" s="67"/>
      <c r="O891" s="67"/>
      <c r="P891" s="18"/>
      <c r="R891" s="5"/>
      <c r="S891" s="5"/>
      <c r="Y891" s="323"/>
    </row>
    <row r="892" spans="1:25" s="7" customFormat="1" ht="15.8" customHeight="1">
      <c r="A892" s="5"/>
      <c r="B892" s="5"/>
      <c r="C892" s="5"/>
      <c r="D892" s="5"/>
      <c r="E892" s="5"/>
      <c r="F892" s="5"/>
      <c r="G892" s="5"/>
      <c r="H892" s="5"/>
      <c r="I892" s="5"/>
      <c r="J892" s="5"/>
      <c r="K892" s="67"/>
      <c r="L892" s="67"/>
      <c r="M892" s="67"/>
      <c r="N892" s="67"/>
      <c r="O892" s="67"/>
      <c r="P892" s="18"/>
      <c r="R892" s="5"/>
      <c r="S892" s="5"/>
      <c r="Y892" s="323"/>
    </row>
    <row r="893" spans="1:25" s="7" customFormat="1" ht="15.8" customHeight="1">
      <c r="A893" s="5"/>
      <c r="B893" s="5"/>
      <c r="C893" s="5"/>
      <c r="D893" s="5"/>
      <c r="E893" s="5"/>
      <c r="F893" s="5"/>
      <c r="G893" s="5"/>
      <c r="H893" s="5"/>
      <c r="I893" s="5"/>
      <c r="J893" s="5"/>
      <c r="K893" s="67"/>
      <c r="L893" s="67"/>
      <c r="M893" s="67"/>
      <c r="N893" s="67"/>
      <c r="O893" s="67"/>
      <c r="P893" s="18"/>
      <c r="R893" s="5"/>
      <c r="S893" s="5"/>
      <c r="Y893" s="323"/>
    </row>
    <row r="894" spans="1:25" s="7" customFormat="1" ht="15.8" customHeight="1">
      <c r="A894" s="5"/>
      <c r="B894" s="5"/>
      <c r="C894" s="5"/>
      <c r="D894" s="5"/>
      <c r="E894" s="5"/>
      <c r="F894" s="5"/>
      <c r="G894" s="5"/>
      <c r="H894" s="5"/>
      <c r="I894" s="5"/>
      <c r="J894" s="5"/>
      <c r="K894" s="67"/>
      <c r="L894" s="67"/>
      <c r="M894" s="67"/>
      <c r="N894" s="67"/>
      <c r="O894" s="67"/>
      <c r="P894" s="18"/>
      <c r="R894" s="5"/>
      <c r="S894" s="5"/>
      <c r="Y894" s="323"/>
    </row>
    <row r="895" spans="1:25" s="7" customFormat="1" ht="15.8" customHeight="1">
      <c r="A895" s="5"/>
      <c r="B895" s="5"/>
      <c r="C895" s="5"/>
      <c r="D895" s="5"/>
      <c r="E895" s="5"/>
      <c r="F895" s="5"/>
      <c r="G895" s="5"/>
      <c r="H895" s="5"/>
      <c r="I895" s="5"/>
      <c r="J895" s="5"/>
      <c r="K895" s="67"/>
      <c r="L895" s="67"/>
      <c r="M895" s="67"/>
      <c r="N895" s="67"/>
      <c r="O895" s="67"/>
      <c r="P895" s="18"/>
      <c r="R895" s="5"/>
      <c r="S895" s="5"/>
      <c r="Y895" s="323"/>
    </row>
    <row r="896" spans="1:25" s="7" customFormat="1" ht="15.8" customHeight="1">
      <c r="A896" s="5"/>
      <c r="B896" s="5"/>
      <c r="C896" s="5"/>
      <c r="D896" s="5"/>
      <c r="E896" s="5"/>
      <c r="F896" s="5"/>
      <c r="G896" s="5"/>
      <c r="H896" s="5"/>
      <c r="I896" s="5"/>
      <c r="J896" s="5"/>
      <c r="K896" s="67"/>
      <c r="L896" s="67"/>
      <c r="M896" s="67"/>
      <c r="N896" s="67"/>
      <c r="O896" s="67"/>
      <c r="P896" s="18"/>
      <c r="R896" s="5"/>
      <c r="S896" s="5"/>
      <c r="Y896" s="323"/>
    </row>
    <row r="897" spans="1:25" s="7" customFormat="1" ht="15.8" customHeight="1">
      <c r="A897" s="5"/>
      <c r="B897" s="5"/>
      <c r="C897" s="5"/>
      <c r="D897" s="5"/>
      <c r="E897" s="5"/>
      <c r="F897" s="5"/>
      <c r="G897" s="5"/>
      <c r="H897" s="5"/>
      <c r="I897" s="5"/>
      <c r="J897" s="5"/>
      <c r="K897" s="67"/>
      <c r="L897" s="67"/>
      <c r="M897" s="67"/>
      <c r="N897" s="67"/>
      <c r="O897" s="67"/>
      <c r="P897" s="18"/>
      <c r="R897" s="5"/>
      <c r="S897" s="5"/>
      <c r="Y897" s="323"/>
    </row>
    <row r="898" spans="1:25" s="7" customFormat="1" ht="15.8" customHeight="1">
      <c r="A898" s="5"/>
      <c r="B898" s="5"/>
      <c r="C898" s="5"/>
      <c r="D898" s="5"/>
      <c r="E898" s="5"/>
      <c r="F898" s="5"/>
      <c r="G898" s="5"/>
      <c r="H898" s="5"/>
      <c r="I898" s="5"/>
      <c r="J898" s="5"/>
      <c r="K898" s="67"/>
      <c r="L898" s="67"/>
      <c r="M898" s="67"/>
      <c r="N898" s="67"/>
      <c r="O898" s="67"/>
      <c r="P898" s="18"/>
      <c r="R898" s="5"/>
      <c r="S898" s="5"/>
      <c r="Y898" s="323"/>
    </row>
    <row r="899" spans="1:25" s="7" customFormat="1" ht="15.8" customHeight="1">
      <c r="A899" s="5"/>
      <c r="B899" s="5"/>
      <c r="C899" s="5"/>
      <c r="D899" s="5"/>
      <c r="E899" s="5"/>
      <c r="F899" s="5"/>
      <c r="G899" s="5"/>
      <c r="H899" s="5"/>
      <c r="I899" s="5"/>
      <c r="J899" s="5"/>
      <c r="K899" s="67"/>
      <c r="L899" s="67"/>
      <c r="M899" s="67"/>
      <c r="N899" s="67"/>
      <c r="O899" s="67"/>
      <c r="P899" s="18"/>
      <c r="R899" s="5"/>
      <c r="S899" s="5"/>
      <c r="Y899" s="323"/>
    </row>
    <row r="900" spans="1:25" s="7" customFormat="1" ht="15.8" customHeight="1">
      <c r="A900" s="5"/>
      <c r="B900" s="5"/>
      <c r="C900" s="5"/>
      <c r="D900" s="5"/>
      <c r="E900" s="5"/>
      <c r="F900" s="5"/>
      <c r="G900" s="5"/>
      <c r="H900" s="5"/>
      <c r="I900" s="5"/>
      <c r="J900" s="5"/>
      <c r="K900" s="67"/>
      <c r="L900" s="67"/>
      <c r="M900" s="67"/>
      <c r="N900" s="67"/>
      <c r="O900" s="67"/>
      <c r="P900" s="18"/>
      <c r="R900" s="5"/>
      <c r="S900" s="5"/>
      <c r="Y900" s="323"/>
    </row>
    <row r="901" spans="1:25" s="7" customFormat="1" ht="15.8" customHeight="1">
      <c r="A901" s="5"/>
      <c r="B901" s="5"/>
      <c r="C901" s="5"/>
      <c r="D901" s="5"/>
      <c r="E901" s="5"/>
      <c r="F901" s="5"/>
      <c r="G901" s="5"/>
      <c r="H901" s="5"/>
      <c r="I901" s="5"/>
      <c r="J901" s="5"/>
      <c r="K901" s="67"/>
      <c r="L901" s="67"/>
      <c r="M901" s="67"/>
      <c r="N901" s="67"/>
      <c r="O901" s="67"/>
      <c r="P901" s="18"/>
      <c r="R901" s="5"/>
      <c r="S901" s="5"/>
      <c r="Y901" s="323"/>
    </row>
    <row r="902" spans="1:25" s="7" customFormat="1" ht="15.8" customHeight="1">
      <c r="A902" s="5"/>
      <c r="B902" s="5"/>
      <c r="C902" s="5"/>
      <c r="D902" s="5"/>
      <c r="E902" s="5"/>
      <c r="F902" s="5"/>
      <c r="G902" s="5"/>
      <c r="H902" s="5"/>
      <c r="I902" s="5"/>
      <c r="J902" s="5"/>
      <c r="K902" s="67"/>
      <c r="L902" s="67"/>
      <c r="M902" s="67"/>
      <c r="N902" s="67"/>
      <c r="O902" s="67"/>
      <c r="P902" s="18"/>
      <c r="R902" s="5"/>
      <c r="S902" s="5"/>
      <c r="Y902" s="323"/>
    </row>
    <row r="903" spans="1:25" s="7" customFormat="1" ht="15.8" customHeight="1">
      <c r="A903" s="5"/>
      <c r="B903" s="5"/>
      <c r="C903" s="5"/>
      <c r="D903" s="5"/>
      <c r="E903" s="5"/>
      <c r="F903" s="5"/>
      <c r="G903" s="5"/>
      <c r="H903" s="5"/>
      <c r="I903" s="5"/>
      <c r="J903" s="5"/>
      <c r="K903" s="67"/>
      <c r="L903" s="67"/>
      <c r="M903" s="67"/>
      <c r="N903" s="67"/>
      <c r="O903" s="67"/>
      <c r="P903" s="18"/>
      <c r="R903" s="5"/>
      <c r="S903" s="5"/>
      <c r="Y903" s="323"/>
    </row>
    <row r="904" spans="1:25" s="7" customFormat="1" ht="15.8" customHeight="1">
      <c r="A904" s="5"/>
      <c r="B904" s="5"/>
      <c r="C904" s="5"/>
      <c r="D904" s="5"/>
      <c r="E904" s="5"/>
      <c r="F904" s="5"/>
      <c r="G904" s="5"/>
      <c r="H904" s="5"/>
      <c r="I904" s="5"/>
      <c r="J904" s="5"/>
      <c r="K904" s="67"/>
      <c r="L904" s="67"/>
      <c r="M904" s="67"/>
      <c r="N904" s="67"/>
      <c r="O904" s="67"/>
      <c r="P904" s="18"/>
      <c r="R904" s="5"/>
      <c r="S904" s="5"/>
      <c r="Y904" s="323"/>
    </row>
    <row r="905" spans="1:25" s="7" customFormat="1" ht="15.8" customHeight="1">
      <c r="A905" s="5"/>
      <c r="B905" s="5"/>
      <c r="C905" s="5"/>
      <c r="D905" s="5"/>
      <c r="E905" s="5"/>
      <c r="F905" s="5"/>
      <c r="G905" s="5"/>
      <c r="H905" s="5"/>
      <c r="I905" s="5"/>
      <c r="J905" s="5"/>
      <c r="K905" s="67"/>
      <c r="L905" s="67"/>
      <c r="M905" s="67"/>
      <c r="N905" s="67"/>
      <c r="O905" s="67"/>
      <c r="P905" s="18"/>
      <c r="R905" s="5"/>
      <c r="S905" s="5"/>
      <c r="Y905" s="323"/>
    </row>
    <row r="906" spans="1:25" s="7" customFormat="1" ht="15.8" customHeight="1">
      <c r="A906" s="5"/>
      <c r="B906" s="5"/>
      <c r="C906" s="5"/>
      <c r="D906" s="5"/>
      <c r="E906" s="5"/>
      <c r="F906" s="5"/>
      <c r="G906" s="5"/>
      <c r="H906" s="5"/>
      <c r="I906" s="5"/>
      <c r="J906" s="5"/>
      <c r="K906" s="67"/>
      <c r="L906" s="67"/>
      <c r="M906" s="67"/>
      <c r="N906" s="67"/>
      <c r="O906" s="67"/>
      <c r="P906" s="18"/>
      <c r="R906" s="5"/>
      <c r="S906" s="5"/>
      <c r="Y906" s="323"/>
    </row>
    <row r="907" spans="1:25" s="7" customFormat="1" ht="15.8" customHeight="1">
      <c r="A907" s="5"/>
      <c r="B907" s="5"/>
      <c r="C907" s="5"/>
      <c r="D907" s="5"/>
      <c r="E907" s="5"/>
      <c r="F907" s="5"/>
      <c r="G907" s="5"/>
      <c r="H907" s="5"/>
      <c r="I907" s="5"/>
      <c r="J907" s="5"/>
      <c r="K907" s="67"/>
      <c r="L907" s="67"/>
      <c r="M907" s="67"/>
      <c r="N907" s="67"/>
      <c r="O907" s="67"/>
      <c r="P907" s="18"/>
      <c r="R907" s="5"/>
      <c r="S907" s="5"/>
      <c r="Y907" s="323"/>
    </row>
    <row r="908" spans="1:25" s="7" customFormat="1" ht="15.8" customHeight="1">
      <c r="A908" s="5"/>
      <c r="B908" s="5"/>
      <c r="C908" s="5"/>
      <c r="D908" s="5"/>
      <c r="E908" s="5"/>
      <c r="F908" s="5"/>
      <c r="G908" s="5"/>
      <c r="H908" s="5"/>
      <c r="I908" s="5"/>
      <c r="J908" s="5"/>
      <c r="K908" s="67"/>
      <c r="L908" s="67"/>
      <c r="M908" s="67"/>
      <c r="N908" s="67"/>
      <c r="O908" s="67"/>
      <c r="P908" s="18"/>
      <c r="R908" s="5"/>
      <c r="S908" s="5"/>
      <c r="Y908" s="323"/>
    </row>
    <row r="909" spans="1:25" s="7" customFormat="1" ht="15.8" customHeight="1">
      <c r="A909" s="5"/>
      <c r="B909" s="5"/>
      <c r="C909" s="5"/>
      <c r="D909" s="5"/>
      <c r="E909" s="5"/>
      <c r="F909" s="5"/>
      <c r="G909" s="5"/>
      <c r="H909" s="5"/>
      <c r="I909" s="5"/>
      <c r="J909" s="5"/>
      <c r="K909" s="67"/>
      <c r="L909" s="67"/>
      <c r="M909" s="67"/>
      <c r="N909" s="67"/>
      <c r="O909" s="67"/>
      <c r="P909" s="18"/>
      <c r="R909" s="5"/>
      <c r="S909" s="5"/>
      <c r="Y909" s="323"/>
    </row>
    <row r="910" spans="1:25" s="7" customFormat="1" ht="15.8" customHeight="1">
      <c r="A910" s="5"/>
      <c r="B910" s="5"/>
      <c r="C910" s="5"/>
      <c r="D910" s="5"/>
      <c r="E910" s="5"/>
      <c r="F910" s="5"/>
      <c r="G910" s="5"/>
      <c r="H910" s="5"/>
      <c r="I910" s="5"/>
      <c r="J910" s="5"/>
      <c r="K910" s="67"/>
      <c r="L910" s="67"/>
      <c r="M910" s="67"/>
      <c r="N910" s="67"/>
      <c r="O910" s="67"/>
      <c r="P910" s="18"/>
      <c r="R910" s="5"/>
      <c r="S910" s="5"/>
      <c r="Y910" s="323"/>
    </row>
    <row r="911" spans="1:25" s="7" customFormat="1" ht="15.8" customHeight="1">
      <c r="A911" s="5"/>
      <c r="B911" s="5"/>
      <c r="C911" s="5"/>
      <c r="D911" s="5"/>
      <c r="E911" s="5"/>
      <c r="F911" s="5"/>
      <c r="G911" s="5"/>
      <c r="H911" s="5"/>
      <c r="I911" s="5"/>
      <c r="J911" s="5"/>
      <c r="K911" s="67"/>
      <c r="L911" s="67"/>
      <c r="M911" s="67"/>
      <c r="N911" s="67"/>
      <c r="O911" s="67"/>
      <c r="P911" s="18"/>
      <c r="R911" s="5"/>
      <c r="S911" s="5"/>
      <c r="Y911" s="323"/>
    </row>
    <row r="912" spans="1:25" s="7" customFormat="1" ht="15.8" customHeight="1">
      <c r="A912" s="5"/>
      <c r="B912" s="5"/>
      <c r="C912" s="5"/>
      <c r="D912" s="5"/>
      <c r="E912" s="5"/>
      <c r="F912" s="5"/>
      <c r="G912" s="5"/>
      <c r="H912" s="5"/>
      <c r="I912" s="5"/>
      <c r="J912" s="5"/>
      <c r="K912" s="67"/>
      <c r="L912" s="67"/>
      <c r="M912" s="67"/>
      <c r="N912" s="67"/>
      <c r="O912" s="67"/>
      <c r="P912" s="18"/>
      <c r="R912" s="5"/>
      <c r="S912" s="5"/>
      <c r="Y912" s="323"/>
    </row>
    <row r="913" spans="1:25" s="7" customFormat="1" ht="15.8" customHeight="1">
      <c r="A913" s="5"/>
      <c r="B913" s="5"/>
      <c r="C913" s="5"/>
      <c r="D913" s="5"/>
      <c r="E913" s="5"/>
      <c r="F913" s="5"/>
      <c r="G913" s="5"/>
      <c r="H913" s="5"/>
      <c r="I913" s="5"/>
      <c r="J913" s="5"/>
      <c r="K913" s="67"/>
      <c r="L913" s="67"/>
      <c r="M913" s="67"/>
      <c r="N913" s="67"/>
      <c r="O913" s="67"/>
      <c r="P913" s="18"/>
      <c r="R913" s="5"/>
      <c r="S913" s="5"/>
      <c r="Y913" s="323"/>
    </row>
    <row r="914" spans="1:25" s="7" customFormat="1" ht="15.8" customHeight="1">
      <c r="A914" s="5"/>
      <c r="B914" s="5"/>
      <c r="C914" s="5"/>
      <c r="D914" s="5"/>
      <c r="E914" s="5"/>
      <c r="F914" s="5"/>
      <c r="G914" s="5"/>
      <c r="H914" s="5"/>
      <c r="I914" s="5"/>
      <c r="J914" s="5"/>
      <c r="K914" s="67"/>
      <c r="L914" s="67"/>
      <c r="M914" s="67"/>
      <c r="N914" s="67"/>
      <c r="O914" s="67"/>
      <c r="P914" s="18"/>
      <c r="R914" s="5"/>
      <c r="S914" s="5"/>
      <c r="Y914" s="323"/>
    </row>
    <row r="915" spans="1:25" s="7" customFormat="1" ht="15.8" customHeight="1">
      <c r="A915" s="5"/>
      <c r="B915" s="5"/>
      <c r="C915" s="5"/>
      <c r="D915" s="5"/>
      <c r="E915" s="5"/>
      <c r="F915" s="5"/>
      <c r="G915" s="5"/>
      <c r="H915" s="5"/>
      <c r="I915" s="5"/>
      <c r="J915" s="5"/>
      <c r="K915" s="67"/>
      <c r="L915" s="67"/>
      <c r="M915" s="67"/>
      <c r="N915" s="67"/>
      <c r="O915" s="67"/>
      <c r="P915" s="18"/>
      <c r="R915" s="5"/>
      <c r="S915" s="5"/>
      <c r="Y915" s="323"/>
    </row>
    <row r="916" spans="1:25" s="7" customFormat="1" ht="15.8" customHeight="1">
      <c r="A916" s="5"/>
      <c r="B916" s="5"/>
      <c r="C916" s="5"/>
      <c r="D916" s="5"/>
      <c r="E916" s="5"/>
      <c r="F916" s="5"/>
      <c r="G916" s="5"/>
      <c r="H916" s="5"/>
      <c r="I916" s="5"/>
      <c r="J916" s="5"/>
      <c r="K916" s="67"/>
      <c r="L916" s="67"/>
      <c r="M916" s="67"/>
      <c r="N916" s="67"/>
      <c r="O916" s="67"/>
      <c r="P916" s="18"/>
      <c r="R916" s="5"/>
      <c r="S916" s="5"/>
      <c r="Y916" s="323"/>
    </row>
    <row r="917" spans="1:25" s="7" customFormat="1" ht="15.8" customHeight="1">
      <c r="A917" s="5"/>
      <c r="B917" s="5"/>
      <c r="C917" s="5"/>
      <c r="D917" s="5"/>
      <c r="E917" s="5"/>
      <c r="F917" s="5"/>
      <c r="G917" s="5"/>
      <c r="H917" s="5"/>
      <c r="I917" s="5"/>
      <c r="J917" s="5"/>
      <c r="K917" s="67"/>
      <c r="L917" s="67"/>
      <c r="M917" s="67"/>
      <c r="N917" s="67"/>
      <c r="O917" s="67"/>
      <c r="P917" s="18"/>
      <c r="R917" s="5"/>
      <c r="S917" s="5"/>
      <c r="Y917" s="323"/>
    </row>
    <row r="918" spans="1:25" s="7" customFormat="1" ht="15.8" customHeight="1">
      <c r="A918" s="5"/>
      <c r="B918" s="5"/>
      <c r="C918" s="5"/>
      <c r="D918" s="5"/>
      <c r="E918" s="5"/>
      <c r="F918" s="5"/>
      <c r="G918" s="5"/>
      <c r="H918" s="5"/>
      <c r="I918" s="5"/>
      <c r="J918" s="5"/>
      <c r="K918" s="67"/>
      <c r="L918" s="67"/>
      <c r="M918" s="67"/>
      <c r="N918" s="67"/>
      <c r="O918" s="67"/>
      <c r="P918" s="18"/>
      <c r="R918" s="5"/>
      <c r="S918" s="5"/>
      <c r="Y918" s="323"/>
    </row>
    <row r="919" spans="1:25" s="7" customFormat="1" ht="15.8" customHeight="1">
      <c r="A919" s="5"/>
      <c r="B919" s="5"/>
      <c r="C919" s="5"/>
      <c r="D919" s="5"/>
      <c r="E919" s="5"/>
      <c r="F919" s="5"/>
      <c r="G919" s="5"/>
      <c r="H919" s="5"/>
      <c r="I919" s="5"/>
      <c r="J919" s="5"/>
      <c r="K919" s="67"/>
      <c r="L919" s="67"/>
      <c r="M919" s="67"/>
      <c r="N919" s="67"/>
      <c r="O919" s="67"/>
      <c r="P919" s="18"/>
      <c r="R919" s="5"/>
      <c r="S919" s="5"/>
      <c r="Y919" s="323"/>
    </row>
    <row r="920" spans="1:25" s="7" customFormat="1" ht="15.8" customHeight="1">
      <c r="A920" s="5"/>
      <c r="B920" s="5"/>
      <c r="C920" s="5"/>
      <c r="D920" s="5"/>
      <c r="E920" s="5"/>
      <c r="F920" s="5"/>
      <c r="G920" s="5"/>
      <c r="H920" s="5"/>
      <c r="I920" s="5"/>
      <c r="J920" s="5"/>
      <c r="K920" s="67"/>
      <c r="L920" s="67"/>
      <c r="M920" s="67"/>
      <c r="N920" s="67"/>
      <c r="O920" s="67"/>
      <c r="P920" s="18"/>
      <c r="R920" s="5"/>
      <c r="S920" s="5"/>
      <c r="Y920" s="323"/>
    </row>
    <row r="921" spans="1:25" s="7" customFormat="1" ht="15.8" customHeight="1">
      <c r="A921" s="5"/>
      <c r="B921" s="5"/>
      <c r="C921" s="5"/>
      <c r="D921" s="5"/>
      <c r="E921" s="5"/>
      <c r="F921" s="5"/>
      <c r="G921" s="5"/>
      <c r="H921" s="5"/>
      <c r="I921" s="5"/>
      <c r="J921" s="5"/>
      <c r="K921" s="67"/>
      <c r="L921" s="67"/>
      <c r="M921" s="67"/>
      <c r="N921" s="67"/>
      <c r="O921" s="67"/>
      <c r="P921" s="18"/>
      <c r="R921" s="5"/>
      <c r="S921" s="5"/>
      <c r="Y921" s="323"/>
    </row>
    <row r="922" spans="1:25" s="7" customFormat="1" ht="15.8" customHeight="1">
      <c r="A922" s="5"/>
      <c r="B922" s="5"/>
      <c r="C922" s="5"/>
      <c r="D922" s="5"/>
      <c r="E922" s="5"/>
      <c r="F922" s="5"/>
      <c r="G922" s="5"/>
      <c r="H922" s="5"/>
      <c r="I922" s="5"/>
      <c r="J922" s="5"/>
      <c r="K922" s="67"/>
      <c r="L922" s="67"/>
      <c r="M922" s="67"/>
      <c r="N922" s="67"/>
      <c r="O922" s="67"/>
      <c r="P922" s="18"/>
      <c r="R922" s="5"/>
      <c r="S922" s="5"/>
      <c r="Y922" s="323"/>
    </row>
    <row r="923" spans="1:25" s="7" customFormat="1" ht="15.8" customHeight="1">
      <c r="A923" s="5"/>
      <c r="B923" s="5"/>
      <c r="C923" s="5"/>
      <c r="D923" s="5"/>
      <c r="E923" s="5"/>
      <c r="F923" s="5"/>
      <c r="G923" s="5"/>
      <c r="H923" s="5"/>
      <c r="I923" s="5"/>
      <c r="J923" s="5"/>
      <c r="K923" s="67"/>
      <c r="L923" s="67"/>
      <c r="M923" s="67"/>
      <c r="N923" s="67"/>
      <c r="O923" s="67"/>
      <c r="P923" s="18"/>
      <c r="R923" s="5"/>
      <c r="S923" s="5"/>
      <c r="Y923" s="323"/>
    </row>
    <row r="924" spans="1:25" s="7" customFormat="1" ht="15.8" customHeight="1">
      <c r="A924" s="5"/>
      <c r="B924" s="5"/>
      <c r="C924" s="5"/>
      <c r="D924" s="5"/>
      <c r="E924" s="5"/>
      <c r="F924" s="5"/>
      <c r="G924" s="5"/>
      <c r="H924" s="5"/>
      <c r="I924" s="5"/>
      <c r="J924" s="5"/>
      <c r="K924" s="67"/>
      <c r="L924" s="67"/>
      <c r="M924" s="67"/>
      <c r="N924" s="67"/>
      <c r="O924" s="67"/>
      <c r="P924" s="18"/>
      <c r="R924" s="5"/>
      <c r="S924" s="5"/>
      <c r="Y924" s="323"/>
    </row>
    <row r="925" spans="1:25" s="7" customFormat="1" ht="15.8" customHeight="1">
      <c r="A925" s="5"/>
      <c r="B925" s="5"/>
      <c r="C925" s="5"/>
      <c r="D925" s="5"/>
      <c r="E925" s="5"/>
      <c r="F925" s="5"/>
      <c r="G925" s="5"/>
      <c r="H925" s="5"/>
      <c r="I925" s="5"/>
      <c r="J925" s="5"/>
      <c r="K925" s="67"/>
      <c r="L925" s="67"/>
      <c r="M925" s="67"/>
      <c r="N925" s="67"/>
      <c r="O925" s="67"/>
      <c r="P925" s="18"/>
      <c r="R925" s="5"/>
      <c r="S925" s="5"/>
      <c r="Y925" s="323"/>
    </row>
    <row r="926" spans="1:25" s="7" customFormat="1" ht="15.8" customHeight="1">
      <c r="A926" s="5"/>
      <c r="B926" s="5"/>
      <c r="C926" s="5"/>
      <c r="D926" s="5"/>
      <c r="E926" s="5"/>
      <c r="F926" s="5"/>
      <c r="G926" s="5"/>
      <c r="H926" s="5"/>
      <c r="I926" s="5"/>
      <c r="J926" s="5"/>
      <c r="K926" s="67"/>
      <c r="L926" s="67"/>
      <c r="M926" s="67"/>
      <c r="N926" s="67"/>
      <c r="O926" s="67"/>
      <c r="P926" s="18"/>
      <c r="R926" s="5"/>
      <c r="S926" s="5"/>
      <c r="Y926" s="323"/>
    </row>
    <row r="927" spans="1:25" s="7" customFormat="1" ht="15.8" customHeight="1">
      <c r="A927" s="5"/>
      <c r="B927" s="5"/>
      <c r="C927" s="5"/>
      <c r="D927" s="5"/>
      <c r="E927" s="5"/>
      <c r="F927" s="5"/>
      <c r="G927" s="5"/>
      <c r="H927" s="5"/>
      <c r="I927" s="5"/>
      <c r="J927" s="5"/>
      <c r="K927" s="67"/>
      <c r="L927" s="67"/>
      <c r="M927" s="67"/>
      <c r="N927" s="67"/>
      <c r="O927" s="67"/>
      <c r="P927" s="18"/>
      <c r="R927" s="5"/>
      <c r="S927" s="5"/>
      <c r="Y927" s="323"/>
    </row>
    <row r="928" spans="1:25" s="7" customFormat="1" ht="15.8" customHeight="1">
      <c r="A928" s="5"/>
      <c r="B928" s="5"/>
      <c r="C928" s="5"/>
      <c r="D928" s="5"/>
      <c r="E928" s="5"/>
      <c r="F928" s="5"/>
      <c r="G928" s="5"/>
      <c r="H928" s="5"/>
      <c r="I928" s="5"/>
      <c r="J928" s="5"/>
      <c r="K928" s="67"/>
      <c r="L928" s="67"/>
      <c r="M928" s="67"/>
      <c r="N928" s="67"/>
      <c r="O928" s="67"/>
      <c r="P928" s="18"/>
      <c r="R928" s="5"/>
      <c r="S928" s="5"/>
      <c r="Y928" s="323"/>
    </row>
    <row r="929" spans="1:25" s="7" customFormat="1" ht="15.8" customHeight="1">
      <c r="A929" s="5"/>
      <c r="B929" s="5"/>
      <c r="C929" s="5"/>
      <c r="D929" s="5"/>
      <c r="E929" s="5"/>
      <c r="F929" s="5"/>
      <c r="G929" s="5"/>
      <c r="H929" s="5"/>
      <c r="I929" s="5"/>
      <c r="J929" s="5"/>
      <c r="K929" s="67"/>
      <c r="L929" s="67"/>
      <c r="M929" s="67"/>
      <c r="N929" s="67"/>
      <c r="O929" s="67"/>
      <c r="P929" s="18"/>
      <c r="R929" s="5"/>
      <c r="S929" s="5"/>
      <c r="Y929" s="323"/>
    </row>
    <row r="930" spans="1:25" s="7" customFormat="1" ht="15.8" customHeight="1">
      <c r="A930" s="5"/>
      <c r="B930" s="5"/>
      <c r="C930" s="5"/>
      <c r="D930" s="5"/>
      <c r="E930" s="5"/>
      <c r="F930" s="5"/>
      <c r="G930" s="5"/>
      <c r="H930" s="5"/>
      <c r="I930" s="5"/>
      <c r="J930" s="5"/>
      <c r="K930" s="67"/>
      <c r="L930" s="67"/>
      <c r="M930" s="67"/>
      <c r="N930" s="67"/>
      <c r="O930" s="67"/>
      <c r="P930" s="18"/>
      <c r="R930" s="5"/>
      <c r="S930" s="5"/>
      <c r="Y930" s="323"/>
    </row>
    <row r="931" spans="1:25" s="7" customFormat="1" ht="15.8" customHeight="1">
      <c r="A931" s="5"/>
      <c r="B931" s="5"/>
      <c r="C931" s="5"/>
      <c r="D931" s="5"/>
      <c r="E931" s="5"/>
      <c r="F931" s="5"/>
      <c r="G931" s="5"/>
      <c r="H931" s="5"/>
      <c r="I931" s="5"/>
      <c r="J931" s="5"/>
      <c r="K931" s="67"/>
      <c r="L931" s="67"/>
      <c r="M931" s="67"/>
      <c r="N931" s="67"/>
      <c r="O931" s="67"/>
      <c r="P931" s="18"/>
      <c r="R931" s="5"/>
      <c r="S931" s="5"/>
      <c r="Y931" s="323"/>
    </row>
    <row r="932" spans="1:25" s="7" customFormat="1" ht="15.8" customHeight="1">
      <c r="A932" s="5"/>
      <c r="B932" s="5"/>
      <c r="C932" s="5"/>
      <c r="D932" s="5"/>
      <c r="E932" s="5"/>
      <c r="F932" s="5"/>
      <c r="G932" s="5"/>
      <c r="H932" s="5"/>
      <c r="I932" s="5"/>
      <c r="J932" s="5"/>
      <c r="K932" s="67"/>
      <c r="L932" s="67"/>
      <c r="M932" s="67"/>
      <c r="N932" s="67"/>
      <c r="O932" s="67"/>
      <c r="P932" s="18"/>
      <c r="R932" s="5"/>
      <c r="S932" s="5"/>
      <c r="Y932" s="323"/>
    </row>
    <row r="933" spans="1:25" s="7" customFormat="1" ht="15.8" customHeight="1">
      <c r="A933" s="5"/>
      <c r="B933" s="5"/>
      <c r="C933" s="5"/>
      <c r="D933" s="5"/>
      <c r="E933" s="5"/>
      <c r="F933" s="5"/>
      <c r="G933" s="5"/>
      <c r="H933" s="5"/>
      <c r="I933" s="5"/>
      <c r="J933" s="5"/>
      <c r="K933" s="67"/>
      <c r="L933" s="67"/>
      <c r="M933" s="67"/>
      <c r="N933" s="67"/>
      <c r="O933" s="67"/>
      <c r="P933" s="18"/>
      <c r="R933" s="5"/>
      <c r="S933" s="5"/>
      <c r="Y933" s="323"/>
    </row>
    <row r="934" spans="1:25" s="7" customFormat="1" ht="15.8" customHeight="1">
      <c r="A934" s="5"/>
      <c r="B934" s="5"/>
      <c r="C934" s="5"/>
      <c r="D934" s="5"/>
      <c r="E934" s="5"/>
      <c r="F934" s="5"/>
      <c r="G934" s="5"/>
      <c r="H934" s="5"/>
      <c r="I934" s="5"/>
      <c r="J934" s="5"/>
      <c r="K934" s="67"/>
      <c r="L934" s="67"/>
      <c r="M934" s="67"/>
      <c r="N934" s="67"/>
      <c r="O934" s="67"/>
      <c r="P934" s="18"/>
      <c r="R934" s="5"/>
      <c r="S934" s="5"/>
      <c r="Y934" s="323"/>
    </row>
    <row r="935" spans="1:25" s="7" customFormat="1" ht="15.8" customHeight="1">
      <c r="A935" s="5"/>
      <c r="B935" s="5"/>
      <c r="C935" s="5"/>
      <c r="D935" s="5"/>
      <c r="E935" s="5"/>
      <c r="F935" s="5"/>
      <c r="G935" s="5"/>
      <c r="H935" s="5"/>
      <c r="I935" s="5"/>
      <c r="J935" s="5"/>
      <c r="K935" s="67"/>
      <c r="L935" s="67"/>
      <c r="M935" s="67"/>
      <c r="N935" s="67"/>
      <c r="O935" s="67"/>
      <c r="P935" s="18"/>
      <c r="R935" s="5"/>
      <c r="S935" s="5"/>
      <c r="Y935" s="323"/>
    </row>
    <row r="936" spans="1:25" s="7" customFormat="1" ht="15.8" customHeight="1">
      <c r="A936" s="5"/>
      <c r="B936" s="5"/>
      <c r="C936" s="5"/>
      <c r="D936" s="5"/>
      <c r="E936" s="5"/>
      <c r="F936" s="5"/>
      <c r="G936" s="5"/>
      <c r="H936" s="5"/>
      <c r="I936" s="5"/>
      <c r="J936" s="5"/>
      <c r="K936" s="67"/>
      <c r="L936" s="67"/>
      <c r="M936" s="67"/>
      <c r="N936" s="67"/>
      <c r="O936" s="67"/>
      <c r="P936" s="18"/>
      <c r="R936" s="5"/>
      <c r="S936" s="5"/>
      <c r="Y936" s="323"/>
    </row>
    <row r="937" spans="1:25" s="7" customFormat="1" ht="15.8" customHeight="1">
      <c r="A937" s="5"/>
      <c r="B937" s="5"/>
      <c r="C937" s="5"/>
      <c r="D937" s="5"/>
      <c r="E937" s="5"/>
      <c r="F937" s="5"/>
      <c r="G937" s="5"/>
      <c r="H937" s="5"/>
      <c r="I937" s="5"/>
      <c r="J937" s="5"/>
      <c r="K937" s="67"/>
      <c r="L937" s="67"/>
      <c r="M937" s="67"/>
      <c r="N937" s="67"/>
      <c r="O937" s="67"/>
      <c r="P937" s="18"/>
      <c r="R937" s="5"/>
      <c r="S937" s="5"/>
      <c r="Y937" s="323"/>
    </row>
    <row r="938" spans="1:25" s="7" customFormat="1" ht="15.8" customHeight="1">
      <c r="A938" s="5"/>
      <c r="B938" s="5"/>
      <c r="C938" s="5"/>
      <c r="D938" s="5"/>
      <c r="E938" s="5"/>
      <c r="F938" s="5"/>
      <c r="G938" s="5"/>
      <c r="H938" s="5"/>
      <c r="I938" s="5"/>
      <c r="J938" s="5"/>
      <c r="K938" s="67"/>
      <c r="L938" s="67"/>
      <c r="M938" s="67"/>
      <c r="N938" s="67"/>
      <c r="O938" s="67"/>
      <c r="P938" s="18"/>
      <c r="R938" s="5"/>
      <c r="S938" s="5"/>
      <c r="Y938" s="323"/>
    </row>
    <row r="939" spans="1:25" s="7" customFormat="1" ht="15.8" customHeight="1">
      <c r="A939" s="5"/>
      <c r="B939" s="5"/>
      <c r="C939" s="5"/>
      <c r="D939" s="5"/>
      <c r="E939" s="5"/>
      <c r="F939" s="5"/>
      <c r="G939" s="5"/>
      <c r="H939" s="5"/>
      <c r="I939" s="5"/>
      <c r="J939" s="5"/>
      <c r="K939" s="67"/>
      <c r="L939" s="67"/>
      <c r="M939" s="67"/>
      <c r="N939" s="67"/>
      <c r="O939" s="67"/>
      <c r="P939" s="18"/>
      <c r="R939" s="5"/>
      <c r="S939" s="5"/>
      <c r="Y939" s="323"/>
    </row>
    <row r="940" spans="1:25" s="7" customFormat="1" ht="15.8" customHeight="1">
      <c r="A940" s="5"/>
      <c r="B940" s="5"/>
      <c r="C940" s="5"/>
      <c r="D940" s="5"/>
      <c r="E940" s="5"/>
      <c r="F940" s="5"/>
      <c r="G940" s="5"/>
      <c r="H940" s="5"/>
      <c r="I940" s="5"/>
      <c r="J940" s="5"/>
      <c r="K940" s="67"/>
      <c r="L940" s="67"/>
      <c r="M940" s="67"/>
      <c r="N940" s="67"/>
      <c r="O940" s="67"/>
      <c r="P940" s="18"/>
      <c r="R940" s="5"/>
      <c r="S940" s="5"/>
      <c r="Y940" s="323"/>
    </row>
    <row r="941" spans="1:25" s="7" customFormat="1" ht="15.8" customHeight="1">
      <c r="A941" s="5"/>
      <c r="B941" s="5"/>
      <c r="C941" s="5"/>
      <c r="D941" s="5"/>
      <c r="E941" s="5"/>
      <c r="F941" s="5"/>
      <c r="G941" s="5"/>
      <c r="H941" s="5"/>
      <c r="I941" s="5"/>
      <c r="J941" s="5"/>
      <c r="K941" s="67"/>
      <c r="L941" s="67"/>
      <c r="M941" s="67"/>
      <c r="N941" s="67"/>
      <c r="O941" s="67"/>
      <c r="P941" s="18"/>
      <c r="R941" s="5"/>
      <c r="S941" s="5"/>
      <c r="Y941" s="323"/>
    </row>
    <row r="942" spans="1:25" s="7" customFormat="1" ht="15.8" customHeight="1">
      <c r="A942" s="5"/>
      <c r="B942" s="5"/>
      <c r="C942" s="5"/>
      <c r="D942" s="5"/>
      <c r="E942" s="5"/>
      <c r="F942" s="5"/>
      <c r="G942" s="5"/>
      <c r="H942" s="5"/>
      <c r="I942" s="5"/>
      <c r="J942" s="5"/>
      <c r="K942" s="67"/>
      <c r="L942" s="67"/>
      <c r="M942" s="67"/>
      <c r="N942" s="67"/>
      <c r="O942" s="67"/>
      <c r="P942" s="18"/>
      <c r="R942" s="5"/>
      <c r="S942" s="5"/>
      <c r="Y942" s="323"/>
    </row>
    <row r="943" spans="1:25" s="7" customFormat="1" ht="15.8" customHeight="1">
      <c r="A943" s="5"/>
      <c r="B943" s="5"/>
      <c r="C943" s="5"/>
      <c r="D943" s="5"/>
      <c r="E943" s="5"/>
      <c r="F943" s="5"/>
      <c r="G943" s="5"/>
      <c r="H943" s="5"/>
      <c r="I943" s="5"/>
      <c r="J943" s="5"/>
      <c r="K943" s="67"/>
      <c r="L943" s="67"/>
      <c r="M943" s="67"/>
      <c r="N943" s="67"/>
      <c r="O943" s="67"/>
      <c r="P943" s="18"/>
      <c r="R943" s="5"/>
      <c r="S943" s="5"/>
      <c r="Y943" s="323"/>
    </row>
    <row r="944" spans="1:25" s="7" customFormat="1" ht="15.8" customHeight="1">
      <c r="A944" s="5"/>
      <c r="B944" s="5"/>
      <c r="C944" s="5"/>
      <c r="D944" s="5"/>
      <c r="E944" s="5"/>
      <c r="F944" s="5"/>
      <c r="G944" s="5"/>
      <c r="H944" s="5"/>
      <c r="I944" s="5"/>
      <c r="J944" s="5"/>
      <c r="K944" s="67"/>
      <c r="L944" s="67"/>
      <c r="M944" s="67"/>
      <c r="N944" s="67"/>
      <c r="O944" s="67"/>
      <c r="P944" s="18"/>
      <c r="R944" s="5"/>
      <c r="S944" s="5"/>
      <c r="Y944" s="323"/>
    </row>
    <row r="945" spans="1:25" s="7" customFormat="1" ht="15.8" customHeight="1">
      <c r="A945" s="5"/>
      <c r="B945" s="5"/>
      <c r="C945" s="5"/>
      <c r="D945" s="5"/>
      <c r="E945" s="5"/>
      <c r="F945" s="5"/>
      <c r="G945" s="5"/>
      <c r="H945" s="5"/>
      <c r="I945" s="5"/>
      <c r="J945" s="5"/>
      <c r="K945" s="67"/>
      <c r="L945" s="67"/>
      <c r="M945" s="67"/>
      <c r="N945" s="67"/>
      <c r="O945" s="67"/>
      <c r="P945" s="18"/>
      <c r="R945" s="5"/>
      <c r="S945" s="5"/>
      <c r="Y945" s="323"/>
    </row>
    <row r="946" spans="1:25" s="7" customFormat="1" ht="15.8" customHeight="1">
      <c r="A946" s="5"/>
      <c r="B946" s="5"/>
      <c r="C946" s="5"/>
      <c r="D946" s="5"/>
      <c r="E946" s="5"/>
      <c r="F946" s="5"/>
      <c r="G946" s="5"/>
      <c r="H946" s="5"/>
      <c r="I946" s="5"/>
      <c r="J946" s="5"/>
      <c r="K946" s="67"/>
      <c r="L946" s="67"/>
      <c r="M946" s="67"/>
      <c r="N946" s="67"/>
      <c r="O946" s="67"/>
      <c r="P946" s="18"/>
      <c r="R946" s="5"/>
      <c r="S946" s="5"/>
      <c r="Y946" s="323"/>
    </row>
    <row r="947" spans="1:25" s="7" customFormat="1" ht="15.8" customHeight="1">
      <c r="A947" s="5"/>
      <c r="B947" s="5"/>
      <c r="C947" s="5"/>
      <c r="D947" s="5"/>
      <c r="E947" s="5"/>
      <c r="F947" s="5"/>
      <c r="G947" s="5"/>
      <c r="H947" s="5"/>
      <c r="I947" s="5"/>
      <c r="J947" s="5"/>
      <c r="K947" s="67"/>
      <c r="L947" s="67"/>
      <c r="M947" s="67"/>
      <c r="N947" s="67"/>
      <c r="O947" s="67"/>
      <c r="P947" s="18"/>
      <c r="R947" s="5"/>
      <c r="S947" s="5"/>
      <c r="Y947" s="323"/>
    </row>
    <row r="948" spans="1:25" s="7" customFormat="1" ht="15.8" customHeight="1">
      <c r="A948" s="5"/>
      <c r="B948" s="5"/>
      <c r="C948" s="5"/>
      <c r="D948" s="5"/>
      <c r="E948" s="5"/>
      <c r="F948" s="5"/>
      <c r="G948" s="5"/>
      <c r="H948" s="5"/>
      <c r="I948" s="5"/>
      <c r="J948" s="5"/>
      <c r="K948" s="67"/>
      <c r="L948" s="67"/>
      <c r="M948" s="67"/>
      <c r="N948" s="67"/>
      <c r="O948" s="67"/>
      <c r="P948" s="18"/>
      <c r="R948" s="5"/>
      <c r="S948" s="5"/>
      <c r="Y948" s="323"/>
    </row>
    <row r="949" spans="1:25" s="7" customFormat="1" ht="15.8" customHeight="1">
      <c r="A949" s="5"/>
      <c r="B949" s="5"/>
      <c r="C949" s="5"/>
      <c r="D949" s="5"/>
      <c r="E949" s="5"/>
      <c r="F949" s="5"/>
      <c r="G949" s="5"/>
      <c r="H949" s="5"/>
      <c r="I949" s="5"/>
      <c r="J949" s="5"/>
      <c r="K949" s="67"/>
      <c r="L949" s="67"/>
      <c r="M949" s="67"/>
      <c r="N949" s="67"/>
      <c r="O949" s="67"/>
      <c r="P949" s="18"/>
      <c r="R949" s="5"/>
      <c r="S949" s="5"/>
      <c r="Y949" s="323"/>
    </row>
    <row r="950" spans="1:25" s="7" customFormat="1" ht="15.8" customHeight="1">
      <c r="A950" s="5"/>
      <c r="B950" s="5"/>
      <c r="C950" s="5"/>
      <c r="D950" s="5"/>
      <c r="E950" s="5"/>
      <c r="F950" s="5"/>
      <c r="G950" s="5"/>
      <c r="H950" s="5"/>
      <c r="I950" s="5"/>
      <c r="J950" s="5"/>
      <c r="K950" s="67"/>
      <c r="L950" s="67"/>
      <c r="M950" s="67"/>
      <c r="N950" s="67"/>
      <c r="O950" s="67"/>
      <c r="P950" s="18"/>
      <c r="R950" s="5"/>
      <c r="S950" s="5"/>
      <c r="Y950" s="323"/>
    </row>
    <row r="951" spans="1:25" s="7" customFormat="1" ht="15.8" customHeight="1">
      <c r="A951" s="5"/>
      <c r="B951" s="5"/>
      <c r="C951" s="5"/>
      <c r="D951" s="5"/>
      <c r="E951" s="5"/>
      <c r="F951" s="5"/>
      <c r="G951" s="5"/>
      <c r="H951" s="5"/>
      <c r="I951" s="5"/>
      <c r="J951" s="5"/>
      <c r="K951" s="67"/>
      <c r="L951" s="67"/>
      <c r="M951" s="67"/>
      <c r="N951" s="67"/>
      <c r="O951" s="67"/>
      <c r="P951" s="18"/>
      <c r="R951" s="5"/>
      <c r="S951" s="5"/>
      <c r="Y951" s="323"/>
    </row>
    <row r="952" spans="1:25" s="7" customFormat="1" ht="15.8" customHeight="1">
      <c r="A952" s="5"/>
      <c r="B952" s="5"/>
      <c r="C952" s="5"/>
      <c r="D952" s="5"/>
      <c r="E952" s="5"/>
      <c r="F952" s="5"/>
      <c r="G952" s="5"/>
      <c r="H952" s="5"/>
      <c r="I952" s="5"/>
      <c r="J952" s="5"/>
      <c r="K952" s="67"/>
      <c r="L952" s="67"/>
      <c r="M952" s="67"/>
      <c r="N952" s="67"/>
      <c r="O952" s="67"/>
      <c r="P952" s="18"/>
      <c r="R952" s="5"/>
      <c r="S952" s="5"/>
      <c r="Y952" s="323"/>
    </row>
    <row r="953" spans="1:25" s="7" customFormat="1" ht="15.8" customHeight="1">
      <c r="A953" s="5"/>
      <c r="B953" s="5"/>
      <c r="C953" s="5"/>
      <c r="D953" s="5"/>
      <c r="E953" s="5"/>
      <c r="F953" s="5"/>
      <c r="G953" s="5"/>
      <c r="H953" s="5"/>
      <c r="I953" s="5"/>
      <c r="J953" s="5"/>
      <c r="K953" s="67"/>
      <c r="L953" s="67"/>
      <c r="M953" s="67"/>
      <c r="N953" s="67"/>
      <c r="O953" s="67"/>
      <c r="P953" s="18"/>
      <c r="R953" s="5"/>
      <c r="S953" s="5"/>
      <c r="Y953" s="323"/>
    </row>
    <row r="954" spans="1:25" s="7" customFormat="1" ht="15.8" customHeight="1">
      <c r="A954" s="5"/>
      <c r="B954" s="5"/>
      <c r="C954" s="5"/>
      <c r="D954" s="5"/>
      <c r="E954" s="5"/>
      <c r="F954" s="5"/>
      <c r="G954" s="5"/>
      <c r="H954" s="5"/>
      <c r="I954" s="5"/>
      <c r="J954" s="5"/>
      <c r="K954" s="67"/>
      <c r="L954" s="67"/>
      <c r="M954" s="67"/>
      <c r="N954" s="67"/>
      <c r="O954" s="67"/>
      <c r="P954" s="18"/>
      <c r="R954" s="5"/>
      <c r="S954" s="5"/>
      <c r="Y954" s="323"/>
    </row>
    <row r="955" spans="1:25" s="7" customFormat="1" ht="15.8" customHeight="1">
      <c r="A955" s="5"/>
      <c r="B955" s="5"/>
      <c r="C955" s="5"/>
      <c r="D955" s="5"/>
      <c r="E955" s="5"/>
      <c r="F955" s="5"/>
      <c r="G955" s="5"/>
      <c r="H955" s="5"/>
      <c r="I955" s="5"/>
      <c r="J955" s="5"/>
      <c r="K955" s="69"/>
      <c r="L955" s="69"/>
      <c r="M955" s="69"/>
      <c r="N955" s="69"/>
      <c r="O955" s="69"/>
      <c r="P955" s="153"/>
      <c r="R955" s="5"/>
      <c r="S955" s="5"/>
      <c r="Y955" s="323"/>
    </row>
    <row r="956" spans="1:25" s="7" customFormat="1" ht="15.8" customHeight="1">
      <c r="A956" s="5"/>
      <c r="B956" s="5"/>
      <c r="C956" s="5"/>
      <c r="D956" s="5"/>
      <c r="E956" s="5"/>
      <c r="F956" s="5"/>
      <c r="G956" s="5"/>
      <c r="H956" s="5"/>
      <c r="I956" s="5"/>
      <c r="J956" s="5"/>
      <c r="K956" s="69"/>
      <c r="L956" s="69"/>
      <c r="M956" s="69"/>
      <c r="N956" s="69"/>
      <c r="O956" s="69"/>
      <c r="P956" s="153"/>
      <c r="R956" s="5"/>
      <c r="S956" s="5"/>
      <c r="Y956" s="323"/>
    </row>
    <row r="957" spans="1:25" s="7" customFormat="1" ht="15.8" customHeight="1">
      <c r="A957" s="5"/>
      <c r="B957" s="5"/>
      <c r="C957" s="5"/>
      <c r="D957" s="5"/>
      <c r="E957" s="5"/>
      <c r="F957" s="5"/>
      <c r="G957" s="5"/>
      <c r="H957" s="5"/>
      <c r="I957" s="5"/>
      <c r="J957" s="5"/>
      <c r="K957" s="69"/>
      <c r="L957" s="69"/>
      <c r="M957" s="69"/>
      <c r="N957" s="69"/>
      <c r="O957" s="69"/>
      <c r="P957" s="153"/>
      <c r="R957" s="5"/>
      <c r="S957" s="5"/>
      <c r="Y957" s="323"/>
    </row>
    <row r="958" spans="1:25" s="7" customFormat="1" ht="15.8" customHeight="1">
      <c r="A958" s="5"/>
      <c r="B958" s="5"/>
      <c r="C958" s="5"/>
      <c r="D958" s="5"/>
      <c r="E958" s="5"/>
      <c r="F958" s="5"/>
      <c r="G958" s="5"/>
      <c r="H958" s="5"/>
      <c r="I958" s="5"/>
      <c r="J958" s="5"/>
      <c r="K958" s="69"/>
      <c r="L958" s="69"/>
      <c r="M958" s="69"/>
      <c r="N958" s="69"/>
      <c r="O958" s="69"/>
      <c r="P958" s="153"/>
      <c r="R958" s="5"/>
      <c r="S958" s="5"/>
      <c r="Y958" s="323"/>
    </row>
    <row r="959" spans="1:25" s="7" customFormat="1" ht="15.8" customHeight="1">
      <c r="A959" s="5"/>
      <c r="B959" s="5"/>
      <c r="C959" s="5"/>
      <c r="D959" s="5"/>
      <c r="E959" s="5"/>
      <c r="F959" s="5"/>
      <c r="G959" s="5"/>
      <c r="H959" s="5"/>
      <c r="I959" s="5"/>
      <c r="J959" s="5"/>
      <c r="K959" s="69"/>
      <c r="L959" s="69"/>
      <c r="M959" s="69"/>
      <c r="N959" s="69"/>
      <c r="O959" s="69"/>
      <c r="P959" s="153"/>
      <c r="R959" s="5"/>
      <c r="S959" s="5"/>
      <c r="Y959" s="323"/>
    </row>
    <row r="960" spans="1:25" s="7" customFormat="1" ht="15.8" customHeight="1">
      <c r="A960" s="5"/>
      <c r="B960" s="5"/>
      <c r="C960" s="5"/>
      <c r="D960" s="5"/>
      <c r="E960" s="5"/>
      <c r="F960" s="5"/>
      <c r="G960" s="5"/>
      <c r="H960" s="5"/>
      <c r="I960" s="5"/>
      <c r="J960" s="5"/>
      <c r="K960" s="69"/>
      <c r="L960" s="69"/>
      <c r="M960" s="69"/>
      <c r="N960" s="69"/>
      <c r="O960" s="69"/>
      <c r="P960" s="153"/>
      <c r="R960" s="5"/>
      <c r="S960" s="5"/>
      <c r="Y960" s="323"/>
    </row>
    <row r="961" spans="1:25" s="7" customFormat="1" ht="15.8" customHeight="1">
      <c r="A961" s="5"/>
      <c r="B961" s="5"/>
      <c r="C961" s="5"/>
      <c r="D961" s="5"/>
      <c r="E961" s="5"/>
      <c r="F961" s="5"/>
      <c r="G961" s="5"/>
      <c r="H961" s="5"/>
      <c r="I961" s="5"/>
      <c r="J961" s="5"/>
      <c r="K961" s="69"/>
      <c r="L961" s="69"/>
      <c r="M961" s="69"/>
      <c r="N961" s="69"/>
      <c r="O961" s="69"/>
      <c r="P961" s="153"/>
      <c r="R961" s="5"/>
      <c r="S961" s="5"/>
      <c r="Y961" s="323"/>
    </row>
    <row r="962" spans="1:25" s="7" customFormat="1" ht="13.6">
      <c r="A962" s="5"/>
      <c r="B962" s="5"/>
      <c r="C962" s="5"/>
      <c r="D962" s="5"/>
      <c r="E962" s="5"/>
      <c r="F962" s="5"/>
      <c r="G962" s="5"/>
      <c r="H962" s="5"/>
      <c r="I962" s="5"/>
      <c r="J962" s="5"/>
      <c r="K962" s="69"/>
      <c r="L962" s="69"/>
      <c r="M962" s="69"/>
      <c r="N962" s="69"/>
      <c r="O962" s="69"/>
      <c r="P962" s="153"/>
      <c r="R962" s="5"/>
      <c r="S962" s="5"/>
      <c r="Y962" s="323"/>
    </row>
    <row r="963" spans="1:25" s="7" customFormat="1" ht="13.6">
      <c r="A963" s="5"/>
      <c r="B963" s="5"/>
      <c r="C963" s="5"/>
      <c r="D963" s="5"/>
      <c r="E963" s="5"/>
      <c r="F963" s="5"/>
      <c r="G963" s="5"/>
      <c r="H963" s="5"/>
      <c r="I963" s="5"/>
      <c r="J963" s="5"/>
      <c r="K963" s="69"/>
      <c r="L963" s="69"/>
      <c r="M963" s="69"/>
      <c r="N963" s="69"/>
      <c r="O963" s="69"/>
      <c r="P963" s="153"/>
      <c r="R963" s="5"/>
      <c r="S963" s="5"/>
      <c r="Y963" s="323"/>
    </row>
    <row r="964" spans="1:25" s="7" customFormat="1" ht="13.6">
      <c r="A964" s="5"/>
      <c r="B964" s="5"/>
      <c r="C964" s="5"/>
      <c r="D964" s="5"/>
      <c r="E964" s="5"/>
      <c r="F964" s="5"/>
      <c r="G964" s="5"/>
      <c r="H964" s="5"/>
      <c r="I964" s="5"/>
      <c r="J964" s="5"/>
      <c r="K964" s="69"/>
      <c r="L964" s="69"/>
      <c r="M964" s="69"/>
      <c r="N964" s="69"/>
      <c r="O964" s="69"/>
      <c r="P964" s="153"/>
      <c r="R964" s="5"/>
      <c r="S964" s="5"/>
      <c r="Y964" s="323"/>
    </row>
    <row r="965" spans="1:25" s="7" customFormat="1" ht="13.6">
      <c r="A965" s="5"/>
      <c r="B965" s="5"/>
      <c r="C965" s="5"/>
      <c r="D965" s="5"/>
      <c r="E965" s="5"/>
      <c r="F965" s="5"/>
      <c r="G965" s="5"/>
      <c r="H965" s="5"/>
      <c r="I965" s="5"/>
      <c r="J965" s="5"/>
      <c r="K965" s="69"/>
      <c r="L965" s="69"/>
      <c r="M965" s="69"/>
      <c r="N965" s="69"/>
      <c r="O965" s="69"/>
      <c r="P965" s="153"/>
      <c r="R965" s="5"/>
      <c r="S965" s="5"/>
      <c r="Y965" s="323"/>
    </row>
    <row r="966" spans="1:25" s="7" customFormat="1" ht="13.6">
      <c r="A966" s="5"/>
      <c r="B966" s="5"/>
      <c r="C966" s="5"/>
      <c r="D966" s="5"/>
      <c r="E966" s="5"/>
      <c r="F966" s="5"/>
      <c r="G966" s="5"/>
      <c r="H966" s="5"/>
      <c r="I966" s="5"/>
      <c r="J966" s="5"/>
      <c r="K966" s="69"/>
      <c r="L966" s="69"/>
      <c r="M966" s="69"/>
      <c r="N966" s="69"/>
      <c r="O966" s="69"/>
      <c r="P966" s="153"/>
      <c r="R966" s="5"/>
      <c r="S966" s="5"/>
      <c r="Y966" s="323"/>
    </row>
    <row r="967" spans="1:25" s="7" customFormat="1" ht="13.6">
      <c r="A967" s="5"/>
      <c r="B967" s="5"/>
      <c r="C967" s="5"/>
      <c r="D967" s="5"/>
      <c r="E967" s="5"/>
      <c r="F967" s="5"/>
      <c r="G967" s="5"/>
      <c r="H967" s="5"/>
      <c r="I967" s="5"/>
      <c r="J967" s="5"/>
      <c r="K967" s="69"/>
      <c r="L967" s="69"/>
      <c r="M967" s="69"/>
      <c r="N967" s="69"/>
      <c r="O967" s="69"/>
      <c r="P967" s="153"/>
      <c r="R967" s="5"/>
      <c r="S967" s="5"/>
      <c r="Y967" s="323"/>
    </row>
    <row r="968" spans="1:25" s="7" customFormat="1" ht="13.6">
      <c r="A968" s="5"/>
      <c r="B968" s="5"/>
      <c r="C968" s="5"/>
      <c r="D968" s="5"/>
      <c r="E968" s="5"/>
      <c r="F968" s="5"/>
      <c r="G968" s="5"/>
      <c r="H968" s="5"/>
      <c r="I968" s="5"/>
      <c r="J968" s="5"/>
      <c r="K968" s="69"/>
      <c r="L968" s="69"/>
      <c r="M968" s="69"/>
      <c r="N968" s="69"/>
      <c r="O968" s="69"/>
      <c r="P968" s="153"/>
      <c r="R968" s="5"/>
      <c r="S968" s="5"/>
      <c r="Y968" s="323"/>
    </row>
    <row r="969" spans="1:25" s="7" customFormat="1" ht="13.6">
      <c r="A969" s="5"/>
      <c r="B969" s="5"/>
      <c r="C969" s="5"/>
      <c r="D969" s="5"/>
      <c r="E969" s="5"/>
      <c r="F969" s="5"/>
      <c r="G969" s="5"/>
      <c r="H969" s="5"/>
      <c r="I969" s="5"/>
      <c r="J969" s="5"/>
      <c r="K969" s="69"/>
      <c r="L969" s="69"/>
      <c r="M969" s="69"/>
      <c r="N969" s="69"/>
      <c r="O969" s="69"/>
      <c r="P969" s="153"/>
      <c r="R969" s="5"/>
      <c r="S969" s="5"/>
      <c r="Y969" s="323"/>
    </row>
    <row r="970" spans="1:25" s="7" customFormat="1" ht="13.6">
      <c r="A970" s="5"/>
      <c r="B970" s="5"/>
      <c r="C970" s="5"/>
      <c r="D970" s="5"/>
      <c r="E970" s="5"/>
      <c r="F970" s="5"/>
      <c r="G970" s="5"/>
      <c r="H970" s="5"/>
      <c r="I970" s="5"/>
      <c r="J970" s="5"/>
      <c r="K970" s="69"/>
      <c r="L970" s="69"/>
      <c r="M970" s="69"/>
      <c r="N970" s="69"/>
      <c r="O970" s="69"/>
      <c r="P970" s="153"/>
      <c r="R970" s="5"/>
      <c r="S970" s="5"/>
      <c r="Y970" s="323"/>
    </row>
    <row r="971" spans="1:25" s="7" customFormat="1" ht="13.6">
      <c r="A971" s="5"/>
      <c r="B971" s="5"/>
      <c r="C971" s="5"/>
      <c r="D971" s="5"/>
      <c r="E971" s="5"/>
      <c r="F971" s="5"/>
      <c r="G971" s="5"/>
      <c r="H971" s="5"/>
      <c r="I971" s="5"/>
      <c r="J971" s="5"/>
      <c r="K971" s="69"/>
      <c r="L971" s="69"/>
      <c r="M971" s="69"/>
      <c r="N971" s="69"/>
      <c r="O971" s="69"/>
      <c r="P971" s="153"/>
      <c r="R971" s="5"/>
      <c r="S971" s="5"/>
      <c r="Y971" s="323"/>
    </row>
    <row r="972" spans="1:25" s="7" customFormat="1" ht="13.6">
      <c r="A972" s="5"/>
      <c r="B972" s="5"/>
      <c r="C972" s="5"/>
      <c r="D972" s="5"/>
      <c r="E972" s="5"/>
      <c r="F972" s="5"/>
      <c r="G972" s="5"/>
      <c r="H972" s="5"/>
      <c r="I972" s="5"/>
      <c r="J972" s="5"/>
      <c r="K972" s="69"/>
      <c r="L972" s="69"/>
      <c r="M972" s="69"/>
      <c r="N972" s="69"/>
      <c r="O972" s="69"/>
      <c r="P972" s="153"/>
      <c r="R972" s="5"/>
      <c r="S972" s="5"/>
      <c r="Y972" s="323"/>
    </row>
    <row r="973" spans="1:25" s="7" customFormat="1" ht="13.6">
      <c r="A973" s="5"/>
      <c r="B973" s="5"/>
      <c r="C973" s="5"/>
      <c r="D973" s="5"/>
      <c r="E973" s="5"/>
      <c r="F973" s="5"/>
      <c r="G973" s="5"/>
      <c r="H973" s="5"/>
      <c r="I973" s="5"/>
      <c r="J973" s="5"/>
      <c r="K973" s="69"/>
      <c r="L973" s="69"/>
      <c r="M973" s="69"/>
      <c r="N973" s="69"/>
      <c r="O973" s="69"/>
      <c r="P973" s="153"/>
      <c r="R973" s="5"/>
      <c r="S973" s="5"/>
      <c r="Y973" s="323"/>
    </row>
    <row r="974" spans="1:25" s="7" customFormat="1" ht="13.6">
      <c r="A974" s="5"/>
      <c r="B974" s="5"/>
      <c r="C974" s="5"/>
      <c r="D974" s="5"/>
      <c r="E974" s="5"/>
      <c r="F974" s="5"/>
      <c r="G974" s="5"/>
      <c r="H974" s="5"/>
      <c r="I974" s="5"/>
      <c r="J974" s="5"/>
      <c r="K974" s="69"/>
      <c r="L974" s="69"/>
      <c r="M974" s="69"/>
      <c r="N974" s="69"/>
      <c r="O974" s="69"/>
      <c r="P974" s="153"/>
      <c r="R974" s="5"/>
      <c r="S974" s="5"/>
      <c r="Y974" s="323"/>
    </row>
    <row r="975" spans="1:25" s="7" customFormat="1" ht="13.6">
      <c r="A975" s="5"/>
      <c r="B975" s="5"/>
      <c r="C975" s="5"/>
      <c r="D975" s="5"/>
      <c r="E975" s="5"/>
      <c r="F975" s="5"/>
      <c r="G975" s="5"/>
      <c r="H975" s="5"/>
      <c r="I975" s="5"/>
      <c r="J975" s="5"/>
      <c r="K975" s="69"/>
      <c r="L975" s="69"/>
      <c r="M975" s="69"/>
      <c r="N975" s="69"/>
      <c r="O975" s="69"/>
      <c r="P975" s="153"/>
      <c r="R975" s="5"/>
      <c r="S975" s="5"/>
      <c r="Y975" s="323"/>
    </row>
    <row r="976" spans="1:25" s="7" customFormat="1" ht="13.6">
      <c r="A976" s="5"/>
      <c r="B976" s="5"/>
      <c r="C976" s="5"/>
      <c r="D976" s="5"/>
      <c r="E976" s="5"/>
      <c r="F976" s="5"/>
      <c r="G976" s="5"/>
      <c r="H976" s="5"/>
      <c r="I976" s="5"/>
      <c r="J976" s="5"/>
      <c r="K976" s="69"/>
      <c r="L976" s="69"/>
      <c r="M976" s="69"/>
      <c r="N976" s="69"/>
      <c r="O976" s="69"/>
      <c r="P976" s="153"/>
      <c r="R976" s="5"/>
      <c r="S976" s="5"/>
      <c r="Y976" s="323"/>
    </row>
    <row r="977" spans="1:25" s="7" customFormat="1" ht="13.6">
      <c r="A977" s="5"/>
      <c r="B977" s="5"/>
      <c r="C977" s="5"/>
      <c r="D977" s="5"/>
      <c r="E977" s="5"/>
      <c r="F977" s="5"/>
      <c r="G977" s="5"/>
      <c r="H977" s="5"/>
      <c r="I977" s="5"/>
      <c r="J977" s="5"/>
      <c r="K977" s="69"/>
      <c r="L977" s="69"/>
      <c r="M977" s="69"/>
      <c r="N977" s="69"/>
      <c r="O977" s="69"/>
      <c r="P977" s="153"/>
      <c r="R977" s="5"/>
      <c r="S977" s="5"/>
      <c r="Y977" s="323"/>
    </row>
    <row r="978" spans="1:25" s="7" customFormat="1" ht="13.6">
      <c r="A978" s="5"/>
      <c r="B978" s="5"/>
      <c r="C978" s="5"/>
      <c r="D978" s="5"/>
      <c r="E978" s="5"/>
      <c r="F978" s="5"/>
      <c r="G978" s="5"/>
      <c r="H978" s="5"/>
      <c r="I978" s="5"/>
      <c r="J978" s="5"/>
      <c r="K978" s="69"/>
      <c r="L978" s="69"/>
      <c r="M978" s="69"/>
      <c r="N978" s="69"/>
      <c r="O978" s="69"/>
      <c r="P978" s="153"/>
      <c r="R978" s="5"/>
      <c r="S978" s="5"/>
      <c r="Y978" s="323"/>
    </row>
    <row r="979" spans="1:25" s="7" customFormat="1" ht="13.6">
      <c r="A979" s="5"/>
      <c r="B979" s="5"/>
      <c r="C979" s="5"/>
      <c r="D979" s="5"/>
      <c r="E979" s="5"/>
      <c r="F979" s="5"/>
      <c r="G979" s="5"/>
      <c r="H979" s="5"/>
      <c r="I979" s="5"/>
      <c r="J979" s="5"/>
      <c r="K979" s="69"/>
      <c r="L979" s="69"/>
      <c r="M979" s="69"/>
      <c r="N979" s="69"/>
      <c r="O979" s="69"/>
      <c r="P979" s="153"/>
      <c r="R979" s="5"/>
      <c r="S979" s="5"/>
      <c r="Y979" s="323"/>
    </row>
    <row r="980" spans="1:25" s="7" customFormat="1" ht="13.6">
      <c r="A980" s="5"/>
      <c r="B980" s="5"/>
      <c r="C980" s="5"/>
      <c r="D980" s="5"/>
      <c r="E980" s="5"/>
      <c r="F980" s="5"/>
      <c r="G980" s="5"/>
      <c r="H980" s="5"/>
      <c r="I980" s="5"/>
      <c r="J980" s="5"/>
      <c r="K980" s="69"/>
      <c r="L980" s="69"/>
      <c r="M980" s="69"/>
      <c r="N980" s="69"/>
      <c r="O980" s="69"/>
      <c r="P980" s="153"/>
      <c r="R980" s="5"/>
      <c r="S980" s="5"/>
      <c r="Y980" s="323"/>
    </row>
    <row r="981" spans="1:25" s="7" customFormat="1" ht="13.6">
      <c r="A981" s="5"/>
      <c r="B981" s="5"/>
      <c r="C981" s="5"/>
      <c r="D981" s="5"/>
      <c r="E981" s="5"/>
      <c r="F981" s="5"/>
      <c r="G981" s="5"/>
      <c r="H981" s="5"/>
      <c r="I981" s="5"/>
      <c r="J981" s="5"/>
      <c r="K981" s="69"/>
      <c r="L981" s="69"/>
      <c r="M981" s="69"/>
      <c r="N981" s="69"/>
      <c r="O981" s="69"/>
      <c r="P981" s="153"/>
      <c r="R981" s="5"/>
      <c r="S981" s="5"/>
      <c r="Y981" s="323"/>
    </row>
    <row r="982" spans="1:25" s="7" customFormat="1" ht="13.6">
      <c r="A982" s="5"/>
      <c r="B982" s="5"/>
      <c r="C982" s="5"/>
      <c r="D982" s="5"/>
      <c r="E982" s="5"/>
      <c r="F982" s="5"/>
      <c r="G982" s="5"/>
      <c r="H982" s="5"/>
      <c r="I982" s="5"/>
      <c r="J982" s="5"/>
      <c r="K982" s="69"/>
      <c r="L982" s="69"/>
      <c r="M982" s="69"/>
      <c r="N982" s="69"/>
      <c r="O982" s="69"/>
      <c r="P982" s="153"/>
      <c r="R982" s="5"/>
      <c r="S982" s="5"/>
      <c r="Y982" s="323"/>
    </row>
    <row r="983" spans="1:25" s="7" customFormat="1" ht="13.6">
      <c r="A983" s="5"/>
      <c r="B983" s="5"/>
      <c r="C983" s="5"/>
      <c r="D983" s="5"/>
      <c r="E983" s="5"/>
      <c r="F983" s="5"/>
      <c r="G983" s="5"/>
      <c r="H983" s="5"/>
      <c r="I983" s="5"/>
      <c r="J983" s="5"/>
      <c r="K983" s="69"/>
      <c r="L983" s="69"/>
      <c r="M983" s="69"/>
      <c r="N983" s="69"/>
      <c r="O983" s="69"/>
      <c r="P983" s="153"/>
      <c r="R983" s="5"/>
      <c r="S983" s="5"/>
      <c r="Y983" s="323"/>
    </row>
    <row r="984" spans="1:25" s="7" customFormat="1" ht="13.6">
      <c r="A984" s="5"/>
      <c r="B984" s="5"/>
      <c r="C984" s="5"/>
      <c r="D984" s="5"/>
      <c r="E984" s="5"/>
      <c r="F984" s="5"/>
      <c r="G984" s="5"/>
      <c r="H984" s="5"/>
      <c r="I984" s="5"/>
      <c r="J984" s="5"/>
      <c r="K984" s="69"/>
      <c r="L984" s="69"/>
      <c r="M984" s="69"/>
      <c r="N984" s="69"/>
      <c r="O984" s="69"/>
      <c r="P984" s="153"/>
      <c r="R984" s="5"/>
      <c r="S984" s="5"/>
      <c r="Y984" s="323"/>
    </row>
    <row r="985" spans="1:25" s="7" customFormat="1" ht="13.6">
      <c r="A985" s="5"/>
      <c r="B985" s="5"/>
      <c r="C985" s="5"/>
      <c r="D985" s="5"/>
      <c r="E985" s="5"/>
      <c r="F985" s="5"/>
      <c r="G985" s="5"/>
      <c r="H985" s="5"/>
      <c r="I985" s="5"/>
      <c r="J985" s="5"/>
      <c r="K985" s="69"/>
      <c r="L985" s="69"/>
      <c r="M985" s="69"/>
      <c r="N985" s="69"/>
      <c r="O985" s="69"/>
      <c r="P985" s="153"/>
      <c r="R985" s="5"/>
      <c r="S985" s="5"/>
      <c r="Y985" s="323"/>
    </row>
    <row r="986" spans="1:25" s="7" customFormat="1" ht="13.6">
      <c r="A986" s="5"/>
      <c r="B986" s="5"/>
      <c r="C986" s="5"/>
      <c r="D986" s="5"/>
      <c r="E986" s="5"/>
      <c r="F986" s="5"/>
      <c r="G986" s="5"/>
      <c r="H986" s="5"/>
      <c r="I986" s="5"/>
      <c r="J986" s="5"/>
      <c r="K986" s="69"/>
      <c r="L986" s="69"/>
      <c r="M986" s="69"/>
      <c r="N986" s="69"/>
      <c r="O986" s="69"/>
      <c r="P986" s="153"/>
      <c r="R986" s="5"/>
      <c r="S986" s="5"/>
      <c r="Y986" s="323"/>
    </row>
    <row r="987" spans="1:25" s="7" customFormat="1" ht="13.6">
      <c r="A987" s="5"/>
      <c r="B987" s="5"/>
      <c r="C987" s="5"/>
      <c r="D987" s="5"/>
      <c r="E987" s="5"/>
      <c r="F987" s="5"/>
      <c r="G987" s="5"/>
      <c r="H987" s="5"/>
      <c r="I987" s="5"/>
      <c r="J987" s="5"/>
      <c r="K987" s="69"/>
      <c r="L987" s="69"/>
      <c r="M987" s="69"/>
      <c r="N987" s="69"/>
      <c r="O987" s="69"/>
      <c r="P987" s="153"/>
      <c r="R987" s="5"/>
      <c r="S987" s="5"/>
      <c r="Y987" s="323"/>
    </row>
    <row r="988" spans="1:25" s="7" customFormat="1" ht="13.6">
      <c r="A988" s="5"/>
      <c r="B988" s="5"/>
      <c r="C988" s="5"/>
      <c r="D988" s="5"/>
      <c r="E988" s="5"/>
      <c r="F988" s="5"/>
      <c r="G988" s="5"/>
      <c r="H988" s="5"/>
      <c r="I988" s="5"/>
      <c r="J988" s="5"/>
      <c r="K988" s="69"/>
      <c r="L988" s="69"/>
      <c r="M988" s="69"/>
      <c r="N988" s="69"/>
      <c r="O988" s="69"/>
      <c r="P988" s="153"/>
      <c r="R988" s="5"/>
      <c r="S988" s="5"/>
      <c r="Y988" s="323"/>
    </row>
    <row r="989" spans="1:25" s="7" customFormat="1" ht="13.6">
      <c r="A989" s="5"/>
      <c r="B989" s="5"/>
      <c r="C989" s="5"/>
      <c r="D989" s="5"/>
      <c r="E989" s="5"/>
      <c r="F989" s="5"/>
      <c r="G989" s="5"/>
      <c r="H989" s="5"/>
      <c r="I989" s="5"/>
      <c r="J989" s="5"/>
      <c r="K989" s="69"/>
      <c r="L989" s="69"/>
      <c r="M989" s="69"/>
      <c r="N989" s="69"/>
      <c r="O989" s="69"/>
      <c r="P989" s="153"/>
      <c r="R989" s="5"/>
      <c r="S989" s="5"/>
      <c r="Y989" s="323"/>
    </row>
    <row r="990" spans="1:25" s="7" customFormat="1" ht="13.6">
      <c r="A990" s="5"/>
      <c r="B990" s="5"/>
      <c r="C990" s="5"/>
      <c r="D990" s="5"/>
      <c r="E990" s="5"/>
      <c r="F990" s="5"/>
      <c r="G990" s="5"/>
      <c r="H990" s="5"/>
      <c r="I990" s="5"/>
      <c r="J990" s="5"/>
      <c r="K990" s="69"/>
      <c r="L990" s="69"/>
      <c r="M990" s="69"/>
      <c r="N990" s="69"/>
      <c r="O990" s="69"/>
      <c r="P990" s="153"/>
      <c r="R990" s="5"/>
      <c r="S990" s="5"/>
      <c r="Y990" s="323"/>
    </row>
    <row r="991" spans="1:25" s="7" customFormat="1" ht="13.6">
      <c r="A991" s="5"/>
      <c r="B991" s="5"/>
      <c r="C991" s="5"/>
      <c r="D991" s="5"/>
      <c r="E991" s="5"/>
      <c r="F991" s="5"/>
      <c r="G991" s="5"/>
      <c r="H991" s="5"/>
      <c r="I991" s="5"/>
      <c r="J991" s="5"/>
      <c r="K991" s="69"/>
      <c r="L991" s="69"/>
      <c r="M991" s="69"/>
      <c r="N991" s="69"/>
      <c r="O991" s="69"/>
      <c r="P991" s="153"/>
      <c r="R991" s="5"/>
      <c r="S991" s="5"/>
      <c r="Y991" s="323"/>
    </row>
    <row r="992" spans="1:25" s="7" customFormat="1" ht="13.6">
      <c r="A992" s="5"/>
      <c r="B992" s="5"/>
      <c r="C992" s="5"/>
      <c r="D992" s="5"/>
      <c r="E992" s="5"/>
      <c r="F992" s="5"/>
      <c r="G992" s="5"/>
      <c r="H992" s="5"/>
      <c r="I992" s="5"/>
      <c r="J992" s="5"/>
      <c r="K992" s="69"/>
      <c r="L992" s="69"/>
      <c r="M992" s="69"/>
      <c r="N992" s="69"/>
      <c r="O992" s="69"/>
      <c r="P992" s="153"/>
      <c r="R992" s="5"/>
      <c r="S992" s="5"/>
      <c r="Y992" s="323"/>
    </row>
    <row r="993" spans="1:25" s="7" customFormat="1" ht="13.6">
      <c r="A993" s="5"/>
      <c r="B993" s="5"/>
      <c r="C993" s="5"/>
      <c r="D993" s="5"/>
      <c r="E993" s="5"/>
      <c r="F993" s="5"/>
      <c r="G993" s="5"/>
      <c r="H993" s="5"/>
      <c r="I993" s="5"/>
      <c r="J993" s="5"/>
      <c r="K993" s="69"/>
      <c r="L993" s="69"/>
      <c r="M993" s="69"/>
      <c r="N993" s="69"/>
      <c r="O993" s="69"/>
      <c r="P993" s="153"/>
      <c r="R993" s="5"/>
      <c r="S993" s="5"/>
      <c r="Y993" s="323"/>
    </row>
    <row r="994" spans="1:25" s="7" customFormat="1" ht="13.6">
      <c r="A994" s="5"/>
      <c r="B994" s="5"/>
      <c r="C994" s="5"/>
      <c r="D994" s="5"/>
      <c r="E994" s="5"/>
      <c r="F994" s="5"/>
      <c r="G994" s="5"/>
      <c r="H994" s="5"/>
      <c r="I994" s="5"/>
      <c r="J994" s="5"/>
      <c r="K994" s="69"/>
      <c r="L994" s="69"/>
      <c r="M994" s="69"/>
      <c r="N994" s="69"/>
      <c r="O994" s="69"/>
      <c r="P994" s="153"/>
      <c r="R994" s="5"/>
      <c r="S994" s="5"/>
      <c r="Y994" s="323"/>
    </row>
    <row r="995" spans="1:25" s="7" customFormat="1" ht="13.6">
      <c r="A995" s="5"/>
      <c r="B995" s="5"/>
      <c r="C995" s="5"/>
      <c r="D995" s="5"/>
      <c r="E995" s="5"/>
      <c r="F995" s="5"/>
      <c r="G995" s="5"/>
      <c r="H995" s="5"/>
      <c r="I995" s="5"/>
      <c r="J995" s="5"/>
      <c r="K995" s="69"/>
      <c r="L995" s="69"/>
      <c r="M995" s="69"/>
      <c r="N995" s="69"/>
      <c r="O995" s="69"/>
      <c r="P995" s="153"/>
      <c r="R995" s="5"/>
      <c r="S995" s="5"/>
      <c r="Y995" s="323"/>
    </row>
    <row r="996" spans="1:25" s="7" customFormat="1" ht="13.6">
      <c r="A996" s="5"/>
      <c r="B996" s="5"/>
      <c r="C996" s="5"/>
      <c r="D996" s="5"/>
      <c r="E996" s="5"/>
      <c r="F996" s="5"/>
      <c r="G996" s="5"/>
      <c r="H996" s="5"/>
      <c r="I996" s="5"/>
      <c r="J996" s="5"/>
      <c r="K996" s="69"/>
      <c r="L996" s="69"/>
      <c r="M996" s="69"/>
      <c r="N996" s="69"/>
      <c r="O996" s="69"/>
      <c r="P996" s="153"/>
      <c r="R996" s="5"/>
      <c r="S996" s="5"/>
      <c r="Y996" s="323"/>
    </row>
    <row r="997" spans="1:25" s="7" customFormat="1" ht="13.6">
      <c r="A997" s="5"/>
      <c r="B997" s="5"/>
      <c r="C997" s="5"/>
      <c r="D997" s="5"/>
      <c r="E997" s="5"/>
      <c r="F997" s="5"/>
      <c r="G997" s="5"/>
      <c r="H997" s="5"/>
      <c r="I997" s="5"/>
      <c r="J997" s="5"/>
      <c r="K997" s="69"/>
      <c r="L997" s="69"/>
      <c r="M997" s="69"/>
      <c r="N997" s="69"/>
      <c r="O997" s="69"/>
      <c r="P997" s="153"/>
      <c r="R997" s="5"/>
      <c r="S997" s="5"/>
      <c r="Y997" s="323"/>
    </row>
    <row r="998" spans="1:25" s="7" customFormat="1" ht="13.6">
      <c r="A998" s="5"/>
      <c r="B998" s="5"/>
      <c r="C998" s="5"/>
      <c r="D998" s="5"/>
      <c r="E998" s="5"/>
      <c r="F998" s="5"/>
      <c r="G998" s="5"/>
      <c r="H998" s="5"/>
      <c r="I998" s="5"/>
      <c r="J998" s="5"/>
      <c r="K998" s="69"/>
      <c r="L998" s="69"/>
      <c r="M998" s="69"/>
      <c r="N998" s="69"/>
      <c r="O998" s="69"/>
      <c r="P998" s="153"/>
      <c r="R998" s="5"/>
      <c r="S998" s="5"/>
      <c r="Y998" s="323"/>
    </row>
    <row r="999" spans="1:25" s="7" customFormat="1" ht="13.6">
      <c r="A999" s="5"/>
      <c r="B999" s="5"/>
      <c r="C999" s="5"/>
      <c r="D999" s="5"/>
      <c r="E999" s="5"/>
      <c r="F999" s="5"/>
      <c r="G999" s="5"/>
      <c r="H999" s="5"/>
      <c r="I999" s="5"/>
      <c r="J999" s="5"/>
      <c r="K999" s="69"/>
      <c r="L999" s="69"/>
      <c r="M999" s="69"/>
      <c r="N999" s="69"/>
      <c r="O999" s="69"/>
      <c r="P999" s="153"/>
      <c r="R999" s="5"/>
      <c r="S999" s="5"/>
      <c r="Y999" s="323"/>
    </row>
    <row r="1000" spans="1:25" s="7" customFormat="1" ht="13.6">
      <c r="A1000" s="5"/>
      <c r="B1000" s="5"/>
      <c r="C1000" s="5"/>
      <c r="D1000" s="5"/>
      <c r="E1000" s="5"/>
      <c r="F1000" s="5"/>
      <c r="G1000" s="5"/>
      <c r="H1000" s="5"/>
      <c r="I1000" s="5"/>
      <c r="J1000" s="5"/>
      <c r="K1000" s="69"/>
      <c r="L1000" s="69"/>
      <c r="M1000" s="69"/>
      <c r="N1000" s="69"/>
      <c r="O1000" s="69"/>
      <c r="P1000" s="153"/>
      <c r="R1000" s="5"/>
      <c r="S1000" s="5"/>
      <c r="Y1000" s="323"/>
    </row>
    <row r="1001" spans="1:25" s="7" customFormat="1" ht="13.6">
      <c r="A1001" s="5"/>
      <c r="B1001" s="5"/>
      <c r="C1001" s="5"/>
      <c r="D1001" s="5"/>
      <c r="E1001" s="5"/>
      <c r="F1001" s="5"/>
      <c r="G1001" s="5"/>
      <c r="H1001" s="5"/>
      <c r="I1001" s="5"/>
      <c r="J1001" s="5"/>
      <c r="K1001" s="69"/>
      <c r="L1001" s="69"/>
      <c r="M1001" s="69"/>
      <c r="N1001" s="69"/>
      <c r="O1001" s="69"/>
      <c r="P1001" s="153"/>
      <c r="R1001" s="5"/>
      <c r="S1001" s="5"/>
      <c r="Y1001" s="323"/>
    </row>
    <row r="1002" spans="1:25" s="7" customFormat="1" ht="13.6">
      <c r="A1002" s="5"/>
      <c r="B1002" s="5"/>
      <c r="C1002" s="5"/>
      <c r="D1002" s="5"/>
      <c r="E1002" s="5"/>
      <c r="F1002" s="5"/>
      <c r="G1002" s="5"/>
      <c r="H1002" s="5"/>
      <c r="I1002" s="5"/>
      <c r="J1002" s="5"/>
      <c r="K1002" s="69"/>
      <c r="L1002" s="69"/>
      <c r="M1002" s="69"/>
      <c r="N1002" s="69"/>
      <c r="O1002" s="69"/>
      <c r="P1002" s="153"/>
      <c r="R1002" s="5"/>
      <c r="S1002" s="5"/>
      <c r="Y1002" s="323"/>
    </row>
    <row r="1003" spans="1:25" s="7" customFormat="1" ht="13.6">
      <c r="A1003" s="5"/>
      <c r="B1003" s="5"/>
      <c r="C1003" s="5"/>
      <c r="D1003" s="5"/>
      <c r="E1003" s="5"/>
      <c r="F1003" s="5"/>
      <c r="G1003" s="5"/>
      <c r="H1003" s="5"/>
      <c r="I1003" s="5"/>
      <c r="J1003" s="5"/>
      <c r="K1003" s="69"/>
      <c r="L1003" s="69"/>
      <c r="M1003" s="69"/>
      <c r="N1003" s="69"/>
      <c r="O1003" s="69"/>
      <c r="P1003" s="153"/>
      <c r="R1003" s="5"/>
      <c r="S1003" s="5"/>
      <c r="Y1003" s="323"/>
    </row>
    <row r="1004" spans="1:25" s="7" customFormat="1" ht="13.6">
      <c r="A1004" s="5"/>
      <c r="B1004" s="5"/>
      <c r="C1004" s="5"/>
      <c r="D1004" s="5"/>
      <c r="E1004" s="5"/>
      <c r="F1004" s="5"/>
      <c r="G1004" s="5"/>
      <c r="H1004" s="5"/>
      <c r="I1004" s="5"/>
      <c r="J1004" s="5"/>
      <c r="K1004" s="69"/>
      <c r="L1004" s="69"/>
      <c r="M1004" s="69"/>
      <c r="N1004" s="69"/>
      <c r="O1004" s="69"/>
      <c r="P1004" s="153"/>
      <c r="R1004" s="5"/>
      <c r="S1004" s="5"/>
      <c r="Y1004" s="323"/>
    </row>
    <row r="1005" spans="1:25" s="7" customFormat="1" ht="13.6">
      <c r="A1005" s="5"/>
      <c r="B1005" s="5"/>
      <c r="C1005" s="5"/>
      <c r="D1005" s="5"/>
      <c r="E1005" s="5"/>
      <c r="F1005" s="5"/>
      <c r="G1005" s="5"/>
      <c r="H1005" s="5"/>
      <c r="I1005" s="5"/>
      <c r="J1005" s="5"/>
      <c r="K1005" s="69"/>
      <c r="L1005" s="69"/>
      <c r="M1005" s="69"/>
      <c r="N1005" s="69"/>
      <c r="O1005" s="69"/>
      <c r="P1005" s="153"/>
      <c r="R1005" s="5"/>
      <c r="S1005" s="5"/>
      <c r="Y1005" s="323"/>
    </row>
    <row r="1006" spans="1:25" s="7" customFormat="1" ht="13.6">
      <c r="A1006" s="5"/>
      <c r="B1006" s="5"/>
      <c r="C1006" s="5"/>
      <c r="D1006" s="5"/>
      <c r="E1006" s="5"/>
      <c r="F1006" s="5"/>
      <c r="G1006" s="5"/>
      <c r="H1006" s="5"/>
      <c r="I1006" s="5"/>
      <c r="J1006" s="5"/>
      <c r="K1006" s="69"/>
      <c r="L1006" s="69"/>
      <c r="M1006" s="69"/>
      <c r="N1006" s="69"/>
      <c r="O1006" s="69"/>
      <c r="P1006" s="153"/>
      <c r="R1006" s="5"/>
      <c r="S1006" s="5"/>
      <c r="Y1006" s="323"/>
    </row>
    <row r="1007" spans="1:25" s="7" customFormat="1" ht="13.6">
      <c r="A1007" s="5"/>
      <c r="B1007" s="5"/>
      <c r="C1007" s="5"/>
      <c r="D1007" s="5"/>
      <c r="E1007" s="5"/>
      <c r="F1007" s="5"/>
      <c r="G1007" s="5"/>
      <c r="H1007" s="5"/>
      <c r="I1007" s="5"/>
      <c r="J1007" s="5"/>
      <c r="K1007" s="69"/>
      <c r="L1007" s="69"/>
      <c r="M1007" s="69"/>
      <c r="N1007" s="69"/>
      <c r="O1007" s="69"/>
      <c r="P1007" s="153"/>
      <c r="R1007" s="5"/>
      <c r="S1007" s="5"/>
      <c r="Y1007" s="323"/>
    </row>
    <row r="1008" spans="1:25" s="7" customFormat="1" ht="13.6">
      <c r="A1008" s="5"/>
      <c r="B1008" s="5"/>
      <c r="C1008" s="5"/>
      <c r="D1008" s="5"/>
      <c r="E1008" s="5"/>
      <c r="F1008" s="5"/>
      <c r="G1008" s="5"/>
      <c r="H1008" s="5"/>
      <c r="I1008" s="5"/>
      <c r="J1008" s="5"/>
      <c r="K1008" s="69"/>
      <c r="L1008" s="69"/>
      <c r="M1008" s="69"/>
      <c r="N1008" s="69"/>
      <c r="O1008" s="69"/>
      <c r="P1008" s="153"/>
      <c r="R1008" s="5"/>
      <c r="S1008" s="5"/>
      <c r="Y1008" s="323"/>
    </row>
    <row r="1009" spans="1:25" s="7" customFormat="1" ht="13.6">
      <c r="A1009" s="5"/>
      <c r="B1009" s="5"/>
      <c r="C1009" s="5"/>
      <c r="D1009" s="5"/>
      <c r="E1009" s="5"/>
      <c r="F1009" s="5"/>
      <c r="G1009" s="5"/>
      <c r="H1009" s="5"/>
      <c r="I1009" s="5"/>
      <c r="J1009" s="5"/>
      <c r="K1009" s="69"/>
      <c r="L1009" s="69"/>
      <c r="M1009" s="69"/>
      <c r="N1009" s="69"/>
      <c r="O1009" s="69"/>
      <c r="P1009" s="153"/>
      <c r="R1009" s="5"/>
      <c r="S1009" s="5"/>
      <c r="Y1009" s="323"/>
    </row>
    <row r="1010" spans="1:25" s="7" customFormat="1" ht="13.6">
      <c r="A1010" s="5"/>
      <c r="B1010" s="5"/>
      <c r="C1010" s="5"/>
      <c r="D1010" s="5"/>
      <c r="E1010" s="5"/>
      <c r="F1010" s="5"/>
      <c r="G1010" s="5"/>
      <c r="H1010" s="5"/>
      <c r="I1010" s="5"/>
      <c r="J1010" s="5"/>
      <c r="K1010" s="69"/>
      <c r="L1010" s="69"/>
      <c r="M1010" s="69"/>
      <c r="N1010" s="69"/>
      <c r="O1010" s="69"/>
      <c r="P1010" s="153"/>
      <c r="R1010" s="5"/>
      <c r="S1010" s="5"/>
      <c r="Y1010" s="323"/>
    </row>
    <row r="1011" spans="1:25" s="7" customFormat="1" ht="13.6">
      <c r="A1011" s="5"/>
      <c r="B1011" s="5"/>
      <c r="C1011" s="5"/>
      <c r="D1011" s="5"/>
      <c r="E1011" s="5"/>
      <c r="F1011" s="5"/>
      <c r="G1011" s="5"/>
      <c r="H1011" s="5"/>
      <c r="I1011" s="5"/>
      <c r="J1011" s="5"/>
      <c r="K1011" s="69"/>
      <c r="L1011" s="69"/>
      <c r="M1011" s="69"/>
      <c r="N1011" s="69"/>
      <c r="O1011" s="69"/>
      <c r="P1011" s="153"/>
      <c r="R1011" s="5"/>
      <c r="S1011" s="5"/>
      <c r="Y1011" s="323"/>
    </row>
    <row r="1012" spans="1:25" s="7" customFormat="1" ht="13.6">
      <c r="A1012" s="5"/>
      <c r="B1012" s="5"/>
      <c r="C1012" s="5"/>
      <c r="D1012" s="5"/>
      <c r="E1012" s="5"/>
      <c r="F1012" s="5"/>
      <c r="G1012" s="5"/>
      <c r="H1012" s="5"/>
      <c r="I1012" s="5"/>
      <c r="J1012" s="5"/>
      <c r="K1012" s="69"/>
      <c r="L1012" s="69"/>
      <c r="M1012" s="69"/>
      <c r="N1012" s="69"/>
      <c r="O1012" s="69"/>
      <c r="P1012" s="153"/>
      <c r="R1012" s="5"/>
      <c r="S1012" s="5"/>
      <c r="Y1012" s="323"/>
    </row>
    <row r="1013" spans="1:25" s="7" customFormat="1" ht="13.6">
      <c r="A1013" s="5"/>
      <c r="B1013" s="5"/>
      <c r="C1013" s="5"/>
      <c r="D1013" s="5"/>
      <c r="E1013" s="5"/>
      <c r="F1013" s="5"/>
      <c r="G1013" s="5"/>
      <c r="H1013" s="5"/>
      <c r="I1013" s="5"/>
      <c r="J1013" s="5"/>
      <c r="K1013" s="69"/>
      <c r="L1013" s="69"/>
      <c r="M1013" s="69"/>
      <c r="N1013" s="69"/>
      <c r="O1013" s="69"/>
      <c r="P1013" s="153"/>
      <c r="R1013" s="5"/>
      <c r="S1013" s="5"/>
      <c r="Y1013" s="323"/>
    </row>
    <row r="1014" spans="1:25" s="7" customFormat="1" ht="13.6">
      <c r="A1014" s="5"/>
      <c r="B1014" s="5"/>
      <c r="C1014" s="5"/>
      <c r="D1014" s="5"/>
      <c r="E1014" s="5"/>
      <c r="F1014" s="5"/>
      <c r="G1014" s="5"/>
      <c r="H1014" s="5"/>
      <c r="I1014" s="5"/>
      <c r="J1014" s="5"/>
      <c r="K1014" s="69"/>
      <c r="L1014" s="69"/>
      <c r="M1014" s="69"/>
      <c r="N1014" s="69"/>
      <c r="O1014" s="69"/>
      <c r="P1014" s="153"/>
      <c r="R1014" s="5"/>
      <c r="S1014" s="5"/>
      <c r="Y1014" s="323"/>
    </row>
    <row r="1015" spans="1:25" s="7" customFormat="1" ht="13.6">
      <c r="A1015" s="5"/>
      <c r="B1015" s="5"/>
      <c r="C1015" s="5"/>
      <c r="D1015" s="5"/>
      <c r="E1015" s="5"/>
      <c r="F1015" s="5"/>
      <c r="G1015" s="5"/>
      <c r="H1015" s="5"/>
      <c r="I1015" s="5"/>
      <c r="J1015" s="5"/>
      <c r="K1015" s="69"/>
      <c r="L1015" s="69"/>
      <c r="M1015" s="69"/>
      <c r="N1015" s="69"/>
      <c r="O1015" s="69"/>
      <c r="P1015" s="153"/>
      <c r="R1015" s="5"/>
      <c r="S1015" s="5"/>
      <c r="Y1015" s="323"/>
    </row>
    <row r="1016" spans="1:25" s="7" customFormat="1" ht="13.6">
      <c r="A1016" s="5"/>
      <c r="B1016" s="5"/>
      <c r="C1016" s="5"/>
      <c r="D1016" s="5"/>
      <c r="E1016" s="5"/>
      <c r="F1016" s="5"/>
      <c r="G1016" s="5"/>
      <c r="H1016" s="5"/>
      <c r="I1016" s="5"/>
      <c r="J1016" s="5"/>
      <c r="K1016" s="69"/>
      <c r="L1016" s="69"/>
      <c r="M1016" s="69"/>
      <c r="N1016" s="69"/>
      <c r="O1016" s="69"/>
      <c r="P1016" s="153"/>
      <c r="R1016" s="5"/>
      <c r="S1016" s="5"/>
      <c r="Y1016" s="323"/>
    </row>
    <row r="1017" spans="1:25" s="7" customFormat="1" ht="13.6">
      <c r="A1017" s="5"/>
      <c r="B1017" s="5"/>
      <c r="C1017" s="5"/>
      <c r="D1017" s="5"/>
      <c r="E1017" s="5"/>
      <c r="F1017" s="5"/>
      <c r="G1017" s="5"/>
      <c r="H1017" s="5"/>
      <c r="I1017" s="5"/>
      <c r="J1017" s="5"/>
      <c r="K1017" s="69"/>
      <c r="L1017" s="69"/>
      <c r="M1017" s="69"/>
      <c r="N1017" s="69"/>
      <c r="O1017" s="69"/>
      <c r="P1017" s="153"/>
      <c r="R1017" s="5"/>
      <c r="S1017" s="5"/>
      <c r="Y1017" s="323"/>
    </row>
    <row r="1018" spans="1:25" s="7" customFormat="1" ht="13.6">
      <c r="A1018" s="5"/>
      <c r="B1018" s="5"/>
      <c r="C1018" s="5"/>
      <c r="D1018" s="5"/>
      <c r="E1018" s="5"/>
      <c r="F1018" s="5"/>
      <c r="G1018" s="5"/>
      <c r="H1018" s="5"/>
      <c r="I1018" s="5"/>
      <c r="J1018" s="5"/>
      <c r="K1018" s="69"/>
      <c r="L1018" s="69"/>
      <c r="M1018" s="69"/>
      <c r="N1018" s="69"/>
      <c r="O1018" s="69"/>
      <c r="P1018" s="153"/>
      <c r="R1018" s="5"/>
      <c r="S1018" s="5"/>
      <c r="Y1018" s="323"/>
    </row>
    <row r="1019" spans="1:25" s="7" customFormat="1" ht="13.6">
      <c r="A1019" s="5"/>
      <c r="B1019" s="5"/>
      <c r="C1019" s="5"/>
      <c r="D1019" s="5"/>
      <c r="E1019" s="5"/>
      <c r="F1019" s="5"/>
      <c r="G1019" s="5"/>
      <c r="H1019" s="5"/>
      <c r="I1019" s="5"/>
      <c r="J1019" s="5"/>
      <c r="K1019" s="69"/>
      <c r="L1019" s="69"/>
      <c r="M1019" s="69"/>
      <c r="N1019" s="69"/>
      <c r="O1019" s="69"/>
      <c r="P1019" s="153"/>
      <c r="R1019" s="5"/>
      <c r="S1019" s="5"/>
      <c r="Y1019" s="323"/>
    </row>
    <row r="1020" spans="1:25" s="7" customFormat="1" ht="13.6">
      <c r="A1020" s="5"/>
      <c r="B1020" s="5"/>
      <c r="C1020" s="5"/>
      <c r="D1020" s="5"/>
      <c r="E1020" s="5"/>
      <c r="F1020" s="5"/>
      <c r="G1020" s="5"/>
      <c r="H1020" s="5"/>
      <c r="I1020" s="5"/>
      <c r="J1020" s="5"/>
      <c r="K1020" s="69"/>
      <c r="L1020" s="69"/>
      <c r="M1020" s="69"/>
      <c r="N1020" s="69"/>
      <c r="O1020" s="69"/>
      <c r="P1020" s="153"/>
      <c r="R1020" s="5"/>
      <c r="S1020" s="5"/>
      <c r="Y1020" s="323"/>
    </row>
    <row r="1021" spans="1:25" s="7" customFormat="1" ht="13.6">
      <c r="A1021" s="5"/>
      <c r="B1021" s="5"/>
      <c r="C1021" s="5"/>
      <c r="D1021" s="5"/>
      <c r="E1021" s="5"/>
      <c r="F1021" s="5"/>
      <c r="G1021" s="5"/>
      <c r="H1021" s="5"/>
      <c r="I1021" s="5"/>
      <c r="J1021" s="5"/>
      <c r="K1021" s="69"/>
      <c r="L1021" s="69"/>
      <c r="M1021" s="69"/>
      <c r="N1021" s="69"/>
      <c r="O1021" s="69"/>
      <c r="P1021" s="153"/>
      <c r="R1021" s="5"/>
      <c r="S1021" s="5"/>
      <c r="Y1021" s="323"/>
    </row>
    <row r="1022" spans="1:25" s="7" customFormat="1" ht="13.6">
      <c r="A1022" s="5"/>
      <c r="B1022" s="5"/>
      <c r="C1022" s="5"/>
      <c r="D1022" s="5"/>
      <c r="E1022" s="5"/>
      <c r="F1022" s="5"/>
      <c r="G1022" s="5"/>
      <c r="H1022" s="5"/>
      <c r="I1022" s="5"/>
      <c r="J1022" s="5"/>
      <c r="K1022" s="69"/>
      <c r="L1022" s="69"/>
      <c r="M1022" s="69"/>
      <c r="N1022" s="69"/>
      <c r="O1022" s="69"/>
      <c r="P1022" s="153"/>
      <c r="R1022" s="5"/>
      <c r="S1022" s="5"/>
      <c r="Y1022" s="323"/>
    </row>
    <row r="1023" spans="1:25" s="7" customFormat="1" ht="13.6">
      <c r="A1023" s="5"/>
      <c r="B1023" s="5"/>
      <c r="C1023" s="5"/>
      <c r="D1023" s="5"/>
      <c r="E1023" s="5"/>
      <c r="F1023" s="5"/>
      <c r="G1023" s="5"/>
      <c r="H1023" s="5"/>
      <c r="I1023" s="5"/>
      <c r="J1023" s="5"/>
      <c r="K1023" s="69"/>
      <c r="L1023" s="69"/>
      <c r="M1023" s="69"/>
      <c r="N1023" s="69"/>
      <c r="O1023" s="69"/>
      <c r="P1023" s="153"/>
      <c r="R1023" s="5"/>
      <c r="S1023" s="5"/>
      <c r="Y1023" s="323"/>
    </row>
    <row r="1024" spans="1:25" s="7" customFormat="1" ht="13.6">
      <c r="A1024" s="5"/>
      <c r="B1024" s="5"/>
      <c r="C1024" s="5"/>
      <c r="D1024" s="5"/>
      <c r="E1024" s="5"/>
      <c r="F1024" s="5"/>
      <c r="G1024" s="5"/>
      <c r="H1024" s="5"/>
      <c r="I1024" s="5"/>
      <c r="J1024" s="5"/>
      <c r="K1024" s="69"/>
      <c r="L1024" s="69"/>
      <c r="M1024" s="69"/>
      <c r="N1024" s="69"/>
      <c r="O1024" s="69"/>
      <c r="P1024" s="153"/>
      <c r="R1024" s="5"/>
      <c r="S1024" s="5"/>
      <c r="Y1024" s="323"/>
    </row>
    <row r="1025" spans="1:25" s="7" customFormat="1" ht="13.6">
      <c r="A1025" s="5"/>
      <c r="B1025" s="5"/>
      <c r="C1025" s="5"/>
      <c r="D1025" s="5"/>
      <c r="E1025" s="5"/>
      <c r="F1025" s="5"/>
      <c r="G1025" s="5"/>
      <c r="H1025" s="5"/>
      <c r="I1025" s="5"/>
      <c r="J1025" s="5"/>
      <c r="K1025" s="69"/>
      <c r="L1025" s="69"/>
      <c r="M1025" s="69"/>
      <c r="N1025" s="69"/>
      <c r="O1025" s="69"/>
      <c r="P1025" s="153"/>
      <c r="R1025" s="5"/>
      <c r="S1025" s="5"/>
      <c r="Y1025" s="323"/>
    </row>
    <row r="1026" spans="1:25" s="7" customFormat="1" ht="13.6">
      <c r="A1026" s="5"/>
      <c r="B1026" s="5"/>
      <c r="C1026" s="5"/>
      <c r="D1026" s="5"/>
      <c r="E1026" s="5"/>
      <c r="F1026" s="5"/>
      <c r="G1026" s="5"/>
      <c r="H1026" s="5"/>
      <c r="I1026" s="5"/>
      <c r="J1026" s="5"/>
      <c r="K1026" s="69"/>
      <c r="L1026" s="69"/>
      <c r="M1026" s="69"/>
      <c r="N1026" s="69"/>
      <c r="O1026" s="69"/>
      <c r="P1026" s="153"/>
      <c r="R1026" s="5"/>
      <c r="S1026" s="5"/>
      <c r="Y1026" s="323"/>
    </row>
    <row r="1027" spans="1:25" s="7" customFormat="1" ht="13.6">
      <c r="A1027" s="5"/>
      <c r="B1027" s="5"/>
      <c r="C1027" s="5"/>
      <c r="D1027" s="5"/>
      <c r="E1027" s="5"/>
      <c r="F1027" s="5"/>
      <c r="G1027" s="5"/>
      <c r="H1027" s="5"/>
      <c r="I1027" s="5"/>
      <c r="J1027" s="5"/>
      <c r="K1027" s="69"/>
      <c r="L1027" s="69"/>
      <c r="M1027" s="69"/>
      <c r="N1027" s="69"/>
      <c r="O1027" s="69"/>
      <c r="P1027" s="153"/>
      <c r="R1027" s="5"/>
      <c r="S1027" s="5"/>
      <c r="Y1027" s="323"/>
    </row>
    <row r="1028" spans="1:25" s="7" customFormat="1" ht="13.6">
      <c r="A1028" s="5"/>
      <c r="B1028" s="5"/>
      <c r="C1028" s="5"/>
      <c r="D1028" s="5"/>
      <c r="E1028" s="5"/>
      <c r="F1028" s="5"/>
      <c r="G1028" s="5"/>
      <c r="H1028" s="5"/>
      <c r="I1028" s="5"/>
      <c r="J1028" s="5"/>
      <c r="K1028" s="69"/>
      <c r="L1028" s="69"/>
      <c r="M1028" s="69"/>
      <c r="N1028" s="69"/>
      <c r="O1028" s="69"/>
      <c r="P1028" s="153"/>
      <c r="R1028" s="5"/>
      <c r="S1028" s="5"/>
      <c r="Y1028" s="323"/>
    </row>
    <row r="1029" spans="1:25" s="7" customFormat="1" ht="13.6">
      <c r="A1029" s="5"/>
      <c r="B1029" s="5"/>
      <c r="C1029" s="5"/>
      <c r="D1029" s="5"/>
      <c r="E1029" s="5"/>
      <c r="F1029" s="5"/>
      <c r="G1029" s="5"/>
      <c r="H1029" s="5"/>
      <c r="I1029" s="5"/>
      <c r="J1029" s="5"/>
      <c r="K1029" s="69"/>
      <c r="L1029" s="69"/>
      <c r="M1029" s="69"/>
      <c r="N1029" s="69"/>
      <c r="O1029" s="69"/>
      <c r="P1029" s="153"/>
      <c r="R1029" s="5"/>
      <c r="S1029" s="5"/>
      <c r="Y1029" s="323"/>
    </row>
    <row r="1030" spans="1:25" s="7" customFormat="1" ht="13.6">
      <c r="A1030" s="5"/>
      <c r="B1030" s="5"/>
      <c r="C1030" s="5"/>
      <c r="D1030" s="5"/>
      <c r="E1030" s="5"/>
      <c r="F1030" s="5"/>
      <c r="G1030" s="5"/>
      <c r="H1030" s="5"/>
      <c r="I1030" s="5"/>
      <c r="J1030" s="5"/>
      <c r="K1030" s="69"/>
      <c r="L1030" s="69"/>
      <c r="M1030" s="69"/>
      <c r="N1030" s="69"/>
      <c r="O1030" s="69"/>
      <c r="P1030" s="153"/>
      <c r="R1030" s="5"/>
      <c r="S1030" s="5"/>
      <c r="Y1030" s="323"/>
    </row>
    <row r="1031" spans="1:25" s="7" customFormat="1" ht="13.6">
      <c r="A1031" s="5"/>
      <c r="B1031" s="5"/>
      <c r="C1031" s="5"/>
      <c r="D1031" s="5"/>
      <c r="E1031" s="5"/>
      <c r="F1031" s="5"/>
      <c r="G1031" s="5"/>
      <c r="H1031" s="5"/>
      <c r="I1031" s="5"/>
      <c r="J1031" s="5"/>
      <c r="K1031" s="69"/>
      <c r="L1031" s="69"/>
      <c r="M1031" s="69"/>
      <c r="N1031" s="69"/>
      <c r="O1031" s="69"/>
      <c r="P1031" s="153"/>
      <c r="R1031" s="5"/>
      <c r="S1031" s="5"/>
      <c r="Y1031" s="323"/>
    </row>
    <row r="1032" spans="1:25" s="7" customFormat="1" ht="13.6">
      <c r="A1032" s="5"/>
      <c r="B1032" s="5"/>
      <c r="C1032" s="5"/>
      <c r="D1032" s="5"/>
      <c r="E1032" s="5"/>
      <c r="F1032" s="5"/>
      <c r="G1032" s="5"/>
      <c r="H1032" s="5"/>
      <c r="I1032" s="5"/>
      <c r="J1032" s="5"/>
      <c r="K1032" s="69"/>
      <c r="L1032" s="69"/>
      <c r="M1032" s="69"/>
      <c r="N1032" s="69"/>
      <c r="O1032" s="69"/>
      <c r="P1032" s="153"/>
      <c r="R1032" s="5"/>
      <c r="S1032" s="5"/>
      <c r="Y1032" s="323"/>
    </row>
    <row r="1033" spans="1:25" s="7" customFormat="1" ht="13.6">
      <c r="A1033" s="5"/>
      <c r="B1033" s="5"/>
      <c r="C1033" s="5"/>
      <c r="D1033" s="5"/>
      <c r="E1033" s="5"/>
      <c r="F1033" s="5"/>
      <c r="G1033" s="5"/>
      <c r="H1033" s="5"/>
      <c r="I1033" s="5"/>
      <c r="J1033" s="5"/>
      <c r="K1033" s="69"/>
      <c r="L1033" s="69"/>
      <c r="M1033" s="69"/>
      <c r="N1033" s="69"/>
      <c r="O1033" s="69"/>
      <c r="P1033" s="153"/>
      <c r="R1033" s="5"/>
      <c r="S1033" s="5"/>
      <c r="Y1033" s="323"/>
    </row>
    <row r="1034" spans="1:25" s="7" customFormat="1" ht="13.6">
      <c r="A1034" s="5"/>
      <c r="B1034" s="5"/>
      <c r="C1034" s="5"/>
      <c r="D1034" s="5"/>
      <c r="E1034" s="5"/>
      <c r="F1034" s="5"/>
      <c r="G1034" s="5"/>
      <c r="H1034" s="5"/>
      <c r="I1034" s="5"/>
      <c r="J1034" s="5"/>
      <c r="K1034" s="69"/>
      <c r="L1034" s="69"/>
      <c r="M1034" s="69"/>
      <c r="N1034" s="69"/>
      <c r="O1034" s="69"/>
      <c r="P1034" s="153"/>
      <c r="R1034" s="5"/>
      <c r="S1034" s="5"/>
      <c r="Y1034" s="323"/>
    </row>
    <row r="1035" spans="1:25" s="7" customFormat="1" ht="13.6">
      <c r="A1035" s="5"/>
      <c r="B1035" s="5"/>
      <c r="C1035" s="5"/>
      <c r="D1035" s="5"/>
      <c r="E1035" s="5"/>
      <c r="F1035" s="5"/>
      <c r="G1035" s="5"/>
      <c r="H1035" s="5"/>
      <c r="I1035" s="5"/>
      <c r="J1035" s="5"/>
      <c r="K1035" s="69"/>
      <c r="L1035" s="69"/>
      <c r="M1035" s="69"/>
      <c r="N1035" s="69"/>
      <c r="O1035" s="69"/>
      <c r="P1035" s="153"/>
      <c r="R1035" s="5"/>
      <c r="S1035" s="5"/>
      <c r="Y1035" s="323"/>
    </row>
    <row r="1036" spans="1:25" s="7" customFormat="1" ht="13.6">
      <c r="A1036" s="5"/>
      <c r="B1036" s="5"/>
      <c r="C1036" s="5"/>
      <c r="D1036" s="5"/>
      <c r="E1036" s="5"/>
      <c r="F1036" s="5"/>
      <c r="G1036" s="5"/>
      <c r="H1036" s="5"/>
      <c r="I1036" s="5"/>
      <c r="J1036" s="5"/>
      <c r="K1036" s="69"/>
      <c r="L1036" s="69"/>
      <c r="M1036" s="69"/>
      <c r="N1036" s="69"/>
      <c r="O1036" s="69"/>
      <c r="P1036" s="153"/>
      <c r="R1036" s="5"/>
      <c r="S1036" s="5"/>
      <c r="Y1036" s="323"/>
    </row>
    <row r="1037" spans="1:25" s="7" customFormat="1" ht="13.6">
      <c r="A1037" s="5"/>
      <c r="B1037" s="5"/>
      <c r="C1037" s="5"/>
      <c r="D1037" s="5"/>
      <c r="E1037" s="5"/>
      <c r="F1037" s="5"/>
      <c r="G1037" s="5"/>
      <c r="H1037" s="5"/>
      <c r="I1037" s="5"/>
      <c r="J1037" s="5"/>
      <c r="K1037" s="69"/>
      <c r="L1037" s="69"/>
      <c r="M1037" s="69"/>
      <c r="N1037" s="69"/>
      <c r="O1037" s="69"/>
      <c r="P1037" s="153"/>
      <c r="R1037" s="5"/>
      <c r="S1037" s="5"/>
      <c r="Y1037" s="323"/>
    </row>
    <row r="1038" spans="1:25" s="7" customFormat="1" ht="13.6">
      <c r="A1038" s="5"/>
      <c r="B1038" s="5"/>
      <c r="C1038" s="5"/>
      <c r="D1038" s="5"/>
      <c r="E1038" s="5"/>
      <c r="F1038" s="5"/>
      <c r="G1038" s="5"/>
      <c r="H1038" s="5"/>
      <c r="I1038" s="5"/>
      <c r="J1038" s="5"/>
      <c r="K1038" s="69"/>
      <c r="L1038" s="69"/>
      <c r="M1038" s="69"/>
      <c r="N1038" s="69"/>
      <c r="O1038" s="69"/>
      <c r="P1038" s="153"/>
      <c r="R1038" s="5"/>
      <c r="S1038" s="5"/>
      <c r="Y1038" s="323"/>
    </row>
    <row r="1039" spans="1:25" s="7" customFormat="1" ht="13.6">
      <c r="A1039" s="5"/>
      <c r="B1039" s="5"/>
      <c r="C1039" s="5"/>
      <c r="D1039" s="5"/>
      <c r="E1039" s="5"/>
      <c r="F1039" s="5"/>
      <c r="G1039" s="5"/>
      <c r="H1039" s="5"/>
      <c r="I1039" s="5"/>
      <c r="J1039" s="5"/>
      <c r="K1039" s="69"/>
      <c r="L1039" s="69"/>
      <c r="M1039" s="69"/>
      <c r="N1039" s="69"/>
      <c r="O1039" s="69"/>
      <c r="P1039" s="153"/>
      <c r="R1039" s="5"/>
      <c r="S1039" s="5"/>
      <c r="Y1039" s="323"/>
    </row>
    <row r="1040" spans="1:25" s="7" customFormat="1" ht="13.6">
      <c r="A1040" s="5"/>
      <c r="B1040" s="5"/>
      <c r="C1040" s="5"/>
      <c r="D1040" s="5"/>
      <c r="E1040" s="5"/>
      <c r="F1040" s="5"/>
      <c r="G1040" s="5"/>
      <c r="H1040" s="5"/>
      <c r="I1040" s="5"/>
      <c r="J1040" s="5"/>
      <c r="K1040" s="69"/>
      <c r="L1040" s="69"/>
      <c r="M1040" s="69"/>
      <c r="N1040" s="69"/>
      <c r="O1040" s="69"/>
      <c r="P1040" s="153"/>
      <c r="R1040" s="5"/>
      <c r="S1040" s="5"/>
      <c r="Y1040" s="323"/>
    </row>
    <row r="1041" spans="1:25" s="7" customFormat="1" ht="13.6">
      <c r="A1041" s="5"/>
      <c r="B1041" s="5"/>
      <c r="C1041" s="5"/>
      <c r="D1041" s="5"/>
      <c r="E1041" s="5"/>
      <c r="F1041" s="5"/>
      <c r="G1041" s="5"/>
      <c r="H1041" s="5"/>
      <c r="I1041" s="5"/>
      <c r="J1041" s="5"/>
      <c r="K1041" s="69"/>
      <c r="L1041" s="69"/>
      <c r="M1041" s="69"/>
      <c r="N1041" s="69"/>
      <c r="O1041" s="69"/>
      <c r="P1041" s="153"/>
      <c r="R1041" s="5"/>
      <c r="S1041" s="5"/>
      <c r="Y1041" s="323"/>
    </row>
    <row r="1042" spans="1:25" s="7" customFormat="1" ht="13.6">
      <c r="A1042" s="5"/>
      <c r="B1042" s="5"/>
      <c r="C1042" s="5"/>
      <c r="D1042" s="5"/>
      <c r="E1042" s="5"/>
      <c r="F1042" s="5"/>
      <c r="G1042" s="5"/>
      <c r="H1042" s="5"/>
      <c r="I1042" s="5"/>
      <c r="J1042" s="5"/>
      <c r="K1042" s="69"/>
      <c r="L1042" s="69"/>
      <c r="M1042" s="69"/>
      <c r="N1042" s="69"/>
      <c r="O1042" s="69"/>
      <c r="P1042" s="153"/>
      <c r="R1042" s="5"/>
      <c r="S1042" s="5"/>
      <c r="Y1042" s="323"/>
    </row>
    <row r="1043" spans="1:25" s="7" customFormat="1" ht="13.6">
      <c r="A1043" s="5"/>
      <c r="B1043" s="5"/>
      <c r="C1043" s="5"/>
      <c r="D1043" s="5"/>
      <c r="E1043" s="5"/>
      <c r="F1043" s="5"/>
      <c r="G1043" s="5"/>
      <c r="H1043" s="5"/>
      <c r="I1043" s="5"/>
      <c r="J1043" s="5"/>
      <c r="K1043" s="69"/>
      <c r="L1043" s="69"/>
      <c r="M1043" s="69"/>
      <c r="N1043" s="69"/>
      <c r="O1043" s="69"/>
      <c r="P1043" s="153"/>
      <c r="R1043" s="5"/>
      <c r="S1043" s="5"/>
      <c r="Y1043" s="323"/>
    </row>
    <row r="1044" spans="1:25" s="7" customFormat="1" ht="13.6">
      <c r="A1044" s="5"/>
      <c r="B1044" s="5"/>
      <c r="C1044" s="5"/>
      <c r="D1044" s="5"/>
      <c r="E1044" s="5"/>
      <c r="F1044" s="5"/>
      <c r="G1044" s="5"/>
      <c r="H1044" s="5"/>
      <c r="I1044" s="5"/>
      <c r="J1044" s="5"/>
      <c r="K1044" s="69"/>
      <c r="L1044" s="69"/>
      <c r="M1044" s="69"/>
      <c r="N1044" s="69"/>
      <c r="O1044" s="69"/>
      <c r="P1044" s="153"/>
      <c r="R1044" s="5"/>
      <c r="S1044" s="5"/>
      <c r="Y1044" s="323"/>
    </row>
    <row r="1045" spans="1:25" s="7" customFormat="1" ht="13.6">
      <c r="A1045" s="5"/>
      <c r="B1045" s="5"/>
      <c r="C1045" s="5"/>
      <c r="D1045" s="5"/>
      <c r="E1045" s="5"/>
      <c r="F1045" s="5"/>
      <c r="G1045" s="5"/>
      <c r="H1045" s="5"/>
      <c r="I1045" s="5"/>
      <c r="J1045" s="5"/>
      <c r="K1045" s="69"/>
      <c r="L1045" s="69"/>
      <c r="M1045" s="69"/>
      <c r="N1045" s="69"/>
      <c r="O1045" s="69"/>
      <c r="P1045" s="153"/>
      <c r="R1045" s="5"/>
      <c r="S1045" s="5"/>
      <c r="Y1045" s="323"/>
    </row>
    <row r="1046" spans="1:25" s="7" customFormat="1" ht="13.6">
      <c r="A1046" s="5"/>
      <c r="B1046" s="5"/>
      <c r="C1046" s="5"/>
      <c r="D1046" s="5"/>
      <c r="E1046" s="5"/>
      <c r="F1046" s="5"/>
      <c r="G1046" s="5"/>
      <c r="H1046" s="5"/>
      <c r="I1046" s="5"/>
      <c r="J1046" s="5"/>
      <c r="K1046" s="69"/>
      <c r="L1046" s="69"/>
      <c r="M1046" s="69"/>
      <c r="N1046" s="69"/>
      <c r="O1046" s="69"/>
      <c r="P1046" s="153"/>
      <c r="R1046" s="5"/>
      <c r="S1046" s="5"/>
      <c r="Y1046" s="323"/>
    </row>
    <row r="1047" spans="1:25" s="7" customFormat="1" ht="13.6">
      <c r="A1047" s="5"/>
      <c r="B1047" s="5"/>
      <c r="C1047" s="5"/>
      <c r="D1047" s="5"/>
      <c r="E1047" s="5"/>
      <c r="F1047" s="5"/>
      <c r="G1047" s="5"/>
      <c r="H1047" s="5"/>
      <c r="I1047" s="5"/>
      <c r="J1047" s="5"/>
      <c r="K1047" s="69"/>
      <c r="L1047" s="69"/>
      <c r="M1047" s="69"/>
      <c r="N1047" s="69"/>
      <c r="O1047" s="69"/>
      <c r="P1047" s="153"/>
      <c r="R1047" s="5"/>
      <c r="S1047" s="5"/>
      <c r="Y1047" s="323"/>
    </row>
    <row r="1048" spans="1:25" s="7" customFormat="1" ht="13.6">
      <c r="A1048" s="5"/>
      <c r="B1048" s="5"/>
      <c r="C1048" s="5"/>
      <c r="D1048" s="5"/>
      <c r="E1048" s="5"/>
      <c r="F1048" s="5"/>
      <c r="G1048" s="5"/>
      <c r="H1048" s="5"/>
      <c r="I1048" s="5"/>
      <c r="J1048" s="5"/>
      <c r="K1048" s="69"/>
      <c r="L1048" s="69"/>
      <c r="M1048" s="69"/>
      <c r="N1048" s="69"/>
      <c r="O1048" s="69"/>
      <c r="P1048" s="153"/>
      <c r="R1048" s="5"/>
      <c r="S1048" s="5"/>
      <c r="Y1048" s="323"/>
    </row>
    <row r="1049" spans="1:25" s="7" customFormat="1" ht="13.6">
      <c r="A1049" s="5"/>
      <c r="B1049" s="5"/>
      <c r="C1049" s="5"/>
      <c r="D1049" s="5"/>
      <c r="E1049" s="5"/>
      <c r="F1049" s="5"/>
      <c r="G1049" s="5"/>
      <c r="H1049" s="5"/>
      <c r="I1049" s="5"/>
      <c r="J1049" s="5"/>
      <c r="K1049" s="69"/>
      <c r="L1049" s="69"/>
      <c r="M1049" s="69"/>
      <c r="N1049" s="69"/>
      <c r="O1049" s="69"/>
      <c r="P1049" s="153"/>
      <c r="R1049" s="5"/>
      <c r="S1049" s="5"/>
      <c r="Y1049" s="323"/>
    </row>
    <row r="1050" spans="1:25" s="7" customFormat="1" ht="13.6">
      <c r="A1050" s="5"/>
      <c r="B1050" s="5"/>
      <c r="C1050" s="5"/>
      <c r="D1050" s="5"/>
      <c r="E1050" s="5"/>
      <c r="F1050" s="5"/>
      <c r="G1050" s="5"/>
      <c r="H1050" s="5"/>
      <c r="I1050" s="5"/>
      <c r="J1050" s="5"/>
      <c r="K1050" s="69"/>
      <c r="L1050" s="69"/>
      <c r="M1050" s="69"/>
      <c r="N1050" s="69"/>
      <c r="O1050" s="69"/>
      <c r="P1050" s="153"/>
      <c r="R1050" s="5"/>
      <c r="S1050" s="5"/>
      <c r="Y1050" s="323"/>
    </row>
    <row r="1051" spans="1:25" s="7" customFormat="1" ht="13.6">
      <c r="A1051" s="5"/>
      <c r="B1051" s="5"/>
      <c r="C1051" s="5"/>
      <c r="D1051" s="5"/>
      <c r="E1051" s="5"/>
      <c r="F1051" s="5"/>
      <c r="G1051" s="5"/>
      <c r="H1051" s="5"/>
      <c r="I1051" s="5"/>
      <c r="J1051" s="5"/>
      <c r="K1051" s="69"/>
      <c r="L1051" s="69"/>
      <c r="M1051" s="69"/>
      <c r="N1051" s="69"/>
      <c r="O1051" s="69"/>
      <c r="P1051" s="153"/>
      <c r="R1051" s="5"/>
      <c r="S1051" s="5"/>
      <c r="Y1051" s="323"/>
    </row>
    <row r="1052" spans="1:25" s="7" customFormat="1" ht="13.6">
      <c r="A1052" s="5"/>
      <c r="B1052" s="5"/>
      <c r="C1052" s="5"/>
      <c r="D1052" s="5"/>
      <c r="E1052" s="5"/>
      <c r="F1052" s="5"/>
      <c r="G1052" s="5"/>
      <c r="H1052" s="5"/>
      <c r="I1052" s="5"/>
      <c r="J1052" s="5"/>
      <c r="K1052" s="69"/>
      <c r="L1052" s="69"/>
      <c r="M1052" s="69"/>
      <c r="N1052" s="69"/>
      <c r="O1052" s="69"/>
      <c r="P1052" s="153"/>
      <c r="R1052" s="5"/>
      <c r="S1052" s="5"/>
      <c r="Y1052" s="323"/>
    </row>
    <row r="1053" spans="1:25" s="7" customFormat="1" ht="13.6">
      <c r="A1053" s="5"/>
      <c r="B1053" s="5"/>
      <c r="C1053" s="5"/>
      <c r="D1053" s="5"/>
      <c r="E1053" s="5"/>
      <c r="F1053" s="5"/>
      <c r="G1053" s="5"/>
      <c r="H1053" s="5"/>
      <c r="I1053" s="5"/>
      <c r="J1053" s="5"/>
      <c r="K1053" s="69"/>
      <c r="L1053" s="69"/>
      <c r="M1053" s="69"/>
      <c r="N1053" s="69"/>
      <c r="O1053" s="69"/>
      <c r="P1053" s="153"/>
      <c r="R1053" s="5"/>
      <c r="S1053" s="5"/>
      <c r="Y1053" s="323"/>
    </row>
    <row r="1054" spans="1:25" s="7" customFormat="1" ht="13.6">
      <c r="A1054" s="5"/>
      <c r="B1054" s="5"/>
      <c r="C1054" s="5"/>
      <c r="D1054" s="5"/>
      <c r="E1054" s="5"/>
      <c r="F1054" s="5"/>
      <c r="G1054" s="5"/>
      <c r="H1054" s="5"/>
      <c r="I1054" s="5"/>
      <c r="J1054" s="5"/>
      <c r="K1054" s="69"/>
      <c r="L1054" s="69"/>
      <c r="M1054" s="69"/>
      <c r="N1054" s="69"/>
      <c r="O1054" s="69"/>
      <c r="P1054" s="153"/>
      <c r="R1054" s="5"/>
      <c r="S1054" s="5"/>
      <c r="Y1054" s="323"/>
    </row>
    <row r="1055" spans="1:25" s="7" customFormat="1" ht="13.6">
      <c r="A1055" s="5"/>
      <c r="B1055" s="5"/>
      <c r="C1055" s="5"/>
      <c r="D1055" s="5"/>
      <c r="E1055" s="5"/>
      <c r="F1055" s="5"/>
      <c r="G1055" s="5"/>
      <c r="H1055" s="5"/>
      <c r="I1055" s="5"/>
      <c r="J1055" s="5"/>
      <c r="K1055" s="69"/>
      <c r="L1055" s="69"/>
      <c r="M1055" s="69"/>
      <c r="N1055" s="69"/>
      <c r="O1055" s="69"/>
      <c r="P1055" s="153"/>
      <c r="R1055" s="5"/>
      <c r="S1055" s="5"/>
      <c r="Y1055" s="323"/>
    </row>
    <row r="1056" spans="1:25" s="7" customFormat="1" ht="13.6">
      <c r="A1056" s="5"/>
      <c r="B1056" s="5"/>
      <c r="C1056" s="5"/>
      <c r="D1056" s="5"/>
      <c r="E1056" s="5"/>
      <c r="F1056" s="5"/>
      <c r="G1056" s="5"/>
      <c r="H1056" s="5"/>
      <c r="I1056" s="5"/>
      <c r="J1056" s="5"/>
      <c r="K1056" s="69"/>
      <c r="L1056" s="69"/>
      <c r="M1056" s="69"/>
      <c r="N1056" s="69"/>
      <c r="O1056" s="69"/>
      <c r="P1056" s="153"/>
      <c r="R1056" s="5"/>
      <c r="S1056" s="5"/>
      <c r="Y1056" s="323"/>
    </row>
    <row r="1057" spans="1:25" s="7" customFormat="1" ht="13.6">
      <c r="A1057" s="5"/>
      <c r="B1057" s="5"/>
      <c r="C1057" s="5"/>
      <c r="D1057" s="5"/>
      <c r="E1057" s="5"/>
      <c r="F1057" s="5"/>
      <c r="G1057" s="5"/>
      <c r="H1057" s="5"/>
      <c r="I1057" s="5"/>
      <c r="J1057" s="5"/>
      <c r="K1057" s="69"/>
      <c r="L1057" s="69"/>
      <c r="M1057" s="69"/>
      <c r="N1057" s="69"/>
      <c r="O1057" s="69"/>
      <c r="P1057" s="153"/>
      <c r="R1057" s="5"/>
      <c r="S1057" s="5"/>
      <c r="Y1057" s="323"/>
    </row>
    <row r="1058" spans="1:25" s="7" customFormat="1" ht="13.6">
      <c r="A1058" s="5"/>
      <c r="B1058" s="5"/>
      <c r="C1058" s="5"/>
      <c r="D1058" s="5"/>
      <c r="E1058" s="5"/>
      <c r="F1058" s="5"/>
      <c r="G1058" s="5"/>
      <c r="H1058" s="5"/>
      <c r="I1058" s="5"/>
      <c r="J1058" s="5"/>
      <c r="K1058" s="69"/>
      <c r="L1058" s="69"/>
      <c r="M1058" s="69"/>
      <c r="N1058" s="69"/>
      <c r="O1058" s="69"/>
      <c r="P1058" s="153"/>
      <c r="R1058" s="5"/>
      <c r="S1058" s="5"/>
      <c r="Y1058" s="323"/>
    </row>
    <row r="1059" spans="1:25" s="7" customFormat="1" ht="13.6">
      <c r="A1059" s="5"/>
      <c r="B1059" s="5"/>
      <c r="C1059" s="5"/>
      <c r="D1059" s="5"/>
      <c r="E1059" s="5"/>
      <c r="F1059" s="5"/>
      <c r="G1059" s="5"/>
      <c r="H1059" s="5"/>
      <c r="I1059" s="5"/>
      <c r="J1059" s="5"/>
      <c r="K1059" s="69"/>
      <c r="L1059" s="69"/>
      <c r="M1059" s="69"/>
      <c r="N1059" s="69"/>
      <c r="O1059" s="69"/>
      <c r="P1059" s="153"/>
      <c r="R1059" s="5"/>
      <c r="S1059" s="5"/>
      <c r="Y1059" s="323"/>
    </row>
    <row r="1060" spans="1:25" s="7" customFormat="1" ht="13.6">
      <c r="A1060" s="5"/>
      <c r="B1060" s="5"/>
      <c r="C1060" s="5"/>
      <c r="D1060" s="5"/>
      <c r="E1060" s="5"/>
      <c r="F1060" s="5"/>
      <c r="G1060" s="5"/>
      <c r="H1060" s="5"/>
      <c r="I1060" s="5"/>
      <c r="J1060" s="5"/>
      <c r="K1060" s="69"/>
      <c r="L1060" s="69"/>
      <c r="M1060" s="69"/>
      <c r="N1060" s="69"/>
      <c r="O1060" s="69"/>
      <c r="P1060" s="153"/>
      <c r="R1060" s="5"/>
      <c r="S1060" s="5"/>
      <c r="Y1060" s="323"/>
    </row>
    <row r="1061" spans="1:25" s="7" customFormat="1" ht="13.6">
      <c r="A1061" s="5"/>
      <c r="B1061" s="5"/>
      <c r="C1061" s="5"/>
      <c r="D1061" s="5"/>
      <c r="E1061" s="5"/>
      <c r="F1061" s="5"/>
      <c r="G1061" s="5"/>
      <c r="H1061" s="5"/>
      <c r="I1061" s="5"/>
      <c r="J1061" s="5"/>
      <c r="K1061" s="69"/>
      <c r="L1061" s="69"/>
      <c r="M1061" s="69"/>
      <c r="N1061" s="69"/>
      <c r="O1061" s="69"/>
      <c r="P1061" s="153"/>
      <c r="R1061" s="5"/>
      <c r="S1061" s="5"/>
      <c r="Y1061" s="323"/>
    </row>
    <row r="1062" spans="1:25" s="7" customFormat="1" ht="13.6">
      <c r="A1062" s="5"/>
      <c r="B1062" s="5"/>
      <c r="C1062" s="5"/>
      <c r="D1062" s="5"/>
      <c r="E1062" s="5"/>
      <c r="F1062" s="5"/>
      <c r="G1062" s="5"/>
      <c r="H1062" s="5"/>
      <c r="I1062" s="5"/>
      <c r="J1062" s="5"/>
      <c r="K1062" s="69"/>
      <c r="L1062" s="69"/>
      <c r="M1062" s="69"/>
      <c r="N1062" s="69"/>
      <c r="O1062" s="69"/>
      <c r="P1062" s="153"/>
      <c r="R1062" s="5"/>
      <c r="S1062" s="5"/>
      <c r="Y1062" s="323"/>
    </row>
    <row r="1063" spans="1:25" s="7" customFormat="1" ht="13.6">
      <c r="A1063" s="5"/>
      <c r="B1063" s="5"/>
      <c r="C1063" s="5"/>
      <c r="D1063" s="5"/>
      <c r="E1063" s="5"/>
      <c r="F1063" s="5"/>
      <c r="G1063" s="5"/>
      <c r="H1063" s="5"/>
      <c r="I1063" s="5"/>
      <c r="J1063" s="5"/>
      <c r="K1063" s="69"/>
      <c r="L1063" s="69"/>
      <c r="M1063" s="69"/>
      <c r="N1063" s="69"/>
      <c r="O1063" s="69"/>
      <c r="P1063" s="153"/>
      <c r="R1063" s="5"/>
      <c r="S1063" s="5"/>
      <c r="Y1063" s="323"/>
    </row>
    <row r="1064" spans="1:25" s="7" customFormat="1" ht="13.6">
      <c r="A1064" s="5"/>
      <c r="B1064" s="5"/>
      <c r="C1064" s="5"/>
      <c r="D1064" s="5"/>
      <c r="E1064" s="5"/>
      <c r="F1064" s="5"/>
      <c r="G1064" s="5"/>
      <c r="H1064" s="5"/>
      <c r="I1064" s="5"/>
      <c r="J1064" s="5"/>
      <c r="K1064" s="69"/>
      <c r="L1064" s="69"/>
      <c r="M1064" s="69"/>
      <c r="N1064" s="69"/>
      <c r="O1064" s="69"/>
      <c r="P1064" s="153"/>
      <c r="R1064" s="5"/>
      <c r="S1064" s="5"/>
      <c r="Y1064" s="323"/>
    </row>
    <row r="1065" spans="1:25" s="7" customFormat="1" ht="13.6">
      <c r="A1065" s="5"/>
      <c r="B1065" s="5"/>
      <c r="C1065" s="5"/>
      <c r="D1065" s="5"/>
      <c r="E1065" s="5"/>
      <c r="F1065" s="5"/>
      <c r="G1065" s="5"/>
      <c r="H1065" s="5"/>
      <c r="I1065" s="5"/>
      <c r="J1065" s="5"/>
      <c r="K1065" s="69"/>
      <c r="L1065" s="69"/>
      <c r="M1065" s="69"/>
      <c r="N1065" s="69"/>
      <c r="O1065" s="69"/>
      <c r="P1065" s="153"/>
      <c r="R1065" s="5"/>
      <c r="S1065" s="5"/>
      <c r="Y1065" s="323"/>
    </row>
    <row r="1066" spans="1:25" s="7" customFormat="1" ht="13.6">
      <c r="A1066" s="5"/>
      <c r="B1066" s="5"/>
      <c r="C1066" s="5"/>
      <c r="D1066" s="5"/>
      <c r="E1066" s="5"/>
      <c r="F1066" s="5"/>
      <c r="G1066" s="5"/>
      <c r="H1066" s="5"/>
      <c r="I1066" s="5"/>
      <c r="J1066" s="5"/>
      <c r="K1066" s="69"/>
      <c r="L1066" s="69"/>
      <c r="M1066" s="69"/>
      <c r="N1066" s="69"/>
      <c r="O1066" s="69"/>
      <c r="P1066" s="153"/>
      <c r="R1066" s="5"/>
      <c r="S1066" s="5"/>
      <c r="Y1066" s="323"/>
    </row>
    <row r="1067" spans="1:25" s="7" customFormat="1" ht="13.6">
      <c r="A1067" s="5"/>
      <c r="B1067" s="5"/>
      <c r="C1067" s="5"/>
      <c r="D1067" s="5"/>
      <c r="E1067" s="5"/>
      <c r="F1067" s="5"/>
      <c r="G1067" s="5"/>
      <c r="H1067" s="5"/>
      <c r="I1067" s="5"/>
      <c r="J1067" s="5"/>
      <c r="K1067" s="69"/>
      <c r="L1067" s="69"/>
      <c r="M1067" s="69"/>
      <c r="N1067" s="69"/>
      <c r="O1067" s="69"/>
      <c r="P1067" s="153"/>
      <c r="R1067" s="5"/>
      <c r="S1067" s="5"/>
      <c r="Y1067" s="323"/>
    </row>
    <row r="1068" spans="1:25" s="7" customFormat="1" ht="13.6">
      <c r="A1068" s="5"/>
      <c r="B1068" s="5"/>
      <c r="C1068" s="5"/>
      <c r="D1068" s="5"/>
      <c r="E1068" s="5"/>
      <c r="F1068" s="5"/>
      <c r="G1068" s="5"/>
      <c r="H1068" s="5"/>
      <c r="I1068" s="5"/>
      <c r="J1068" s="5"/>
      <c r="K1068" s="69"/>
      <c r="L1068" s="69"/>
      <c r="M1068" s="69"/>
      <c r="N1068" s="69"/>
      <c r="O1068" s="69"/>
      <c r="P1068" s="153"/>
      <c r="R1068" s="5"/>
      <c r="S1068" s="5"/>
      <c r="Y1068" s="323"/>
    </row>
    <row r="1069" spans="1:25" s="7" customFormat="1" ht="13.6">
      <c r="A1069" s="5"/>
      <c r="B1069" s="5"/>
      <c r="C1069" s="5"/>
      <c r="D1069" s="5"/>
      <c r="E1069" s="5"/>
      <c r="F1069" s="5"/>
      <c r="G1069" s="5"/>
      <c r="H1069" s="5"/>
      <c r="I1069" s="5"/>
      <c r="J1069" s="5"/>
      <c r="K1069" s="69"/>
      <c r="L1069" s="69"/>
      <c r="M1069" s="69"/>
      <c r="N1069" s="69"/>
      <c r="O1069" s="69"/>
      <c r="P1069" s="153"/>
      <c r="R1069" s="5"/>
      <c r="S1069" s="5"/>
      <c r="Y1069" s="323"/>
    </row>
    <row r="1070" spans="1:25" s="7" customFormat="1" ht="13.6">
      <c r="A1070" s="5"/>
      <c r="B1070" s="5"/>
      <c r="C1070" s="5"/>
      <c r="D1070" s="5"/>
      <c r="E1070" s="5"/>
      <c r="F1070" s="5"/>
      <c r="G1070" s="5"/>
      <c r="H1070" s="5"/>
      <c r="I1070" s="5"/>
      <c r="J1070" s="5"/>
      <c r="K1070" s="69"/>
      <c r="L1070" s="69"/>
      <c r="M1070" s="69"/>
      <c r="N1070" s="69"/>
      <c r="O1070" s="69"/>
      <c r="P1070" s="153"/>
      <c r="R1070" s="5"/>
      <c r="S1070" s="5"/>
      <c r="Y1070" s="323"/>
    </row>
    <row r="1071" spans="1:25" s="7" customFormat="1" ht="13.6">
      <c r="A1071" s="5"/>
      <c r="B1071" s="5"/>
      <c r="C1071" s="5"/>
      <c r="D1071" s="5"/>
      <c r="E1071" s="5"/>
      <c r="F1071" s="5"/>
      <c r="G1071" s="5"/>
      <c r="H1071" s="5"/>
      <c r="I1071" s="5"/>
      <c r="J1071" s="5"/>
      <c r="K1071" s="69"/>
      <c r="L1071" s="69"/>
      <c r="M1071" s="69"/>
      <c r="N1071" s="69"/>
      <c r="O1071" s="69"/>
      <c r="P1071" s="153"/>
      <c r="R1071" s="5"/>
      <c r="S1071" s="5"/>
      <c r="Y1071" s="323"/>
    </row>
    <row r="1072" spans="1:25" s="7" customFormat="1" ht="13.6">
      <c r="A1072" s="5"/>
      <c r="B1072" s="5"/>
      <c r="C1072" s="5"/>
      <c r="D1072" s="5"/>
      <c r="E1072" s="5"/>
      <c r="F1072" s="5"/>
      <c r="G1072" s="5"/>
      <c r="H1072" s="5"/>
      <c r="I1072" s="5"/>
      <c r="J1072" s="5"/>
      <c r="K1072" s="69"/>
      <c r="L1072" s="69"/>
      <c r="M1072" s="69"/>
      <c r="N1072" s="69"/>
      <c r="O1072" s="69"/>
      <c r="P1072" s="153"/>
      <c r="R1072" s="5"/>
      <c r="S1072" s="5"/>
      <c r="Y1072" s="323"/>
    </row>
    <row r="1073" spans="1:25" s="7" customFormat="1" ht="13.6">
      <c r="A1073" s="5"/>
      <c r="B1073" s="5"/>
      <c r="C1073" s="5"/>
      <c r="D1073" s="5"/>
      <c r="E1073" s="5"/>
      <c r="F1073" s="5"/>
      <c r="G1073" s="5"/>
      <c r="H1073" s="5"/>
      <c r="I1073" s="5"/>
      <c r="J1073" s="5"/>
      <c r="K1073" s="69"/>
      <c r="L1073" s="69"/>
      <c r="M1073" s="69"/>
      <c r="N1073" s="69"/>
      <c r="O1073" s="69"/>
      <c r="P1073" s="153"/>
      <c r="R1073" s="5"/>
      <c r="S1073" s="5"/>
      <c r="Y1073" s="323"/>
    </row>
    <row r="1074" spans="1:25" s="7" customFormat="1" ht="13.6">
      <c r="A1074" s="5"/>
      <c r="B1074" s="5"/>
      <c r="C1074" s="5"/>
      <c r="D1074" s="5"/>
      <c r="E1074" s="5"/>
      <c r="F1074" s="5"/>
      <c r="G1074" s="5"/>
      <c r="H1074" s="5"/>
      <c r="I1074" s="5"/>
      <c r="J1074" s="5"/>
      <c r="K1074" s="69"/>
      <c r="L1074" s="69"/>
      <c r="M1074" s="69"/>
      <c r="N1074" s="69"/>
      <c r="O1074" s="69"/>
      <c r="P1074" s="153"/>
      <c r="R1074" s="5"/>
      <c r="S1074" s="5"/>
      <c r="Y1074" s="323"/>
    </row>
    <row r="1075" spans="1:25" s="7" customFormat="1" ht="13.6">
      <c r="A1075" s="5"/>
      <c r="B1075" s="5"/>
      <c r="C1075" s="5"/>
      <c r="D1075" s="5"/>
      <c r="E1075" s="5"/>
      <c r="F1075" s="5"/>
      <c r="G1075" s="5"/>
      <c r="H1075" s="5"/>
      <c r="I1075" s="5"/>
      <c r="J1075" s="5"/>
      <c r="K1075" s="69"/>
      <c r="L1075" s="69"/>
      <c r="M1075" s="69"/>
      <c r="N1075" s="69"/>
      <c r="O1075" s="69"/>
      <c r="P1075" s="153"/>
      <c r="R1075" s="5"/>
      <c r="S1075" s="5"/>
      <c r="Y1075" s="323"/>
    </row>
    <row r="1076" spans="1:25" s="7" customFormat="1" ht="13.6">
      <c r="A1076" s="5"/>
      <c r="B1076" s="5"/>
      <c r="C1076" s="5"/>
      <c r="D1076" s="5"/>
      <c r="E1076" s="5"/>
      <c r="F1076" s="5"/>
      <c r="G1076" s="5"/>
      <c r="H1076" s="5"/>
      <c r="I1076" s="5"/>
      <c r="J1076" s="5"/>
      <c r="K1076" s="69"/>
      <c r="L1076" s="69"/>
      <c r="M1076" s="69"/>
      <c r="N1076" s="69"/>
      <c r="O1076" s="69"/>
      <c r="P1076" s="153"/>
      <c r="R1076" s="5"/>
      <c r="S1076" s="5"/>
      <c r="Y1076" s="323"/>
    </row>
    <row r="1077" spans="1:25" s="7" customFormat="1" ht="13.6">
      <c r="A1077" s="5"/>
      <c r="B1077" s="5"/>
      <c r="C1077" s="5"/>
      <c r="D1077" s="5"/>
      <c r="E1077" s="5"/>
      <c r="F1077" s="5"/>
      <c r="G1077" s="5"/>
      <c r="H1077" s="5"/>
      <c r="I1077" s="5"/>
      <c r="J1077" s="5"/>
      <c r="K1077" s="69"/>
      <c r="L1077" s="69"/>
      <c r="M1077" s="69"/>
      <c r="N1077" s="69"/>
      <c r="O1077" s="69"/>
      <c r="P1077" s="153"/>
      <c r="R1077" s="5"/>
      <c r="S1077" s="5"/>
      <c r="Y1077" s="323"/>
    </row>
    <row r="1078" spans="1:25" s="7" customFormat="1" ht="13.6">
      <c r="A1078" s="5"/>
      <c r="B1078" s="5"/>
      <c r="C1078" s="5"/>
      <c r="D1078" s="5"/>
      <c r="E1078" s="5"/>
      <c r="F1078" s="5"/>
      <c r="G1078" s="5"/>
      <c r="H1078" s="5"/>
      <c r="I1078" s="5"/>
      <c r="J1078" s="5"/>
      <c r="K1078" s="69"/>
      <c r="L1078" s="69"/>
      <c r="M1078" s="69"/>
      <c r="N1078" s="69"/>
      <c r="O1078" s="69"/>
      <c r="P1078" s="153"/>
      <c r="R1078" s="5"/>
      <c r="S1078" s="5"/>
      <c r="Y1078" s="323"/>
    </row>
    <row r="1079" spans="1:25" s="7" customFormat="1" ht="13.6">
      <c r="A1079" s="5"/>
      <c r="B1079" s="5"/>
      <c r="C1079" s="5"/>
      <c r="D1079" s="5"/>
      <c r="E1079" s="5"/>
      <c r="F1079" s="5"/>
      <c r="G1079" s="5"/>
      <c r="H1079" s="5"/>
      <c r="I1079" s="5"/>
      <c r="J1079" s="5"/>
      <c r="K1079" s="69"/>
      <c r="L1079" s="69"/>
      <c r="M1079" s="69"/>
      <c r="N1079" s="69"/>
      <c r="O1079" s="69"/>
      <c r="P1079" s="153"/>
      <c r="R1079" s="5"/>
      <c r="S1079" s="5"/>
      <c r="Y1079" s="323"/>
    </row>
    <row r="1080" spans="1:25" s="7" customFormat="1" ht="13.6">
      <c r="A1080" s="5"/>
      <c r="B1080" s="5"/>
      <c r="C1080" s="5"/>
      <c r="D1080" s="5"/>
      <c r="E1080" s="5"/>
      <c r="F1080" s="5"/>
      <c r="G1080" s="5"/>
      <c r="H1080" s="5"/>
      <c r="I1080" s="5"/>
      <c r="J1080" s="5"/>
      <c r="K1080" s="69"/>
      <c r="L1080" s="69"/>
      <c r="M1080" s="69"/>
      <c r="N1080" s="69"/>
      <c r="O1080" s="69"/>
      <c r="P1080" s="153"/>
      <c r="R1080" s="5"/>
      <c r="S1080" s="5"/>
      <c r="Y1080" s="323"/>
    </row>
    <row r="1081" spans="1:25" s="7" customFormat="1" ht="13.6">
      <c r="A1081" s="5"/>
      <c r="B1081" s="5"/>
      <c r="C1081" s="5"/>
      <c r="D1081" s="5"/>
      <c r="E1081" s="5"/>
      <c r="F1081" s="5"/>
      <c r="G1081" s="5"/>
      <c r="H1081" s="5"/>
      <c r="I1081" s="5"/>
      <c r="J1081" s="5"/>
      <c r="K1081" s="69"/>
      <c r="L1081" s="69"/>
      <c r="M1081" s="69"/>
      <c r="N1081" s="69"/>
      <c r="O1081" s="69"/>
      <c r="P1081" s="153"/>
      <c r="R1081" s="5"/>
      <c r="S1081" s="5"/>
      <c r="Y1081" s="323"/>
    </row>
    <row r="1082" spans="1:25" s="7" customFormat="1" ht="13.6">
      <c r="A1082" s="5"/>
      <c r="B1082" s="5"/>
      <c r="C1082" s="5"/>
      <c r="D1082" s="5"/>
      <c r="E1082" s="5"/>
      <c r="F1082" s="5"/>
      <c r="G1082" s="5"/>
      <c r="H1082" s="5"/>
      <c r="I1082" s="5"/>
      <c r="J1082" s="5"/>
      <c r="K1082" s="69"/>
      <c r="L1082" s="69"/>
      <c r="M1082" s="69"/>
      <c r="N1082" s="69"/>
      <c r="O1082" s="69"/>
      <c r="P1082" s="153"/>
      <c r="R1082" s="5"/>
      <c r="S1082" s="5"/>
      <c r="Y1082" s="323"/>
    </row>
    <row r="1083" spans="1:25" s="7" customFormat="1" ht="13.6">
      <c r="A1083" s="5"/>
      <c r="B1083" s="5"/>
      <c r="C1083" s="5"/>
      <c r="D1083" s="5"/>
      <c r="E1083" s="5"/>
      <c r="F1083" s="5"/>
      <c r="G1083" s="5"/>
      <c r="H1083" s="5"/>
      <c r="I1083" s="5"/>
      <c r="J1083" s="5"/>
      <c r="K1083" s="69"/>
      <c r="L1083" s="69"/>
      <c r="M1083" s="69"/>
      <c r="N1083" s="69"/>
      <c r="O1083" s="69"/>
      <c r="P1083" s="153"/>
      <c r="R1083" s="5"/>
      <c r="S1083" s="5"/>
      <c r="Y1083" s="323"/>
    </row>
    <row r="1084" spans="1:25" s="7" customFormat="1" ht="13.6">
      <c r="A1084" s="5"/>
      <c r="B1084" s="5"/>
      <c r="C1084" s="5"/>
      <c r="D1084" s="5"/>
      <c r="E1084" s="5"/>
      <c r="F1084" s="5"/>
      <c r="G1084" s="5"/>
      <c r="H1084" s="5"/>
      <c r="I1084" s="5"/>
      <c r="J1084" s="5"/>
      <c r="K1084" s="69"/>
      <c r="L1084" s="69"/>
      <c r="M1084" s="69"/>
      <c r="N1084" s="69"/>
      <c r="O1084" s="69"/>
      <c r="P1084" s="153"/>
      <c r="R1084" s="5"/>
      <c r="S1084" s="5"/>
      <c r="Y1084" s="323"/>
    </row>
    <row r="1085" spans="1:25" s="7" customFormat="1" ht="13.6">
      <c r="A1085" s="5"/>
      <c r="B1085" s="5"/>
      <c r="C1085" s="5"/>
      <c r="D1085" s="5"/>
      <c r="E1085" s="5"/>
      <c r="F1085" s="5"/>
      <c r="G1085" s="5"/>
      <c r="H1085" s="5"/>
      <c r="I1085" s="5"/>
      <c r="J1085" s="5"/>
      <c r="K1085" s="69"/>
      <c r="L1085" s="69"/>
      <c r="M1085" s="69"/>
      <c r="N1085" s="69"/>
      <c r="O1085" s="69"/>
      <c r="P1085" s="153"/>
      <c r="R1085" s="5"/>
      <c r="S1085" s="5"/>
      <c r="Y1085" s="323"/>
    </row>
    <row r="1086" spans="1:25" s="7" customFormat="1" ht="13.6">
      <c r="A1086" s="5"/>
      <c r="B1086" s="5"/>
      <c r="C1086" s="5"/>
      <c r="D1086" s="5"/>
      <c r="E1086" s="5"/>
      <c r="F1086" s="5"/>
      <c r="G1086" s="5"/>
      <c r="H1086" s="5"/>
      <c r="I1086" s="5"/>
      <c r="J1086" s="5"/>
      <c r="K1086" s="69"/>
      <c r="L1086" s="69"/>
      <c r="M1086" s="69"/>
      <c r="N1086" s="69"/>
      <c r="O1086" s="69"/>
      <c r="P1086" s="153"/>
      <c r="R1086" s="5"/>
      <c r="S1086" s="5"/>
      <c r="Y1086" s="323"/>
    </row>
    <row r="1087" spans="1:25" s="7" customFormat="1" ht="13.6">
      <c r="A1087" s="5"/>
      <c r="B1087" s="5"/>
      <c r="C1087" s="5"/>
      <c r="D1087" s="5"/>
      <c r="E1087" s="5"/>
      <c r="F1087" s="5"/>
      <c r="G1087" s="5"/>
      <c r="H1087" s="5"/>
      <c r="I1087" s="5"/>
      <c r="J1087" s="5"/>
      <c r="K1087" s="69"/>
      <c r="L1087" s="69"/>
      <c r="M1087" s="69"/>
      <c r="N1087" s="69"/>
      <c r="O1087" s="69"/>
      <c r="P1087" s="153"/>
      <c r="R1087" s="5"/>
      <c r="S1087" s="5"/>
      <c r="Y1087" s="323"/>
    </row>
    <row r="1088" spans="1:25" s="7" customFormat="1" ht="13.6">
      <c r="A1088" s="5"/>
      <c r="B1088" s="5"/>
      <c r="C1088" s="5"/>
      <c r="D1088" s="5"/>
      <c r="E1088" s="5"/>
      <c r="F1088" s="5"/>
      <c r="G1088" s="5"/>
      <c r="H1088" s="5"/>
      <c r="I1088" s="5"/>
      <c r="J1088" s="5"/>
      <c r="K1088" s="69"/>
      <c r="L1088" s="69"/>
      <c r="M1088" s="69"/>
      <c r="N1088" s="69"/>
      <c r="O1088" s="69"/>
      <c r="P1088" s="153"/>
      <c r="R1088" s="5"/>
      <c r="S1088" s="5"/>
      <c r="Y1088" s="323"/>
    </row>
    <row r="1089" spans="1:25" s="7" customFormat="1" ht="13.6">
      <c r="A1089" s="5"/>
      <c r="B1089" s="5"/>
      <c r="C1089" s="5"/>
      <c r="D1089" s="5"/>
      <c r="E1089" s="5"/>
      <c r="F1089" s="5"/>
      <c r="G1089" s="5"/>
      <c r="H1089" s="5"/>
      <c r="I1089" s="5"/>
      <c r="J1089" s="5"/>
      <c r="K1089" s="69"/>
      <c r="L1089" s="69"/>
      <c r="M1089" s="69"/>
      <c r="N1089" s="69"/>
      <c r="O1089" s="69"/>
      <c r="P1089" s="153"/>
      <c r="R1089" s="5"/>
      <c r="S1089" s="5"/>
      <c r="Y1089" s="323"/>
    </row>
    <row r="1090" spans="1:25" s="7" customFormat="1" ht="13.6">
      <c r="A1090" s="5"/>
      <c r="B1090" s="5"/>
      <c r="C1090" s="5"/>
      <c r="D1090" s="5"/>
      <c r="E1090" s="5"/>
      <c r="F1090" s="5"/>
      <c r="G1090" s="5"/>
      <c r="H1090" s="5"/>
      <c r="I1090" s="5"/>
      <c r="J1090" s="5"/>
      <c r="K1090" s="69"/>
      <c r="L1090" s="69"/>
      <c r="M1090" s="69"/>
      <c r="N1090" s="69"/>
      <c r="O1090" s="69"/>
      <c r="P1090" s="153"/>
      <c r="R1090" s="5"/>
      <c r="S1090" s="5"/>
      <c r="Y1090" s="323"/>
    </row>
    <row r="1091" spans="1:25" s="7" customFormat="1" ht="13.6">
      <c r="A1091" s="5"/>
      <c r="B1091" s="5"/>
      <c r="C1091" s="5"/>
      <c r="D1091" s="5"/>
      <c r="E1091" s="5"/>
      <c r="F1091" s="5"/>
      <c r="G1091" s="5"/>
      <c r="H1091" s="5"/>
      <c r="I1091" s="5"/>
      <c r="J1091" s="5"/>
      <c r="K1091" s="69"/>
      <c r="L1091" s="69"/>
      <c r="M1091" s="69"/>
      <c r="N1091" s="69"/>
      <c r="O1091" s="69"/>
      <c r="P1091" s="153"/>
      <c r="R1091" s="5"/>
      <c r="S1091" s="5"/>
      <c r="Y1091" s="323"/>
    </row>
    <row r="1092" spans="1:25" s="7" customFormat="1" ht="13.6">
      <c r="A1092" s="5"/>
      <c r="B1092" s="5"/>
      <c r="C1092" s="5"/>
      <c r="D1092" s="5"/>
      <c r="E1092" s="5"/>
      <c r="F1092" s="5"/>
      <c r="G1092" s="5"/>
      <c r="H1092" s="5"/>
      <c r="I1092" s="5"/>
      <c r="J1092" s="5"/>
      <c r="K1092" s="69"/>
      <c r="L1092" s="69"/>
      <c r="M1092" s="69"/>
      <c r="N1092" s="69"/>
      <c r="O1092" s="69"/>
      <c r="P1092" s="153"/>
      <c r="R1092" s="5"/>
      <c r="S1092" s="5"/>
      <c r="Y1092" s="323"/>
    </row>
    <row r="1093" spans="1:25" s="7" customFormat="1" ht="13.6">
      <c r="A1093" s="5"/>
      <c r="B1093" s="5"/>
      <c r="C1093" s="5"/>
      <c r="D1093" s="5"/>
      <c r="E1093" s="5"/>
      <c r="F1093" s="5"/>
      <c r="G1093" s="5"/>
      <c r="H1093" s="5"/>
      <c r="I1093" s="5"/>
      <c r="J1093" s="5"/>
      <c r="K1093" s="69"/>
      <c r="L1093" s="69"/>
      <c r="M1093" s="69"/>
      <c r="N1093" s="69"/>
      <c r="O1093" s="69"/>
      <c r="P1093" s="153"/>
      <c r="R1093" s="5"/>
      <c r="S1093" s="5"/>
      <c r="Y1093" s="323"/>
    </row>
    <row r="1094" spans="1:25" s="7" customFormat="1" ht="13.6">
      <c r="A1094" s="5"/>
      <c r="B1094" s="5"/>
      <c r="C1094" s="5"/>
      <c r="D1094" s="5"/>
      <c r="E1094" s="5"/>
      <c r="F1094" s="5"/>
      <c r="G1094" s="5"/>
      <c r="H1094" s="5"/>
      <c r="I1094" s="5"/>
      <c r="J1094" s="5"/>
      <c r="K1094" s="69"/>
      <c r="L1094" s="69"/>
      <c r="M1094" s="69"/>
      <c r="N1094" s="69"/>
      <c r="O1094" s="69"/>
      <c r="P1094" s="154"/>
      <c r="R1094" s="5"/>
      <c r="S1094" s="5"/>
      <c r="Y1094" s="323"/>
    </row>
    <row r="1095" spans="1:25" s="7" customFormat="1" ht="13.6">
      <c r="A1095" s="5"/>
      <c r="B1095" s="5"/>
      <c r="C1095" s="5"/>
      <c r="D1095" s="5"/>
      <c r="E1095" s="5"/>
      <c r="F1095" s="5"/>
      <c r="G1095" s="5"/>
      <c r="H1095" s="5"/>
      <c r="I1095" s="5"/>
      <c r="J1095" s="5"/>
      <c r="K1095" s="69"/>
      <c r="L1095" s="69"/>
      <c r="M1095" s="69"/>
      <c r="N1095" s="69"/>
      <c r="O1095" s="69"/>
      <c r="P1095" s="154"/>
      <c r="R1095" s="5"/>
      <c r="S1095" s="5"/>
      <c r="Y1095" s="323"/>
    </row>
    <row r="1096" spans="1:25" s="7" customFormat="1" ht="13.6">
      <c r="A1096" s="5"/>
      <c r="B1096" s="5"/>
      <c r="C1096" s="5"/>
      <c r="D1096" s="5"/>
      <c r="E1096" s="5"/>
      <c r="F1096" s="5"/>
      <c r="G1096" s="5"/>
      <c r="H1096" s="5"/>
      <c r="I1096" s="5"/>
      <c r="J1096" s="5"/>
      <c r="K1096" s="69"/>
      <c r="L1096" s="69"/>
      <c r="M1096" s="69"/>
      <c r="N1096" s="69"/>
      <c r="O1096" s="69"/>
      <c r="P1096" s="154"/>
      <c r="R1096" s="5"/>
      <c r="S1096" s="5"/>
      <c r="Y1096" s="323"/>
    </row>
    <row r="1097" spans="1:25" s="7" customFormat="1" ht="13.6">
      <c r="A1097" s="5"/>
      <c r="B1097" s="5"/>
      <c r="C1097" s="5"/>
      <c r="D1097" s="5"/>
      <c r="E1097" s="5"/>
      <c r="F1097" s="5"/>
      <c r="G1097" s="5"/>
      <c r="H1097" s="5"/>
      <c r="I1097" s="5"/>
      <c r="J1097" s="5"/>
      <c r="K1097" s="69"/>
      <c r="L1097" s="69"/>
      <c r="M1097" s="69"/>
      <c r="N1097" s="69"/>
      <c r="O1097" s="69"/>
      <c r="P1097" s="154"/>
      <c r="R1097" s="5"/>
      <c r="S1097" s="5"/>
      <c r="Y1097" s="323"/>
    </row>
    <row r="1098" spans="1:25" s="7" customFormat="1" ht="13.6">
      <c r="A1098" s="5"/>
      <c r="B1098" s="5"/>
      <c r="C1098" s="5"/>
      <c r="D1098" s="5"/>
      <c r="E1098" s="5"/>
      <c r="F1098" s="5"/>
      <c r="G1098" s="5"/>
      <c r="H1098" s="5"/>
      <c r="I1098" s="5"/>
      <c r="J1098" s="5"/>
      <c r="K1098" s="69"/>
      <c r="L1098" s="69"/>
      <c r="M1098" s="69"/>
      <c r="N1098" s="69"/>
      <c r="O1098" s="69"/>
      <c r="P1098" s="154"/>
      <c r="R1098" s="5"/>
      <c r="S1098" s="5"/>
      <c r="Y1098" s="323"/>
    </row>
    <row r="1099" spans="1:25" s="7" customFormat="1" ht="13.6">
      <c r="A1099" s="5"/>
      <c r="B1099" s="5"/>
      <c r="C1099" s="5"/>
      <c r="D1099" s="5"/>
      <c r="E1099" s="5"/>
      <c r="F1099" s="5"/>
      <c r="G1099" s="5"/>
      <c r="H1099" s="5"/>
      <c r="I1099" s="5"/>
      <c r="J1099" s="5"/>
      <c r="K1099" s="69"/>
      <c r="L1099" s="69"/>
      <c r="M1099" s="69"/>
      <c r="N1099" s="69"/>
      <c r="O1099" s="69"/>
      <c r="P1099" s="154"/>
      <c r="R1099" s="5"/>
      <c r="S1099" s="5"/>
      <c r="Y1099" s="323"/>
    </row>
    <row r="1100" spans="1:25" s="7" customFormat="1" ht="13.6">
      <c r="A1100" s="5"/>
      <c r="B1100" s="5"/>
      <c r="C1100" s="5"/>
      <c r="D1100" s="5"/>
      <c r="E1100" s="5"/>
      <c r="F1100" s="5"/>
      <c r="G1100" s="5"/>
      <c r="H1100" s="5"/>
      <c r="I1100" s="5"/>
      <c r="J1100" s="5"/>
      <c r="K1100" s="69"/>
      <c r="L1100" s="69"/>
      <c r="M1100" s="69"/>
      <c r="N1100" s="69"/>
      <c r="O1100" s="69"/>
      <c r="P1100" s="154"/>
      <c r="R1100" s="5"/>
      <c r="S1100" s="5"/>
      <c r="T1100" s="5"/>
      <c r="U1100" s="5"/>
      <c r="V1100" s="5"/>
      <c r="Y1100" s="323"/>
    </row>
  </sheetData>
  <sheetProtection algorithmName="SHA-512" hashValue="ZIpNz54FvbtFZXrxWB2RjMieCo+tt6qTYt27I6M0/PNPQwefeH5gyoKbc04oKQvPOtcqjbYli0ZmEqbjWTEi4g==" saltValue="/4kasVKhoZGPm1duJeAz5Q==" spinCount="100000" sheet="1" objects="1" scenarios="1"/>
  <mergeCells count="19">
    <mergeCell ref="U471:V471"/>
    <mergeCell ref="J472:P472"/>
    <mergeCell ref="S472:BD472"/>
    <mergeCell ref="A434:Q447"/>
    <mergeCell ref="J463:P463"/>
    <mergeCell ref="J464:P464"/>
    <mergeCell ref="J465:P465"/>
    <mergeCell ref="J466:P466"/>
    <mergeCell ref="J467:P467"/>
    <mergeCell ref="J478:P478"/>
    <mergeCell ref="J468:P468"/>
    <mergeCell ref="J469:P469"/>
    <mergeCell ref="J470:P470"/>
    <mergeCell ref="J471:P471"/>
    <mergeCell ref="J473:P473"/>
    <mergeCell ref="J474:P474"/>
    <mergeCell ref="J475:P475"/>
    <mergeCell ref="J476:P476"/>
    <mergeCell ref="J477:P477"/>
  </mergeCells>
  <conditionalFormatting sqref="A177">
    <cfRule type="duplicateValues" dxfId="185" priority="4"/>
  </conditionalFormatting>
  <conditionalFormatting sqref="A221">
    <cfRule type="duplicateValues" dxfId="184" priority="3"/>
  </conditionalFormatting>
  <conditionalFormatting sqref="A332">
    <cfRule type="duplicateValues" dxfId="183" priority="1"/>
  </conditionalFormatting>
  <conditionalFormatting sqref="A333">
    <cfRule type="duplicateValues" dxfId="182" priority="2"/>
  </conditionalFormatting>
  <conditionalFormatting sqref="A348">
    <cfRule type="duplicateValues" dxfId="181" priority="9"/>
  </conditionalFormatting>
  <conditionalFormatting sqref="A361">
    <cfRule type="duplicateValues" dxfId="180" priority="8"/>
  </conditionalFormatting>
  <conditionalFormatting sqref="A368">
    <cfRule type="duplicateValues" dxfId="179" priority="7"/>
  </conditionalFormatting>
  <conditionalFormatting sqref="A371">
    <cfRule type="duplicateValues" dxfId="178" priority="6"/>
  </conditionalFormatting>
  <conditionalFormatting sqref="A377">
    <cfRule type="duplicateValues" dxfId="177" priority="5"/>
  </conditionalFormatting>
  <conditionalFormatting sqref="C15">
    <cfRule type="duplicateValues" dxfId="176" priority="99"/>
  </conditionalFormatting>
  <conditionalFormatting sqref="C16">
    <cfRule type="duplicateValues" dxfId="175" priority="98"/>
  </conditionalFormatting>
  <conditionalFormatting sqref="C18">
    <cfRule type="duplicateValues" dxfId="174" priority="100"/>
  </conditionalFormatting>
  <conditionalFormatting sqref="C53">
    <cfRule type="duplicateValues" dxfId="173" priority="93"/>
  </conditionalFormatting>
  <conditionalFormatting sqref="C55">
    <cfRule type="duplicateValues" dxfId="172" priority="97"/>
  </conditionalFormatting>
  <conditionalFormatting sqref="C71">
    <cfRule type="duplicateValues" dxfId="171" priority="90"/>
  </conditionalFormatting>
  <conditionalFormatting sqref="C73">
    <cfRule type="duplicateValues" dxfId="170" priority="94"/>
  </conditionalFormatting>
  <conditionalFormatting sqref="C74">
    <cfRule type="duplicateValues" dxfId="169" priority="92"/>
  </conditionalFormatting>
  <conditionalFormatting sqref="C76">
    <cfRule type="duplicateValues" dxfId="168" priority="96"/>
  </conditionalFormatting>
  <conditionalFormatting sqref="C80">
    <cfRule type="duplicateValues" dxfId="167" priority="91"/>
  </conditionalFormatting>
  <conditionalFormatting sqref="C82">
    <cfRule type="duplicateValues" dxfId="166" priority="95"/>
  </conditionalFormatting>
  <conditionalFormatting sqref="C89">
    <cfRule type="duplicateValues" dxfId="165" priority="89"/>
  </conditionalFormatting>
  <conditionalFormatting sqref="C98">
    <cfRule type="duplicateValues" dxfId="164" priority="88"/>
  </conditionalFormatting>
  <conditionalFormatting sqref="C115">
    <cfRule type="duplicateValues" dxfId="163" priority="10"/>
  </conditionalFormatting>
  <conditionalFormatting sqref="C116">
    <cfRule type="duplicateValues" dxfId="162" priority="87"/>
  </conditionalFormatting>
  <conditionalFormatting sqref="C120">
    <cfRule type="duplicateValues" dxfId="161" priority="86"/>
  </conditionalFormatting>
  <conditionalFormatting sqref="C123:C124">
    <cfRule type="duplicateValues" dxfId="160" priority="85"/>
  </conditionalFormatting>
  <conditionalFormatting sqref="C128">
    <cfRule type="duplicateValues" dxfId="159" priority="84"/>
  </conditionalFormatting>
  <conditionalFormatting sqref="C139">
    <cfRule type="duplicateValues" dxfId="158" priority="82"/>
  </conditionalFormatting>
  <conditionalFormatting sqref="C149">
    <cfRule type="duplicateValues" dxfId="157" priority="83"/>
  </conditionalFormatting>
  <conditionalFormatting sqref="C150">
    <cfRule type="duplicateValues" dxfId="156" priority="101"/>
  </conditionalFormatting>
  <conditionalFormatting sqref="C154">
    <cfRule type="duplicateValues" dxfId="155" priority="80"/>
  </conditionalFormatting>
  <conditionalFormatting sqref="C158">
    <cfRule type="duplicateValues" dxfId="154" priority="79"/>
  </conditionalFormatting>
  <conditionalFormatting sqref="C172">
    <cfRule type="duplicateValues" dxfId="153" priority="74"/>
  </conditionalFormatting>
  <conditionalFormatting sqref="C173">
    <cfRule type="duplicateValues" dxfId="152" priority="78"/>
  </conditionalFormatting>
  <conditionalFormatting sqref="C175:C176">
    <cfRule type="duplicateValues" dxfId="151" priority="102"/>
  </conditionalFormatting>
  <conditionalFormatting sqref="C177:C180">
    <cfRule type="duplicateValues" dxfId="150" priority="75"/>
  </conditionalFormatting>
  <conditionalFormatting sqref="C185">
    <cfRule type="duplicateValues" dxfId="149" priority="77"/>
  </conditionalFormatting>
  <conditionalFormatting sqref="C196">
    <cfRule type="duplicateValues" dxfId="148" priority="73"/>
  </conditionalFormatting>
  <conditionalFormatting sqref="C203">
    <cfRule type="duplicateValues" dxfId="147" priority="72"/>
  </conditionalFormatting>
  <conditionalFormatting sqref="C204">
    <cfRule type="duplicateValues" dxfId="146" priority="61"/>
  </conditionalFormatting>
  <conditionalFormatting sqref="C205">
    <cfRule type="duplicateValues" dxfId="145" priority="66"/>
  </conditionalFormatting>
  <conditionalFormatting sqref="C206">
    <cfRule type="duplicateValues" dxfId="144" priority="65"/>
  </conditionalFormatting>
  <conditionalFormatting sqref="C207">
    <cfRule type="duplicateValues" dxfId="143" priority="69"/>
  </conditionalFormatting>
  <conditionalFormatting sqref="C208">
    <cfRule type="duplicateValues" dxfId="142" priority="103"/>
  </conditionalFormatting>
  <conditionalFormatting sqref="C209">
    <cfRule type="duplicateValues" dxfId="141" priority="71"/>
  </conditionalFormatting>
  <conditionalFormatting sqref="C221">
    <cfRule type="duplicateValues" dxfId="140" priority="62"/>
  </conditionalFormatting>
  <conditionalFormatting sqref="C223">
    <cfRule type="duplicateValues" dxfId="139" priority="63"/>
  </conditionalFormatting>
  <conditionalFormatting sqref="C224">
    <cfRule type="duplicateValues" dxfId="138" priority="70"/>
  </conditionalFormatting>
  <conditionalFormatting sqref="C225:C226">
    <cfRule type="duplicateValues" dxfId="137" priority="105"/>
  </conditionalFormatting>
  <conditionalFormatting sqref="C227">
    <cfRule type="duplicateValues" dxfId="136" priority="67"/>
  </conditionalFormatting>
  <conditionalFormatting sqref="C230">
    <cfRule type="duplicateValues" dxfId="135" priority="59"/>
  </conditionalFormatting>
  <conditionalFormatting sqref="C235">
    <cfRule type="duplicateValues" dxfId="134" priority="60"/>
  </conditionalFormatting>
  <conditionalFormatting sqref="C236">
    <cfRule type="duplicateValues" dxfId="133" priority="58"/>
  </conditionalFormatting>
  <conditionalFormatting sqref="C238">
    <cfRule type="duplicateValues" dxfId="132" priority="55"/>
  </conditionalFormatting>
  <conditionalFormatting sqref="C239">
    <cfRule type="duplicateValues" dxfId="131" priority="56"/>
  </conditionalFormatting>
  <conditionalFormatting sqref="C240">
    <cfRule type="duplicateValues" dxfId="130" priority="57"/>
  </conditionalFormatting>
  <conditionalFormatting sqref="C241">
    <cfRule type="duplicateValues" dxfId="129" priority="54"/>
  </conditionalFormatting>
  <conditionalFormatting sqref="C242">
    <cfRule type="duplicateValues" dxfId="128" priority="53"/>
  </conditionalFormatting>
  <conditionalFormatting sqref="C302">
    <cfRule type="duplicateValues" dxfId="127" priority="52"/>
  </conditionalFormatting>
  <conditionalFormatting sqref="C305">
    <cfRule type="duplicateValues" dxfId="126" priority="51"/>
  </conditionalFormatting>
  <conditionalFormatting sqref="C308">
    <cfRule type="duplicateValues" dxfId="125" priority="50"/>
  </conditionalFormatting>
  <conditionalFormatting sqref="C309">
    <cfRule type="duplicateValues" dxfId="124" priority="47"/>
  </conditionalFormatting>
  <conditionalFormatting sqref="C310">
    <cfRule type="duplicateValues" dxfId="123" priority="46"/>
  </conditionalFormatting>
  <conditionalFormatting sqref="C315">
    <cfRule type="duplicateValues" dxfId="122" priority="49"/>
  </conditionalFormatting>
  <conditionalFormatting sqref="C316">
    <cfRule type="duplicateValues" dxfId="121" priority="48"/>
  </conditionalFormatting>
  <conditionalFormatting sqref="C317">
    <cfRule type="duplicateValues" dxfId="120" priority="106"/>
  </conditionalFormatting>
  <conditionalFormatting sqref="C318">
    <cfRule type="duplicateValues" dxfId="119" priority="43"/>
  </conditionalFormatting>
  <conditionalFormatting sqref="C319">
    <cfRule type="duplicateValues" dxfId="118" priority="41"/>
  </conditionalFormatting>
  <conditionalFormatting sqref="C321">
    <cfRule type="duplicateValues" dxfId="117" priority="35"/>
  </conditionalFormatting>
  <conditionalFormatting sqref="C322">
    <cfRule type="duplicateValues" dxfId="116" priority="40"/>
  </conditionalFormatting>
  <conditionalFormatting sqref="C323">
    <cfRule type="duplicateValues" dxfId="115" priority="36"/>
  </conditionalFormatting>
  <conditionalFormatting sqref="C324">
    <cfRule type="duplicateValues" dxfId="114" priority="39"/>
  </conditionalFormatting>
  <conditionalFormatting sqref="C326">
    <cfRule type="duplicateValues" dxfId="113" priority="107"/>
  </conditionalFormatting>
  <conditionalFormatting sqref="C327">
    <cfRule type="duplicateValues" dxfId="112" priority="38"/>
  </conditionalFormatting>
  <conditionalFormatting sqref="C328">
    <cfRule type="duplicateValues" dxfId="111" priority="37"/>
  </conditionalFormatting>
  <conditionalFormatting sqref="C329">
    <cfRule type="duplicateValues" dxfId="110" priority="44"/>
  </conditionalFormatting>
  <conditionalFormatting sqref="C332">
    <cfRule type="duplicateValues" dxfId="109" priority="33"/>
  </conditionalFormatting>
  <conditionalFormatting sqref="C333">
    <cfRule type="duplicateValues" dxfId="108" priority="34"/>
  </conditionalFormatting>
  <conditionalFormatting sqref="C335">
    <cfRule type="duplicateValues" dxfId="107" priority="32"/>
  </conditionalFormatting>
  <conditionalFormatting sqref="C341">
    <cfRule type="duplicateValues" dxfId="106" priority="31"/>
  </conditionalFormatting>
  <conditionalFormatting sqref="C342">
    <cfRule type="duplicateValues" dxfId="105" priority="23"/>
  </conditionalFormatting>
  <conditionalFormatting sqref="C343">
    <cfRule type="duplicateValues" dxfId="104" priority="22"/>
  </conditionalFormatting>
  <conditionalFormatting sqref="C344">
    <cfRule type="duplicateValues" dxfId="103" priority="108"/>
  </conditionalFormatting>
  <conditionalFormatting sqref="C347">
    <cfRule type="duplicateValues" dxfId="102" priority="109"/>
  </conditionalFormatting>
  <conditionalFormatting sqref="C348">
    <cfRule type="duplicateValues" dxfId="101" priority="29"/>
  </conditionalFormatting>
  <conditionalFormatting sqref="C349">
    <cfRule type="duplicateValues" dxfId="100" priority="28"/>
  </conditionalFormatting>
  <conditionalFormatting sqref="C354">
    <cfRule type="duplicateValues" dxfId="99" priority="27"/>
  </conditionalFormatting>
  <conditionalFormatting sqref="C358">
    <cfRule type="duplicateValues" dxfId="98" priority="25"/>
  </conditionalFormatting>
  <conditionalFormatting sqref="C359">
    <cfRule type="duplicateValues" dxfId="97" priority="110"/>
  </conditionalFormatting>
  <conditionalFormatting sqref="C360">
    <cfRule type="duplicateValues" dxfId="96" priority="26"/>
  </conditionalFormatting>
  <conditionalFormatting sqref="C361">
    <cfRule type="duplicateValues" dxfId="95" priority="20"/>
  </conditionalFormatting>
  <conditionalFormatting sqref="C368">
    <cfRule type="duplicateValues" dxfId="94" priority="19"/>
  </conditionalFormatting>
  <conditionalFormatting sqref="C369">
    <cfRule type="duplicateValues" dxfId="93" priority="18"/>
  </conditionalFormatting>
  <conditionalFormatting sqref="C371">
    <cfRule type="duplicateValues" dxfId="92" priority="17"/>
  </conditionalFormatting>
  <conditionalFormatting sqref="C376:C377">
    <cfRule type="duplicateValues" dxfId="91" priority="111"/>
  </conditionalFormatting>
  <conditionalFormatting sqref="C379">
    <cfRule type="duplicateValues" dxfId="90" priority="16"/>
  </conditionalFormatting>
  <conditionalFormatting sqref="C390">
    <cfRule type="duplicateValues" dxfId="89" priority="14"/>
  </conditionalFormatting>
  <conditionalFormatting sqref="C394">
    <cfRule type="duplicateValues" dxfId="88" priority="13"/>
  </conditionalFormatting>
  <conditionalFormatting sqref="C395">
    <cfRule type="duplicateValues" dxfId="87" priority="12"/>
  </conditionalFormatting>
  <conditionalFormatting sqref="C407">
    <cfRule type="duplicateValues" dxfId="86" priority="11"/>
  </conditionalFormatting>
  <printOptions gridLines="1"/>
  <pageMargins left="0.70866141732283472" right="0.70866141732283472" top="0.74803149606299213" bottom="0.74803149606299213" header="0" footer="0"/>
  <pageSetup paperSize="11" scale="50"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886EBD-4459-4AE7-9AB7-A89A81197692}">
  <sheetPr codeName="Munka7"/>
  <dimension ref="A1:AC64"/>
  <sheetViews>
    <sheetView workbookViewId="0">
      <selection activeCell="P34" sqref="P34"/>
    </sheetView>
  </sheetViews>
  <sheetFormatPr defaultRowHeight="13.6"/>
  <cols>
    <col min="2" max="2" width="47" customWidth="1"/>
    <col min="6" max="6" width="11.109375" bestFit="1" customWidth="1"/>
    <col min="10" max="10" width="11.109375" bestFit="1" customWidth="1"/>
    <col min="16" max="16" width="63.77734375" bestFit="1" customWidth="1"/>
    <col min="17" max="17" width="39.21875" bestFit="1" customWidth="1"/>
  </cols>
  <sheetData>
    <row r="1" spans="1:29" ht="21.1">
      <c r="A1" s="839" t="s">
        <v>5830</v>
      </c>
    </row>
    <row r="2" spans="1:29" ht="21.1">
      <c r="B2" s="600" t="s">
        <v>2353</v>
      </c>
      <c r="C2" s="600"/>
      <c r="D2" s="604"/>
      <c r="E2" s="604"/>
      <c r="F2" s="70" t="s">
        <v>5831</v>
      </c>
      <c r="J2" s="70" t="s">
        <v>5832</v>
      </c>
    </row>
    <row r="3" spans="1:29" ht="21.1">
      <c r="B3" s="611" t="s">
        <v>1487</v>
      </c>
      <c r="J3" s="70" t="s">
        <v>5833</v>
      </c>
    </row>
    <row r="4" spans="1:29" ht="21.1">
      <c r="B4" s="600" t="s">
        <v>1863</v>
      </c>
      <c r="J4" s="70" t="s">
        <v>5834</v>
      </c>
    </row>
    <row r="5" spans="1:29" ht="42.15">
      <c r="B5" s="852" t="s">
        <v>1448</v>
      </c>
      <c r="J5" s="70" t="s">
        <v>1217</v>
      </c>
    </row>
    <row r="6" spans="1:29" ht="21.1">
      <c r="B6" s="852"/>
    </row>
    <row r="7" spans="1:29" s="839" customFormat="1" ht="21.1">
      <c r="A7" s="839" t="s">
        <v>5824</v>
      </c>
    </row>
    <row r="8" spans="1:29" s="584" customFormat="1" ht="15.8" customHeight="1">
      <c r="A8" s="587" t="s">
        <v>1481</v>
      </c>
      <c r="B8" s="587" t="s">
        <v>1482</v>
      </c>
      <c r="C8" s="587"/>
      <c r="D8" s="587" t="s">
        <v>559</v>
      </c>
      <c r="E8" s="587" t="s">
        <v>559</v>
      </c>
      <c r="F8" s="588">
        <v>1609.9999999999998</v>
      </c>
      <c r="G8" s="589"/>
      <c r="H8" s="589" t="s">
        <v>551</v>
      </c>
      <c r="I8" s="589">
        <v>1</v>
      </c>
      <c r="J8" s="597"/>
      <c r="K8" s="589"/>
      <c r="L8" s="838"/>
      <c r="M8" s="838"/>
      <c r="N8" s="592" t="str">
        <f t="shared" ref="N8:N20" si="0">IF(OR(L8="x", M8="x"), B8 &amp; "; ", "")</f>
        <v/>
      </c>
      <c r="O8" s="592" t="str">
        <f t="shared" ref="O8:O20" si="1">IF(OR(L8="x", M8="x"), A8 &amp; "     /     ", "")</f>
        <v/>
      </c>
      <c r="P8" s="595"/>
      <c r="Q8" s="595"/>
      <c r="R8" s="595"/>
      <c r="S8" s="589"/>
      <c r="T8" s="594" t="str">
        <f t="shared" ref="T8:T20" si="2">IF(OR(L8="x", M8="x"), S8,"")</f>
        <v/>
      </c>
      <c r="U8" s="600"/>
      <c r="V8" s="600"/>
      <c r="W8" s="596"/>
      <c r="X8" s="596"/>
      <c r="Y8" s="596"/>
      <c r="Z8" s="596"/>
      <c r="AA8" s="596"/>
      <c r="AB8" s="596"/>
      <c r="AC8" s="596"/>
    </row>
    <row r="9" spans="1:29" s="584" customFormat="1" ht="15.8" customHeight="1">
      <c r="A9" s="587" t="s">
        <v>1483</v>
      </c>
      <c r="B9" s="587" t="s">
        <v>1484</v>
      </c>
      <c r="C9" s="587"/>
      <c r="D9" s="587" t="s">
        <v>559</v>
      </c>
      <c r="E9" s="587" t="s">
        <v>559</v>
      </c>
      <c r="F9" s="588">
        <v>15285</v>
      </c>
      <c r="G9" s="589"/>
      <c r="H9" s="589" t="s">
        <v>551</v>
      </c>
      <c r="I9" s="589">
        <v>3</v>
      </c>
      <c r="J9" s="633"/>
      <c r="K9" s="589"/>
      <c r="L9" s="838"/>
      <c r="M9" s="838"/>
      <c r="N9" s="592" t="str">
        <f t="shared" si="0"/>
        <v/>
      </c>
      <c r="O9" s="592" t="str">
        <f t="shared" si="1"/>
        <v/>
      </c>
      <c r="P9" s="595"/>
      <c r="Q9" s="595"/>
      <c r="R9" s="595"/>
      <c r="S9" s="589"/>
      <c r="T9" s="594" t="str">
        <f t="shared" si="2"/>
        <v/>
      </c>
      <c r="U9" s="600"/>
      <c r="V9" s="600"/>
      <c r="W9" s="596"/>
      <c r="X9" s="596"/>
      <c r="Y9" s="596"/>
      <c r="Z9" s="596"/>
      <c r="AA9" s="596"/>
      <c r="AB9" s="596"/>
      <c r="AC9" s="596"/>
    </row>
    <row r="10" spans="1:29" s="584" customFormat="1" ht="15.8" customHeight="1">
      <c r="A10" s="600" t="s">
        <v>1513</v>
      </c>
      <c r="B10" s="600" t="s">
        <v>661</v>
      </c>
      <c r="C10" s="600"/>
      <c r="D10" s="600" t="s">
        <v>602</v>
      </c>
      <c r="E10" s="600" t="s">
        <v>2445</v>
      </c>
      <c r="F10" s="603">
        <v>7000</v>
      </c>
      <c r="G10" s="604" t="s">
        <v>1363</v>
      </c>
      <c r="H10" s="604" t="s">
        <v>551</v>
      </c>
      <c r="I10" s="604">
        <v>17</v>
      </c>
      <c r="J10" s="854"/>
      <c r="K10" s="604"/>
      <c r="L10" s="837"/>
      <c r="M10" s="837"/>
      <c r="N10" s="600" t="str">
        <f t="shared" si="0"/>
        <v/>
      </c>
      <c r="O10" s="600" t="str">
        <f t="shared" si="1"/>
        <v/>
      </c>
      <c r="P10" s="618"/>
      <c r="Q10" s="618"/>
      <c r="R10" s="618"/>
      <c r="S10" s="604"/>
      <c r="T10" s="606" t="str">
        <f t="shared" si="2"/>
        <v/>
      </c>
      <c r="U10" s="615"/>
      <c r="V10" s="615"/>
      <c r="W10" s="596"/>
      <c r="X10" s="596"/>
      <c r="Y10" s="596"/>
      <c r="Z10" s="596"/>
      <c r="AA10" s="596"/>
      <c r="AB10" s="596"/>
      <c r="AC10" s="596"/>
    </row>
    <row r="11" spans="1:29" s="584" customFormat="1" ht="16.149999999999999" customHeight="1">
      <c r="A11" s="611" t="s">
        <v>1578</v>
      </c>
      <c r="B11" s="611" t="s">
        <v>717</v>
      </c>
      <c r="C11" s="611"/>
      <c r="D11" s="611" t="s">
        <v>88</v>
      </c>
      <c r="E11" s="611" t="s">
        <v>2736</v>
      </c>
      <c r="F11" s="612">
        <v>39100</v>
      </c>
      <c r="G11" s="613"/>
      <c r="H11" s="613" t="s">
        <v>551</v>
      </c>
      <c r="I11" s="613">
        <v>17</v>
      </c>
      <c r="J11" s="612"/>
      <c r="K11" s="613"/>
      <c r="L11" s="838"/>
      <c r="M11" s="838"/>
      <c r="N11" s="600" t="str">
        <f t="shared" si="0"/>
        <v/>
      </c>
      <c r="O11" s="600" t="str">
        <f t="shared" si="1"/>
        <v/>
      </c>
      <c r="P11" s="596"/>
      <c r="Q11" s="596"/>
      <c r="R11" s="596"/>
      <c r="S11" s="613"/>
      <c r="T11" s="606" t="str">
        <f t="shared" si="2"/>
        <v/>
      </c>
      <c r="U11" s="611"/>
      <c r="V11" s="611"/>
      <c r="W11" s="596"/>
      <c r="X11" s="596"/>
      <c r="Y11" s="596"/>
      <c r="Z11" s="596"/>
      <c r="AA11" s="596"/>
      <c r="AB11" s="596"/>
      <c r="AC11" s="596"/>
    </row>
    <row r="12" spans="1:29" s="584" customFormat="1" ht="16.149999999999999" customHeight="1">
      <c r="A12" s="756" t="s">
        <v>1610</v>
      </c>
      <c r="B12" s="757" t="s">
        <v>730</v>
      </c>
      <c r="D12" s="756" t="s">
        <v>559</v>
      </c>
      <c r="E12" s="756" t="s">
        <v>559</v>
      </c>
      <c r="F12" s="612">
        <v>10350</v>
      </c>
      <c r="H12" s="758" t="s">
        <v>731</v>
      </c>
      <c r="I12" s="758">
        <v>17</v>
      </c>
      <c r="J12" s="605" t="s">
        <v>5820</v>
      </c>
      <c r="K12" s="613"/>
      <c r="L12" s="838"/>
      <c r="M12" s="838"/>
      <c r="N12" s="600" t="str">
        <f t="shared" si="0"/>
        <v/>
      </c>
      <c r="O12" s="600" t="str">
        <f t="shared" si="1"/>
        <v/>
      </c>
      <c r="Q12" s="605"/>
      <c r="R12" s="605"/>
      <c r="S12" s="759"/>
      <c r="T12" s="606" t="str">
        <f t="shared" si="2"/>
        <v/>
      </c>
      <c r="U12" s="611"/>
      <c r="V12" s="611"/>
      <c r="W12" s="596"/>
      <c r="X12" s="596"/>
      <c r="Y12" s="596"/>
      <c r="Z12" s="596"/>
      <c r="AA12" s="596"/>
      <c r="AB12" s="596"/>
      <c r="AC12" s="596"/>
    </row>
    <row r="13" spans="1:29" s="584" customFormat="1" ht="16.149999999999999" customHeight="1">
      <c r="A13" s="600" t="s">
        <v>1623</v>
      </c>
      <c r="B13" s="600" t="s">
        <v>1624</v>
      </c>
      <c r="C13" s="600"/>
      <c r="D13" s="600" t="s">
        <v>550</v>
      </c>
      <c r="E13" s="600"/>
      <c r="F13" s="603">
        <v>207</v>
      </c>
      <c r="G13" s="604" t="s">
        <v>1363</v>
      </c>
      <c r="H13" s="604" t="s">
        <v>551</v>
      </c>
      <c r="I13" s="604">
        <v>1</v>
      </c>
      <c r="J13" s="618"/>
      <c r="K13" s="604"/>
      <c r="L13" s="837"/>
      <c r="M13" s="837"/>
      <c r="N13" s="600" t="str">
        <f t="shared" si="0"/>
        <v/>
      </c>
      <c r="O13" s="600" t="str">
        <f t="shared" si="1"/>
        <v/>
      </c>
      <c r="Q13" s="618"/>
      <c r="R13" s="618"/>
      <c r="S13" s="604"/>
      <c r="T13" s="606" t="str">
        <f t="shared" si="2"/>
        <v/>
      </c>
      <c r="U13" s="611"/>
      <c r="V13" s="611"/>
      <c r="W13" s="596"/>
      <c r="X13" s="596"/>
      <c r="Y13" s="596"/>
      <c r="Z13" s="596"/>
      <c r="AA13" s="596"/>
      <c r="AB13" s="596"/>
      <c r="AC13" s="596"/>
    </row>
    <row r="14" spans="1:29" s="584" customFormat="1" ht="16.149999999999999" customHeight="1">
      <c r="A14" s="600" t="s">
        <v>1625</v>
      </c>
      <c r="B14" s="600" t="s">
        <v>1626</v>
      </c>
      <c r="C14" s="600"/>
      <c r="D14" s="600" t="s">
        <v>550</v>
      </c>
      <c r="E14" s="600"/>
      <c r="F14" s="603">
        <v>345</v>
      </c>
      <c r="G14" s="604" t="s">
        <v>1363</v>
      </c>
      <c r="H14" s="604" t="s">
        <v>551</v>
      </c>
      <c r="I14" s="604">
        <v>1</v>
      </c>
      <c r="J14" s="618"/>
      <c r="K14" s="604"/>
      <c r="L14" s="837"/>
      <c r="M14" s="837"/>
      <c r="N14" s="600" t="str">
        <f t="shared" si="0"/>
        <v/>
      </c>
      <c r="O14" s="600" t="str">
        <f t="shared" si="1"/>
        <v/>
      </c>
      <c r="Q14" s="618"/>
      <c r="R14" s="618"/>
      <c r="S14" s="589"/>
      <c r="T14" s="606" t="str">
        <f t="shared" si="2"/>
        <v/>
      </c>
      <c r="U14" s="600"/>
      <c r="V14" s="611"/>
      <c r="W14" s="596"/>
      <c r="X14" s="596"/>
      <c r="Y14" s="596"/>
      <c r="Z14" s="596"/>
      <c r="AA14" s="596"/>
      <c r="AB14" s="596"/>
      <c r="AC14" s="596"/>
    </row>
    <row r="15" spans="1:29" s="619" customFormat="1" ht="16.149999999999999" customHeight="1">
      <c r="A15" s="587" t="s">
        <v>1701</v>
      </c>
      <c r="B15" s="587" t="s">
        <v>790</v>
      </c>
      <c r="C15" s="587"/>
      <c r="D15" s="587" t="s">
        <v>550</v>
      </c>
      <c r="E15" s="587" t="s">
        <v>2438</v>
      </c>
      <c r="F15" s="588">
        <v>0</v>
      </c>
      <c r="G15" s="589"/>
      <c r="H15" s="589" t="s">
        <v>551</v>
      </c>
      <c r="I15" s="589">
        <v>1</v>
      </c>
      <c r="J15" s="593" t="s">
        <v>2662</v>
      </c>
      <c r="K15" s="589"/>
      <c r="L15" s="838"/>
      <c r="M15" s="838"/>
      <c r="N15" s="592" t="str">
        <f t="shared" si="0"/>
        <v/>
      </c>
      <c r="O15" s="592" t="str">
        <f t="shared" si="1"/>
        <v/>
      </c>
      <c r="Q15" s="593"/>
      <c r="R15" s="593"/>
      <c r="S15" s="589"/>
      <c r="T15" s="594" t="str">
        <f t="shared" si="2"/>
        <v/>
      </c>
      <c r="U15" s="618"/>
      <c r="V15" s="800"/>
      <c r="W15" s="785"/>
      <c r="X15" s="785"/>
      <c r="Y15" s="785"/>
      <c r="Z15" s="785"/>
      <c r="AA15" s="785"/>
      <c r="AB15" s="785"/>
      <c r="AC15" s="618"/>
    </row>
    <row r="16" spans="1:29" s="584" customFormat="1" ht="16.149999999999999" customHeight="1">
      <c r="A16" s="625" t="s">
        <v>1732</v>
      </c>
      <c r="B16" s="625" t="s">
        <v>814</v>
      </c>
      <c r="C16" s="625"/>
      <c r="D16" s="625" t="s">
        <v>607</v>
      </c>
      <c r="E16" s="625" t="s">
        <v>2741</v>
      </c>
      <c r="F16" s="588">
        <v>7000</v>
      </c>
      <c r="G16" s="594"/>
      <c r="H16" s="594" t="s">
        <v>736</v>
      </c>
      <c r="I16" s="594" t="s">
        <v>350</v>
      </c>
      <c r="J16" s="595"/>
      <c r="K16" s="589"/>
      <c r="L16" s="838"/>
      <c r="M16" s="838"/>
      <c r="N16" s="592" t="str">
        <f t="shared" si="0"/>
        <v/>
      </c>
      <c r="O16" s="592" t="str">
        <f t="shared" si="1"/>
        <v/>
      </c>
      <c r="Q16" s="595"/>
      <c r="R16" s="595"/>
      <c r="S16" s="589"/>
      <c r="T16" s="594" t="str">
        <f t="shared" si="2"/>
        <v/>
      </c>
      <c r="U16" s="596"/>
      <c r="V16" s="800"/>
      <c r="W16" s="596"/>
      <c r="X16" s="596"/>
      <c r="Y16" s="596"/>
      <c r="Z16" s="596"/>
      <c r="AA16" s="596"/>
      <c r="AB16" s="596"/>
      <c r="AC16" s="596"/>
    </row>
    <row r="17" spans="1:29" s="584" customFormat="1" ht="16.149999999999999" customHeight="1">
      <c r="A17" s="587" t="s">
        <v>1748</v>
      </c>
      <c r="B17" s="587" t="s">
        <v>823</v>
      </c>
      <c r="C17" s="587"/>
      <c r="D17" s="587" t="s">
        <v>607</v>
      </c>
      <c r="E17" s="587" t="s">
        <v>2741</v>
      </c>
      <c r="F17" s="588">
        <v>8049.9999999999991</v>
      </c>
      <c r="G17" s="589"/>
      <c r="H17" s="589" t="s">
        <v>608</v>
      </c>
      <c r="I17" s="589" t="s">
        <v>824</v>
      </c>
      <c r="J17" s="593"/>
      <c r="K17" s="589"/>
      <c r="L17" s="838"/>
      <c r="M17" s="838"/>
      <c r="N17" s="592" t="str">
        <f t="shared" si="0"/>
        <v/>
      </c>
      <c r="O17" s="592" t="str">
        <f t="shared" si="1"/>
        <v/>
      </c>
      <c r="Q17" s="593"/>
      <c r="R17" s="593"/>
      <c r="S17" s="589"/>
      <c r="T17" s="594" t="str">
        <f t="shared" si="2"/>
        <v/>
      </c>
      <c r="U17" s="596"/>
      <c r="V17" s="800"/>
      <c r="W17" s="596"/>
      <c r="X17" s="596"/>
      <c r="Y17" s="596"/>
      <c r="Z17" s="596"/>
      <c r="AA17" s="596"/>
      <c r="AB17" s="596"/>
      <c r="AC17" s="596"/>
    </row>
    <row r="18" spans="1:29" s="754" customFormat="1" ht="16.149999999999999" customHeight="1">
      <c r="A18" s="802" t="s">
        <v>1808</v>
      </c>
      <c r="B18" s="802" t="s">
        <v>1809</v>
      </c>
      <c r="C18" s="802"/>
      <c r="D18" s="802" t="s">
        <v>550</v>
      </c>
      <c r="E18" s="802" t="s">
        <v>2437</v>
      </c>
      <c r="F18" s="805">
        <v>0</v>
      </c>
      <c r="G18" s="769"/>
      <c r="H18" s="769" t="s">
        <v>551</v>
      </c>
      <c r="I18" s="769">
        <v>1</v>
      </c>
      <c r="J18" s="750" t="s">
        <v>1809</v>
      </c>
      <c r="K18" s="769"/>
      <c r="L18" s="853"/>
      <c r="M18" s="853"/>
      <c r="N18" s="749" t="str">
        <f t="shared" si="0"/>
        <v/>
      </c>
      <c r="O18" s="749" t="str">
        <f t="shared" si="1"/>
        <v/>
      </c>
      <c r="Q18" s="750"/>
      <c r="R18" s="750"/>
      <c r="S18" s="589"/>
      <c r="T18" s="751" t="str">
        <f t="shared" si="2"/>
        <v/>
      </c>
      <c r="U18" s="752"/>
      <c r="V18" s="752"/>
      <c r="W18" s="753"/>
      <c r="X18" s="753"/>
      <c r="Y18" s="753"/>
      <c r="Z18" s="753"/>
      <c r="AA18" s="753"/>
      <c r="AB18" s="753"/>
      <c r="AC18" s="753"/>
    </row>
    <row r="19" spans="1:29" s="754" customFormat="1" ht="16.149999999999999" customHeight="1">
      <c r="A19" s="803" t="s">
        <v>1843</v>
      </c>
      <c r="B19" s="803" t="s">
        <v>872</v>
      </c>
      <c r="C19" s="803"/>
      <c r="D19" s="803" t="s">
        <v>562</v>
      </c>
      <c r="E19" s="804" t="s">
        <v>562</v>
      </c>
      <c r="F19" s="806">
        <v>13799.999999999998</v>
      </c>
      <c r="G19" s="807"/>
      <c r="H19" s="807" t="s">
        <v>476</v>
      </c>
      <c r="I19" s="807">
        <v>14</v>
      </c>
      <c r="J19" s="806"/>
      <c r="K19" s="807"/>
      <c r="L19" s="853"/>
      <c r="M19" s="853"/>
      <c r="N19" s="752" t="str">
        <f t="shared" si="0"/>
        <v/>
      </c>
      <c r="O19" s="752" t="str">
        <f t="shared" si="1"/>
        <v/>
      </c>
      <c r="P19" s="753"/>
      <c r="Q19" s="753"/>
      <c r="R19" s="753"/>
      <c r="S19" s="589"/>
      <c r="T19" s="755" t="str">
        <f t="shared" si="2"/>
        <v/>
      </c>
      <c r="U19" s="753"/>
      <c r="V19" s="801"/>
      <c r="W19" s="753"/>
      <c r="X19" s="753"/>
      <c r="Y19" s="753"/>
      <c r="Z19" s="753"/>
      <c r="AA19" s="753"/>
      <c r="AB19" s="753"/>
      <c r="AC19" s="753"/>
    </row>
    <row r="20" spans="1:29" s="584" customFormat="1" ht="16.149999999999999" customHeight="1">
      <c r="A20" s="615" t="s">
        <v>1846</v>
      </c>
      <c r="B20" s="615" t="s">
        <v>874</v>
      </c>
      <c r="C20" s="615"/>
      <c r="D20" s="615" t="s">
        <v>550</v>
      </c>
      <c r="E20" s="615" t="s">
        <v>2440</v>
      </c>
      <c r="F20" s="616">
        <v>0</v>
      </c>
      <c r="G20" s="617"/>
      <c r="H20" s="617" t="s">
        <v>476</v>
      </c>
      <c r="I20" s="617">
        <v>1</v>
      </c>
      <c r="J20" s="616"/>
      <c r="K20" s="613"/>
      <c r="L20" s="838"/>
      <c r="M20" s="838"/>
      <c r="N20" s="600" t="str">
        <f t="shared" si="0"/>
        <v/>
      </c>
      <c r="O20" s="600" t="str">
        <f t="shared" si="1"/>
        <v/>
      </c>
      <c r="P20" s="596"/>
      <c r="Q20" s="596"/>
      <c r="R20" s="596"/>
      <c r="S20" s="589"/>
      <c r="T20" s="606" t="str">
        <f t="shared" si="2"/>
        <v/>
      </c>
      <c r="U20" s="596"/>
      <c r="V20" s="800"/>
      <c r="W20" s="596"/>
      <c r="X20" s="596"/>
      <c r="Y20" s="596"/>
      <c r="Z20" s="596"/>
      <c r="AA20" s="596"/>
      <c r="AB20" s="596"/>
      <c r="AC20" s="596"/>
    </row>
    <row r="21" spans="1:29" ht="21.1">
      <c r="A21" s="611" t="s">
        <v>1683</v>
      </c>
      <c r="B21" s="611" t="s">
        <v>777</v>
      </c>
      <c r="C21" s="611" t="s">
        <v>778</v>
      </c>
      <c r="D21" s="611"/>
      <c r="E21" s="605" t="s">
        <v>2538</v>
      </c>
      <c r="F21" s="612"/>
      <c r="G21" s="613"/>
      <c r="H21" s="613"/>
      <c r="I21" s="605" t="s">
        <v>2539</v>
      </c>
      <c r="J21" s="612"/>
      <c r="K21" s="613"/>
      <c r="L21" s="838"/>
      <c r="M21" s="838"/>
      <c r="N21" s="600"/>
      <c r="O21" s="600"/>
      <c r="P21" s="605"/>
    </row>
    <row r="22" spans="1:29" s="27" customFormat="1" ht="16.149999999999999" customHeight="1">
      <c r="A22" s="833"/>
      <c r="B22" s="833"/>
      <c r="C22" s="833"/>
      <c r="D22" s="833"/>
      <c r="F22" s="834"/>
      <c r="G22" s="439"/>
      <c r="H22" s="439"/>
      <c r="I22" s="439"/>
      <c r="J22" s="835"/>
      <c r="K22" s="439"/>
      <c r="L22" s="855"/>
      <c r="M22" s="855"/>
      <c r="N22" s="836"/>
      <c r="O22" s="836"/>
      <c r="P22" s="440"/>
      <c r="Q22" s="440"/>
      <c r="R22" s="440"/>
      <c r="S22" s="439"/>
      <c r="T22" s="733"/>
      <c r="U22" s="369"/>
      <c r="V22" s="435"/>
      <c r="W22" s="369"/>
      <c r="X22" s="369"/>
      <c r="Y22" s="369"/>
      <c r="Z22" s="369"/>
      <c r="AA22" s="369"/>
      <c r="AB22" s="369"/>
      <c r="AC22" s="369"/>
    </row>
    <row r="23" spans="1:29" s="842" customFormat="1" ht="27.85">
      <c r="A23" s="840" t="s">
        <v>5827</v>
      </c>
      <c r="B23" s="841"/>
      <c r="C23" s="841"/>
      <c r="D23" s="841"/>
      <c r="F23" s="843"/>
      <c r="G23" s="844"/>
      <c r="H23" s="844"/>
      <c r="I23" s="844"/>
      <c r="J23" s="845"/>
      <c r="K23" s="844"/>
      <c r="L23" s="856"/>
      <c r="M23" s="856"/>
      <c r="N23" s="846"/>
      <c r="O23" s="846"/>
      <c r="P23" s="847"/>
      <c r="Q23" s="847"/>
      <c r="R23" s="847"/>
      <c r="S23" s="844"/>
      <c r="T23" s="848"/>
      <c r="U23" s="849"/>
      <c r="V23" s="850"/>
      <c r="W23" s="849"/>
      <c r="X23" s="849"/>
      <c r="Y23" s="849"/>
      <c r="Z23" s="849"/>
      <c r="AA23" s="849"/>
      <c r="AB23" s="849"/>
      <c r="AC23" s="849"/>
    </row>
    <row r="24" spans="1:29" s="369" customFormat="1" ht="16.149999999999999" customHeight="1">
      <c r="A24" s="611" t="s">
        <v>1432</v>
      </c>
      <c r="B24" s="611" t="s">
        <v>2381</v>
      </c>
      <c r="C24" s="611"/>
      <c r="D24" s="611" t="s">
        <v>567</v>
      </c>
      <c r="E24" s="611" t="s">
        <v>2734</v>
      </c>
      <c r="F24" s="612">
        <v>13799.999999999998</v>
      </c>
      <c r="G24" s="613"/>
      <c r="H24" s="613" t="s">
        <v>604</v>
      </c>
      <c r="I24" s="613">
        <v>12</v>
      </c>
      <c r="J24" s="610"/>
      <c r="K24" s="610" t="s">
        <v>2474</v>
      </c>
      <c r="L24" s="838"/>
      <c r="M24" s="838"/>
      <c r="N24" s="857" t="s">
        <v>2475</v>
      </c>
      <c r="O24" s="858"/>
      <c r="P24" s="858"/>
      <c r="S24" s="439"/>
      <c r="T24" s="733"/>
      <c r="V24" s="435"/>
    </row>
    <row r="26" spans="1:29" s="839" customFormat="1" ht="21.1">
      <c r="A26" s="839" t="s">
        <v>5815</v>
      </c>
      <c r="Q26" s="596"/>
      <c r="R26" s="596"/>
      <c r="S26" s="596"/>
    </row>
    <row r="27" spans="1:29" s="584" customFormat="1" ht="15.8" customHeight="1">
      <c r="A27" s="625" t="s">
        <v>1641</v>
      </c>
      <c r="B27" s="625" t="s">
        <v>2388</v>
      </c>
      <c r="C27" s="625"/>
      <c r="D27" s="625" t="s">
        <v>567</v>
      </c>
      <c r="E27" s="587" t="s">
        <v>2734</v>
      </c>
      <c r="F27" s="588">
        <v>62400</v>
      </c>
      <c r="G27" s="594"/>
      <c r="H27" s="594" t="s">
        <v>750</v>
      </c>
      <c r="I27" s="594">
        <v>10</v>
      </c>
      <c r="J27" s="593" t="s">
        <v>2534</v>
      </c>
      <c r="K27" s="839"/>
      <c r="L27" s="838"/>
      <c r="M27" s="838"/>
      <c r="N27" s="592" t="str">
        <f>IF(OR(L27="x", M27="x"), B27 &amp; "; ", "")</f>
        <v/>
      </c>
      <c r="O27" s="592" t="str">
        <f>IF(OR(L27="x", M27="x"), A27 &amp; "     /     ", "")</f>
        <v/>
      </c>
      <c r="P27" s="839"/>
      <c r="Q27" s="596"/>
      <c r="R27" s="596"/>
      <c r="S27" s="596"/>
      <c r="T27" s="594" t="str">
        <f>IF(OR(L27="x", M27="x"), S27,"")</f>
        <v/>
      </c>
      <c r="U27" s="600"/>
      <c r="V27" s="600"/>
      <c r="W27" s="596"/>
      <c r="X27" s="596"/>
      <c r="Y27" s="596"/>
      <c r="Z27" s="596"/>
      <c r="AA27" s="596"/>
      <c r="AB27" s="596"/>
      <c r="AC27" s="596"/>
    </row>
    <row r="28" spans="1:29" s="584" customFormat="1" ht="15.8" customHeight="1">
      <c r="A28" s="587" t="s">
        <v>1645</v>
      </c>
      <c r="B28" s="587" t="s">
        <v>2389</v>
      </c>
      <c r="C28" s="587"/>
      <c r="D28" s="587" t="s">
        <v>567</v>
      </c>
      <c r="E28" s="587" t="s">
        <v>2734</v>
      </c>
      <c r="F28" s="588">
        <v>43550</v>
      </c>
      <c r="G28" s="589"/>
      <c r="H28" s="589" t="s">
        <v>750</v>
      </c>
      <c r="I28" s="589">
        <v>10</v>
      </c>
      <c r="J28" s="593" t="s">
        <v>2534</v>
      </c>
      <c r="K28" s="839"/>
      <c r="L28" s="838"/>
      <c r="M28" s="838"/>
      <c r="N28" s="592" t="str">
        <f>IF(OR(L28="x", M28="x"), B28 &amp; "; ", "")</f>
        <v/>
      </c>
      <c r="O28" s="592" t="str">
        <f>IF(OR(L28="x", M28="x"), A28 &amp; "     /     ", "")</f>
        <v/>
      </c>
      <c r="P28" s="839"/>
      <c r="Q28" s="596"/>
      <c r="R28" s="596"/>
      <c r="S28" s="596"/>
      <c r="T28" s="594" t="str">
        <f>IF(OR(L28="x", M28="x"), S28,"")</f>
        <v/>
      </c>
      <c r="U28" s="600"/>
      <c r="V28" s="600"/>
      <c r="W28" s="596"/>
      <c r="X28" s="596"/>
      <c r="Y28" s="596"/>
      <c r="Z28" s="596"/>
      <c r="AA28" s="596"/>
      <c r="AB28" s="596"/>
      <c r="AC28" s="596"/>
    </row>
    <row r="29" spans="1:29" s="584" customFormat="1" ht="15.8" customHeight="1">
      <c r="A29" s="600" t="s">
        <v>1655</v>
      </c>
      <c r="B29" s="600" t="s">
        <v>1656</v>
      </c>
      <c r="C29" s="600"/>
      <c r="D29" s="600" t="s">
        <v>759</v>
      </c>
      <c r="E29" s="600" t="s">
        <v>2709</v>
      </c>
      <c r="F29" s="603">
        <v>39900</v>
      </c>
      <c r="G29" s="604" t="s">
        <v>1363</v>
      </c>
      <c r="H29" s="604" t="s">
        <v>750</v>
      </c>
      <c r="I29" s="604">
        <v>10</v>
      </c>
      <c r="J29" s="605" t="s">
        <v>2474</v>
      </c>
      <c r="K29" s="839"/>
      <c r="L29" s="837"/>
      <c r="M29" s="837"/>
      <c r="N29" s="600" t="str">
        <f>IF(OR(L29="x", M29="x"), B29 &amp; "; ", "")</f>
        <v/>
      </c>
      <c r="O29" s="600" t="str">
        <f>IF(OR(L29="x", M29="x"), A29 &amp; "     /     ", "")</f>
        <v/>
      </c>
      <c r="P29" s="839"/>
      <c r="Q29" s="596"/>
      <c r="R29" s="596"/>
      <c r="S29" s="596"/>
      <c r="T29" s="606" t="str">
        <f>IF(OR(L29="x", M29="x"), S29,"")</f>
        <v/>
      </c>
      <c r="U29" s="611"/>
      <c r="V29" s="611"/>
      <c r="W29" s="596"/>
      <c r="X29" s="596"/>
      <c r="Y29" s="596"/>
      <c r="Z29" s="596"/>
      <c r="AA29" s="596"/>
      <c r="AB29" s="596"/>
      <c r="AC29" s="596"/>
    </row>
    <row r="30" spans="1:29" s="584" customFormat="1" ht="15.8" customHeight="1">
      <c r="A30" s="611" t="s">
        <v>1793</v>
      </c>
      <c r="B30" s="611" t="s">
        <v>2406</v>
      </c>
      <c r="C30" s="611"/>
      <c r="D30" s="611" t="s">
        <v>759</v>
      </c>
      <c r="E30" s="611" t="s">
        <v>2709</v>
      </c>
      <c r="F30" s="612">
        <v>31900</v>
      </c>
      <c r="G30" s="613"/>
      <c r="H30" s="613" t="s">
        <v>750</v>
      </c>
      <c r="I30" s="613">
        <v>10</v>
      </c>
      <c r="J30" s="605" t="s">
        <v>2474</v>
      </c>
      <c r="K30" s="839"/>
      <c r="L30" s="838"/>
      <c r="M30" s="838"/>
      <c r="N30" s="600" t="str">
        <f>IF(OR(L30="x", M30="x"), B30 &amp; "; ", "")</f>
        <v/>
      </c>
      <c r="O30" s="600" t="str">
        <f>IF(OR(L30="x", M30="x"), A30 &amp; "     /     ", "")</f>
        <v/>
      </c>
      <c r="P30" s="839"/>
      <c r="Q30" s="596"/>
      <c r="R30" s="596"/>
      <c r="S30" s="596"/>
      <c r="T30" s="606" t="str">
        <f>IF(OR(L30="x", M30="x"), S30,"")</f>
        <v/>
      </c>
      <c r="U30" s="600"/>
      <c r="V30" s="600"/>
      <c r="W30" s="596"/>
      <c r="X30" s="596"/>
      <c r="Y30" s="596"/>
      <c r="Z30" s="596"/>
      <c r="AA30" s="596"/>
      <c r="AB30" s="596"/>
      <c r="AC30" s="596"/>
    </row>
    <row r="31" spans="1:29" s="584" customFormat="1" ht="16.149999999999999" customHeight="1">
      <c r="A31" s="600" t="s">
        <v>1643</v>
      </c>
      <c r="B31" s="600" t="s">
        <v>1644</v>
      </c>
      <c r="C31" s="600"/>
      <c r="D31" s="600" t="s">
        <v>567</v>
      </c>
      <c r="E31" s="611" t="s">
        <v>2734</v>
      </c>
      <c r="F31" s="603">
        <v>57400</v>
      </c>
      <c r="G31" s="604" t="s">
        <v>1363</v>
      </c>
      <c r="H31" s="604" t="s">
        <v>750</v>
      </c>
      <c r="I31" s="604">
        <v>10</v>
      </c>
      <c r="J31" s="839" t="s">
        <v>5835</v>
      </c>
      <c r="K31" s="839"/>
      <c r="L31" s="837"/>
      <c r="M31" s="837"/>
      <c r="N31" s="600" t="str">
        <f>IF(OR(L31="x", M31="x"), B31 &amp; "; ", "")</f>
        <v/>
      </c>
      <c r="O31" s="600" t="str">
        <f>IF(OR(L31="x", M31="x"), A31 &amp; "     /     ", "")</f>
        <v/>
      </c>
      <c r="P31" s="839"/>
      <c r="Q31" s="596"/>
      <c r="R31" s="596"/>
      <c r="S31" s="596"/>
      <c r="T31" s="606" t="str">
        <f>IF(OR(L31="x", M31="x"), S31,"")</f>
        <v/>
      </c>
      <c r="U31" s="600"/>
      <c r="V31" s="600"/>
      <c r="W31" s="596"/>
      <c r="X31" s="596"/>
      <c r="Y31" s="596"/>
      <c r="Z31" s="596"/>
      <c r="AA31" s="596"/>
      <c r="AB31" s="596"/>
      <c r="AC31" s="596"/>
    </row>
    <row r="32" spans="1:29" ht="21.1">
      <c r="K32" s="839"/>
    </row>
    <row r="34" spans="1:24" ht="21.1">
      <c r="A34" s="851" t="s">
        <v>2482</v>
      </c>
    </row>
    <row r="35" spans="1:24">
      <c r="A35" s="70" t="s">
        <v>5829</v>
      </c>
    </row>
    <row r="40" spans="1:24" ht="21.1">
      <c r="A40" s="839" t="s">
        <v>5577</v>
      </c>
    </row>
    <row r="43" spans="1:24" s="869" customFormat="1" ht="18.350000000000001">
      <c r="A43" s="869" t="s">
        <v>5838</v>
      </c>
    </row>
    <row r="44" spans="1:24" s="628" customFormat="1" ht="15.8" customHeight="1">
      <c r="A44" s="642" t="s">
        <v>1622</v>
      </c>
      <c r="B44" s="642" t="s">
        <v>739</v>
      </c>
      <c r="C44" s="642"/>
      <c r="D44" s="643" t="s">
        <v>740</v>
      </c>
      <c r="E44" s="1583" t="s">
        <v>2530</v>
      </c>
      <c r="F44" s="1584"/>
      <c r="G44" s="1584"/>
      <c r="H44" s="1584"/>
      <c r="I44" s="1585"/>
      <c r="K44" s="870"/>
      <c r="L44" s="838"/>
      <c r="M44" s="837"/>
      <c r="N44" s="600" t="str">
        <f>IF(OR(L44="x", M44="x"), B44 &amp; "; ", "")</f>
        <v/>
      </c>
      <c r="U44" s="611"/>
      <c r="V44" s="611"/>
      <c r="W44" s="596"/>
      <c r="X44" s="786"/>
    </row>
    <row r="45" spans="1:24" ht="21.1">
      <c r="D45" s="1586" t="s">
        <v>2531</v>
      </c>
      <c r="E45" s="1587"/>
      <c r="F45" s="1587"/>
      <c r="G45" s="1587"/>
      <c r="H45" s="1587"/>
      <c r="I45" s="1587"/>
      <c r="J45" s="1587"/>
      <c r="K45" s="1587"/>
      <c r="L45" s="1587"/>
      <c r="M45" s="1587"/>
      <c r="N45" s="1587"/>
      <c r="O45" s="1587"/>
      <c r="P45" s="1587"/>
    </row>
    <row r="48" spans="1:24" ht="18.350000000000001">
      <c r="A48" s="869" t="s">
        <v>5844</v>
      </c>
    </row>
    <row r="50" spans="1:3">
      <c r="A50" s="70"/>
    </row>
    <row r="51" spans="1:3">
      <c r="A51" s="70" t="s">
        <v>5848</v>
      </c>
    </row>
    <row r="52" spans="1:3" ht="14.3">
      <c r="A52" s="549"/>
    </row>
    <row r="54" spans="1:3" ht="14.3" thickBot="1">
      <c r="A54" s="70" t="s">
        <v>5891</v>
      </c>
    </row>
    <row r="55" spans="1:3" ht="14.3" thickBot="1">
      <c r="B55" s="883" t="s">
        <v>69</v>
      </c>
      <c r="C55" s="884" t="s">
        <v>5892</v>
      </c>
    </row>
    <row r="56" spans="1:3" ht="14.3" thickBot="1">
      <c r="B56" s="70" t="s">
        <v>1345</v>
      </c>
      <c r="C56" s="884" t="s">
        <v>5892</v>
      </c>
    </row>
    <row r="57" spans="1:3" ht="14.3" thickBot="1">
      <c r="B57" s="70" t="s">
        <v>5893</v>
      </c>
      <c r="C57" s="884" t="s">
        <v>5892</v>
      </c>
    </row>
    <row r="59" spans="1:3">
      <c r="B59" s="70" t="s">
        <v>1784</v>
      </c>
      <c r="C59" s="70" t="s">
        <v>5894</v>
      </c>
    </row>
    <row r="60" spans="1:3">
      <c r="B60" s="70" t="s">
        <v>1801</v>
      </c>
      <c r="C60" s="70" t="s">
        <v>5894</v>
      </c>
    </row>
    <row r="64" spans="1:3" s="869" customFormat="1" ht="18.350000000000001">
      <c r="A64" s="869" t="s">
        <v>5895</v>
      </c>
    </row>
  </sheetData>
  <mergeCells count="2">
    <mergeCell ref="E44:I44"/>
    <mergeCell ref="D45:P45"/>
  </mergeCells>
  <conditionalFormatting sqref="C31">
    <cfRule type="duplicateValues" dxfId="85" priority="191"/>
  </conditionalFormatting>
  <conditionalFormatting sqref="C31">
    <cfRule type="duplicateValues" dxfId="84" priority="189"/>
  </conditionalFormatting>
  <conditionalFormatting sqref="C31">
    <cfRule type="duplicateValues" dxfId="83" priority="188"/>
  </conditionalFormatting>
  <conditionalFormatting sqref="C31">
    <cfRule type="duplicateValues" dxfId="82" priority="187"/>
  </conditionalFormatting>
  <conditionalFormatting sqref="C31">
    <cfRule type="duplicateValues" dxfId="81" priority="185"/>
  </conditionalFormatting>
  <conditionalFormatting sqref="C31">
    <cfRule type="duplicateValues" dxfId="80" priority="182"/>
  </conditionalFormatting>
  <conditionalFormatting sqref="C31">
    <cfRule type="duplicateValues" dxfId="79" priority="180"/>
  </conditionalFormatting>
  <conditionalFormatting sqref="C31">
    <cfRule type="duplicateValues" dxfId="78" priority="179"/>
  </conditionalFormatting>
  <conditionalFormatting sqref="C31">
    <cfRule type="duplicateValues" dxfId="77" priority="178"/>
  </conditionalFormatting>
  <conditionalFormatting sqref="C31">
    <cfRule type="duplicateValues" dxfId="76" priority="176"/>
  </conditionalFormatting>
  <conditionalFormatting sqref="C31">
    <cfRule type="duplicateValues" dxfId="75" priority="173"/>
  </conditionalFormatting>
  <conditionalFormatting sqref="C31">
    <cfRule type="duplicateValues" dxfId="74" priority="171"/>
  </conditionalFormatting>
  <conditionalFormatting sqref="C31">
    <cfRule type="duplicateValues" dxfId="73" priority="170"/>
  </conditionalFormatting>
  <conditionalFormatting sqref="C31">
    <cfRule type="duplicateValues" dxfId="72" priority="169"/>
  </conditionalFormatting>
  <conditionalFormatting sqref="C31">
    <cfRule type="duplicateValues" dxfId="71" priority="167"/>
  </conditionalFormatting>
  <conditionalFormatting sqref="C31">
    <cfRule type="duplicateValues" dxfId="70" priority="165"/>
  </conditionalFormatting>
  <conditionalFormatting sqref="C31">
    <cfRule type="duplicateValues" dxfId="69" priority="164"/>
  </conditionalFormatting>
  <conditionalFormatting sqref="C31">
    <cfRule type="duplicateValues" dxfId="68" priority="162"/>
  </conditionalFormatting>
  <conditionalFormatting sqref="C31">
    <cfRule type="duplicateValues" dxfId="67" priority="160"/>
  </conditionalFormatting>
  <conditionalFormatting sqref="C31">
    <cfRule type="duplicateValues" dxfId="66" priority="158"/>
  </conditionalFormatting>
  <conditionalFormatting sqref="C8:C9">
    <cfRule type="duplicateValues" dxfId="65" priority="144"/>
  </conditionalFormatting>
  <conditionalFormatting sqref="C8:C9">
    <cfRule type="duplicateValues" dxfId="64" priority="143"/>
  </conditionalFormatting>
  <conditionalFormatting sqref="C8:C9">
    <cfRule type="duplicateValues" dxfId="63" priority="142"/>
  </conditionalFormatting>
  <conditionalFormatting sqref="C8:C9">
    <cfRule type="duplicateValues" dxfId="62" priority="141"/>
  </conditionalFormatting>
  <conditionalFormatting sqref="C8:C9">
    <cfRule type="duplicateValues" dxfId="61" priority="140"/>
  </conditionalFormatting>
  <conditionalFormatting sqref="C14">
    <cfRule type="duplicateValues" dxfId="60" priority="99"/>
  </conditionalFormatting>
  <conditionalFormatting sqref="K14">
    <cfRule type="duplicateValues" dxfId="59" priority="98"/>
  </conditionalFormatting>
  <conditionalFormatting sqref="C14">
    <cfRule type="duplicateValues" dxfId="58" priority="97"/>
  </conditionalFormatting>
  <conditionalFormatting sqref="K14">
    <cfRule type="duplicateValues" dxfId="57" priority="96"/>
  </conditionalFormatting>
  <conditionalFormatting sqref="C16">
    <cfRule type="duplicateValues" dxfId="56" priority="54"/>
  </conditionalFormatting>
  <conditionalFormatting sqref="C16">
    <cfRule type="duplicateValues" dxfId="55" priority="53"/>
  </conditionalFormatting>
  <conditionalFormatting sqref="K16">
    <cfRule type="duplicateValues" dxfId="54" priority="52"/>
  </conditionalFormatting>
  <conditionalFormatting sqref="C16">
    <cfRule type="duplicateValues" dxfId="53" priority="51"/>
  </conditionalFormatting>
  <conditionalFormatting sqref="K16">
    <cfRule type="duplicateValues" dxfId="52" priority="50"/>
  </conditionalFormatting>
  <conditionalFormatting sqref="C16">
    <cfRule type="duplicateValues" dxfId="51" priority="49"/>
  </conditionalFormatting>
  <conditionalFormatting sqref="K16">
    <cfRule type="duplicateValues" dxfId="50" priority="48"/>
  </conditionalFormatting>
  <conditionalFormatting sqref="C16">
    <cfRule type="duplicateValues" dxfId="49" priority="47"/>
  </conditionalFormatting>
  <conditionalFormatting sqref="K16">
    <cfRule type="duplicateValues" dxfId="48" priority="46"/>
  </conditionalFormatting>
  <conditionalFormatting sqref="K18">
    <cfRule type="duplicateValues" dxfId="47" priority="36"/>
  </conditionalFormatting>
  <conditionalFormatting sqref="C18">
    <cfRule type="duplicateValues" dxfId="46" priority="35"/>
  </conditionalFormatting>
  <conditionalFormatting sqref="K18">
    <cfRule type="duplicateValues" dxfId="45" priority="34"/>
  </conditionalFormatting>
  <conditionalFormatting sqref="C18">
    <cfRule type="duplicateValues" dxfId="44" priority="33"/>
  </conditionalFormatting>
  <conditionalFormatting sqref="C18">
    <cfRule type="duplicateValues" dxfId="43" priority="32"/>
  </conditionalFormatting>
  <conditionalFormatting sqref="C18">
    <cfRule type="duplicateValues" dxfId="42" priority="31"/>
  </conditionalFormatting>
  <conditionalFormatting sqref="K18">
    <cfRule type="duplicateValues" dxfId="41" priority="30"/>
  </conditionalFormatting>
  <conditionalFormatting sqref="C18">
    <cfRule type="duplicateValues" dxfId="40" priority="29"/>
  </conditionalFormatting>
  <conditionalFormatting sqref="K18">
    <cfRule type="duplicateValues" dxfId="39" priority="28"/>
  </conditionalFormatting>
  <conditionalFormatting sqref="K18">
    <cfRule type="duplicateValues" dxfId="38" priority="27"/>
  </conditionalFormatting>
  <conditionalFormatting sqref="C18">
    <cfRule type="duplicateValues" dxfId="37" priority="26"/>
  </conditionalFormatting>
  <conditionalFormatting sqref="K18">
    <cfRule type="duplicateValues" dxfId="36" priority="25"/>
  </conditionalFormatting>
  <conditionalFormatting sqref="C18">
    <cfRule type="duplicateValues" dxfId="35" priority="24"/>
  </conditionalFormatting>
  <conditionalFormatting sqref="C18">
    <cfRule type="duplicateValues" dxfId="34" priority="23"/>
  </conditionalFormatting>
  <conditionalFormatting sqref="C18">
    <cfRule type="duplicateValues" dxfId="33" priority="22"/>
  </conditionalFormatting>
  <conditionalFormatting sqref="K18">
    <cfRule type="duplicateValues" dxfId="32" priority="21"/>
  </conditionalFormatting>
  <conditionalFormatting sqref="C18">
    <cfRule type="duplicateValues" dxfId="31" priority="20"/>
  </conditionalFormatting>
  <conditionalFormatting sqref="K18">
    <cfRule type="duplicateValues" dxfId="30" priority="19"/>
  </conditionalFormatting>
  <conditionalFormatting sqref="K18">
    <cfRule type="duplicateValues" dxfId="29" priority="18"/>
  </conditionalFormatting>
  <conditionalFormatting sqref="C18">
    <cfRule type="duplicateValues" dxfId="28" priority="17"/>
  </conditionalFormatting>
  <conditionalFormatting sqref="K18">
    <cfRule type="duplicateValues" dxfId="27" priority="16"/>
  </conditionalFormatting>
  <conditionalFormatting sqref="C18">
    <cfRule type="duplicateValues" dxfId="26" priority="15"/>
  </conditionalFormatting>
  <conditionalFormatting sqref="C18">
    <cfRule type="duplicateValues" dxfId="25" priority="14"/>
  </conditionalFormatting>
  <conditionalFormatting sqref="C18">
    <cfRule type="duplicateValues" dxfId="24" priority="13"/>
  </conditionalFormatting>
  <conditionalFormatting sqref="K18">
    <cfRule type="duplicateValues" dxfId="23" priority="12"/>
  </conditionalFormatting>
  <conditionalFormatting sqref="C18">
    <cfRule type="duplicateValues" dxfId="22" priority="11"/>
  </conditionalFormatting>
  <conditionalFormatting sqref="K18">
    <cfRule type="duplicateValues" dxfId="21" priority="10"/>
  </conditionalFormatting>
  <conditionalFormatting sqref="C18">
    <cfRule type="duplicateValues" dxfId="20" priority="9"/>
  </conditionalFormatting>
  <conditionalFormatting sqref="C18">
    <cfRule type="duplicateValues" dxfId="19" priority="8"/>
  </conditionalFormatting>
  <conditionalFormatting sqref="K18">
    <cfRule type="duplicateValues" dxfId="18" priority="7"/>
  </conditionalFormatting>
  <conditionalFormatting sqref="C18">
    <cfRule type="duplicateValues" dxfId="17" priority="6"/>
  </conditionalFormatting>
  <conditionalFormatting sqref="K18">
    <cfRule type="duplicateValues" dxfId="16" priority="5"/>
  </conditionalFormatting>
  <conditionalFormatting sqref="C18">
    <cfRule type="duplicateValues" dxfId="15" priority="4"/>
  </conditionalFormatting>
  <conditionalFormatting sqref="K18">
    <cfRule type="duplicateValues" dxfId="14" priority="3"/>
  </conditionalFormatting>
  <conditionalFormatting sqref="C18">
    <cfRule type="duplicateValues" dxfId="13" priority="2"/>
  </conditionalFormatting>
  <conditionalFormatting sqref="K18">
    <cfRule type="duplicateValues" dxfId="12" priority="1"/>
  </conditionalFormatting>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1D025D-525A-6540-813E-AE0EC73DDC8A}">
  <sheetPr codeName="Munka4"/>
  <dimension ref="A1:L38"/>
  <sheetViews>
    <sheetView topLeftCell="A16" workbookViewId="0">
      <selection activeCell="A5" sqref="A5:XFD5"/>
    </sheetView>
  </sheetViews>
  <sheetFormatPr defaultColWidth="10.77734375" defaultRowHeight="13.6"/>
  <cols>
    <col min="1" max="1" width="45.77734375" customWidth="1"/>
    <col min="3" max="3" width="36.77734375" customWidth="1"/>
  </cols>
  <sheetData>
    <row r="1" spans="1:12" s="16" customFormat="1" ht="36" customHeight="1">
      <c r="A1" s="344" t="s">
        <v>1888</v>
      </c>
      <c r="B1" s="348" t="s">
        <v>1889</v>
      </c>
      <c r="C1" s="348" t="s">
        <v>1890</v>
      </c>
      <c r="D1" s="348" t="s">
        <v>1891</v>
      </c>
      <c r="E1" s="348" t="s">
        <v>1892</v>
      </c>
      <c r="F1" s="348" t="s">
        <v>1893</v>
      </c>
      <c r="G1" s="348" t="s">
        <v>1894</v>
      </c>
      <c r="H1" s="348" t="s">
        <v>1895</v>
      </c>
      <c r="I1" s="345" t="s">
        <v>440</v>
      </c>
      <c r="J1" s="346" t="s">
        <v>1866</v>
      </c>
      <c r="K1" s="347" t="s">
        <v>0</v>
      </c>
      <c r="L1" s="344" t="s">
        <v>462</v>
      </c>
    </row>
    <row r="2" spans="1:12" s="5" customFormat="1" ht="15.8" customHeight="1">
      <c r="A2" s="1"/>
      <c r="B2" s="189" t="s">
        <v>1364</v>
      </c>
      <c r="C2" s="190" t="s">
        <v>1365</v>
      </c>
      <c r="D2" s="280">
        <v>69</v>
      </c>
      <c r="E2" s="192" t="s">
        <v>550</v>
      </c>
      <c r="F2" s="193" t="s">
        <v>1363</v>
      </c>
      <c r="G2" s="194" t="s">
        <v>551</v>
      </c>
      <c r="H2" s="195">
        <v>1</v>
      </c>
      <c r="I2" s="1"/>
      <c r="J2" s="67"/>
      <c r="K2" s="18"/>
      <c r="L2" s="62"/>
    </row>
    <row r="3" spans="1:12" s="5" customFormat="1" ht="15.8" customHeight="1">
      <c r="A3" s="1"/>
      <c r="B3" s="189" t="s">
        <v>1366</v>
      </c>
      <c r="C3" s="190" t="s">
        <v>1367</v>
      </c>
      <c r="D3" s="280">
        <v>138</v>
      </c>
      <c r="E3" s="192" t="s">
        <v>550</v>
      </c>
      <c r="F3" s="193" t="s">
        <v>1363</v>
      </c>
      <c r="G3" s="194" t="s">
        <v>551</v>
      </c>
      <c r="H3" s="195">
        <v>1</v>
      </c>
      <c r="I3" s="1"/>
      <c r="J3" s="67"/>
      <c r="K3" s="18"/>
      <c r="L3" s="62"/>
    </row>
    <row r="4" spans="1:12" s="5" customFormat="1" ht="15.8" customHeight="1">
      <c r="A4" s="172" t="s">
        <v>1318</v>
      </c>
      <c r="I4" s="1" t="s">
        <v>559</v>
      </c>
      <c r="J4" s="67">
        <v>9700</v>
      </c>
      <c r="K4" s="18" t="s">
        <v>254</v>
      </c>
      <c r="L4" s="62" t="s">
        <v>551</v>
      </c>
    </row>
    <row r="5" spans="1:12" s="5" customFormat="1" ht="15.8" customHeight="1">
      <c r="A5" s="1" t="s">
        <v>618</v>
      </c>
      <c r="B5" s="189" t="s">
        <v>1453</v>
      </c>
      <c r="C5" s="190" t="s">
        <v>618</v>
      </c>
      <c r="D5" s="280">
        <v>6500</v>
      </c>
      <c r="E5" s="192" t="s">
        <v>607</v>
      </c>
      <c r="F5" s="193" t="s">
        <v>1363</v>
      </c>
      <c r="G5" s="194" t="s">
        <v>608</v>
      </c>
      <c r="H5" s="210" t="s">
        <v>350</v>
      </c>
      <c r="I5" s="1" t="s">
        <v>607</v>
      </c>
      <c r="J5" s="67">
        <v>8450</v>
      </c>
      <c r="K5" s="18" t="s">
        <v>350</v>
      </c>
      <c r="L5" s="70" t="s">
        <v>608</v>
      </c>
    </row>
    <row r="6" spans="1:12" s="5" customFormat="1" ht="15.8" customHeight="1">
      <c r="A6" s="1" t="s">
        <v>509</v>
      </c>
      <c r="B6" s="183" t="s">
        <v>1493</v>
      </c>
      <c r="C6" s="185" t="s">
        <v>509</v>
      </c>
      <c r="D6" s="277">
        <v>3600</v>
      </c>
      <c r="E6" s="185" t="s">
        <v>550</v>
      </c>
      <c r="F6" s="278"/>
      <c r="G6" s="187" t="s">
        <v>551</v>
      </c>
      <c r="H6" s="188">
        <v>1</v>
      </c>
      <c r="I6" s="1" t="s">
        <v>550</v>
      </c>
      <c r="J6" s="67">
        <v>4000</v>
      </c>
      <c r="K6" s="18" t="s">
        <v>254</v>
      </c>
      <c r="L6" s="62" t="s">
        <v>551</v>
      </c>
    </row>
    <row r="7" spans="1:12" s="5" customFormat="1" ht="15.8" customHeight="1">
      <c r="A7" s="1" t="s">
        <v>1333</v>
      </c>
      <c r="I7" s="1" t="s">
        <v>550</v>
      </c>
      <c r="J7" s="67">
        <v>200</v>
      </c>
      <c r="K7" s="18" t="s">
        <v>254</v>
      </c>
      <c r="L7" s="62" t="s">
        <v>551</v>
      </c>
    </row>
    <row r="8" spans="1:12" s="5" customFormat="1" ht="15.8" customHeight="1">
      <c r="A8" s="1" t="s">
        <v>1325</v>
      </c>
      <c r="I8" s="1" t="s">
        <v>550</v>
      </c>
      <c r="J8" s="67">
        <v>5800</v>
      </c>
      <c r="K8" s="18" t="s">
        <v>254</v>
      </c>
      <c r="L8" s="62" t="s">
        <v>551</v>
      </c>
    </row>
    <row r="9" spans="1:12" s="5" customFormat="1" ht="15.8" customHeight="1">
      <c r="A9" s="1" t="s">
        <v>661</v>
      </c>
      <c r="B9" s="189" t="s">
        <v>1513</v>
      </c>
      <c r="C9" s="190" t="s">
        <v>661</v>
      </c>
      <c r="D9" s="280">
        <v>25000</v>
      </c>
      <c r="E9" s="192" t="s">
        <v>602</v>
      </c>
      <c r="F9" s="193" t="s">
        <v>1363</v>
      </c>
      <c r="G9" s="194" t="s">
        <v>551</v>
      </c>
      <c r="H9" s="195">
        <v>17</v>
      </c>
      <c r="I9" s="1" t="s">
        <v>602</v>
      </c>
      <c r="J9" s="67">
        <v>7800</v>
      </c>
      <c r="K9" s="18" t="s">
        <v>1285</v>
      </c>
      <c r="L9" s="62" t="s">
        <v>551</v>
      </c>
    </row>
    <row r="10" spans="1:12" s="7" customFormat="1" ht="15.8" customHeight="1">
      <c r="A10" s="1" t="s">
        <v>668</v>
      </c>
      <c r="I10" s="1" t="s">
        <v>669</v>
      </c>
      <c r="J10" s="67">
        <v>88900</v>
      </c>
      <c r="K10" s="18" t="s">
        <v>670</v>
      </c>
      <c r="L10" s="62" t="s">
        <v>551</v>
      </c>
    </row>
    <row r="11" spans="1:12" s="5" customFormat="1" ht="15.8" customHeight="1">
      <c r="A11" s="1" t="s">
        <v>671</v>
      </c>
      <c r="I11" s="1" t="s">
        <v>550</v>
      </c>
      <c r="J11" s="67">
        <v>600</v>
      </c>
      <c r="K11" s="18" t="s">
        <v>349</v>
      </c>
      <c r="L11" s="62" t="s">
        <v>551</v>
      </c>
    </row>
    <row r="12" spans="1:12" s="5" customFormat="1" ht="15.8" customHeight="1">
      <c r="A12" s="1"/>
      <c r="B12" s="183" t="s">
        <v>1527</v>
      </c>
      <c r="C12" s="203" t="s">
        <v>1528</v>
      </c>
      <c r="D12" s="277">
        <v>130</v>
      </c>
      <c r="E12" s="185" t="s">
        <v>550</v>
      </c>
      <c r="F12" s="278"/>
      <c r="G12" s="187" t="s">
        <v>551</v>
      </c>
      <c r="H12" s="188">
        <v>1</v>
      </c>
      <c r="I12" s="1"/>
      <c r="J12" s="67"/>
      <c r="K12" s="18"/>
      <c r="L12" s="62"/>
    </row>
    <row r="13" spans="1:12" s="5" customFormat="1" ht="15.8" customHeight="1">
      <c r="A13" s="1" t="s">
        <v>682</v>
      </c>
      <c r="B13" s="189" t="s">
        <v>1826</v>
      </c>
      <c r="C13" s="190" t="s">
        <v>1827</v>
      </c>
      <c r="D13" s="280">
        <v>69</v>
      </c>
      <c r="E13" s="192" t="s">
        <v>550</v>
      </c>
      <c r="F13" s="193" t="s">
        <v>1363</v>
      </c>
      <c r="G13" s="194" t="s">
        <v>551</v>
      </c>
      <c r="H13" s="195">
        <v>1</v>
      </c>
      <c r="I13" s="1" t="s">
        <v>550</v>
      </c>
      <c r="J13" s="67">
        <v>637</v>
      </c>
      <c r="K13" s="18" t="s">
        <v>254</v>
      </c>
      <c r="L13" s="62" t="s">
        <v>683</v>
      </c>
    </row>
    <row r="14" spans="1:12" s="5" customFormat="1" ht="15.8" customHeight="1">
      <c r="A14" s="1" t="s">
        <v>688</v>
      </c>
      <c r="I14" s="1" t="s">
        <v>103</v>
      </c>
      <c r="J14" s="67">
        <v>8000</v>
      </c>
      <c r="K14" s="18" t="s">
        <v>254</v>
      </c>
      <c r="L14" s="62" t="s">
        <v>551</v>
      </c>
    </row>
    <row r="15" spans="1:12" s="5" customFormat="1" ht="15.8" customHeight="1">
      <c r="A15" s="1" t="s">
        <v>703</v>
      </c>
      <c r="B15" s="183" t="s">
        <v>1558</v>
      </c>
      <c r="C15" s="203" t="s">
        <v>703</v>
      </c>
      <c r="D15" s="277">
        <v>9200</v>
      </c>
      <c r="E15" s="185" t="s">
        <v>602</v>
      </c>
      <c r="F15" s="278"/>
      <c r="G15" s="187" t="s">
        <v>551</v>
      </c>
      <c r="H15" s="188">
        <v>5</v>
      </c>
      <c r="I15" s="1" t="s">
        <v>602</v>
      </c>
      <c r="J15" s="67">
        <v>11960</v>
      </c>
      <c r="K15" s="18" t="s">
        <v>1278</v>
      </c>
      <c r="L15" s="62" t="s">
        <v>551</v>
      </c>
    </row>
    <row r="16" spans="1:12" s="5" customFormat="1" ht="15.8" customHeight="1">
      <c r="A16" s="190" t="s">
        <v>1612</v>
      </c>
      <c r="B16" s="189" t="s">
        <v>1611</v>
      </c>
      <c r="C16" s="190" t="s">
        <v>1612</v>
      </c>
      <c r="D16" s="280">
        <v>125</v>
      </c>
      <c r="E16" s="192" t="s">
        <v>550</v>
      </c>
      <c r="F16" s="193" t="s">
        <v>1363</v>
      </c>
      <c r="G16" s="194" t="s">
        <v>551</v>
      </c>
      <c r="H16" s="195">
        <v>1</v>
      </c>
      <c r="I16" s="1"/>
      <c r="J16" s="67"/>
      <c r="K16" s="18"/>
      <c r="L16" s="62"/>
    </row>
    <row r="17" spans="1:12" s="5" customFormat="1" ht="15.8" customHeight="1">
      <c r="A17" s="1" t="s">
        <v>739</v>
      </c>
      <c r="B17" s="189" t="s">
        <v>1622</v>
      </c>
      <c r="C17" s="190" t="s">
        <v>739</v>
      </c>
      <c r="D17" s="280">
        <v>10300</v>
      </c>
      <c r="E17" s="192" t="s">
        <v>553</v>
      </c>
      <c r="F17" s="193" t="s">
        <v>1363</v>
      </c>
      <c r="G17" s="194" t="s">
        <v>740</v>
      </c>
      <c r="H17" s="195">
        <v>7</v>
      </c>
      <c r="I17" s="1" t="s">
        <v>553</v>
      </c>
      <c r="J17" s="67">
        <v>12600</v>
      </c>
      <c r="K17" s="18" t="s">
        <v>1274</v>
      </c>
      <c r="L17" s="62" t="s">
        <v>740</v>
      </c>
    </row>
    <row r="18" spans="1:12" s="5" customFormat="1" ht="15.8" customHeight="1">
      <c r="A18" s="1"/>
      <c r="B18" s="189" t="s">
        <v>1623</v>
      </c>
      <c r="C18" s="190" t="s">
        <v>1624</v>
      </c>
      <c r="D18" s="280">
        <v>207</v>
      </c>
      <c r="E18" s="192" t="s">
        <v>550</v>
      </c>
      <c r="F18" s="193" t="s">
        <v>1363</v>
      </c>
      <c r="G18" s="194" t="s">
        <v>551</v>
      </c>
      <c r="H18" s="195">
        <v>1</v>
      </c>
      <c r="I18" s="1"/>
      <c r="J18" s="67"/>
      <c r="K18" s="18"/>
      <c r="L18" s="62"/>
    </row>
    <row r="19" spans="1:12" s="5" customFormat="1" ht="15.8" customHeight="1">
      <c r="A19" s="1"/>
      <c r="B19" s="189" t="s">
        <v>1625</v>
      </c>
      <c r="C19" s="190" t="s">
        <v>1626</v>
      </c>
      <c r="D19" s="280">
        <v>345</v>
      </c>
      <c r="E19" s="192" t="s">
        <v>550</v>
      </c>
      <c r="F19" s="193" t="s">
        <v>1363</v>
      </c>
      <c r="G19" s="194" t="s">
        <v>551</v>
      </c>
      <c r="H19" s="195">
        <v>1</v>
      </c>
      <c r="I19" s="1"/>
      <c r="J19" s="67"/>
      <c r="K19" s="18"/>
      <c r="L19" s="62"/>
    </row>
    <row r="20" spans="1:12" s="5" customFormat="1" ht="15.8" customHeight="1">
      <c r="A20" s="1" t="s">
        <v>747</v>
      </c>
      <c r="B20" s="183" t="s">
        <v>1633</v>
      </c>
      <c r="C20" s="203" t="s">
        <v>1634</v>
      </c>
      <c r="D20" s="277">
        <v>43050</v>
      </c>
      <c r="E20" s="185" t="s">
        <v>567</v>
      </c>
      <c r="F20" s="278"/>
      <c r="G20" s="187" t="s">
        <v>687</v>
      </c>
      <c r="H20" s="188">
        <v>10</v>
      </c>
      <c r="I20" s="1" t="s">
        <v>567</v>
      </c>
      <c r="J20" s="67">
        <v>40365</v>
      </c>
      <c r="K20" s="18" t="s">
        <v>581</v>
      </c>
      <c r="L20" s="70" t="s">
        <v>687</v>
      </c>
    </row>
    <row r="21" spans="1:12" s="5" customFormat="1" ht="15.8" customHeight="1">
      <c r="A21" s="1" t="s">
        <v>761</v>
      </c>
      <c r="I21" s="1" t="s">
        <v>550</v>
      </c>
      <c r="J21" s="67">
        <v>4500</v>
      </c>
      <c r="K21" s="18" t="s">
        <v>254</v>
      </c>
      <c r="L21" s="62" t="s">
        <v>476</v>
      </c>
    </row>
    <row r="22" spans="1:12" s="5" customFormat="1" ht="15.8" customHeight="1">
      <c r="A22" s="1" t="s">
        <v>762</v>
      </c>
      <c r="I22" s="1" t="s">
        <v>550</v>
      </c>
      <c r="J22" s="67">
        <v>0</v>
      </c>
      <c r="K22" s="18" t="s">
        <v>254</v>
      </c>
      <c r="L22" s="62" t="s">
        <v>548</v>
      </c>
    </row>
    <row r="23" spans="1:12" s="5" customFormat="1" ht="15.8" customHeight="1">
      <c r="A23" s="1" t="s">
        <v>775</v>
      </c>
      <c r="B23" s="183" t="s">
        <v>1681</v>
      </c>
      <c r="C23" s="203" t="s">
        <v>775</v>
      </c>
      <c r="D23" s="277">
        <v>4500</v>
      </c>
      <c r="E23" s="185" t="s">
        <v>607</v>
      </c>
      <c r="F23" s="278"/>
      <c r="G23" s="187" t="s">
        <v>608</v>
      </c>
      <c r="H23" s="205" t="s">
        <v>350</v>
      </c>
      <c r="I23" s="1" t="s">
        <v>607</v>
      </c>
      <c r="J23" s="67">
        <v>5850</v>
      </c>
      <c r="K23" s="18" t="s">
        <v>350</v>
      </c>
      <c r="L23" s="70" t="s">
        <v>608</v>
      </c>
    </row>
    <row r="24" spans="1:12" s="5" customFormat="1" ht="15.8" customHeight="1">
      <c r="A24" s="1" t="s">
        <v>776</v>
      </c>
      <c r="B24" s="183" t="s">
        <v>1682</v>
      </c>
      <c r="C24" s="203" t="s">
        <v>776</v>
      </c>
      <c r="D24" s="277">
        <v>4500</v>
      </c>
      <c r="E24" s="185" t="s">
        <v>607</v>
      </c>
      <c r="F24" s="278"/>
      <c r="G24" s="187" t="s">
        <v>608</v>
      </c>
      <c r="H24" s="205" t="s">
        <v>350</v>
      </c>
      <c r="I24" s="1" t="s">
        <v>607</v>
      </c>
      <c r="J24" s="67">
        <v>5850</v>
      </c>
      <c r="K24" s="18" t="s">
        <v>350</v>
      </c>
      <c r="L24" s="70" t="s">
        <v>608</v>
      </c>
    </row>
    <row r="25" spans="1:12" s="7" customFormat="1" ht="15.8" customHeight="1">
      <c r="A25" s="1" t="s">
        <v>792</v>
      </c>
      <c r="B25" s="183" t="s">
        <v>792</v>
      </c>
      <c r="C25" s="203" t="s">
        <v>1703</v>
      </c>
      <c r="D25" s="277">
        <v>8000</v>
      </c>
      <c r="E25" s="185" t="s">
        <v>103</v>
      </c>
      <c r="F25" s="278"/>
      <c r="G25" s="187" t="s">
        <v>551</v>
      </c>
      <c r="H25" s="188">
        <v>7</v>
      </c>
      <c r="I25" s="1" t="s">
        <v>103</v>
      </c>
      <c r="J25" s="67">
        <v>6500</v>
      </c>
      <c r="K25" s="18" t="s">
        <v>254</v>
      </c>
      <c r="L25" s="62" t="s">
        <v>551</v>
      </c>
    </row>
    <row r="26" spans="1:12" s="5" customFormat="1" ht="15.8" customHeight="1">
      <c r="A26" s="1" t="s">
        <v>795</v>
      </c>
      <c r="I26" s="1" t="s">
        <v>550</v>
      </c>
      <c r="J26" s="67">
        <v>200</v>
      </c>
      <c r="K26" s="18" t="s">
        <v>254</v>
      </c>
      <c r="L26" s="62" t="s">
        <v>551</v>
      </c>
    </row>
    <row r="27" spans="1:12" s="5" customFormat="1" ht="15.8" customHeight="1">
      <c r="A27" s="1" t="s">
        <v>796</v>
      </c>
      <c r="I27" s="1" t="s">
        <v>550</v>
      </c>
      <c r="J27" s="67">
        <v>200</v>
      </c>
      <c r="K27" s="18" t="s">
        <v>254</v>
      </c>
      <c r="L27" s="62" t="s">
        <v>551</v>
      </c>
    </row>
    <row r="28" spans="1:12" s="7" customFormat="1" ht="15.8" customHeight="1">
      <c r="A28" s="1" t="s">
        <v>797</v>
      </c>
      <c r="I28" s="1" t="s">
        <v>550</v>
      </c>
      <c r="J28" s="67">
        <v>200</v>
      </c>
      <c r="K28" s="18" t="s">
        <v>254</v>
      </c>
      <c r="L28" s="62" t="s">
        <v>551</v>
      </c>
    </row>
    <row r="29" spans="1:12" s="5" customFormat="1" ht="15.8" customHeight="1">
      <c r="A29" s="1" t="s">
        <v>798</v>
      </c>
      <c r="I29" s="1" t="s">
        <v>550</v>
      </c>
      <c r="J29" s="67">
        <v>200</v>
      </c>
      <c r="K29" s="18" t="s">
        <v>254</v>
      </c>
      <c r="L29" s="62" t="s">
        <v>551</v>
      </c>
    </row>
    <row r="30" spans="1:12" s="5" customFormat="1" ht="15.8" customHeight="1">
      <c r="A30" s="203" t="s">
        <v>1744</v>
      </c>
      <c r="B30" s="183" t="s">
        <v>1743</v>
      </c>
      <c r="C30" s="203" t="s">
        <v>1744</v>
      </c>
      <c r="D30" s="277">
        <v>8049.9999999999991</v>
      </c>
      <c r="E30" s="185" t="s">
        <v>553</v>
      </c>
      <c r="F30" s="278"/>
      <c r="G30" s="187" t="s">
        <v>1447</v>
      </c>
      <c r="H30" s="188">
        <v>1</v>
      </c>
      <c r="I30" s="155"/>
      <c r="J30" s="160"/>
      <c r="K30" s="156"/>
      <c r="L30" s="62"/>
    </row>
    <row r="31" spans="1:12" s="5" customFormat="1" ht="15.8" customHeight="1">
      <c r="A31" s="342" t="s">
        <v>1746</v>
      </c>
      <c r="B31" s="183" t="s">
        <v>1745</v>
      </c>
      <c r="C31" s="342" t="s">
        <v>1746</v>
      </c>
      <c r="D31" s="277">
        <v>6900</v>
      </c>
      <c r="E31" s="185" t="s">
        <v>602</v>
      </c>
      <c r="F31" s="278"/>
      <c r="G31" s="187" t="s">
        <v>551</v>
      </c>
      <c r="H31" s="205" t="s">
        <v>1747</v>
      </c>
      <c r="I31" s="155"/>
      <c r="J31" s="160"/>
      <c r="K31" s="156"/>
      <c r="L31" s="62"/>
    </row>
    <row r="32" spans="1:12" s="5" customFormat="1" ht="15.8" customHeight="1">
      <c r="A32" s="1" t="s">
        <v>825</v>
      </c>
      <c r="B32" s="189" t="s">
        <v>1753</v>
      </c>
      <c r="C32" s="190" t="s">
        <v>1754</v>
      </c>
      <c r="D32" s="280">
        <v>14990</v>
      </c>
      <c r="E32" s="192" t="s">
        <v>602</v>
      </c>
      <c r="F32" s="193" t="s">
        <v>1363</v>
      </c>
      <c r="G32" s="194" t="s">
        <v>554</v>
      </c>
      <c r="H32" s="215">
        <v>5</v>
      </c>
      <c r="I32" s="1" t="s">
        <v>602</v>
      </c>
      <c r="J32" s="67">
        <v>19700</v>
      </c>
      <c r="K32" s="18" t="s">
        <v>1278</v>
      </c>
      <c r="L32" s="62" t="s">
        <v>554</v>
      </c>
    </row>
    <row r="33" spans="1:12" s="5" customFormat="1" ht="15.8" customHeight="1">
      <c r="A33" s="203" t="s">
        <v>1784</v>
      </c>
      <c r="B33" s="183" t="s">
        <v>1783</v>
      </c>
      <c r="C33" s="203" t="s">
        <v>1784</v>
      </c>
      <c r="D33" s="277">
        <v>1724.9999999999998</v>
      </c>
      <c r="E33" s="185" t="s">
        <v>559</v>
      </c>
      <c r="F33" s="278"/>
      <c r="G33" s="187" t="s">
        <v>551</v>
      </c>
      <c r="H33" s="188">
        <v>1</v>
      </c>
      <c r="I33" s="1"/>
      <c r="J33" s="67"/>
      <c r="K33" s="18"/>
      <c r="L33" s="62"/>
    </row>
    <row r="34" spans="1:12" s="5" customFormat="1" ht="15.8" customHeight="1">
      <c r="A34" s="203" t="s">
        <v>1789</v>
      </c>
      <c r="B34" s="343" t="s">
        <v>1788</v>
      </c>
      <c r="C34" s="203" t="s">
        <v>1789</v>
      </c>
      <c r="D34" s="277">
        <v>19000</v>
      </c>
      <c r="E34" s="185" t="s">
        <v>553</v>
      </c>
      <c r="F34" s="278"/>
      <c r="G34" s="187" t="s">
        <v>604</v>
      </c>
      <c r="H34" s="188">
        <v>7</v>
      </c>
      <c r="I34" s="1"/>
      <c r="J34" s="67"/>
      <c r="K34" s="18"/>
      <c r="L34" s="62"/>
    </row>
    <row r="35" spans="1:12" s="5" customFormat="1" ht="15.8" customHeight="1">
      <c r="A35" s="1" t="s">
        <v>857</v>
      </c>
      <c r="B35" s="189" t="s">
        <v>1820</v>
      </c>
      <c r="C35" s="190" t="s">
        <v>857</v>
      </c>
      <c r="D35" s="280">
        <v>11900</v>
      </c>
      <c r="E35" s="192" t="s">
        <v>553</v>
      </c>
      <c r="F35" s="193" t="s">
        <v>1363</v>
      </c>
      <c r="G35" s="194" t="s">
        <v>604</v>
      </c>
      <c r="H35" s="195">
        <v>7</v>
      </c>
      <c r="I35" s="1" t="s">
        <v>553</v>
      </c>
      <c r="J35" s="67">
        <v>14800</v>
      </c>
      <c r="K35" s="18" t="s">
        <v>584</v>
      </c>
      <c r="L35" s="62" t="s">
        <v>604</v>
      </c>
    </row>
    <row r="36" spans="1:12" s="5" customFormat="1" ht="15.8" customHeight="1">
      <c r="A36" s="1" t="s">
        <v>862</v>
      </c>
      <c r="B36" s="183" t="s">
        <v>1825</v>
      </c>
      <c r="C36" s="203" t="s">
        <v>862</v>
      </c>
      <c r="D36" s="277">
        <v>31900</v>
      </c>
      <c r="E36" s="185" t="s">
        <v>553</v>
      </c>
      <c r="F36" s="278"/>
      <c r="G36" s="187" t="s">
        <v>604</v>
      </c>
      <c r="H36" s="188">
        <v>12</v>
      </c>
      <c r="I36" s="1" t="s">
        <v>553</v>
      </c>
      <c r="J36" s="67">
        <v>41470</v>
      </c>
      <c r="K36" s="18" t="s">
        <v>563</v>
      </c>
      <c r="L36" s="70" t="s">
        <v>604</v>
      </c>
    </row>
    <row r="37" spans="1:12" s="5" customFormat="1" ht="15.8" customHeight="1">
      <c r="A37" s="155"/>
      <c r="B37" s="189" t="s">
        <v>1828</v>
      </c>
      <c r="C37" s="190" t="s">
        <v>1829</v>
      </c>
      <c r="D37" s="280">
        <v>69</v>
      </c>
      <c r="E37" s="192" t="s">
        <v>550</v>
      </c>
      <c r="F37" s="193" t="s">
        <v>1363</v>
      </c>
      <c r="G37" s="194" t="s">
        <v>551</v>
      </c>
      <c r="H37" s="195">
        <v>1</v>
      </c>
      <c r="I37" s="155"/>
      <c r="J37" s="160"/>
      <c r="K37" s="156"/>
      <c r="L37" s="62"/>
    </row>
    <row r="38" spans="1:12" s="5" customFormat="1" ht="15.8" customHeight="1">
      <c r="A38" s="1" t="s">
        <v>1292</v>
      </c>
      <c r="B38" s="189" t="s">
        <v>1850</v>
      </c>
      <c r="C38" s="190" t="s">
        <v>123</v>
      </c>
      <c r="D38" s="280">
        <v>3500</v>
      </c>
      <c r="E38" s="192" t="s">
        <v>550</v>
      </c>
      <c r="F38" s="193" t="s">
        <v>1363</v>
      </c>
      <c r="G38" s="194" t="s">
        <v>476</v>
      </c>
      <c r="H38" s="195">
        <v>1</v>
      </c>
      <c r="I38" s="1" t="s">
        <v>550</v>
      </c>
      <c r="J38" s="67">
        <v>600</v>
      </c>
      <c r="K38" s="18" t="s">
        <v>254</v>
      </c>
      <c r="L38" s="62" t="s">
        <v>476</v>
      </c>
    </row>
  </sheetData>
  <conditionalFormatting sqref="A16">
    <cfRule type="duplicateValues" dxfId="11" priority="10"/>
  </conditionalFormatting>
  <conditionalFormatting sqref="A30">
    <cfRule type="duplicateValues" dxfId="10" priority="4"/>
  </conditionalFormatting>
  <conditionalFormatting sqref="A31">
    <cfRule type="duplicateValues" dxfId="9" priority="5"/>
  </conditionalFormatting>
  <conditionalFormatting sqref="A33">
    <cfRule type="duplicateValues" dxfId="8" priority="2"/>
  </conditionalFormatting>
  <conditionalFormatting sqref="C15">
    <cfRule type="duplicateValues" dxfId="7" priority="12"/>
  </conditionalFormatting>
  <conditionalFormatting sqref="C16">
    <cfRule type="duplicateValues" dxfId="6" priority="11"/>
  </conditionalFormatting>
  <conditionalFormatting sqref="C18">
    <cfRule type="duplicateValues" dxfId="5" priority="9"/>
  </conditionalFormatting>
  <conditionalFormatting sqref="C20">
    <cfRule type="duplicateValues" dxfId="4" priority="8"/>
  </conditionalFormatting>
  <conditionalFormatting sqref="C30">
    <cfRule type="duplicateValues" dxfId="3" priority="6"/>
  </conditionalFormatting>
  <conditionalFormatting sqref="C31">
    <cfRule type="duplicateValues" dxfId="2" priority="7"/>
  </conditionalFormatting>
  <conditionalFormatting sqref="C33">
    <cfRule type="duplicateValues" dxfId="1" priority="3"/>
  </conditionalFormatting>
  <conditionalFormatting sqref="C37">
    <cfRule type="duplicateValues" dxfId="0" priority="1"/>
  </conditionalFormatting>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Munka10"/>
  <dimension ref="A1:F1067"/>
  <sheetViews>
    <sheetView zoomScale="171" zoomScaleNormal="96" workbookViewId="0">
      <pane xSplit="2" ySplit="1" topLeftCell="C419" activePane="bottomRight" state="frozen"/>
      <selection pane="topRight" activeCell="H1" sqref="H1"/>
      <selection pane="bottomLeft" activeCell="A2" sqref="A2"/>
      <selection pane="bottomRight" activeCell="E416" sqref="E416"/>
    </sheetView>
  </sheetViews>
  <sheetFormatPr defaultColWidth="12.44140625" defaultRowHeight="14.95" customHeight="1"/>
  <cols>
    <col min="1" max="1" width="86.77734375" style="5" customWidth="1"/>
    <col min="2" max="2" width="20.77734375" style="5" customWidth="1"/>
    <col min="3" max="3" width="27.44140625" style="39" customWidth="1"/>
    <col min="4" max="4" width="18.77734375" style="16" customWidth="1"/>
    <col min="5" max="5" width="16.77734375" style="7" customWidth="1"/>
    <col min="6" max="6" width="22.21875" style="5" customWidth="1"/>
    <col min="7" max="16384" width="12.44140625" style="5"/>
  </cols>
  <sheetData>
    <row r="1" spans="1:6" s="16" customFormat="1" ht="36" customHeight="1">
      <c r="A1" s="17" t="s">
        <v>439</v>
      </c>
      <c r="B1" s="17" t="s">
        <v>440</v>
      </c>
      <c r="C1" s="32" t="s">
        <v>438</v>
      </c>
      <c r="D1" s="17" t="s">
        <v>0</v>
      </c>
      <c r="E1" s="29" t="s">
        <v>448</v>
      </c>
      <c r="F1" s="17" t="s">
        <v>449</v>
      </c>
    </row>
    <row r="2" spans="1:6" ht="15.8" customHeight="1">
      <c r="A2" s="1" t="s">
        <v>46</v>
      </c>
      <c r="B2" s="1" t="s">
        <v>12</v>
      </c>
      <c r="C2" s="33">
        <v>1400</v>
      </c>
      <c r="D2" s="18" t="s">
        <v>349</v>
      </c>
      <c r="E2" s="30"/>
      <c r="F2" s="5" t="str">
        <f>IF(E2="x",CONCATENATE(A2," ;"),"")</f>
        <v/>
      </c>
    </row>
    <row r="3" spans="1:6" ht="15.8" customHeight="1">
      <c r="A3" s="1" t="s">
        <v>11</v>
      </c>
      <c r="B3" s="1" t="s">
        <v>12</v>
      </c>
      <c r="C3" s="33">
        <v>250</v>
      </c>
      <c r="D3" s="19">
        <v>1</v>
      </c>
      <c r="E3" s="30"/>
      <c r="F3" s="5" t="str">
        <f t="shared" ref="F3:F66" si="0">IF(E3="x",CONCATENATE(A3," ;"),"")</f>
        <v/>
      </c>
    </row>
    <row r="4" spans="1:6" ht="15.8" customHeight="1">
      <c r="A4" s="1" t="s">
        <v>45</v>
      </c>
      <c r="B4" s="1" t="s">
        <v>12</v>
      </c>
      <c r="C4" s="33">
        <v>4200</v>
      </c>
      <c r="D4" s="18" t="s">
        <v>254</v>
      </c>
      <c r="E4" s="30"/>
      <c r="F4" s="5" t="str">
        <f t="shared" si="0"/>
        <v/>
      </c>
    </row>
    <row r="5" spans="1:6" ht="15.8" customHeight="1">
      <c r="A5" s="1" t="s">
        <v>18</v>
      </c>
      <c r="B5" s="1" t="s">
        <v>12</v>
      </c>
      <c r="C5" s="33">
        <v>250</v>
      </c>
      <c r="D5" s="19">
        <v>1</v>
      </c>
      <c r="E5" s="30"/>
      <c r="F5" s="5" t="str">
        <f t="shared" si="0"/>
        <v/>
      </c>
    </row>
    <row r="6" spans="1:6" ht="15.8" customHeight="1">
      <c r="A6" s="1" t="s">
        <v>17</v>
      </c>
      <c r="B6" s="1" t="s">
        <v>12</v>
      </c>
      <c r="C6" s="33">
        <v>250</v>
      </c>
      <c r="D6" s="19">
        <v>1</v>
      </c>
      <c r="E6" s="30"/>
      <c r="F6" s="5" t="str">
        <f t="shared" si="0"/>
        <v/>
      </c>
    </row>
    <row r="7" spans="1:6" ht="15.8" customHeight="1">
      <c r="A7" s="1" t="s">
        <v>15</v>
      </c>
      <c r="B7" s="1" t="s">
        <v>12</v>
      </c>
      <c r="C7" s="33">
        <v>250</v>
      </c>
      <c r="D7" s="19">
        <v>1</v>
      </c>
      <c r="E7" s="30"/>
      <c r="F7" s="5" t="str">
        <f t="shared" si="0"/>
        <v/>
      </c>
    </row>
    <row r="8" spans="1:6" ht="15.8" customHeight="1">
      <c r="A8" s="1" t="s">
        <v>13</v>
      </c>
      <c r="B8" s="1" t="s">
        <v>12</v>
      </c>
      <c r="C8" s="33">
        <v>250</v>
      </c>
      <c r="D8" s="19">
        <v>1</v>
      </c>
      <c r="E8" s="30"/>
      <c r="F8" s="5" t="str">
        <f t="shared" si="0"/>
        <v/>
      </c>
    </row>
    <row r="9" spans="1:6" ht="15.8" customHeight="1">
      <c r="A9" s="1" t="s">
        <v>14</v>
      </c>
      <c r="B9" s="1" t="s">
        <v>12</v>
      </c>
      <c r="C9" s="33">
        <v>250</v>
      </c>
      <c r="D9" s="19">
        <v>1</v>
      </c>
      <c r="E9" s="30"/>
      <c r="F9" s="5" t="str">
        <f t="shared" si="0"/>
        <v/>
      </c>
    </row>
    <row r="10" spans="1:6" ht="15.8" customHeight="1">
      <c r="A10" s="1" t="s">
        <v>36</v>
      </c>
      <c r="B10" s="1" t="s">
        <v>12</v>
      </c>
      <c r="C10" s="33">
        <v>250</v>
      </c>
      <c r="D10" s="19">
        <v>1</v>
      </c>
      <c r="E10" s="30"/>
      <c r="F10" s="5" t="str">
        <f t="shared" si="0"/>
        <v/>
      </c>
    </row>
    <row r="11" spans="1:6" ht="15.8" customHeight="1">
      <c r="A11" s="1" t="s">
        <v>42</v>
      </c>
      <c r="B11" s="1" t="s">
        <v>12</v>
      </c>
      <c r="C11" s="33">
        <v>700</v>
      </c>
      <c r="D11" s="18" t="s">
        <v>349</v>
      </c>
      <c r="E11" s="30"/>
      <c r="F11" s="5" t="str">
        <f t="shared" si="0"/>
        <v/>
      </c>
    </row>
    <row r="12" spans="1:6" ht="15.8" customHeight="1">
      <c r="A12" s="1" t="s">
        <v>16</v>
      </c>
      <c r="B12" s="1" t="s">
        <v>12</v>
      </c>
      <c r="C12" s="33">
        <v>250</v>
      </c>
      <c r="D12" s="19">
        <v>1</v>
      </c>
      <c r="E12" s="30"/>
      <c r="F12" s="5" t="str">
        <f t="shared" si="0"/>
        <v/>
      </c>
    </row>
    <row r="13" spans="1:6" ht="15.8" customHeight="1">
      <c r="A13" s="1" t="s">
        <v>27</v>
      </c>
      <c r="B13" s="1" t="s">
        <v>12</v>
      </c>
      <c r="C13" s="33">
        <v>250</v>
      </c>
      <c r="D13" s="19">
        <v>1</v>
      </c>
      <c r="E13" s="30"/>
      <c r="F13" s="5" t="str">
        <f t="shared" si="0"/>
        <v/>
      </c>
    </row>
    <row r="14" spans="1:6" ht="15.8" customHeight="1">
      <c r="A14" s="1" t="s">
        <v>19</v>
      </c>
      <c r="B14" s="1" t="s">
        <v>12</v>
      </c>
      <c r="C14" s="33">
        <v>250</v>
      </c>
      <c r="D14" s="19">
        <v>1</v>
      </c>
      <c r="E14" s="30"/>
      <c r="F14" s="5" t="str">
        <f t="shared" si="0"/>
        <v/>
      </c>
    </row>
    <row r="15" spans="1:6" ht="15.8" customHeight="1">
      <c r="A15" s="1" t="s">
        <v>20</v>
      </c>
      <c r="B15" s="1" t="s">
        <v>12</v>
      </c>
      <c r="C15" s="33">
        <v>350</v>
      </c>
      <c r="D15" s="19">
        <v>1</v>
      </c>
      <c r="E15" s="30"/>
      <c r="F15" s="5" t="str">
        <f t="shared" si="0"/>
        <v/>
      </c>
    </row>
    <row r="16" spans="1:6" ht="15.8" customHeight="1">
      <c r="A16" s="1" t="s">
        <v>38</v>
      </c>
      <c r="B16" s="1" t="s">
        <v>12</v>
      </c>
      <c r="C16" s="33">
        <v>600</v>
      </c>
      <c r="D16" s="19">
        <v>1</v>
      </c>
      <c r="E16" s="30"/>
      <c r="F16" s="5" t="str">
        <f t="shared" si="0"/>
        <v/>
      </c>
    </row>
    <row r="17" spans="1:6" ht="15.8" customHeight="1">
      <c r="A17" s="1" t="s">
        <v>39</v>
      </c>
      <c r="B17" s="1" t="s">
        <v>12</v>
      </c>
      <c r="C17" s="33">
        <v>700</v>
      </c>
      <c r="D17" s="19">
        <v>1</v>
      </c>
      <c r="E17" s="30"/>
      <c r="F17" s="5" t="str">
        <f t="shared" si="0"/>
        <v/>
      </c>
    </row>
    <row r="18" spans="1:6" s="7" customFormat="1" ht="15.8" customHeight="1">
      <c r="A18" s="1" t="s">
        <v>269</v>
      </c>
      <c r="B18" s="1" t="s">
        <v>12</v>
      </c>
      <c r="C18" s="33">
        <v>250</v>
      </c>
      <c r="D18" s="19">
        <v>1</v>
      </c>
      <c r="E18" s="30"/>
      <c r="F18" s="5" t="str">
        <f t="shared" si="0"/>
        <v/>
      </c>
    </row>
    <row r="19" spans="1:6" ht="15.8" customHeight="1">
      <c r="A19" s="1" t="s">
        <v>268</v>
      </c>
      <c r="B19" s="1" t="s">
        <v>12</v>
      </c>
      <c r="C19" s="33">
        <v>250</v>
      </c>
      <c r="D19" s="19">
        <v>1</v>
      </c>
      <c r="E19" s="30"/>
      <c r="F19" s="5" t="str">
        <f t="shared" si="0"/>
        <v/>
      </c>
    </row>
    <row r="20" spans="1:6" ht="15.8" customHeight="1">
      <c r="A20" s="1" t="s">
        <v>22</v>
      </c>
      <c r="B20" s="1" t="s">
        <v>12</v>
      </c>
      <c r="C20" s="33">
        <v>250</v>
      </c>
      <c r="D20" s="19">
        <v>1</v>
      </c>
      <c r="E20" s="30"/>
      <c r="F20" s="5" t="str">
        <f t="shared" si="0"/>
        <v/>
      </c>
    </row>
    <row r="21" spans="1:6" ht="15.8" customHeight="1">
      <c r="A21" s="1" t="s">
        <v>23</v>
      </c>
      <c r="B21" s="1" t="s">
        <v>12</v>
      </c>
      <c r="C21" s="33">
        <v>250</v>
      </c>
      <c r="D21" s="19">
        <v>1</v>
      </c>
      <c r="E21" s="30"/>
      <c r="F21" s="5" t="str">
        <f t="shared" si="0"/>
        <v/>
      </c>
    </row>
    <row r="22" spans="1:6" ht="15.8" customHeight="1">
      <c r="A22" s="1" t="s">
        <v>24</v>
      </c>
      <c r="B22" s="1" t="s">
        <v>12</v>
      </c>
      <c r="C22" s="33">
        <v>250</v>
      </c>
      <c r="D22" s="19">
        <v>1</v>
      </c>
      <c r="E22" s="30"/>
      <c r="F22" s="5" t="str">
        <f t="shared" si="0"/>
        <v/>
      </c>
    </row>
    <row r="23" spans="1:6" ht="15.8" customHeight="1">
      <c r="A23" s="1" t="s">
        <v>21</v>
      </c>
      <c r="B23" s="1" t="s">
        <v>12</v>
      </c>
      <c r="C23" s="33">
        <v>250</v>
      </c>
      <c r="D23" s="19">
        <v>1</v>
      </c>
      <c r="E23" s="30"/>
      <c r="F23" s="5" t="str">
        <f t="shared" si="0"/>
        <v/>
      </c>
    </row>
    <row r="24" spans="1:6" ht="15.8" customHeight="1">
      <c r="A24" s="1" t="s">
        <v>26</v>
      </c>
      <c r="B24" s="1" t="s">
        <v>12</v>
      </c>
      <c r="C24" s="33">
        <v>250</v>
      </c>
      <c r="D24" s="19">
        <v>1</v>
      </c>
      <c r="E24" s="30"/>
      <c r="F24" s="5" t="str">
        <f t="shared" si="0"/>
        <v/>
      </c>
    </row>
    <row r="25" spans="1:6" ht="15.8" customHeight="1">
      <c r="A25" s="1" t="s">
        <v>378</v>
      </c>
      <c r="B25" s="1" t="s">
        <v>12</v>
      </c>
      <c r="C25" s="33">
        <v>3600</v>
      </c>
      <c r="D25" s="19">
        <v>10</v>
      </c>
      <c r="E25" s="30"/>
      <c r="F25" s="5" t="str">
        <f t="shared" si="0"/>
        <v/>
      </c>
    </row>
    <row r="26" spans="1:6" ht="15.8" customHeight="1">
      <c r="A26" s="1" t="s">
        <v>28</v>
      </c>
      <c r="B26" s="1" t="s">
        <v>12</v>
      </c>
      <c r="C26" s="33">
        <v>1300</v>
      </c>
      <c r="D26" s="19">
        <v>1</v>
      </c>
      <c r="E26" s="30"/>
      <c r="F26" s="5" t="str">
        <f t="shared" si="0"/>
        <v/>
      </c>
    </row>
    <row r="27" spans="1:6" ht="15.8" customHeight="1">
      <c r="A27" s="1" t="s">
        <v>219</v>
      </c>
      <c r="B27" s="1" t="s">
        <v>12</v>
      </c>
      <c r="C27" s="33">
        <v>1300</v>
      </c>
      <c r="D27" s="19">
        <v>1</v>
      </c>
      <c r="E27" s="30"/>
      <c r="F27" s="5" t="str">
        <f t="shared" si="0"/>
        <v/>
      </c>
    </row>
    <row r="28" spans="1:6" ht="15.8" customHeight="1">
      <c r="A28" s="2" t="s">
        <v>47</v>
      </c>
      <c r="B28" s="2" t="s">
        <v>12</v>
      </c>
      <c r="C28" s="34">
        <v>4500</v>
      </c>
      <c r="D28" s="18" t="s">
        <v>361</v>
      </c>
      <c r="E28" s="30"/>
      <c r="F28" s="5" t="str">
        <f t="shared" si="0"/>
        <v/>
      </c>
    </row>
    <row r="29" spans="1:6" ht="15.8" customHeight="1">
      <c r="A29" s="1" t="s">
        <v>239</v>
      </c>
      <c r="B29" s="1" t="s">
        <v>12</v>
      </c>
      <c r="C29" s="33">
        <v>4500</v>
      </c>
      <c r="D29" s="18" t="s">
        <v>361</v>
      </c>
      <c r="E29" s="30"/>
      <c r="F29" s="5" t="str">
        <f t="shared" si="0"/>
        <v/>
      </c>
    </row>
    <row r="30" spans="1:6" ht="15.8" customHeight="1">
      <c r="A30" s="1" t="s">
        <v>25</v>
      </c>
      <c r="B30" s="1" t="s">
        <v>12</v>
      </c>
      <c r="C30" s="33">
        <v>250</v>
      </c>
      <c r="D30" s="19">
        <v>1</v>
      </c>
      <c r="E30" s="30"/>
      <c r="F30" s="5" t="str">
        <f t="shared" si="0"/>
        <v/>
      </c>
    </row>
    <row r="31" spans="1:6" ht="15.8" customHeight="1">
      <c r="A31" s="1" t="s">
        <v>31</v>
      </c>
      <c r="B31" s="1" t="s">
        <v>12</v>
      </c>
      <c r="C31" s="33">
        <v>3000</v>
      </c>
      <c r="D31" s="19">
        <v>1</v>
      </c>
      <c r="E31" s="30"/>
      <c r="F31" s="5" t="str">
        <f t="shared" si="0"/>
        <v/>
      </c>
    </row>
    <row r="32" spans="1:6" ht="15.8" customHeight="1">
      <c r="A32" s="3" t="s">
        <v>296</v>
      </c>
      <c r="B32" s="3" t="s">
        <v>12</v>
      </c>
      <c r="C32" s="33">
        <v>6000</v>
      </c>
      <c r="D32" s="18" t="s">
        <v>361</v>
      </c>
      <c r="E32" s="30"/>
      <c r="F32" s="5" t="str">
        <f t="shared" si="0"/>
        <v/>
      </c>
    </row>
    <row r="33" spans="1:6" ht="15.8" customHeight="1">
      <c r="A33" s="1" t="s">
        <v>30</v>
      </c>
      <c r="B33" s="1" t="s">
        <v>12</v>
      </c>
      <c r="C33" s="33">
        <v>800</v>
      </c>
      <c r="D33" s="19">
        <v>1</v>
      </c>
      <c r="E33" s="30"/>
      <c r="F33" s="5" t="str">
        <f t="shared" si="0"/>
        <v/>
      </c>
    </row>
    <row r="34" spans="1:6" ht="15.8" customHeight="1">
      <c r="A34" s="1" t="s">
        <v>29</v>
      </c>
      <c r="B34" s="1" t="s">
        <v>12</v>
      </c>
      <c r="C34" s="33">
        <v>250</v>
      </c>
      <c r="D34" s="19">
        <v>1</v>
      </c>
      <c r="E34" s="30"/>
      <c r="F34" s="5" t="str">
        <f t="shared" si="0"/>
        <v/>
      </c>
    </row>
    <row r="35" spans="1:6" ht="15.8" customHeight="1">
      <c r="A35" s="1" t="s">
        <v>34</v>
      </c>
      <c r="B35" s="1" t="s">
        <v>12</v>
      </c>
      <c r="C35" s="33">
        <v>600</v>
      </c>
      <c r="D35" s="19">
        <v>1</v>
      </c>
      <c r="E35" s="30"/>
      <c r="F35" s="5" t="str">
        <f t="shared" si="0"/>
        <v/>
      </c>
    </row>
    <row r="36" spans="1:6" ht="15.8" customHeight="1">
      <c r="A36" s="1" t="s">
        <v>32</v>
      </c>
      <c r="B36" s="1" t="s">
        <v>12</v>
      </c>
      <c r="C36" s="33">
        <v>250</v>
      </c>
      <c r="D36" s="19">
        <v>1</v>
      </c>
      <c r="E36" s="30"/>
      <c r="F36" s="5" t="str">
        <f t="shared" si="0"/>
        <v/>
      </c>
    </row>
    <row r="37" spans="1:6" ht="15.8" customHeight="1">
      <c r="A37" s="1" t="s">
        <v>35</v>
      </c>
      <c r="B37" s="1" t="s">
        <v>12</v>
      </c>
      <c r="C37" s="33">
        <v>700</v>
      </c>
      <c r="D37" s="19">
        <v>1</v>
      </c>
      <c r="E37" s="30"/>
      <c r="F37" s="5" t="str">
        <f t="shared" si="0"/>
        <v/>
      </c>
    </row>
    <row r="38" spans="1:6" ht="15.8" customHeight="1">
      <c r="A38" s="1" t="s">
        <v>33</v>
      </c>
      <c r="B38" s="1" t="s">
        <v>12</v>
      </c>
      <c r="C38" s="33">
        <v>250</v>
      </c>
      <c r="D38" s="19">
        <v>1</v>
      </c>
      <c r="E38" s="30"/>
      <c r="F38" s="5" t="str">
        <f t="shared" si="0"/>
        <v/>
      </c>
    </row>
    <row r="39" spans="1:6" ht="15.8" customHeight="1">
      <c r="A39" s="1" t="s">
        <v>339</v>
      </c>
      <c r="B39" s="1" t="s">
        <v>12</v>
      </c>
      <c r="C39" s="33">
        <v>22000</v>
      </c>
      <c r="D39" s="18" t="s">
        <v>361</v>
      </c>
      <c r="E39" s="30"/>
      <c r="F39" s="5" t="str">
        <f t="shared" si="0"/>
        <v/>
      </c>
    </row>
    <row r="40" spans="1:6" ht="15.8" customHeight="1">
      <c r="A40" s="3" t="s">
        <v>185</v>
      </c>
      <c r="B40" s="3" t="s">
        <v>12</v>
      </c>
      <c r="C40" s="33">
        <v>6000</v>
      </c>
      <c r="D40" s="18" t="s">
        <v>361</v>
      </c>
      <c r="E40" s="30"/>
      <c r="F40" s="5" t="str">
        <f t="shared" si="0"/>
        <v/>
      </c>
    </row>
    <row r="41" spans="1:6" s="7" customFormat="1" ht="15.8" customHeight="1">
      <c r="A41" s="3" t="s">
        <v>186</v>
      </c>
      <c r="B41" s="3" t="s">
        <v>12</v>
      </c>
      <c r="C41" s="33">
        <v>6000</v>
      </c>
      <c r="D41" s="18" t="s">
        <v>361</v>
      </c>
      <c r="E41" s="30"/>
      <c r="F41" s="5" t="str">
        <f t="shared" si="0"/>
        <v/>
      </c>
    </row>
    <row r="42" spans="1:6" s="7" customFormat="1" ht="15.8" customHeight="1">
      <c r="A42" s="3" t="s">
        <v>187</v>
      </c>
      <c r="B42" s="3" t="s">
        <v>12</v>
      </c>
      <c r="C42" s="33">
        <v>6000</v>
      </c>
      <c r="D42" s="18" t="s">
        <v>361</v>
      </c>
      <c r="E42" s="30"/>
      <c r="F42" s="5" t="str">
        <f t="shared" si="0"/>
        <v/>
      </c>
    </row>
    <row r="43" spans="1:6" s="7" customFormat="1" ht="15.8" customHeight="1">
      <c r="A43" s="3" t="s">
        <v>297</v>
      </c>
      <c r="B43" s="3" t="s">
        <v>12</v>
      </c>
      <c r="C43" s="33">
        <v>6000</v>
      </c>
      <c r="D43" s="18" t="s">
        <v>361</v>
      </c>
      <c r="E43" s="30"/>
      <c r="F43" s="5" t="str">
        <f t="shared" si="0"/>
        <v/>
      </c>
    </row>
    <row r="44" spans="1:6" s="8" customFormat="1" ht="15.8" customHeight="1">
      <c r="A44" s="3" t="s">
        <v>245</v>
      </c>
      <c r="B44" s="3" t="s">
        <v>12</v>
      </c>
      <c r="C44" s="33">
        <v>11000</v>
      </c>
      <c r="D44" s="18" t="s">
        <v>361</v>
      </c>
      <c r="E44" s="31"/>
      <c r="F44" s="5" t="str">
        <f t="shared" si="0"/>
        <v/>
      </c>
    </row>
    <row r="45" spans="1:6" ht="15.8" customHeight="1">
      <c r="A45" s="1" t="s">
        <v>207</v>
      </c>
      <c r="B45" s="1" t="s">
        <v>12</v>
      </c>
      <c r="C45" s="33">
        <v>2500</v>
      </c>
      <c r="D45" s="19">
        <v>1</v>
      </c>
      <c r="E45" s="30"/>
      <c r="F45" s="5" t="str">
        <f t="shared" si="0"/>
        <v/>
      </c>
    </row>
    <row r="46" spans="1:6" s="7" customFormat="1" ht="15.8" customHeight="1">
      <c r="A46" s="3" t="s">
        <v>294</v>
      </c>
      <c r="B46" s="3" t="s">
        <v>12</v>
      </c>
      <c r="C46" s="34">
        <v>11000</v>
      </c>
      <c r="D46" s="18" t="s">
        <v>361</v>
      </c>
      <c r="E46" s="30"/>
      <c r="F46" s="5" t="str">
        <f t="shared" si="0"/>
        <v/>
      </c>
    </row>
    <row r="47" spans="1:6" ht="15.8" customHeight="1">
      <c r="A47" s="3" t="s">
        <v>364</v>
      </c>
      <c r="B47" s="3" t="s">
        <v>12</v>
      </c>
      <c r="C47" s="33">
        <v>7000</v>
      </c>
      <c r="D47" s="18" t="s">
        <v>363</v>
      </c>
      <c r="E47" s="30"/>
      <c r="F47" s="5" t="str">
        <f t="shared" si="0"/>
        <v/>
      </c>
    </row>
    <row r="48" spans="1:6" ht="15.8" customHeight="1">
      <c r="A48" s="3" t="s">
        <v>295</v>
      </c>
      <c r="B48" s="3" t="s">
        <v>12</v>
      </c>
      <c r="C48" s="33">
        <v>12000</v>
      </c>
      <c r="D48" s="18" t="s">
        <v>361</v>
      </c>
      <c r="E48" s="30"/>
      <c r="F48" s="5" t="str">
        <f t="shared" si="0"/>
        <v/>
      </c>
    </row>
    <row r="49" spans="1:6" s="9" customFormat="1" ht="15.8" customHeight="1">
      <c r="A49" s="4" t="s">
        <v>340</v>
      </c>
      <c r="B49" s="4" t="s">
        <v>12</v>
      </c>
      <c r="C49" s="35">
        <v>8000</v>
      </c>
      <c r="D49" s="20" t="s">
        <v>361</v>
      </c>
      <c r="E49" s="30"/>
      <c r="F49" s="5" t="str">
        <f t="shared" si="0"/>
        <v/>
      </c>
    </row>
    <row r="50" spans="1:6" ht="15.8" customHeight="1">
      <c r="A50" s="1" t="s">
        <v>48</v>
      </c>
      <c r="B50" s="1" t="s">
        <v>12</v>
      </c>
      <c r="C50" s="33">
        <v>10000</v>
      </c>
      <c r="D50" s="19">
        <v>5</v>
      </c>
      <c r="E50" s="30"/>
      <c r="F50" s="5" t="str">
        <f t="shared" si="0"/>
        <v/>
      </c>
    </row>
    <row r="51" spans="1:6" s="7" customFormat="1" ht="15.8" customHeight="1">
      <c r="A51" s="1" t="s">
        <v>206</v>
      </c>
      <c r="B51" s="1" t="s">
        <v>12</v>
      </c>
      <c r="C51" s="33">
        <v>14000</v>
      </c>
      <c r="D51" s="18" t="s">
        <v>361</v>
      </c>
      <c r="E51" s="30"/>
      <c r="F51" s="5" t="str">
        <f t="shared" si="0"/>
        <v/>
      </c>
    </row>
    <row r="52" spans="1:6" ht="15.8" customHeight="1">
      <c r="A52" s="1" t="s">
        <v>37</v>
      </c>
      <c r="B52" s="1" t="s">
        <v>12</v>
      </c>
      <c r="C52" s="33">
        <v>350</v>
      </c>
      <c r="D52" s="19">
        <v>1</v>
      </c>
      <c r="E52" s="30"/>
      <c r="F52" s="5" t="str">
        <f t="shared" si="0"/>
        <v/>
      </c>
    </row>
    <row r="53" spans="1:6" ht="15.8" customHeight="1">
      <c r="A53" s="3" t="s">
        <v>197</v>
      </c>
      <c r="B53" s="3" t="s">
        <v>12</v>
      </c>
      <c r="C53" s="33">
        <v>40000</v>
      </c>
      <c r="D53" s="18" t="s">
        <v>361</v>
      </c>
      <c r="E53" s="30"/>
      <c r="F53" s="5" t="str">
        <f t="shared" si="0"/>
        <v/>
      </c>
    </row>
    <row r="54" spans="1:6" ht="15.8" customHeight="1">
      <c r="A54" s="3" t="s">
        <v>198</v>
      </c>
      <c r="B54" s="3" t="s">
        <v>12</v>
      </c>
      <c r="C54" s="33">
        <v>7000</v>
      </c>
      <c r="D54" s="18" t="s">
        <v>361</v>
      </c>
      <c r="E54" s="30"/>
      <c r="F54" s="5" t="str">
        <f t="shared" si="0"/>
        <v/>
      </c>
    </row>
    <row r="55" spans="1:6" ht="15.8" customHeight="1">
      <c r="A55" s="3" t="s">
        <v>379</v>
      </c>
      <c r="B55" s="1" t="s">
        <v>12</v>
      </c>
      <c r="C55" s="33">
        <v>12000</v>
      </c>
      <c r="D55" s="18" t="s">
        <v>361</v>
      </c>
      <c r="E55" s="30"/>
      <c r="F55" s="5" t="str">
        <f t="shared" si="0"/>
        <v/>
      </c>
    </row>
    <row r="56" spans="1:6" ht="15.8" customHeight="1">
      <c r="A56" s="10" t="s">
        <v>199</v>
      </c>
      <c r="B56" s="10" t="s">
        <v>12</v>
      </c>
      <c r="C56" s="33">
        <v>11000</v>
      </c>
      <c r="D56" s="18" t="s">
        <v>361</v>
      </c>
      <c r="E56" s="30"/>
      <c r="F56" s="5" t="str">
        <f t="shared" si="0"/>
        <v/>
      </c>
    </row>
    <row r="57" spans="1:6" ht="15.8" customHeight="1">
      <c r="A57" s="3" t="s">
        <v>200</v>
      </c>
      <c r="B57" s="3" t="s">
        <v>12</v>
      </c>
      <c r="C57" s="33">
        <v>11000</v>
      </c>
      <c r="D57" s="18" t="s">
        <v>361</v>
      </c>
      <c r="E57" s="30"/>
      <c r="F57" s="5" t="str">
        <f t="shared" si="0"/>
        <v/>
      </c>
    </row>
    <row r="58" spans="1:6" ht="15.8" customHeight="1">
      <c r="A58" s="3" t="s">
        <v>285</v>
      </c>
      <c r="B58" s="3" t="s">
        <v>12</v>
      </c>
      <c r="C58" s="33">
        <v>14000</v>
      </c>
      <c r="D58" s="21">
        <v>2</v>
      </c>
      <c r="E58" s="30"/>
      <c r="F58" s="5" t="str">
        <f t="shared" si="0"/>
        <v/>
      </c>
    </row>
    <row r="59" spans="1:6" ht="15.8" customHeight="1">
      <c r="A59" s="3" t="s">
        <v>430</v>
      </c>
      <c r="B59" s="3" t="s">
        <v>12</v>
      </c>
      <c r="C59" s="33">
        <v>40000</v>
      </c>
      <c r="D59" s="18" t="s">
        <v>361</v>
      </c>
      <c r="E59" s="30"/>
      <c r="F59" s="5" t="str">
        <f t="shared" si="0"/>
        <v/>
      </c>
    </row>
    <row r="60" spans="1:6" ht="15.8" customHeight="1">
      <c r="A60" s="3" t="s">
        <v>204</v>
      </c>
      <c r="B60" s="3" t="s">
        <v>12</v>
      </c>
      <c r="C60" s="33">
        <v>7000</v>
      </c>
      <c r="D60" s="18" t="s">
        <v>361</v>
      </c>
      <c r="E60" s="30"/>
      <c r="F60" s="5" t="str">
        <f t="shared" si="0"/>
        <v/>
      </c>
    </row>
    <row r="61" spans="1:6" ht="15.8" customHeight="1">
      <c r="A61" s="2" t="s">
        <v>255</v>
      </c>
      <c r="B61" s="2" t="s">
        <v>12</v>
      </c>
      <c r="C61" s="34">
        <v>1500</v>
      </c>
      <c r="D61" s="18" t="s">
        <v>361</v>
      </c>
      <c r="E61" s="30"/>
      <c r="F61" s="5" t="str">
        <f t="shared" si="0"/>
        <v/>
      </c>
    </row>
    <row r="62" spans="1:6" ht="15.8" customHeight="1">
      <c r="A62" s="1" t="s">
        <v>270</v>
      </c>
      <c r="B62" s="1" t="s">
        <v>12</v>
      </c>
      <c r="C62" s="33">
        <v>5500</v>
      </c>
      <c r="D62" s="19">
        <v>1</v>
      </c>
      <c r="E62" s="30"/>
      <c r="F62" s="5" t="str">
        <f t="shared" si="0"/>
        <v/>
      </c>
    </row>
    <row r="63" spans="1:6" s="9" customFormat="1" ht="15.8" customHeight="1">
      <c r="A63" s="4" t="s">
        <v>362</v>
      </c>
      <c r="B63" s="4" t="s">
        <v>12</v>
      </c>
      <c r="C63" s="33">
        <v>12000</v>
      </c>
      <c r="D63" s="18">
        <v>20</v>
      </c>
      <c r="E63" s="30"/>
      <c r="F63" s="5" t="str">
        <f t="shared" si="0"/>
        <v/>
      </c>
    </row>
    <row r="64" spans="1:6" s="9" customFormat="1" ht="15.8" customHeight="1">
      <c r="A64" s="4" t="s">
        <v>408</v>
      </c>
      <c r="B64" s="4" t="s">
        <v>12</v>
      </c>
      <c r="C64" s="33">
        <v>20000</v>
      </c>
      <c r="D64" s="18" t="s">
        <v>361</v>
      </c>
      <c r="E64" s="30"/>
      <c r="F64" s="5" t="str">
        <f t="shared" si="0"/>
        <v/>
      </c>
    </row>
    <row r="65" spans="1:6" s="9" customFormat="1" ht="15.8" customHeight="1">
      <c r="A65" s="4" t="s">
        <v>411</v>
      </c>
      <c r="B65" s="4" t="s">
        <v>12</v>
      </c>
      <c r="C65" s="33">
        <v>40000</v>
      </c>
      <c r="D65" s="18" t="s">
        <v>405</v>
      </c>
      <c r="E65" s="30"/>
      <c r="F65" s="5" t="str">
        <f t="shared" si="0"/>
        <v/>
      </c>
    </row>
    <row r="66" spans="1:6" s="9" customFormat="1" ht="15.8" customHeight="1">
      <c r="A66" s="4" t="s">
        <v>385</v>
      </c>
      <c r="B66" s="4" t="s">
        <v>2</v>
      </c>
      <c r="C66" s="33">
        <v>10000</v>
      </c>
      <c r="D66" s="18" t="s">
        <v>405</v>
      </c>
      <c r="E66" s="30"/>
      <c r="F66" s="5" t="str">
        <f t="shared" si="0"/>
        <v/>
      </c>
    </row>
    <row r="67" spans="1:6" ht="15.8" customHeight="1">
      <c r="A67" s="1" t="s">
        <v>321</v>
      </c>
      <c r="B67" s="1" t="s">
        <v>178</v>
      </c>
      <c r="C67" s="33">
        <v>7000</v>
      </c>
      <c r="D67" s="18" t="s">
        <v>361</v>
      </c>
      <c r="E67" s="30"/>
      <c r="F67" s="5" t="str">
        <f t="shared" ref="F67:F130" si="1">IF(E67="x",CONCATENATE(A67," ;"),"")</f>
        <v/>
      </c>
    </row>
    <row r="68" spans="1:6" ht="15.8" customHeight="1">
      <c r="A68" s="2" t="s">
        <v>240</v>
      </c>
      <c r="B68" s="1" t="s">
        <v>178</v>
      </c>
      <c r="C68" s="33">
        <v>6000</v>
      </c>
      <c r="D68" s="18" t="s">
        <v>361</v>
      </c>
      <c r="E68" s="30"/>
      <c r="F68" s="5" t="str">
        <f t="shared" si="1"/>
        <v/>
      </c>
    </row>
    <row r="69" spans="1:6" ht="15.8" customHeight="1">
      <c r="A69" s="1" t="s">
        <v>50</v>
      </c>
      <c r="B69" s="1" t="s">
        <v>178</v>
      </c>
      <c r="C69" s="33">
        <v>6000</v>
      </c>
      <c r="D69" s="18" t="s">
        <v>361</v>
      </c>
      <c r="E69" s="30"/>
      <c r="F69" s="5" t="str">
        <f t="shared" si="1"/>
        <v/>
      </c>
    </row>
    <row r="70" spans="1:6" ht="15.8" customHeight="1">
      <c r="A70" s="1" t="s">
        <v>49</v>
      </c>
      <c r="B70" s="1" t="s">
        <v>178</v>
      </c>
      <c r="C70" s="33">
        <v>2200</v>
      </c>
      <c r="D70" s="18" t="s">
        <v>361</v>
      </c>
      <c r="E70" s="30"/>
      <c r="F70" s="5" t="str">
        <f t="shared" si="1"/>
        <v/>
      </c>
    </row>
    <row r="71" spans="1:6" ht="15.8" customHeight="1">
      <c r="A71" s="1" t="s">
        <v>241</v>
      </c>
      <c r="B71" s="1" t="s">
        <v>178</v>
      </c>
      <c r="C71" s="33">
        <v>6000</v>
      </c>
      <c r="D71" s="18" t="s">
        <v>361</v>
      </c>
      <c r="E71" s="30"/>
      <c r="F71" s="5" t="str">
        <f t="shared" si="1"/>
        <v/>
      </c>
    </row>
    <row r="72" spans="1:6" ht="15.8" customHeight="1">
      <c r="A72" s="1" t="s">
        <v>3</v>
      </c>
      <c r="B72" s="1" t="s">
        <v>2</v>
      </c>
      <c r="C72" s="33">
        <v>2200</v>
      </c>
      <c r="D72" s="19">
        <v>1</v>
      </c>
      <c r="E72" s="30"/>
      <c r="F72" s="5" t="str">
        <f t="shared" si="1"/>
        <v/>
      </c>
    </row>
    <row r="73" spans="1:6" ht="15.8" customHeight="1">
      <c r="A73" s="1" t="s">
        <v>1</v>
      </c>
      <c r="B73" s="1" t="s">
        <v>2</v>
      </c>
      <c r="C73" s="33">
        <v>900</v>
      </c>
      <c r="D73" s="19">
        <v>1</v>
      </c>
      <c r="E73" s="30"/>
      <c r="F73" s="5" t="str">
        <f t="shared" si="1"/>
        <v/>
      </c>
    </row>
    <row r="74" spans="1:6" ht="15.8" customHeight="1">
      <c r="A74" s="1" t="s">
        <v>4</v>
      </c>
      <c r="B74" s="1" t="s">
        <v>2</v>
      </c>
      <c r="C74" s="33">
        <v>1200</v>
      </c>
      <c r="D74" s="19">
        <v>1</v>
      </c>
      <c r="E74" s="30"/>
      <c r="F74" s="5" t="str">
        <f t="shared" si="1"/>
        <v/>
      </c>
    </row>
    <row r="75" spans="1:6" ht="15.8" customHeight="1">
      <c r="A75" s="1" t="s">
        <v>7</v>
      </c>
      <c r="B75" s="1" t="s">
        <v>6</v>
      </c>
      <c r="C75" s="33">
        <v>900</v>
      </c>
      <c r="D75" s="19">
        <v>1</v>
      </c>
      <c r="E75" s="30"/>
      <c r="F75" s="5" t="str">
        <f t="shared" si="1"/>
        <v/>
      </c>
    </row>
    <row r="76" spans="1:6" ht="15.8" customHeight="1">
      <c r="A76" s="2" t="s">
        <v>174</v>
      </c>
      <c r="B76" s="2" t="s">
        <v>6</v>
      </c>
      <c r="C76" s="34">
        <v>5000</v>
      </c>
      <c r="D76" s="18" t="s">
        <v>361</v>
      </c>
      <c r="E76" s="30"/>
      <c r="F76" s="5" t="str">
        <f t="shared" si="1"/>
        <v/>
      </c>
    </row>
    <row r="77" spans="1:6" ht="15.8" customHeight="1">
      <c r="A77" s="10" t="s">
        <v>247</v>
      </c>
      <c r="B77" s="2" t="s">
        <v>6</v>
      </c>
      <c r="C77" s="33">
        <v>11000</v>
      </c>
      <c r="D77" s="18" t="s">
        <v>361</v>
      </c>
      <c r="E77" s="30"/>
      <c r="F77" s="5" t="str">
        <f t="shared" si="1"/>
        <v/>
      </c>
    </row>
    <row r="78" spans="1:6" s="7" customFormat="1" ht="15.8" customHeight="1">
      <c r="A78" s="2" t="s">
        <v>171</v>
      </c>
      <c r="B78" s="2" t="s">
        <v>6</v>
      </c>
      <c r="C78" s="34">
        <v>7000</v>
      </c>
      <c r="D78" s="22">
        <v>10</v>
      </c>
      <c r="E78" s="30"/>
      <c r="F78" s="5" t="str">
        <f t="shared" si="1"/>
        <v/>
      </c>
    </row>
    <row r="79" spans="1:6" ht="15.8" customHeight="1">
      <c r="A79" s="2" t="s">
        <v>10</v>
      </c>
      <c r="B79" s="2" t="s">
        <v>6</v>
      </c>
      <c r="C79" s="34">
        <v>6000</v>
      </c>
      <c r="D79" s="22">
        <v>1</v>
      </c>
      <c r="E79" s="30"/>
      <c r="F79" s="5" t="str">
        <f t="shared" si="1"/>
        <v/>
      </c>
    </row>
    <row r="80" spans="1:6" s="7" customFormat="1" ht="15.8" customHeight="1">
      <c r="A80" s="2" t="s">
        <v>298</v>
      </c>
      <c r="B80" s="2" t="s">
        <v>6</v>
      </c>
      <c r="C80" s="33">
        <v>11000</v>
      </c>
      <c r="D80" s="18" t="s">
        <v>361</v>
      </c>
      <c r="E80" s="30"/>
      <c r="F80" s="5" t="str">
        <f t="shared" si="1"/>
        <v/>
      </c>
    </row>
    <row r="81" spans="1:6" ht="15.8" customHeight="1">
      <c r="A81" s="1" t="s">
        <v>331</v>
      </c>
      <c r="B81" s="1" t="s">
        <v>6</v>
      </c>
      <c r="C81" s="33">
        <v>6000</v>
      </c>
      <c r="D81" s="18" t="s">
        <v>361</v>
      </c>
      <c r="E81" s="30"/>
      <c r="F81" s="5" t="str">
        <f t="shared" si="1"/>
        <v/>
      </c>
    </row>
    <row r="82" spans="1:6" ht="15.8" customHeight="1">
      <c r="A82" s="1" t="s">
        <v>9</v>
      </c>
      <c r="B82" s="1" t="s">
        <v>6</v>
      </c>
      <c r="C82" s="33">
        <v>1300</v>
      </c>
      <c r="D82" s="19">
        <v>1</v>
      </c>
      <c r="E82" s="30"/>
      <c r="F82" s="5" t="str">
        <f t="shared" si="1"/>
        <v/>
      </c>
    </row>
    <row r="83" spans="1:6" ht="15.8" customHeight="1">
      <c r="A83" s="2" t="s">
        <v>175</v>
      </c>
      <c r="B83" s="2" t="s">
        <v>6</v>
      </c>
      <c r="C83" s="34">
        <v>14000</v>
      </c>
      <c r="D83" s="18" t="s">
        <v>361</v>
      </c>
      <c r="E83" s="30"/>
      <c r="F83" s="5" t="str">
        <f t="shared" si="1"/>
        <v/>
      </c>
    </row>
    <row r="84" spans="1:6" ht="15.8" customHeight="1">
      <c r="A84" s="2" t="s">
        <v>173</v>
      </c>
      <c r="B84" s="2" t="s">
        <v>6</v>
      </c>
      <c r="C84" s="34">
        <v>14000</v>
      </c>
      <c r="D84" s="18" t="s">
        <v>361</v>
      </c>
      <c r="E84" s="30"/>
      <c r="F84" s="5" t="str">
        <f t="shared" si="1"/>
        <v/>
      </c>
    </row>
    <row r="85" spans="1:6" s="7" customFormat="1" ht="15.8" customHeight="1">
      <c r="A85" s="2" t="s">
        <v>172</v>
      </c>
      <c r="B85" s="2" t="s">
        <v>6</v>
      </c>
      <c r="C85" s="34">
        <v>14000</v>
      </c>
      <c r="D85" s="18" t="s">
        <v>361</v>
      </c>
      <c r="E85" s="30"/>
      <c r="F85" s="5" t="str">
        <f t="shared" si="1"/>
        <v/>
      </c>
    </row>
    <row r="86" spans="1:6" ht="15.8" customHeight="1">
      <c r="A86" s="1" t="s">
        <v>5</v>
      </c>
      <c r="B86" s="1" t="s">
        <v>6</v>
      </c>
      <c r="C86" s="33">
        <v>800</v>
      </c>
      <c r="D86" s="19">
        <v>1</v>
      </c>
      <c r="E86" s="30"/>
      <c r="F86" s="5" t="str">
        <f t="shared" si="1"/>
        <v/>
      </c>
    </row>
    <row r="87" spans="1:6" ht="15.8" customHeight="1">
      <c r="A87" s="2" t="s">
        <v>334</v>
      </c>
      <c r="B87" s="2" t="s">
        <v>6</v>
      </c>
      <c r="C87" s="33">
        <v>22000</v>
      </c>
      <c r="D87" s="18" t="s">
        <v>361</v>
      </c>
      <c r="E87" s="30"/>
      <c r="F87" s="5" t="str">
        <f t="shared" si="1"/>
        <v/>
      </c>
    </row>
    <row r="88" spans="1:6" ht="15.8" customHeight="1">
      <c r="A88" s="1" t="s">
        <v>8</v>
      </c>
      <c r="B88" s="1" t="s">
        <v>6</v>
      </c>
      <c r="C88" s="33">
        <v>900</v>
      </c>
      <c r="D88" s="19">
        <v>1</v>
      </c>
      <c r="E88" s="30"/>
      <c r="F88" s="5" t="str">
        <f t="shared" si="1"/>
        <v/>
      </c>
    </row>
    <row r="89" spans="1:6" ht="15.8" customHeight="1">
      <c r="A89" s="1" t="s">
        <v>330</v>
      </c>
      <c r="B89" s="1" t="s">
        <v>6</v>
      </c>
      <c r="C89" s="33">
        <v>22000</v>
      </c>
      <c r="D89" s="18" t="s">
        <v>361</v>
      </c>
      <c r="E89" s="30"/>
      <c r="F89" s="5" t="str">
        <f t="shared" si="1"/>
        <v/>
      </c>
    </row>
    <row r="90" spans="1:6" ht="15.8" customHeight="1">
      <c r="A90" s="1" t="s">
        <v>336</v>
      </c>
      <c r="B90" s="1" t="s">
        <v>6</v>
      </c>
      <c r="C90" s="33">
        <v>57000</v>
      </c>
      <c r="D90" s="18" t="s">
        <v>361</v>
      </c>
      <c r="E90" s="30"/>
      <c r="F90" s="5" t="str">
        <f t="shared" si="1"/>
        <v/>
      </c>
    </row>
    <row r="91" spans="1:6" ht="15.8" customHeight="1">
      <c r="A91" s="2" t="s">
        <v>68</v>
      </c>
      <c r="B91" s="2" t="s">
        <v>52</v>
      </c>
      <c r="C91" s="34">
        <v>5500</v>
      </c>
      <c r="D91" s="22">
        <v>10</v>
      </c>
      <c r="E91" s="30"/>
      <c r="F91" s="5" t="str">
        <f t="shared" si="1"/>
        <v/>
      </c>
    </row>
    <row r="92" spans="1:6" ht="15.8" customHeight="1">
      <c r="A92" s="3" t="s">
        <v>181</v>
      </c>
      <c r="B92" s="3" t="s">
        <v>52</v>
      </c>
      <c r="C92" s="33">
        <v>22000</v>
      </c>
      <c r="D92" s="18" t="s">
        <v>361</v>
      </c>
      <c r="E92" s="30"/>
      <c r="F92" s="5" t="str">
        <f t="shared" si="1"/>
        <v/>
      </c>
    </row>
    <row r="93" spans="1:6" ht="15.8" customHeight="1">
      <c r="A93" s="1" t="s">
        <v>75</v>
      </c>
      <c r="B93" s="1" t="s">
        <v>52</v>
      </c>
      <c r="C93" s="33">
        <v>5500</v>
      </c>
      <c r="D93" s="19">
        <v>5</v>
      </c>
      <c r="E93" s="30"/>
      <c r="F93" s="5" t="str">
        <f t="shared" si="1"/>
        <v/>
      </c>
    </row>
    <row r="94" spans="1:6" s="7" customFormat="1" ht="15.8" customHeight="1">
      <c r="A94" s="3" t="s">
        <v>299</v>
      </c>
      <c r="B94" s="3" t="s">
        <v>52</v>
      </c>
      <c r="C94" s="33">
        <v>17000</v>
      </c>
      <c r="D94" s="18" t="s">
        <v>361</v>
      </c>
      <c r="E94" s="30"/>
      <c r="F94" s="5" t="str">
        <f t="shared" si="1"/>
        <v/>
      </c>
    </row>
    <row r="95" spans="1:6" ht="15.8" customHeight="1">
      <c r="A95" s="2" t="s">
        <v>76</v>
      </c>
      <c r="B95" s="2" t="s">
        <v>52</v>
      </c>
      <c r="C95" s="33">
        <v>11000</v>
      </c>
      <c r="D95" s="18" t="s">
        <v>361</v>
      </c>
      <c r="E95" s="30"/>
      <c r="F95" s="5" t="str">
        <f t="shared" si="1"/>
        <v/>
      </c>
    </row>
    <row r="96" spans="1:6" s="7" customFormat="1" ht="15.8" customHeight="1">
      <c r="A96" s="1" t="s">
        <v>77</v>
      </c>
      <c r="B96" s="1" t="s">
        <v>52</v>
      </c>
      <c r="C96" s="33">
        <v>6000</v>
      </c>
      <c r="D96" s="19">
        <v>5</v>
      </c>
      <c r="E96" s="30"/>
      <c r="F96" s="5" t="str">
        <f t="shared" si="1"/>
        <v/>
      </c>
    </row>
    <row r="97" spans="1:6" ht="15.8" customHeight="1">
      <c r="A97" s="1" t="s">
        <v>72</v>
      </c>
      <c r="B97" s="1" t="s">
        <v>52</v>
      </c>
      <c r="C97" s="33">
        <v>10000</v>
      </c>
      <c r="D97" s="19">
        <v>3</v>
      </c>
      <c r="E97" s="30"/>
      <c r="F97" s="5" t="str">
        <f t="shared" si="1"/>
        <v/>
      </c>
    </row>
    <row r="98" spans="1:6" s="7" customFormat="1" ht="15.8" customHeight="1">
      <c r="A98" s="1" t="s">
        <v>58</v>
      </c>
      <c r="B98" s="1" t="s">
        <v>52</v>
      </c>
      <c r="C98" s="33">
        <v>3600</v>
      </c>
      <c r="D98" s="18" t="s">
        <v>254</v>
      </c>
      <c r="E98" s="30"/>
      <c r="F98" s="5" t="str">
        <f t="shared" si="1"/>
        <v/>
      </c>
    </row>
    <row r="99" spans="1:6" ht="15.8" customHeight="1">
      <c r="A99" s="1" t="s">
        <v>57</v>
      </c>
      <c r="B99" s="1" t="s">
        <v>52</v>
      </c>
      <c r="C99" s="33">
        <v>3700</v>
      </c>
      <c r="D99" s="18" t="s">
        <v>254</v>
      </c>
      <c r="E99" s="30"/>
      <c r="F99" s="5" t="str">
        <f t="shared" si="1"/>
        <v/>
      </c>
    </row>
    <row r="100" spans="1:6" ht="15.8" customHeight="1">
      <c r="A100" s="1" t="s">
        <v>83</v>
      </c>
      <c r="B100" s="1" t="s">
        <v>52</v>
      </c>
      <c r="C100" s="33">
        <v>6500</v>
      </c>
      <c r="D100" s="19">
        <v>5</v>
      </c>
      <c r="E100" s="30"/>
      <c r="F100" s="5" t="str">
        <f t="shared" si="1"/>
        <v/>
      </c>
    </row>
    <row r="101" spans="1:6" ht="15.8" customHeight="1">
      <c r="A101" s="1" t="s">
        <v>81</v>
      </c>
      <c r="B101" s="1" t="s">
        <v>52</v>
      </c>
      <c r="C101" s="33">
        <v>5500</v>
      </c>
      <c r="D101" s="19">
        <v>5</v>
      </c>
      <c r="E101" s="30"/>
      <c r="F101" s="5" t="str">
        <f t="shared" si="1"/>
        <v/>
      </c>
    </row>
    <row r="102" spans="1:6" s="7" customFormat="1" ht="15.8" customHeight="1">
      <c r="A102" s="10" t="s">
        <v>191</v>
      </c>
      <c r="B102" s="10" t="s">
        <v>52</v>
      </c>
      <c r="C102" s="34">
        <v>11000</v>
      </c>
      <c r="D102" s="20" t="s">
        <v>361</v>
      </c>
      <c r="E102" s="30"/>
      <c r="F102" s="5" t="str">
        <f t="shared" si="1"/>
        <v/>
      </c>
    </row>
    <row r="103" spans="1:6" s="7" customFormat="1" ht="15.8" customHeight="1">
      <c r="A103" s="1" t="s">
        <v>70</v>
      </c>
      <c r="B103" s="1" t="s">
        <v>52</v>
      </c>
      <c r="C103" s="33">
        <v>4200</v>
      </c>
      <c r="D103" s="18" t="s">
        <v>254</v>
      </c>
      <c r="E103" s="30"/>
      <c r="F103" s="5" t="str">
        <f t="shared" si="1"/>
        <v/>
      </c>
    </row>
    <row r="104" spans="1:6" ht="15.8" customHeight="1">
      <c r="A104" s="3" t="s">
        <v>300</v>
      </c>
      <c r="B104" s="3" t="s">
        <v>52</v>
      </c>
      <c r="C104" s="33">
        <v>22000</v>
      </c>
      <c r="D104" s="20" t="s">
        <v>361</v>
      </c>
      <c r="E104" s="30"/>
      <c r="F104" s="5" t="str">
        <f t="shared" si="1"/>
        <v/>
      </c>
    </row>
    <row r="105" spans="1:6" s="9" customFormat="1" ht="15.8" customHeight="1">
      <c r="A105" s="12" t="s">
        <v>356</v>
      </c>
      <c r="B105" s="12" t="s">
        <v>52</v>
      </c>
      <c r="C105" s="35">
        <v>9000</v>
      </c>
      <c r="D105" s="20" t="s">
        <v>361</v>
      </c>
      <c r="E105" s="30"/>
      <c r="F105" s="5" t="str">
        <f t="shared" si="1"/>
        <v/>
      </c>
    </row>
    <row r="106" spans="1:6" ht="15.8" customHeight="1">
      <c r="A106" s="1" t="s">
        <v>63</v>
      </c>
      <c r="B106" s="1" t="s">
        <v>52</v>
      </c>
      <c r="C106" s="33">
        <v>3600</v>
      </c>
      <c r="D106" s="18" t="s">
        <v>254</v>
      </c>
      <c r="E106" s="30"/>
      <c r="F106" s="5" t="str">
        <f t="shared" si="1"/>
        <v/>
      </c>
    </row>
    <row r="107" spans="1:6" ht="15.8" customHeight="1">
      <c r="A107" s="2" t="s">
        <v>84</v>
      </c>
      <c r="B107" s="2" t="s">
        <v>52</v>
      </c>
      <c r="C107" s="33">
        <v>11000</v>
      </c>
      <c r="D107" s="23" t="s">
        <v>361</v>
      </c>
      <c r="E107" s="30"/>
      <c r="F107" s="5" t="str">
        <f t="shared" si="1"/>
        <v/>
      </c>
    </row>
    <row r="108" spans="1:6" ht="15.8" customHeight="1">
      <c r="A108" s="1" t="s">
        <v>73</v>
      </c>
      <c r="B108" s="1" t="s">
        <v>52</v>
      </c>
      <c r="C108" s="33">
        <v>3600</v>
      </c>
      <c r="D108" s="18" t="s">
        <v>254</v>
      </c>
      <c r="E108" s="30"/>
      <c r="F108" s="5" t="str">
        <f t="shared" si="1"/>
        <v/>
      </c>
    </row>
    <row r="109" spans="1:6" ht="15.8" customHeight="1">
      <c r="A109" s="3" t="s">
        <v>194</v>
      </c>
      <c r="B109" s="3" t="s">
        <v>52</v>
      </c>
      <c r="C109" s="33">
        <v>20000</v>
      </c>
      <c r="D109" s="18" t="s">
        <v>361</v>
      </c>
      <c r="E109" s="30"/>
      <c r="F109" s="5" t="str">
        <f t="shared" si="1"/>
        <v/>
      </c>
    </row>
    <row r="110" spans="1:6" s="9" customFormat="1" ht="15.8" customHeight="1">
      <c r="A110" s="3" t="s">
        <v>301</v>
      </c>
      <c r="B110" s="3" t="s">
        <v>52</v>
      </c>
      <c r="C110" s="33">
        <v>17000</v>
      </c>
      <c r="D110" s="18" t="s">
        <v>361</v>
      </c>
      <c r="E110" s="30"/>
      <c r="F110" s="5" t="str">
        <f t="shared" si="1"/>
        <v/>
      </c>
    </row>
    <row r="111" spans="1:6" ht="15.8" customHeight="1">
      <c r="A111" s="1" t="s">
        <v>53</v>
      </c>
      <c r="B111" s="1" t="s">
        <v>52</v>
      </c>
      <c r="C111" s="33">
        <v>3700</v>
      </c>
      <c r="D111" s="18" t="s">
        <v>254</v>
      </c>
      <c r="E111" s="30"/>
      <c r="F111" s="5" t="str">
        <f t="shared" si="1"/>
        <v/>
      </c>
    </row>
    <row r="112" spans="1:6" ht="15.8" customHeight="1">
      <c r="A112" s="1" t="s">
        <v>80</v>
      </c>
      <c r="B112" s="1" t="s">
        <v>52</v>
      </c>
      <c r="C112" s="33">
        <v>10000</v>
      </c>
      <c r="D112" s="18" t="s">
        <v>361</v>
      </c>
      <c r="E112" s="30"/>
      <c r="F112" s="5" t="str">
        <f t="shared" si="1"/>
        <v/>
      </c>
    </row>
    <row r="113" spans="1:6" ht="15.8" customHeight="1">
      <c r="A113" s="1" t="s">
        <v>62</v>
      </c>
      <c r="B113" s="1" t="s">
        <v>52</v>
      </c>
      <c r="C113" s="33">
        <v>5500</v>
      </c>
      <c r="D113" s="19">
        <v>5</v>
      </c>
      <c r="E113" s="30"/>
      <c r="F113" s="5" t="str">
        <f t="shared" si="1"/>
        <v/>
      </c>
    </row>
    <row r="114" spans="1:6" ht="15.8" customHeight="1">
      <c r="A114" s="2" t="s">
        <v>85</v>
      </c>
      <c r="B114" s="2" t="s">
        <v>52</v>
      </c>
      <c r="C114" s="34">
        <v>12000</v>
      </c>
      <c r="D114" s="18" t="s">
        <v>361</v>
      </c>
      <c r="E114" s="30"/>
      <c r="F114" s="5" t="str">
        <f t="shared" si="1"/>
        <v/>
      </c>
    </row>
    <row r="115" spans="1:6" s="7" customFormat="1" ht="15.8" customHeight="1">
      <c r="A115" s="1" t="s">
        <v>74</v>
      </c>
      <c r="B115" s="1" t="s">
        <v>52</v>
      </c>
      <c r="C115" s="33">
        <v>3600</v>
      </c>
      <c r="D115" s="18" t="s">
        <v>254</v>
      </c>
      <c r="E115" s="30"/>
      <c r="F115" s="5" t="str">
        <f t="shared" si="1"/>
        <v/>
      </c>
    </row>
    <row r="116" spans="1:6" ht="15.8" customHeight="1">
      <c r="A116" s="3" t="s">
        <v>196</v>
      </c>
      <c r="B116" s="3" t="s">
        <v>52</v>
      </c>
      <c r="C116" s="33">
        <v>11000</v>
      </c>
      <c r="D116" s="18" t="s">
        <v>361</v>
      </c>
      <c r="E116" s="30"/>
      <c r="F116" s="5" t="str">
        <f t="shared" si="1"/>
        <v/>
      </c>
    </row>
    <row r="117" spans="1:6" ht="15.8" customHeight="1">
      <c r="A117" s="1" t="s">
        <v>64</v>
      </c>
      <c r="B117" s="1" t="s">
        <v>52</v>
      </c>
      <c r="C117" s="33">
        <v>3600</v>
      </c>
      <c r="D117" s="18" t="s">
        <v>254</v>
      </c>
      <c r="E117" s="30"/>
      <c r="F117" s="5" t="str">
        <f t="shared" si="1"/>
        <v/>
      </c>
    </row>
    <row r="118" spans="1:6" ht="15.8" customHeight="1">
      <c r="A118" s="1" t="s">
        <v>217</v>
      </c>
      <c r="B118" s="1" t="s">
        <v>52</v>
      </c>
      <c r="C118" s="33">
        <v>6000</v>
      </c>
      <c r="D118" s="21">
        <v>5</v>
      </c>
      <c r="E118" s="30"/>
      <c r="F118" s="5" t="str">
        <f t="shared" si="1"/>
        <v/>
      </c>
    </row>
    <row r="119" spans="1:6" ht="15.8" customHeight="1">
      <c r="A119" s="3" t="s">
        <v>238</v>
      </c>
      <c r="B119" s="3" t="s">
        <v>52</v>
      </c>
      <c r="C119" s="33">
        <v>28000</v>
      </c>
      <c r="D119" s="18" t="s">
        <v>361</v>
      </c>
      <c r="E119" s="30"/>
      <c r="F119" s="5" t="str">
        <f t="shared" si="1"/>
        <v/>
      </c>
    </row>
    <row r="120" spans="1:6" ht="15.8" customHeight="1">
      <c r="A120" s="1" t="s">
        <v>79</v>
      </c>
      <c r="B120" s="1" t="s">
        <v>52</v>
      </c>
      <c r="C120" s="33">
        <v>5500</v>
      </c>
      <c r="D120" s="19">
        <v>5</v>
      </c>
      <c r="E120" s="30"/>
      <c r="F120" s="5" t="str">
        <f t="shared" si="1"/>
        <v/>
      </c>
    </row>
    <row r="121" spans="1:6" ht="15.8" customHeight="1">
      <c r="A121" s="1" t="s">
        <v>82</v>
      </c>
      <c r="B121" s="1" t="s">
        <v>52</v>
      </c>
      <c r="C121" s="33">
        <v>5500</v>
      </c>
      <c r="D121" s="19">
        <v>5</v>
      </c>
      <c r="E121" s="30"/>
      <c r="F121" s="5" t="str">
        <f t="shared" si="1"/>
        <v/>
      </c>
    </row>
    <row r="122" spans="1:6" ht="15.8" customHeight="1">
      <c r="A122" s="1" t="s">
        <v>67</v>
      </c>
      <c r="B122" s="1" t="s">
        <v>52</v>
      </c>
      <c r="C122" s="33">
        <v>3600</v>
      </c>
      <c r="D122" s="18" t="s">
        <v>254</v>
      </c>
      <c r="E122" s="30"/>
      <c r="F122" s="5" t="str">
        <f t="shared" si="1"/>
        <v/>
      </c>
    </row>
    <row r="123" spans="1:6" ht="15.8" customHeight="1">
      <c r="A123" s="1" t="s">
        <v>61</v>
      </c>
      <c r="B123" s="1" t="s">
        <v>52</v>
      </c>
      <c r="C123" s="33">
        <v>5500</v>
      </c>
      <c r="D123" s="18" t="s">
        <v>254</v>
      </c>
      <c r="E123" s="30"/>
      <c r="F123" s="5" t="str">
        <f t="shared" si="1"/>
        <v/>
      </c>
    </row>
    <row r="124" spans="1:6" ht="15.8" customHeight="1">
      <c r="A124" s="1" t="s">
        <v>65</v>
      </c>
      <c r="B124" s="1" t="s">
        <v>52</v>
      </c>
      <c r="C124" s="33">
        <v>3600</v>
      </c>
      <c r="D124" s="18" t="s">
        <v>254</v>
      </c>
      <c r="E124" s="30"/>
      <c r="F124" s="5" t="str">
        <f t="shared" si="1"/>
        <v/>
      </c>
    </row>
    <row r="125" spans="1:6" s="7" customFormat="1" ht="15.8" customHeight="1">
      <c r="A125" s="1" t="s">
        <v>66</v>
      </c>
      <c r="B125" s="1" t="s">
        <v>52</v>
      </c>
      <c r="C125" s="33">
        <v>3600</v>
      </c>
      <c r="D125" s="18" t="s">
        <v>254</v>
      </c>
      <c r="E125" s="30"/>
      <c r="F125" s="5" t="str">
        <f t="shared" si="1"/>
        <v/>
      </c>
    </row>
    <row r="126" spans="1:6" ht="15.8" customHeight="1">
      <c r="A126" s="2" t="s">
        <v>78</v>
      </c>
      <c r="B126" s="2" t="s">
        <v>52</v>
      </c>
      <c r="C126" s="33">
        <v>11000</v>
      </c>
      <c r="D126" s="18" t="s">
        <v>361</v>
      </c>
      <c r="E126" s="30"/>
      <c r="F126" s="5" t="str">
        <f t="shared" si="1"/>
        <v/>
      </c>
    </row>
    <row r="127" spans="1:6" ht="15.8" customHeight="1">
      <c r="A127" s="1" t="s">
        <v>60</v>
      </c>
      <c r="B127" s="1" t="s">
        <v>52</v>
      </c>
      <c r="C127" s="33">
        <v>9000</v>
      </c>
      <c r="D127" s="19">
        <v>15</v>
      </c>
      <c r="E127" s="30"/>
      <c r="F127" s="5" t="str">
        <f t="shared" si="1"/>
        <v/>
      </c>
    </row>
    <row r="128" spans="1:6" ht="15.8" customHeight="1">
      <c r="A128" s="1" t="s">
        <v>71</v>
      </c>
      <c r="B128" s="1" t="s">
        <v>52</v>
      </c>
      <c r="C128" s="33">
        <v>3600</v>
      </c>
      <c r="D128" s="18" t="s">
        <v>254</v>
      </c>
      <c r="E128" s="30"/>
      <c r="F128" s="5" t="str">
        <f t="shared" si="1"/>
        <v/>
      </c>
    </row>
    <row r="129" spans="1:6" ht="15.8" customHeight="1">
      <c r="A129" s="1" t="s">
        <v>86</v>
      </c>
      <c r="B129" s="1" t="s">
        <v>52</v>
      </c>
      <c r="C129" s="33">
        <v>6800</v>
      </c>
      <c r="D129" s="18" t="s">
        <v>254</v>
      </c>
      <c r="E129" s="30"/>
      <c r="F129" s="5" t="str">
        <f t="shared" si="1"/>
        <v/>
      </c>
    </row>
    <row r="130" spans="1:6" ht="15.8" customHeight="1">
      <c r="A130" s="1" t="s">
        <v>56</v>
      </c>
      <c r="B130" s="1" t="s">
        <v>52</v>
      </c>
      <c r="C130" s="33">
        <v>2800</v>
      </c>
      <c r="D130" s="18" t="s">
        <v>254</v>
      </c>
      <c r="E130" s="30"/>
      <c r="F130" s="5" t="str">
        <f t="shared" si="1"/>
        <v/>
      </c>
    </row>
    <row r="131" spans="1:6" ht="15.8" customHeight="1">
      <c r="A131" s="1" t="s">
        <v>55</v>
      </c>
      <c r="B131" s="1" t="s">
        <v>52</v>
      </c>
      <c r="C131" s="33">
        <v>2800</v>
      </c>
      <c r="D131" s="18" t="s">
        <v>254</v>
      </c>
      <c r="E131" s="30"/>
      <c r="F131" s="5" t="str">
        <f t="shared" ref="F131:F194" si="2">IF(E131="x",CONCATENATE(A131," ;"),"")</f>
        <v/>
      </c>
    </row>
    <row r="132" spans="1:6" s="7" customFormat="1" ht="15.8" customHeight="1">
      <c r="A132" s="3" t="s">
        <v>302</v>
      </c>
      <c r="B132" s="3" t="s">
        <v>52</v>
      </c>
      <c r="C132" s="33">
        <v>22000</v>
      </c>
      <c r="D132" s="18" t="s">
        <v>361</v>
      </c>
      <c r="E132" s="30"/>
      <c r="F132" s="5" t="str">
        <f t="shared" si="2"/>
        <v/>
      </c>
    </row>
    <row r="133" spans="1:6" ht="15.8" customHeight="1">
      <c r="A133" s="1" t="s">
        <v>59</v>
      </c>
      <c r="B133" s="1" t="s">
        <v>52</v>
      </c>
      <c r="C133" s="33">
        <v>4200</v>
      </c>
      <c r="D133" s="18" t="s">
        <v>254</v>
      </c>
      <c r="E133" s="30"/>
      <c r="F133" s="5" t="str">
        <f t="shared" si="2"/>
        <v/>
      </c>
    </row>
    <row r="134" spans="1:6" ht="15.8" customHeight="1">
      <c r="A134" s="1" t="s">
        <v>69</v>
      </c>
      <c r="B134" s="1" t="s">
        <v>52</v>
      </c>
      <c r="C134" s="33">
        <v>3600</v>
      </c>
      <c r="D134" s="18" t="s">
        <v>254</v>
      </c>
      <c r="E134" s="30"/>
      <c r="F134" s="5" t="str">
        <f t="shared" si="2"/>
        <v/>
      </c>
    </row>
    <row r="135" spans="1:6" ht="15.8" customHeight="1">
      <c r="A135" s="1" t="s">
        <v>54</v>
      </c>
      <c r="B135" s="1" t="s">
        <v>52</v>
      </c>
      <c r="C135" s="33">
        <v>2200</v>
      </c>
      <c r="D135" s="18" t="s">
        <v>254</v>
      </c>
      <c r="E135" s="30"/>
      <c r="F135" s="5" t="str">
        <f t="shared" si="2"/>
        <v/>
      </c>
    </row>
    <row r="136" spans="1:6" s="7" customFormat="1" ht="15.8" customHeight="1">
      <c r="A136" s="2" t="s">
        <v>388</v>
      </c>
      <c r="B136" s="2" t="s">
        <v>52</v>
      </c>
      <c r="C136" s="34">
        <v>5500</v>
      </c>
      <c r="D136" s="20" t="s">
        <v>361</v>
      </c>
      <c r="E136" s="30"/>
      <c r="F136" s="5" t="str">
        <f t="shared" si="2"/>
        <v/>
      </c>
    </row>
    <row r="137" spans="1:6" ht="15.8" customHeight="1">
      <c r="A137" s="1" t="s">
        <v>389</v>
      </c>
      <c r="B137" s="1" t="s">
        <v>52</v>
      </c>
      <c r="C137" s="33">
        <v>16000</v>
      </c>
      <c r="D137" s="18" t="s">
        <v>361</v>
      </c>
      <c r="E137" s="30"/>
      <c r="F137" s="5" t="str">
        <f t="shared" si="2"/>
        <v/>
      </c>
    </row>
    <row r="138" spans="1:6" s="7" customFormat="1" ht="15.8" customHeight="1">
      <c r="A138" s="2" t="s">
        <v>409</v>
      </c>
      <c r="B138" s="2" t="s">
        <v>52</v>
      </c>
      <c r="C138" s="34">
        <v>8000</v>
      </c>
      <c r="D138" s="20" t="s">
        <v>361</v>
      </c>
      <c r="E138" s="30"/>
      <c r="F138" s="5" t="str">
        <f t="shared" si="2"/>
        <v/>
      </c>
    </row>
    <row r="139" spans="1:6" s="7" customFormat="1" ht="15.8" customHeight="1">
      <c r="A139" s="2" t="s">
        <v>390</v>
      </c>
      <c r="B139" s="2" t="s">
        <v>52</v>
      </c>
      <c r="C139" s="34">
        <v>5500</v>
      </c>
      <c r="D139" s="20" t="s">
        <v>361</v>
      </c>
      <c r="E139" s="30"/>
      <c r="F139" s="5" t="str">
        <f t="shared" si="2"/>
        <v/>
      </c>
    </row>
    <row r="140" spans="1:6" s="7" customFormat="1" ht="15.8" customHeight="1">
      <c r="A140" s="2" t="s">
        <v>387</v>
      </c>
      <c r="B140" s="2" t="s">
        <v>52</v>
      </c>
      <c r="C140" s="34">
        <v>12000</v>
      </c>
      <c r="D140" s="20" t="s">
        <v>361</v>
      </c>
      <c r="E140" s="30"/>
      <c r="F140" s="5" t="str">
        <f t="shared" si="2"/>
        <v/>
      </c>
    </row>
    <row r="141" spans="1:6" ht="15.8" customHeight="1">
      <c r="A141" s="1" t="s">
        <v>110</v>
      </c>
      <c r="B141" s="1" t="s">
        <v>103</v>
      </c>
      <c r="C141" s="33">
        <v>3000</v>
      </c>
      <c r="D141" s="18" t="s">
        <v>254</v>
      </c>
      <c r="E141" s="30"/>
      <c r="F141" s="5" t="str">
        <f t="shared" si="2"/>
        <v/>
      </c>
    </row>
    <row r="142" spans="1:6" ht="15.8" customHeight="1">
      <c r="A142" s="1" t="s">
        <v>115</v>
      </c>
      <c r="B142" s="1" t="s">
        <v>103</v>
      </c>
      <c r="C142" s="33">
        <v>6000</v>
      </c>
      <c r="D142" s="18" t="s">
        <v>361</v>
      </c>
      <c r="E142" s="30"/>
      <c r="F142" s="5" t="str">
        <f t="shared" si="2"/>
        <v/>
      </c>
    </row>
    <row r="143" spans="1:6" ht="15.8" customHeight="1">
      <c r="A143" s="1" t="s">
        <v>106</v>
      </c>
      <c r="B143" s="1" t="s">
        <v>103</v>
      </c>
      <c r="C143" s="33">
        <v>5500</v>
      </c>
      <c r="D143" s="18" t="s">
        <v>254</v>
      </c>
      <c r="E143" s="30"/>
      <c r="F143" s="5" t="str">
        <f t="shared" si="2"/>
        <v/>
      </c>
    </row>
    <row r="144" spans="1:6" ht="15.8" customHeight="1">
      <c r="A144" s="1" t="s">
        <v>108</v>
      </c>
      <c r="B144" s="1" t="s">
        <v>103</v>
      </c>
      <c r="C144" s="33">
        <v>5500</v>
      </c>
      <c r="D144" s="18" t="s">
        <v>254</v>
      </c>
      <c r="E144" s="30"/>
      <c r="F144" s="5" t="str">
        <f t="shared" si="2"/>
        <v/>
      </c>
    </row>
    <row r="145" spans="1:6" ht="15.8" customHeight="1">
      <c r="A145" s="1" t="s">
        <v>107</v>
      </c>
      <c r="B145" s="1" t="s">
        <v>103</v>
      </c>
      <c r="C145" s="33">
        <v>5500</v>
      </c>
      <c r="D145" s="18" t="s">
        <v>254</v>
      </c>
      <c r="E145" s="30"/>
      <c r="F145" s="5" t="str">
        <f t="shared" si="2"/>
        <v/>
      </c>
    </row>
    <row r="146" spans="1:6" ht="15.8" customHeight="1">
      <c r="A146" s="1" t="s">
        <v>267</v>
      </c>
      <c r="B146" s="1" t="s">
        <v>103</v>
      </c>
      <c r="C146" s="34">
        <v>12000</v>
      </c>
      <c r="D146" s="18" t="s">
        <v>361</v>
      </c>
      <c r="E146" s="30"/>
      <c r="F146" s="5" t="str">
        <f t="shared" si="2"/>
        <v/>
      </c>
    </row>
    <row r="147" spans="1:6" ht="15.8" customHeight="1">
      <c r="A147" s="1" t="s">
        <v>109</v>
      </c>
      <c r="B147" s="1" t="s">
        <v>103</v>
      </c>
      <c r="C147" s="33">
        <v>6000</v>
      </c>
      <c r="D147" s="19">
        <v>5</v>
      </c>
      <c r="E147" s="30"/>
      <c r="F147" s="5" t="str">
        <f t="shared" si="2"/>
        <v/>
      </c>
    </row>
    <row r="148" spans="1:6" ht="15.8" customHeight="1">
      <c r="A148" s="1" t="s">
        <v>102</v>
      </c>
      <c r="B148" s="1" t="s">
        <v>103</v>
      </c>
      <c r="C148" s="33">
        <v>4200</v>
      </c>
      <c r="D148" s="18" t="s">
        <v>254</v>
      </c>
      <c r="E148" s="30"/>
      <c r="F148" s="5" t="str">
        <f t="shared" si="2"/>
        <v/>
      </c>
    </row>
    <row r="149" spans="1:6" ht="15.8" customHeight="1">
      <c r="A149" s="1" t="s">
        <v>112</v>
      </c>
      <c r="B149" s="1" t="s">
        <v>103</v>
      </c>
      <c r="C149" s="34">
        <v>10000</v>
      </c>
      <c r="D149" s="19">
        <v>5</v>
      </c>
      <c r="E149" s="30"/>
      <c r="F149" s="5" t="str">
        <f t="shared" si="2"/>
        <v/>
      </c>
    </row>
    <row r="150" spans="1:6" ht="15.8" customHeight="1">
      <c r="A150" s="1" t="s">
        <v>117</v>
      </c>
      <c r="B150" s="1" t="s">
        <v>103</v>
      </c>
      <c r="C150" s="33">
        <v>14000</v>
      </c>
      <c r="D150" s="21">
        <v>3</v>
      </c>
      <c r="E150" s="30"/>
      <c r="F150" s="5" t="str">
        <f t="shared" si="2"/>
        <v/>
      </c>
    </row>
    <row r="151" spans="1:6" ht="15.8" customHeight="1">
      <c r="A151" s="2" t="s">
        <v>116</v>
      </c>
      <c r="B151" s="2" t="s">
        <v>103</v>
      </c>
      <c r="C151" s="33">
        <v>17000</v>
      </c>
      <c r="D151" s="18" t="s">
        <v>361</v>
      </c>
      <c r="E151" s="30"/>
      <c r="F151" s="5" t="str">
        <f t="shared" si="2"/>
        <v/>
      </c>
    </row>
    <row r="152" spans="1:6" ht="15.8" customHeight="1">
      <c r="A152" s="3" t="s">
        <v>266</v>
      </c>
      <c r="B152" s="3" t="s">
        <v>103</v>
      </c>
      <c r="C152" s="33">
        <v>17000</v>
      </c>
      <c r="D152" s="18" t="s">
        <v>361</v>
      </c>
      <c r="E152" s="30"/>
      <c r="F152" s="5" t="str">
        <f t="shared" si="2"/>
        <v/>
      </c>
    </row>
    <row r="153" spans="1:6" ht="15.8" customHeight="1">
      <c r="A153" s="1" t="s">
        <v>111</v>
      </c>
      <c r="B153" s="1" t="s">
        <v>103</v>
      </c>
      <c r="C153" s="33">
        <v>8000</v>
      </c>
      <c r="D153" s="19">
        <v>5</v>
      </c>
      <c r="E153" s="30"/>
      <c r="F153" s="5" t="str">
        <f t="shared" si="2"/>
        <v/>
      </c>
    </row>
    <row r="154" spans="1:6" ht="15.8" customHeight="1">
      <c r="A154" s="1" t="s">
        <v>104</v>
      </c>
      <c r="B154" s="1" t="s">
        <v>103</v>
      </c>
      <c r="C154" s="33">
        <v>3800</v>
      </c>
      <c r="D154" s="18" t="s">
        <v>254</v>
      </c>
      <c r="E154" s="30"/>
      <c r="F154" s="5" t="str">
        <f t="shared" si="2"/>
        <v/>
      </c>
    </row>
    <row r="155" spans="1:6" ht="15.8" customHeight="1">
      <c r="A155" s="1" t="s">
        <v>113</v>
      </c>
      <c r="B155" s="1" t="s">
        <v>103</v>
      </c>
      <c r="C155" s="33">
        <v>10000</v>
      </c>
      <c r="D155" s="18" t="s">
        <v>361</v>
      </c>
      <c r="E155" s="30"/>
      <c r="F155" s="5" t="str">
        <f t="shared" si="2"/>
        <v/>
      </c>
    </row>
    <row r="156" spans="1:6" ht="15.8" customHeight="1">
      <c r="A156" s="3" t="s">
        <v>202</v>
      </c>
      <c r="B156" s="3" t="s">
        <v>103</v>
      </c>
      <c r="C156" s="34">
        <v>11000</v>
      </c>
      <c r="D156" s="18" t="s">
        <v>361</v>
      </c>
      <c r="E156" s="30"/>
      <c r="F156" s="5" t="str">
        <f t="shared" si="2"/>
        <v/>
      </c>
    </row>
    <row r="157" spans="1:6" s="7" customFormat="1" ht="15.8" customHeight="1">
      <c r="A157" s="1" t="s">
        <v>105</v>
      </c>
      <c r="B157" s="1" t="s">
        <v>103</v>
      </c>
      <c r="C157" s="33">
        <v>4700</v>
      </c>
      <c r="D157" s="18" t="s">
        <v>254</v>
      </c>
      <c r="E157" s="30"/>
      <c r="F157" s="5" t="str">
        <f t="shared" si="2"/>
        <v/>
      </c>
    </row>
    <row r="158" spans="1:6" ht="15.8" customHeight="1">
      <c r="A158" s="2" t="s">
        <v>114</v>
      </c>
      <c r="B158" s="1" t="s">
        <v>103</v>
      </c>
      <c r="C158" s="34">
        <v>10000</v>
      </c>
      <c r="D158" s="18" t="s">
        <v>361</v>
      </c>
      <c r="E158" s="30"/>
      <c r="F158" s="5" t="str">
        <f t="shared" si="2"/>
        <v/>
      </c>
    </row>
    <row r="159" spans="1:6" s="7" customFormat="1" ht="15.8" customHeight="1">
      <c r="A159" s="1" t="s">
        <v>148</v>
      </c>
      <c r="B159" s="1" t="s">
        <v>145</v>
      </c>
      <c r="C159" s="33">
        <v>5000</v>
      </c>
      <c r="D159" s="19">
        <v>5</v>
      </c>
      <c r="E159" s="30"/>
      <c r="F159" s="5" t="str">
        <f t="shared" si="2"/>
        <v/>
      </c>
    </row>
    <row r="160" spans="1:6" ht="15.8" customHeight="1">
      <c r="A160" s="1" t="s">
        <v>147</v>
      </c>
      <c r="B160" s="1" t="s">
        <v>145</v>
      </c>
      <c r="C160" s="33">
        <v>5000</v>
      </c>
      <c r="D160" s="19">
        <v>5</v>
      </c>
      <c r="E160" s="30"/>
      <c r="F160" s="5" t="str">
        <f t="shared" si="2"/>
        <v/>
      </c>
    </row>
    <row r="161" spans="1:6" ht="15.8" customHeight="1">
      <c r="A161" s="1" t="s">
        <v>376</v>
      </c>
      <c r="B161" s="1" t="s">
        <v>145</v>
      </c>
      <c r="C161" s="33">
        <v>7000</v>
      </c>
      <c r="D161" s="19">
        <v>5</v>
      </c>
      <c r="E161" s="30"/>
      <c r="F161" s="5" t="str">
        <f t="shared" si="2"/>
        <v/>
      </c>
    </row>
    <row r="162" spans="1:6" ht="15.8" customHeight="1">
      <c r="A162" s="1" t="s">
        <v>374</v>
      </c>
      <c r="B162" s="1" t="s">
        <v>145</v>
      </c>
      <c r="C162" s="33">
        <v>6000</v>
      </c>
      <c r="D162" s="19">
        <v>6</v>
      </c>
      <c r="E162" s="30"/>
      <c r="F162" s="5" t="str">
        <f t="shared" si="2"/>
        <v/>
      </c>
    </row>
    <row r="163" spans="1:6" ht="15.8" customHeight="1">
      <c r="A163" s="1" t="s">
        <v>146</v>
      </c>
      <c r="B163" s="1" t="s">
        <v>145</v>
      </c>
      <c r="C163" s="33">
        <v>4000</v>
      </c>
      <c r="D163" s="19">
        <v>5</v>
      </c>
      <c r="E163" s="30"/>
      <c r="F163" s="5" t="str">
        <f t="shared" si="2"/>
        <v/>
      </c>
    </row>
    <row r="164" spans="1:6" ht="15.8" customHeight="1">
      <c r="A164" s="1" t="s">
        <v>353</v>
      </c>
      <c r="B164" s="1" t="s">
        <v>145</v>
      </c>
      <c r="C164" s="33">
        <v>8500</v>
      </c>
      <c r="D164" s="18" t="s">
        <v>361</v>
      </c>
      <c r="E164" s="30"/>
      <c r="F164" s="5" t="str">
        <f t="shared" si="2"/>
        <v/>
      </c>
    </row>
    <row r="165" spans="1:6" ht="15.8" customHeight="1">
      <c r="A165" s="1" t="s">
        <v>354</v>
      </c>
      <c r="B165" s="1" t="s">
        <v>145</v>
      </c>
      <c r="C165" s="33">
        <v>8000</v>
      </c>
      <c r="D165" s="18" t="s">
        <v>361</v>
      </c>
      <c r="E165" s="30"/>
      <c r="F165" s="5" t="str">
        <f t="shared" si="2"/>
        <v/>
      </c>
    </row>
    <row r="166" spans="1:6" ht="15.8" customHeight="1">
      <c r="A166" s="1" t="s">
        <v>429</v>
      </c>
      <c r="B166" s="1" t="s">
        <v>145</v>
      </c>
      <c r="C166" s="33">
        <v>6000</v>
      </c>
      <c r="D166" s="19">
        <v>5</v>
      </c>
      <c r="E166" s="30"/>
      <c r="F166" s="5" t="str">
        <f t="shared" si="2"/>
        <v/>
      </c>
    </row>
    <row r="167" spans="1:6" ht="15.8" customHeight="1">
      <c r="A167" s="1" t="s">
        <v>373</v>
      </c>
      <c r="B167" s="1" t="s">
        <v>145</v>
      </c>
      <c r="C167" s="33">
        <v>14000</v>
      </c>
      <c r="D167" s="18" t="s">
        <v>407</v>
      </c>
      <c r="E167" s="30"/>
      <c r="F167" s="5" t="str">
        <f t="shared" si="2"/>
        <v/>
      </c>
    </row>
    <row r="168" spans="1:6" ht="15.8" customHeight="1">
      <c r="A168" s="1" t="s">
        <v>380</v>
      </c>
      <c r="B168" s="1" t="s">
        <v>145</v>
      </c>
      <c r="C168" s="33">
        <v>12000</v>
      </c>
      <c r="D168" s="21">
        <v>6</v>
      </c>
      <c r="E168" s="30"/>
      <c r="F168" s="5" t="str">
        <f t="shared" si="2"/>
        <v/>
      </c>
    </row>
    <row r="169" spans="1:6" ht="15.8" customHeight="1">
      <c r="A169" s="1" t="s">
        <v>381</v>
      </c>
      <c r="B169" s="1" t="s">
        <v>145</v>
      </c>
      <c r="C169" s="33">
        <v>10000</v>
      </c>
      <c r="D169" s="21">
        <v>6</v>
      </c>
      <c r="E169" s="30"/>
      <c r="F169" s="5" t="str">
        <f t="shared" si="2"/>
        <v/>
      </c>
    </row>
    <row r="170" spans="1:6" ht="15.8" customHeight="1">
      <c r="A170" s="1" t="s">
        <v>152</v>
      </c>
      <c r="B170" s="1" t="s">
        <v>145</v>
      </c>
      <c r="C170" s="33">
        <v>10000</v>
      </c>
      <c r="D170" s="19">
        <v>5</v>
      </c>
      <c r="E170" s="30"/>
      <c r="F170" s="5" t="str">
        <f t="shared" si="2"/>
        <v/>
      </c>
    </row>
    <row r="171" spans="1:6" ht="15.8" customHeight="1">
      <c r="A171" s="1" t="s">
        <v>150</v>
      </c>
      <c r="B171" s="1" t="s">
        <v>145</v>
      </c>
      <c r="C171" s="33">
        <v>12000</v>
      </c>
      <c r="D171" s="19">
        <v>5</v>
      </c>
      <c r="E171" s="30"/>
      <c r="F171" s="5" t="str">
        <f t="shared" si="2"/>
        <v/>
      </c>
    </row>
    <row r="172" spans="1:6" ht="15.8" customHeight="1">
      <c r="A172" s="1" t="s">
        <v>156</v>
      </c>
      <c r="B172" s="1" t="s">
        <v>145</v>
      </c>
      <c r="C172" s="33">
        <v>5000</v>
      </c>
      <c r="D172" s="19">
        <v>5</v>
      </c>
      <c r="E172" s="30"/>
      <c r="F172" s="5" t="str">
        <f t="shared" si="2"/>
        <v/>
      </c>
    </row>
    <row r="173" spans="1:6" ht="15.8" customHeight="1">
      <c r="A173" s="1" t="s">
        <v>151</v>
      </c>
      <c r="B173" s="1" t="s">
        <v>145</v>
      </c>
      <c r="C173" s="33">
        <v>12000</v>
      </c>
      <c r="D173" s="19">
        <v>6</v>
      </c>
      <c r="E173" s="30"/>
      <c r="F173" s="5" t="str">
        <f t="shared" si="2"/>
        <v/>
      </c>
    </row>
    <row r="174" spans="1:6" ht="15.8" customHeight="1">
      <c r="A174" s="1" t="s">
        <v>149</v>
      </c>
      <c r="B174" s="1" t="s">
        <v>145</v>
      </c>
      <c r="C174" s="33">
        <v>7000</v>
      </c>
      <c r="D174" s="19">
        <v>5</v>
      </c>
      <c r="E174" s="30"/>
      <c r="F174" s="5" t="str">
        <f t="shared" si="2"/>
        <v/>
      </c>
    </row>
    <row r="175" spans="1:6" ht="15.8" customHeight="1">
      <c r="A175" s="1" t="s">
        <v>220</v>
      </c>
      <c r="B175" s="1" t="s">
        <v>145</v>
      </c>
      <c r="C175" s="33">
        <v>8000</v>
      </c>
      <c r="D175" s="18" t="s">
        <v>361</v>
      </c>
      <c r="E175" s="30"/>
      <c r="F175" s="5" t="str">
        <f t="shared" si="2"/>
        <v/>
      </c>
    </row>
    <row r="176" spans="1:6" ht="15.8" customHeight="1">
      <c r="A176" s="1" t="s">
        <v>426</v>
      </c>
      <c r="B176" s="1" t="s">
        <v>145</v>
      </c>
      <c r="C176" s="33">
        <v>8000</v>
      </c>
      <c r="D176" s="18" t="s">
        <v>361</v>
      </c>
      <c r="E176" s="30"/>
      <c r="F176" s="5" t="str">
        <f t="shared" si="2"/>
        <v/>
      </c>
    </row>
    <row r="177" spans="1:6" ht="15.8" customHeight="1">
      <c r="A177" s="1" t="s">
        <v>369</v>
      </c>
      <c r="B177" s="1" t="s">
        <v>145</v>
      </c>
      <c r="C177" s="33">
        <v>16000</v>
      </c>
      <c r="D177" s="18" t="s">
        <v>361</v>
      </c>
      <c r="E177" s="30"/>
      <c r="F177" s="5" t="str">
        <f t="shared" si="2"/>
        <v/>
      </c>
    </row>
    <row r="178" spans="1:6" ht="15.8" customHeight="1">
      <c r="A178" s="1" t="s">
        <v>277</v>
      </c>
      <c r="B178" s="1" t="s">
        <v>145</v>
      </c>
      <c r="C178" s="33">
        <v>8000</v>
      </c>
      <c r="D178" s="18" t="s">
        <v>361</v>
      </c>
      <c r="E178" s="30"/>
      <c r="F178" s="5" t="str">
        <f t="shared" si="2"/>
        <v/>
      </c>
    </row>
    <row r="179" spans="1:6" ht="15.8" customHeight="1">
      <c r="A179" s="1" t="s">
        <v>275</v>
      </c>
      <c r="B179" s="1" t="s">
        <v>145</v>
      </c>
      <c r="C179" s="33">
        <v>11000</v>
      </c>
      <c r="D179" s="18" t="s">
        <v>361</v>
      </c>
      <c r="E179" s="30"/>
      <c r="F179" s="5" t="str">
        <f t="shared" si="2"/>
        <v/>
      </c>
    </row>
    <row r="180" spans="1:6" ht="15.8" customHeight="1">
      <c r="A180" s="4" t="s">
        <v>157</v>
      </c>
      <c r="B180" s="4" t="s">
        <v>145</v>
      </c>
      <c r="C180" s="33">
        <v>5000</v>
      </c>
      <c r="D180" s="18" t="s">
        <v>406</v>
      </c>
      <c r="E180" s="30"/>
      <c r="F180" s="5" t="str">
        <f t="shared" si="2"/>
        <v/>
      </c>
    </row>
    <row r="181" spans="1:6" ht="15.8" customHeight="1">
      <c r="A181" s="1" t="s">
        <v>365</v>
      </c>
      <c r="B181" s="1" t="s">
        <v>145</v>
      </c>
      <c r="C181" s="33">
        <v>6000</v>
      </c>
      <c r="D181" s="21">
        <v>6</v>
      </c>
      <c r="E181" s="30"/>
      <c r="F181" s="5" t="str">
        <f t="shared" si="2"/>
        <v/>
      </c>
    </row>
    <row r="182" spans="1:6" ht="15.8" customHeight="1">
      <c r="A182" s="1" t="s">
        <v>155</v>
      </c>
      <c r="B182" s="1" t="s">
        <v>145</v>
      </c>
      <c r="C182" s="33">
        <v>10000</v>
      </c>
      <c r="D182" s="21">
        <v>6</v>
      </c>
      <c r="E182" s="30"/>
      <c r="F182" s="5" t="str">
        <f t="shared" si="2"/>
        <v/>
      </c>
    </row>
    <row r="183" spans="1:6" ht="15.8" customHeight="1">
      <c r="A183" s="1" t="s">
        <v>375</v>
      </c>
      <c r="B183" s="1" t="s">
        <v>145</v>
      </c>
      <c r="C183" s="33">
        <v>8000</v>
      </c>
      <c r="D183" s="18" t="s">
        <v>254</v>
      </c>
      <c r="E183" s="30"/>
      <c r="F183" s="5" t="str">
        <f t="shared" si="2"/>
        <v/>
      </c>
    </row>
    <row r="184" spans="1:6" ht="15.8" customHeight="1">
      <c r="A184" s="1" t="s">
        <v>335</v>
      </c>
      <c r="B184" s="1" t="s">
        <v>145</v>
      </c>
      <c r="C184" s="33">
        <v>12000</v>
      </c>
      <c r="D184" s="18" t="s">
        <v>361</v>
      </c>
      <c r="E184" s="30"/>
      <c r="F184" s="5" t="str">
        <f t="shared" si="2"/>
        <v/>
      </c>
    </row>
    <row r="185" spans="1:6" ht="15.8" customHeight="1">
      <c r="A185" s="1" t="s">
        <v>153</v>
      </c>
      <c r="B185" s="1" t="s">
        <v>145</v>
      </c>
      <c r="C185" s="33">
        <v>8000</v>
      </c>
      <c r="D185" s="18" t="s">
        <v>406</v>
      </c>
      <c r="E185" s="30"/>
      <c r="F185" s="5" t="str">
        <f t="shared" si="2"/>
        <v/>
      </c>
    </row>
    <row r="186" spans="1:6" ht="15.8" customHeight="1">
      <c r="A186" s="1" t="s">
        <v>154</v>
      </c>
      <c r="B186" s="1" t="s">
        <v>145</v>
      </c>
      <c r="C186" s="33">
        <v>8000</v>
      </c>
      <c r="D186" s="19">
        <v>6</v>
      </c>
      <c r="E186" s="30"/>
      <c r="F186" s="5" t="str">
        <f t="shared" si="2"/>
        <v/>
      </c>
    </row>
    <row r="187" spans="1:6" ht="15.8" customHeight="1">
      <c r="A187" s="1" t="s">
        <v>384</v>
      </c>
      <c r="B187" s="1" t="s">
        <v>145</v>
      </c>
      <c r="C187" s="33">
        <v>10000</v>
      </c>
      <c r="D187" s="19">
        <v>6</v>
      </c>
      <c r="E187" s="30"/>
      <c r="F187" s="5" t="str">
        <f t="shared" si="2"/>
        <v/>
      </c>
    </row>
    <row r="188" spans="1:6" ht="15.8" customHeight="1">
      <c r="A188" s="1" t="s">
        <v>372</v>
      </c>
      <c r="B188" s="1" t="s">
        <v>145</v>
      </c>
      <c r="C188" s="33">
        <v>12000</v>
      </c>
      <c r="D188" s="19">
        <v>5</v>
      </c>
      <c r="E188" s="30"/>
      <c r="F188" s="5" t="str">
        <f t="shared" si="2"/>
        <v/>
      </c>
    </row>
    <row r="189" spans="1:6" ht="15.8" customHeight="1">
      <c r="A189" s="1" t="s">
        <v>371</v>
      </c>
      <c r="B189" s="1" t="s">
        <v>145</v>
      </c>
      <c r="C189" s="33">
        <v>33000</v>
      </c>
      <c r="D189" s="18" t="s">
        <v>406</v>
      </c>
      <c r="E189" s="30"/>
      <c r="F189" s="5" t="str">
        <f t="shared" si="2"/>
        <v/>
      </c>
    </row>
    <row r="190" spans="1:6" ht="15.8" customHeight="1">
      <c r="A190" s="1" t="s">
        <v>370</v>
      </c>
      <c r="B190" s="1" t="s">
        <v>145</v>
      </c>
      <c r="C190" s="33">
        <v>60000</v>
      </c>
      <c r="D190" s="18" t="s">
        <v>361</v>
      </c>
      <c r="E190" s="30"/>
      <c r="F190" s="5" t="str">
        <f t="shared" si="2"/>
        <v/>
      </c>
    </row>
    <row r="191" spans="1:6" ht="15.8" customHeight="1">
      <c r="A191" s="1" t="s">
        <v>412</v>
      </c>
      <c r="B191" s="1" t="s">
        <v>145</v>
      </c>
      <c r="C191" s="33">
        <v>12000</v>
      </c>
      <c r="D191" s="18" t="s">
        <v>361</v>
      </c>
      <c r="E191" s="30"/>
      <c r="F191" s="5" t="str">
        <f t="shared" si="2"/>
        <v/>
      </c>
    </row>
    <row r="192" spans="1:6" ht="15.8" customHeight="1">
      <c r="A192" s="1" t="s">
        <v>413</v>
      </c>
      <c r="B192" s="1" t="s">
        <v>145</v>
      </c>
      <c r="C192" s="33">
        <v>20000</v>
      </c>
      <c r="D192" s="18" t="s">
        <v>361</v>
      </c>
      <c r="E192" s="30"/>
      <c r="F192" s="5" t="str">
        <f t="shared" si="2"/>
        <v/>
      </c>
    </row>
    <row r="193" spans="1:6" ht="15.8" customHeight="1">
      <c r="A193" s="1" t="s">
        <v>414</v>
      </c>
      <c r="B193" s="1" t="s">
        <v>145</v>
      </c>
      <c r="C193" s="33">
        <v>22000</v>
      </c>
      <c r="D193" s="18" t="s">
        <v>361</v>
      </c>
      <c r="E193" s="30"/>
      <c r="F193" s="5" t="str">
        <f t="shared" si="2"/>
        <v/>
      </c>
    </row>
    <row r="194" spans="1:6" ht="15.8" customHeight="1">
      <c r="A194" s="1" t="s">
        <v>415</v>
      </c>
      <c r="B194" s="1" t="s">
        <v>145</v>
      </c>
      <c r="C194" s="33">
        <v>9000</v>
      </c>
      <c r="D194" s="18" t="s">
        <v>361</v>
      </c>
      <c r="E194" s="30"/>
      <c r="F194" s="5" t="str">
        <f t="shared" si="2"/>
        <v/>
      </c>
    </row>
    <row r="195" spans="1:6" ht="15.8" customHeight="1">
      <c r="A195" s="1" t="s">
        <v>416</v>
      </c>
      <c r="B195" s="1" t="s">
        <v>145</v>
      </c>
      <c r="C195" s="33">
        <v>9000</v>
      </c>
      <c r="D195" s="18" t="s">
        <v>361</v>
      </c>
      <c r="E195" s="30"/>
      <c r="F195" s="5" t="str">
        <f t="shared" ref="F195:F258" si="3">IF(E195="x",CONCATENATE(A195," ;"),"")</f>
        <v/>
      </c>
    </row>
    <row r="196" spans="1:6" ht="15.8" customHeight="1">
      <c r="A196" s="1" t="s">
        <v>417</v>
      </c>
      <c r="B196" s="1" t="s">
        <v>145</v>
      </c>
      <c r="C196" s="33">
        <v>9000</v>
      </c>
      <c r="D196" s="18" t="s">
        <v>361</v>
      </c>
      <c r="E196" s="30"/>
      <c r="F196" s="5" t="str">
        <f t="shared" si="3"/>
        <v/>
      </c>
    </row>
    <row r="197" spans="1:6" ht="15.8" customHeight="1">
      <c r="A197" s="1" t="s">
        <v>418</v>
      </c>
      <c r="B197" s="1" t="s">
        <v>145</v>
      </c>
      <c r="C197" s="33">
        <v>9000</v>
      </c>
      <c r="D197" s="18" t="s">
        <v>361</v>
      </c>
      <c r="E197" s="30"/>
      <c r="F197" s="5" t="str">
        <f t="shared" si="3"/>
        <v/>
      </c>
    </row>
    <row r="198" spans="1:6" ht="15.8" customHeight="1">
      <c r="A198" s="1" t="s">
        <v>210</v>
      </c>
      <c r="B198" s="1" t="s">
        <v>158</v>
      </c>
      <c r="C198" s="33">
        <v>5000</v>
      </c>
      <c r="D198" s="18" t="s">
        <v>350</v>
      </c>
      <c r="E198" s="30"/>
      <c r="F198" s="5" t="str">
        <f t="shared" si="3"/>
        <v/>
      </c>
    </row>
    <row r="199" spans="1:6" s="55" customFormat="1" ht="15.8" customHeight="1">
      <c r="A199" s="52" t="s">
        <v>214</v>
      </c>
      <c r="B199" s="52" t="s">
        <v>158</v>
      </c>
      <c r="C199" s="53">
        <v>10000</v>
      </c>
      <c r="D199" s="54" t="s">
        <v>351</v>
      </c>
      <c r="E199" s="43"/>
      <c r="F199" s="55" t="str">
        <f t="shared" si="3"/>
        <v/>
      </c>
    </row>
    <row r="200" spans="1:6" s="55" customFormat="1" ht="15.8" customHeight="1">
      <c r="A200" s="52" t="s">
        <v>279</v>
      </c>
      <c r="B200" s="52" t="s">
        <v>158</v>
      </c>
      <c r="C200" s="53">
        <v>6000</v>
      </c>
      <c r="D200" s="54" t="s">
        <v>350</v>
      </c>
      <c r="E200" s="43"/>
      <c r="F200" s="55" t="str">
        <f t="shared" si="3"/>
        <v/>
      </c>
    </row>
    <row r="201" spans="1:6" ht="15.8" customHeight="1">
      <c r="A201" s="1" t="s">
        <v>215</v>
      </c>
      <c r="B201" s="1" t="s">
        <v>158</v>
      </c>
      <c r="C201" s="33">
        <v>6000</v>
      </c>
      <c r="D201" s="18" t="s">
        <v>350</v>
      </c>
      <c r="E201" s="30"/>
      <c r="F201" s="5" t="str">
        <f t="shared" si="3"/>
        <v/>
      </c>
    </row>
    <row r="202" spans="1:6" ht="15.8" customHeight="1">
      <c r="A202" s="1" t="s">
        <v>208</v>
      </c>
      <c r="B202" s="1" t="s">
        <v>158</v>
      </c>
      <c r="C202" s="33">
        <v>8000</v>
      </c>
      <c r="D202" s="21">
        <v>1</v>
      </c>
      <c r="E202" s="30"/>
      <c r="F202" s="5" t="str">
        <f t="shared" si="3"/>
        <v/>
      </c>
    </row>
    <row r="203" spans="1:6" ht="15.8" customHeight="1">
      <c r="A203" s="1" t="s">
        <v>209</v>
      </c>
      <c r="B203" s="1" t="s">
        <v>158</v>
      </c>
      <c r="C203" s="33">
        <v>8000</v>
      </c>
      <c r="D203" s="18" t="s">
        <v>350</v>
      </c>
      <c r="E203" s="30"/>
      <c r="F203" s="5" t="str">
        <f t="shared" si="3"/>
        <v/>
      </c>
    </row>
    <row r="204" spans="1:6" ht="15.8" customHeight="1">
      <c r="A204" s="1" t="s">
        <v>377</v>
      </c>
      <c r="B204" s="1" t="s">
        <v>158</v>
      </c>
      <c r="C204" s="33">
        <v>8000</v>
      </c>
      <c r="D204" s="18" t="s">
        <v>350</v>
      </c>
      <c r="E204" s="30"/>
      <c r="F204" s="5" t="str">
        <f t="shared" si="3"/>
        <v/>
      </c>
    </row>
    <row r="205" spans="1:6" ht="15.8" customHeight="1">
      <c r="A205" s="1" t="s">
        <v>159</v>
      </c>
      <c r="B205" s="1" t="s">
        <v>158</v>
      </c>
      <c r="C205" s="33">
        <v>12000</v>
      </c>
      <c r="D205" s="21">
        <v>1</v>
      </c>
      <c r="E205" s="30"/>
      <c r="F205" s="5" t="str">
        <f t="shared" si="3"/>
        <v/>
      </c>
    </row>
    <row r="206" spans="1:6" ht="15.8" customHeight="1">
      <c r="A206" s="1" t="s">
        <v>211</v>
      </c>
      <c r="B206" s="1" t="s">
        <v>158</v>
      </c>
      <c r="C206" s="33">
        <v>10000</v>
      </c>
      <c r="D206" s="21">
        <v>1</v>
      </c>
      <c r="E206" s="30"/>
      <c r="F206" s="5" t="str">
        <f t="shared" si="3"/>
        <v/>
      </c>
    </row>
    <row r="207" spans="1:6" ht="15.8" customHeight="1">
      <c r="A207" s="2" t="s">
        <v>251</v>
      </c>
      <c r="B207" s="1" t="s">
        <v>158</v>
      </c>
      <c r="C207" s="33">
        <v>10000</v>
      </c>
      <c r="D207" s="18" t="s">
        <v>350</v>
      </c>
      <c r="E207" s="30"/>
      <c r="F207" s="5" t="str">
        <f t="shared" si="3"/>
        <v/>
      </c>
    </row>
    <row r="208" spans="1:6" ht="15.8" customHeight="1">
      <c r="A208" s="1" t="s">
        <v>160</v>
      </c>
      <c r="B208" s="1" t="s">
        <v>158</v>
      </c>
      <c r="C208" s="33">
        <v>5500</v>
      </c>
      <c r="D208" s="21">
        <v>1</v>
      </c>
      <c r="E208" s="30"/>
      <c r="F208" s="5" t="str">
        <f t="shared" si="3"/>
        <v/>
      </c>
    </row>
    <row r="209" spans="1:6" s="48" customFormat="1" ht="15.8" customHeight="1">
      <c r="A209" s="49" t="s">
        <v>452</v>
      </c>
      <c r="B209" s="49" t="s">
        <v>158</v>
      </c>
      <c r="C209" s="50">
        <v>2500</v>
      </c>
      <c r="D209" s="46" t="s">
        <v>254</v>
      </c>
      <c r="E209" s="47"/>
      <c r="F209" s="48" t="str">
        <f t="shared" si="3"/>
        <v/>
      </c>
    </row>
    <row r="210" spans="1:6" ht="15.8" customHeight="1">
      <c r="A210" s="1" t="s">
        <v>278</v>
      </c>
      <c r="B210" s="1" t="s">
        <v>158</v>
      </c>
      <c r="C210" s="33">
        <v>16000</v>
      </c>
      <c r="D210" s="21">
        <v>15</v>
      </c>
      <c r="E210" s="30"/>
      <c r="F210" s="5" t="str">
        <f t="shared" si="3"/>
        <v/>
      </c>
    </row>
    <row r="211" spans="1:6" s="48" customFormat="1" ht="15.8" customHeight="1">
      <c r="A211" s="44" t="s">
        <v>212</v>
      </c>
      <c r="B211" s="44" t="s">
        <v>158</v>
      </c>
      <c r="C211" s="45">
        <v>9000</v>
      </c>
      <c r="D211" s="51">
        <v>1</v>
      </c>
      <c r="E211" s="47"/>
      <c r="F211" s="48" t="str">
        <f t="shared" si="3"/>
        <v/>
      </c>
    </row>
    <row r="212" spans="1:6" ht="15.8" customHeight="1">
      <c r="A212" s="2" t="s">
        <v>276</v>
      </c>
      <c r="B212" s="1" t="s">
        <v>158</v>
      </c>
      <c r="C212" s="34">
        <v>8000</v>
      </c>
      <c r="D212" s="18" t="s">
        <v>351</v>
      </c>
      <c r="E212" s="30"/>
      <c r="F212" s="5" t="str">
        <f t="shared" si="3"/>
        <v/>
      </c>
    </row>
    <row r="213" spans="1:6" ht="15.8" customHeight="1">
      <c r="A213" s="1" t="s">
        <v>161</v>
      </c>
      <c r="B213" s="1" t="s">
        <v>158</v>
      </c>
      <c r="C213" s="33">
        <v>10000</v>
      </c>
      <c r="D213" s="21">
        <v>1</v>
      </c>
      <c r="E213" s="30"/>
      <c r="F213" s="5" t="str">
        <f t="shared" si="3"/>
        <v/>
      </c>
    </row>
    <row r="214" spans="1:6" ht="15.8" customHeight="1">
      <c r="A214" s="1" t="s">
        <v>162</v>
      </c>
      <c r="B214" s="1" t="s">
        <v>158</v>
      </c>
      <c r="C214" s="33">
        <v>8000</v>
      </c>
      <c r="D214" s="21">
        <v>1</v>
      </c>
      <c r="E214" s="30"/>
      <c r="F214" s="5" t="str">
        <f t="shared" si="3"/>
        <v/>
      </c>
    </row>
    <row r="215" spans="1:6" ht="15.8" customHeight="1">
      <c r="A215" s="1" t="s">
        <v>163</v>
      </c>
      <c r="B215" s="1" t="s">
        <v>158</v>
      </c>
      <c r="C215" s="33">
        <v>8000</v>
      </c>
      <c r="D215" s="21">
        <v>1</v>
      </c>
      <c r="E215" s="30"/>
      <c r="F215" s="5" t="str">
        <f t="shared" si="3"/>
        <v/>
      </c>
    </row>
    <row r="216" spans="1:6" ht="15.8" customHeight="1">
      <c r="A216" s="1" t="s">
        <v>400</v>
      </c>
      <c r="B216" s="1" t="s">
        <v>158</v>
      </c>
      <c r="C216" s="33">
        <v>9000</v>
      </c>
      <c r="D216" s="18" t="s">
        <v>423</v>
      </c>
      <c r="E216" s="30"/>
      <c r="F216" s="5" t="str">
        <f t="shared" si="3"/>
        <v/>
      </c>
    </row>
    <row r="217" spans="1:6" ht="15.8" customHeight="1">
      <c r="A217" s="1" t="s">
        <v>401</v>
      </c>
      <c r="B217" s="1" t="s">
        <v>158</v>
      </c>
      <c r="C217" s="33">
        <v>9000</v>
      </c>
      <c r="D217" s="18" t="s">
        <v>423</v>
      </c>
      <c r="E217" s="30"/>
      <c r="F217" s="5" t="str">
        <f t="shared" si="3"/>
        <v/>
      </c>
    </row>
    <row r="218" spans="1:6" ht="15.8" customHeight="1">
      <c r="A218" s="1" t="s">
        <v>402</v>
      </c>
      <c r="B218" s="1" t="s">
        <v>158</v>
      </c>
      <c r="C218" s="33">
        <v>9000</v>
      </c>
      <c r="D218" s="18" t="s">
        <v>423</v>
      </c>
      <c r="E218" s="30"/>
      <c r="F218" s="5" t="str">
        <f t="shared" si="3"/>
        <v/>
      </c>
    </row>
    <row r="219" spans="1:6" ht="15.8" customHeight="1">
      <c r="A219" s="1" t="s">
        <v>403</v>
      </c>
      <c r="B219" s="1" t="s">
        <v>158</v>
      </c>
      <c r="C219" s="33">
        <v>9000</v>
      </c>
      <c r="D219" s="18" t="s">
        <v>423</v>
      </c>
      <c r="E219" s="30"/>
      <c r="F219" s="5" t="str">
        <f t="shared" si="3"/>
        <v/>
      </c>
    </row>
    <row r="220" spans="1:6" ht="15.8" customHeight="1">
      <c r="A220" s="2" t="s">
        <v>422</v>
      </c>
      <c r="B220" s="1" t="s">
        <v>158</v>
      </c>
      <c r="C220" s="33">
        <v>9000</v>
      </c>
      <c r="D220" s="18" t="s">
        <v>423</v>
      </c>
      <c r="E220" s="30"/>
      <c r="F220" s="5" t="str">
        <f t="shared" si="3"/>
        <v/>
      </c>
    </row>
    <row r="221" spans="1:6" s="7" customFormat="1" ht="15.8" customHeight="1">
      <c r="A221" s="10" t="s">
        <v>165</v>
      </c>
      <c r="B221" s="10" t="s">
        <v>164</v>
      </c>
      <c r="C221" s="34">
        <v>6000</v>
      </c>
      <c r="D221" s="24">
        <v>5</v>
      </c>
      <c r="E221" s="30"/>
      <c r="F221" s="5" t="str">
        <f t="shared" si="3"/>
        <v/>
      </c>
    </row>
    <row r="222" spans="1:6" ht="15.8" customHeight="1">
      <c r="A222" s="2" t="s">
        <v>291</v>
      </c>
      <c r="B222" s="10" t="s">
        <v>164</v>
      </c>
      <c r="C222" s="34">
        <v>9000</v>
      </c>
      <c r="D222" s="24">
        <v>5</v>
      </c>
      <c r="E222" s="30"/>
      <c r="F222" s="5" t="str">
        <f t="shared" si="3"/>
        <v/>
      </c>
    </row>
    <row r="223" spans="1:6" ht="15.8" customHeight="1">
      <c r="A223" s="2" t="s">
        <v>326</v>
      </c>
      <c r="B223" s="10" t="s">
        <v>164</v>
      </c>
      <c r="C223" s="34">
        <v>7000</v>
      </c>
      <c r="D223" s="24">
        <v>5</v>
      </c>
      <c r="E223" s="30"/>
      <c r="F223" s="5" t="str">
        <f t="shared" si="3"/>
        <v/>
      </c>
    </row>
    <row r="224" spans="1:6" ht="15.8" customHeight="1">
      <c r="A224" s="2" t="s">
        <v>442</v>
      </c>
      <c r="B224" s="10" t="s">
        <v>164</v>
      </c>
      <c r="C224" s="34">
        <v>6000</v>
      </c>
      <c r="D224" s="24">
        <v>5</v>
      </c>
      <c r="E224" s="30"/>
      <c r="F224" s="5" t="str">
        <f t="shared" si="3"/>
        <v/>
      </c>
    </row>
    <row r="225" spans="1:6" ht="15.8" customHeight="1">
      <c r="A225" s="2" t="s">
        <v>325</v>
      </c>
      <c r="B225" s="10" t="s">
        <v>164</v>
      </c>
      <c r="C225" s="34">
        <v>8000</v>
      </c>
      <c r="D225" s="24">
        <v>5</v>
      </c>
      <c r="E225" s="30"/>
      <c r="F225" s="5" t="str">
        <f t="shared" si="3"/>
        <v/>
      </c>
    </row>
    <row r="226" spans="1:6" ht="15.8" customHeight="1">
      <c r="A226" s="2" t="s">
        <v>166</v>
      </c>
      <c r="B226" s="10" t="s">
        <v>164</v>
      </c>
      <c r="C226" s="34">
        <v>6000</v>
      </c>
      <c r="D226" s="24">
        <v>5</v>
      </c>
      <c r="E226" s="30"/>
      <c r="F226" s="5" t="str">
        <f t="shared" si="3"/>
        <v/>
      </c>
    </row>
    <row r="227" spans="1:6" ht="15.8" customHeight="1">
      <c r="A227" s="2" t="s">
        <v>322</v>
      </c>
      <c r="B227" s="10" t="s">
        <v>164</v>
      </c>
      <c r="C227" s="34">
        <v>16000</v>
      </c>
      <c r="D227" s="24">
        <v>5</v>
      </c>
      <c r="E227" s="30"/>
      <c r="F227" s="5" t="str">
        <f t="shared" si="3"/>
        <v/>
      </c>
    </row>
    <row r="228" spans="1:6" ht="15.8" customHeight="1">
      <c r="A228" s="2" t="s">
        <v>323</v>
      </c>
      <c r="B228" s="10" t="s">
        <v>164</v>
      </c>
      <c r="C228" s="37">
        <v>12000</v>
      </c>
      <c r="D228" s="24">
        <v>5</v>
      </c>
      <c r="E228" s="30"/>
      <c r="F228" s="5" t="str">
        <f t="shared" si="3"/>
        <v/>
      </c>
    </row>
    <row r="229" spans="1:6" ht="15.8" customHeight="1">
      <c r="A229" s="1" t="s">
        <v>216</v>
      </c>
      <c r="B229" s="10" t="s">
        <v>164</v>
      </c>
      <c r="C229" s="36">
        <v>6000</v>
      </c>
      <c r="D229" s="18">
        <v>5</v>
      </c>
      <c r="E229" s="30"/>
      <c r="F229" s="5" t="str">
        <f t="shared" si="3"/>
        <v/>
      </c>
    </row>
    <row r="230" spans="1:6" ht="15.8" customHeight="1">
      <c r="A230" s="1" t="s">
        <v>324</v>
      </c>
      <c r="B230" s="10" t="s">
        <v>164</v>
      </c>
      <c r="C230" s="34">
        <v>6000</v>
      </c>
      <c r="D230" s="24">
        <v>5</v>
      </c>
      <c r="E230" s="30"/>
      <c r="F230" s="5" t="str">
        <f t="shared" si="3"/>
        <v/>
      </c>
    </row>
    <row r="231" spans="1:6" ht="15.8" customHeight="1">
      <c r="A231" s="1" t="s">
        <v>433</v>
      </c>
      <c r="B231" s="10" t="s">
        <v>164</v>
      </c>
      <c r="C231" s="34">
        <v>15000</v>
      </c>
      <c r="D231" s="24">
        <v>5</v>
      </c>
      <c r="E231" s="30"/>
      <c r="F231" s="5" t="str">
        <f t="shared" si="3"/>
        <v/>
      </c>
    </row>
    <row r="232" spans="1:6" ht="15.8" customHeight="1">
      <c r="A232" s="1" t="s">
        <v>436</v>
      </c>
      <c r="B232" s="10" t="s">
        <v>164</v>
      </c>
      <c r="C232" s="36">
        <v>18000</v>
      </c>
      <c r="D232" s="24">
        <v>5</v>
      </c>
      <c r="E232" s="30"/>
      <c r="F232" s="5" t="str">
        <f t="shared" si="3"/>
        <v/>
      </c>
    </row>
    <row r="233" spans="1:6" ht="15.8" customHeight="1">
      <c r="A233" s="1" t="s">
        <v>434</v>
      </c>
      <c r="B233" s="10" t="s">
        <v>164</v>
      </c>
      <c r="C233" s="33">
        <v>22000</v>
      </c>
      <c r="D233" s="24">
        <v>5</v>
      </c>
      <c r="E233" s="30"/>
      <c r="F233" s="5" t="str">
        <f t="shared" si="3"/>
        <v/>
      </c>
    </row>
    <row r="234" spans="1:6" ht="15.8" customHeight="1">
      <c r="A234" s="1" t="s">
        <v>432</v>
      </c>
      <c r="B234" s="10" t="s">
        <v>164</v>
      </c>
      <c r="C234" s="33">
        <v>14000</v>
      </c>
      <c r="D234" s="21">
        <v>5</v>
      </c>
      <c r="E234" s="30"/>
      <c r="F234" s="5" t="str">
        <f t="shared" si="3"/>
        <v/>
      </c>
    </row>
    <row r="235" spans="1:6" ht="15.8" customHeight="1">
      <c r="A235" s="2" t="s">
        <v>437</v>
      </c>
      <c r="B235" s="10" t="s">
        <v>164</v>
      </c>
      <c r="C235" s="34">
        <v>14000</v>
      </c>
      <c r="D235" s="24">
        <v>5</v>
      </c>
      <c r="E235" s="30"/>
      <c r="F235" s="5" t="str">
        <f t="shared" si="3"/>
        <v/>
      </c>
    </row>
    <row r="236" spans="1:6" ht="15.8" customHeight="1">
      <c r="A236" s="2" t="s">
        <v>443</v>
      </c>
      <c r="B236" s="10" t="s">
        <v>164</v>
      </c>
      <c r="C236" s="34">
        <v>13000</v>
      </c>
      <c r="D236" s="24">
        <v>5</v>
      </c>
      <c r="E236" s="30"/>
      <c r="F236" s="5" t="str">
        <f t="shared" si="3"/>
        <v/>
      </c>
    </row>
    <row r="237" spans="1:6" ht="15.8" customHeight="1">
      <c r="A237" s="2" t="s">
        <v>431</v>
      </c>
      <c r="B237" s="10" t="s">
        <v>164</v>
      </c>
      <c r="C237" s="34">
        <v>15000</v>
      </c>
      <c r="D237" s="24" t="s">
        <v>254</v>
      </c>
      <c r="E237" s="30"/>
      <c r="F237" s="5" t="str">
        <f t="shared" si="3"/>
        <v/>
      </c>
    </row>
    <row r="238" spans="1:6" ht="15.8" customHeight="1">
      <c r="A238" s="1" t="s">
        <v>176</v>
      </c>
      <c r="B238" s="1" t="s">
        <v>177</v>
      </c>
      <c r="C238" s="33">
        <v>15000</v>
      </c>
      <c r="D238" s="19">
        <v>5</v>
      </c>
      <c r="E238" s="30"/>
      <c r="F238" s="5" t="str">
        <f t="shared" si="3"/>
        <v/>
      </c>
    </row>
    <row r="239" spans="1:6" ht="15.8" customHeight="1">
      <c r="A239" s="1" t="s">
        <v>282</v>
      </c>
      <c r="B239" s="1" t="s">
        <v>88</v>
      </c>
      <c r="C239" s="34">
        <v>10000</v>
      </c>
      <c r="D239" s="18" t="s">
        <v>361</v>
      </c>
      <c r="E239" s="30"/>
      <c r="F239" s="5" t="str">
        <f t="shared" si="3"/>
        <v/>
      </c>
    </row>
    <row r="240" spans="1:6" ht="15.8" customHeight="1">
      <c r="A240" s="1" t="s">
        <v>319</v>
      </c>
      <c r="B240" s="1" t="s">
        <v>88</v>
      </c>
      <c r="C240" s="33">
        <v>8000</v>
      </c>
      <c r="D240" s="19">
        <v>11</v>
      </c>
      <c r="E240" s="30"/>
      <c r="F240" s="5" t="str">
        <f t="shared" si="3"/>
        <v/>
      </c>
    </row>
    <row r="241" spans="1:6" ht="15.8" customHeight="1">
      <c r="A241" s="1" t="s">
        <v>355</v>
      </c>
      <c r="B241" s="1" t="s">
        <v>88</v>
      </c>
      <c r="C241" s="33">
        <v>30000</v>
      </c>
      <c r="D241" s="19">
        <v>6</v>
      </c>
      <c r="E241" s="30"/>
      <c r="F241" s="5" t="str">
        <f t="shared" si="3"/>
        <v/>
      </c>
    </row>
    <row r="242" spans="1:6" ht="15.8" customHeight="1">
      <c r="A242" s="1" t="s">
        <v>320</v>
      </c>
      <c r="B242" s="1" t="s">
        <v>88</v>
      </c>
      <c r="C242" s="35">
        <v>8000</v>
      </c>
      <c r="D242" s="19">
        <v>11</v>
      </c>
      <c r="E242" s="30"/>
      <c r="F242" s="5" t="str">
        <f t="shared" si="3"/>
        <v/>
      </c>
    </row>
    <row r="243" spans="1:6" ht="15.8" customHeight="1">
      <c r="A243" s="4" t="s">
        <v>243</v>
      </c>
      <c r="B243" s="2" t="s">
        <v>88</v>
      </c>
      <c r="C243" s="34">
        <v>14000</v>
      </c>
      <c r="D243" s="22">
        <v>8</v>
      </c>
      <c r="E243" s="30"/>
      <c r="F243" s="5" t="str">
        <f t="shared" si="3"/>
        <v/>
      </c>
    </row>
    <row r="244" spans="1:6" ht="15.8" customHeight="1">
      <c r="A244" s="1" t="s">
        <v>223</v>
      </c>
      <c r="B244" s="1" t="s">
        <v>88</v>
      </c>
      <c r="C244" s="33">
        <v>18000</v>
      </c>
      <c r="D244" s="19">
        <v>10</v>
      </c>
      <c r="E244" s="30"/>
      <c r="F244" s="5" t="str">
        <f t="shared" si="3"/>
        <v/>
      </c>
    </row>
    <row r="245" spans="1:6" ht="15.8" customHeight="1">
      <c r="A245" s="2" t="s">
        <v>249</v>
      </c>
      <c r="B245" s="2" t="s">
        <v>88</v>
      </c>
      <c r="C245" s="33">
        <v>22000</v>
      </c>
      <c r="D245" s="18" t="s">
        <v>361</v>
      </c>
      <c r="E245" s="30"/>
      <c r="F245" s="5" t="str">
        <f t="shared" si="3"/>
        <v/>
      </c>
    </row>
    <row r="246" spans="1:6" ht="15.8" customHeight="1">
      <c r="A246" s="3" t="s">
        <v>224</v>
      </c>
      <c r="B246" s="1" t="s">
        <v>88</v>
      </c>
      <c r="C246" s="33">
        <v>6000</v>
      </c>
      <c r="D246" s="19">
        <v>8</v>
      </c>
      <c r="E246" s="30"/>
      <c r="F246" s="5" t="str">
        <f t="shared" si="3"/>
        <v/>
      </c>
    </row>
    <row r="247" spans="1:6" ht="15.8" customHeight="1">
      <c r="A247" s="3" t="s">
        <v>225</v>
      </c>
      <c r="B247" s="1" t="s">
        <v>88</v>
      </c>
      <c r="C247" s="33">
        <v>6000</v>
      </c>
      <c r="D247" s="19">
        <v>8</v>
      </c>
      <c r="E247" s="30"/>
      <c r="F247" s="5" t="str">
        <f t="shared" si="3"/>
        <v/>
      </c>
    </row>
    <row r="248" spans="1:6" ht="15.8" customHeight="1">
      <c r="A248" s="3" t="s">
        <v>304</v>
      </c>
      <c r="B248" s="1" t="s">
        <v>88</v>
      </c>
      <c r="C248" s="33">
        <v>9000</v>
      </c>
      <c r="D248" s="19">
        <v>8</v>
      </c>
      <c r="E248" s="30"/>
      <c r="F248" s="5" t="str">
        <f t="shared" si="3"/>
        <v/>
      </c>
    </row>
    <row r="249" spans="1:6" ht="15.8" customHeight="1">
      <c r="A249" s="13" t="s">
        <v>93</v>
      </c>
      <c r="B249" s="1" t="s">
        <v>88</v>
      </c>
      <c r="C249" s="33">
        <v>5500</v>
      </c>
      <c r="D249" s="19">
        <v>6</v>
      </c>
      <c r="E249" s="30"/>
      <c r="F249" s="5" t="str">
        <f t="shared" si="3"/>
        <v/>
      </c>
    </row>
    <row r="250" spans="1:6" ht="15.8" customHeight="1">
      <c r="A250" s="1" t="s">
        <v>248</v>
      </c>
      <c r="B250" s="1" t="s">
        <v>88</v>
      </c>
      <c r="C250" s="34">
        <v>16000</v>
      </c>
      <c r="D250" s="19">
        <v>11</v>
      </c>
      <c r="E250" s="30"/>
      <c r="F250" s="5" t="str">
        <f t="shared" si="3"/>
        <v/>
      </c>
    </row>
    <row r="251" spans="1:6" ht="15.8" customHeight="1">
      <c r="A251" s="1" t="s">
        <v>283</v>
      </c>
      <c r="B251" s="1" t="s">
        <v>88</v>
      </c>
      <c r="C251" s="34">
        <v>10000</v>
      </c>
      <c r="D251" s="18" t="s">
        <v>361</v>
      </c>
      <c r="E251" s="30"/>
      <c r="F251" s="5" t="str">
        <f t="shared" si="3"/>
        <v/>
      </c>
    </row>
    <row r="252" spans="1:6" ht="15.8" customHeight="1">
      <c r="A252" s="1" t="s">
        <v>87</v>
      </c>
      <c r="B252" s="1" t="s">
        <v>88</v>
      </c>
      <c r="C252" s="33">
        <v>2000</v>
      </c>
      <c r="D252" s="21">
        <v>1</v>
      </c>
      <c r="E252" s="30"/>
      <c r="F252" s="5" t="str">
        <f t="shared" si="3"/>
        <v/>
      </c>
    </row>
    <row r="253" spans="1:6" ht="15.8" customHeight="1">
      <c r="A253" s="1" t="s">
        <v>280</v>
      </c>
      <c r="B253" s="1" t="s">
        <v>88</v>
      </c>
      <c r="C253" s="34">
        <v>14000</v>
      </c>
      <c r="D253" s="18" t="s">
        <v>361</v>
      </c>
      <c r="E253" s="30"/>
      <c r="F253" s="5" t="str">
        <f t="shared" si="3"/>
        <v/>
      </c>
    </row>
    <row r="254" spans="1:6" ht="15.8" customHeight="1">
      <c r="A254" s="1" t="s">
        <v>222</v>
      </c>
      <c r="B254" s="1" t="s">
        <v>88</v>
      </c>
      <c r="C254" s="33">
        <v>5500</v>
      </c>
      <c r="D254" s="19">
        <v>8</v>
      </c>
      <c r="E254" s="30"/>
      <c r="F254" s="5" t="str">
        <f t="shared" si="3"/>
        <v/>
      </c>
    </row>
    <row r="255" spans="1:6" ht="15.8" customHeight="1">
      <c r="A255" s="1" t="s">
        <v>221</v>
      </c>
      <c r="B255" s="1" t="s">
        <v>88</v>
      </c>
      <c r="C255" s="33">
        <v>5500</v>
      </c>
      <c r="D255" s="19">
        <v>8</v>
      </c>
      <c r="E255" s="30"/>
      <c r="F255" s="5" t="str">
        <f t="shared" si="3"/>
        <v/>
      </c>
    </row>
    <row r="256" spans="1:6" s="7" customFormat="1" ht="15.8" customHeight="1">
      <c r="A256" s="14" t="s">
        <v>250</v>
      </c>
      <c r="B256" s="2" t="s">
        <v>88</v>
      </c>
      <c r="C256" s="35">
        <v>8000</v>
      </c>
      <c r="D256" s="25">
        <v>6</v>
      </c>
      <c r="E256" s="30"/>
      <c r="F256" s="5" t="str">
        <f t="shared" si="3"/>
        <v/>
      </c>
    </row>
    <row r="257" spans="1:6" s="7" customFormat="1" ht="15.8" customHeight="1">
      <c r="A257" s="2" t="s">
        <v>419</v>
      </c>
      <c r="B257" s="2" t="s">
        <v>88</v>
      </c>
      <c r="C257" s="34">
        <v>16000</v>
      </c>
      <c r="D257" s="22">
        <v>6</v>
      </c>
      <c r="E257" s="30"/>
      <c r="F257" s="5" t="str">
        <f t="shared" si="3"/>
        <v/>
      </c>
    </row>
    <row r="258" spans="1:6" ht="15.8" customHeight="1">
      <c r="A258" s="3" t="s">
        <v>189</v>
      </c>
      <c r="B258" s="3" t="s">
        <v>88</v>
      </c>
      <c r="C258" s="33">
        <v>10000</v>
      </c>
      <c r="D258" s="18" t="s">
        <v>361</v>
      </c>
      <c r="E258" s="30"/>
      <c r="F258" s="5" t="str">
        <f t="shared" si="3"/>
        <v/>
      </c>
    </row>
    <row r="259" spans="1:6" s="7" customFormat="1" ht="15.8" customHeight="1">
      <c r="A259" s="3" t="s">
        <v>190</v>
      </c>
      <c r="B259" s="3" t="s">
        <v>88</v>
      </c>
      <c r="C259" s="33">
        <v>8000</v>
      </c>
      <c r="D259" s="18" t="s">
        <v>361</v>
      </c>
      <c r="E259" s="30"/>
      <c r="F259" s="5" t="str">
        <f t="shared" ref="F259:F322" si="4">IF(E259="x",CONCATENATE(A259," ;"),"")</f>
        <v/>
      </c>
    </row>
    <row r="260" spans="1:6" ht="15.8" customHeight="1">
      <c r="A260" s="3" t="s">
        <v>226</v>
      </c>
      <c r="B260" s="1" t="s">
        <v>88</v>
      </c>
      <c r="C260" s="33">
        <v>2500</v>
      </c>
      <c r="D260" s="19">
        <v>4</v>
      </c>
      <c r="E260" s="30"/>
      <c r="F260" s="5" t="str">
        <f t="shared" si="4"/>
        <v/>
      </c>
    </row>
    <row r="261" spans="1:6" ht="15.8" customHeight="1">
      <c r="A261" s="3" t="s">
        <v>227</v>
      </c>
      <c r="B261" s="1" t="s">
        <v>88</v>
      </c>
      <c r="C261" s="33">
        <v>2500</v>
      </c>
      <c r="D261" s="19">
        <v>4</v>
      </c>
      <c r="E261" s="30"/>
      <c r="F261" s="5" t="str">
        <f t="shared" si="4"/>
        <v/>
      </c>
    </row>
    <row r="262" spans="1:6" ht="15.8" customHeight="1">
      <c r="A262" s="10" t="s">
        <v>228</v>
      </c>
      <c r="B262" s="2" t="s">
        <v>88</v>
      </c>
      <c r="C262" s="34">
        <v>35000</v>
      </c>
      <c r="D262" s="22">
        <v>8</v>
      </c>
      <c r="E262" s="30"/>
      <c r="F262" s="5" t="str">
        <f t="shared" si="4"/>
        <v/>
      </c>
    </row>
    <row r="263" spans="1:6" ht="15.8" customHeight="1">
      <c r="A263" s="3" t="s">
        <v>229</v>
      </c>
      <c r="B263" s="1" t="s">
        <v>88</v>
      </c>
      <c r="C263" s="33">
        <v>60000</v>
      </c>
      <c r="D263" s="19">
        <v>8</v>
      </c>
      <c r="E263" s="30"/>
      <c r="F263" s="5" t="str">
        <f t="shared" si="4"/>
        <v/>
      </c>
    </row>
    <row r="264" spans="1:6" ht="15.8" customHeight="1">
      <c r="A264" s="1" t="s">
        <v>95</v>
      </c>
      <c r="B264" s="1" t="s">
        <v>88</v>
      </c>
      <c r="C264" s="33">
        <v>8000</v>
      </c>
      <c r="D264" s="19">
        <v>11</v>
      </c>
      <c r="E264" s="30"/>
      <c r="F264" s="5" t="str">
        <f t="shared" si="4"/>
        <v/>
      </c>
    </row>
    <row r="265" spans="1:6" s="7" customFormat="1" ht="15.8" customHeight="1">
      <c r="A265" s="2" t="s">
        <v>382</v>
      </c>
      <c r="B265" s="2" t="s">
        <v>88</v>
      </c>
      <c r="C265" s="34">
        <v>11000</v>
      </c>
      <c r="D265" s="20" t="s">
        <v>361</v>
      </c>
      <c r="E265" s="30"/>
      <c r="F265" s="5" t="str">
        <f t="shared" si="4"/>
        <v/>
      </c>
    </row>
    <row r="266" spans="1:6" s="7" customFormat="1" ht="15.8" customHeight="1">
      <c r="A266" s="2" t="s">
        <v>383</v>
      </c>
      <c r="B266" s="2" t="s">
        <v>88</v>
      </c>
      <c r="C266" s="34">
        <v>11000</v>
      </c>
      <c r="D266" s="20" t="s">
        <v>361</v>
      </c>
      <c r="E266" s="30"/>
      <c r="F266" s="5" t="str">
        <f t="shared" si="4"/>
        <v/>
      </c>
    </row>
    <row r="267" spans="1:6" ht="15.8" customHeight="1">
      <c r="A267" s="3" t="s">
        <v>246</v>
      </c>
      <c r="B267" s="1" t="s">
        <v>88</v>
      </c>
      <c r="C267" s="33">
        <v>4200</v>
      </c>
      <c r="D267" s="19">
        <v>11</v>
      </c>
      <c r="E267" s="30"/>
      <c r="F267" s="5" t="str">
        <f t="shared" si="4"/>
        <v/>
      </c>
    </row>
    <row r="268" spans="1:6" ht="15.8" customHeight="1">
      <c r="A268" s="2" t="s">
        <v>96</v>
      </c>
      <c r="B268" s="2" t="s">
        <v>88</v>
      </c>
      <c r="C268" s="33">
        <v>14000</v>
      </c>
      <c r="D268" s="22">
        <v>11</v>
      </c>
      <c r="E268" s="30"/>
      <c r="F268" s="5" t="str">
        <f t="shared" si="4"/>
        <v/>
      </c>
    </row>
    <row r="269" spans="1:6" ht="15.8" customHeight="1">
      <c r="A269" s="13" t="s">
        <v>237</v>
      </c>
      <c r="B269" s="1" t="s">
        <v>88</v>
      </c>
      <c r="C269" s="33">
        <v>6000</v>
      </c>
      <c r="D269" s="19">
        <v>11</v>
      </c>
      <c r="E269" s="30"/>
      <c r="F269" s="5" t="str">
        <f t="shared" si="4"/>
        <v/>
      </c>
    </row>
    <row r="270" spans="1:6" ht="15.8" customHeight="1">
      <c r="A270" s="3" t="s">
        <v>182</v>
      </c>
      <c r="B270" s="3" t="s">
        <v>88</v>
      </c>
      <c r="C270" s="33">
        <v>8000</v>
      </c>
      <c r="D270" s="18" t="s">
        <v>361</v>
      </c>
      <c r="E270" s="30"/>
      <c r="F270" s="5" t="str">
        <f t="shared" si="4"/>
        <v/>
      </c>
    </row>
    <row r="271" spans="1:6" s="7" customFormat="1" ht="15.8" customHeight="1">
      <c r="A271" s="3" t="s">
        <v>305</v>
      </c>
      <c r="B271" s="3" t="s">
        <v>88</v>
      </c>
      <c r="C271" s="34">
        <v>14000</v>
      </c>
      <c r="D271" s="18" t="s">
        <v>361</v>
      </c>
      <c r="E271" s="30"/>
      <c r="F271" s="5" t="str">
        <f t="shared" si="4"/>
        <v/>
      </c>
    </row>
    <row r="272" spans="1:6" s="7" customFormat="1" ht="15.8" customHeight="1">
      <c r="A272" s="10" t="s">
        <v>332</v>
      </c>
      <c r="B272" s="2" t="s">
        <v>88</v>
      </c>
      <c r="C272" s="34">
        <v>20000</v>
      </c>
      <c r="D272" s="18" t="s">
        <v>361</v>
      </c>
      <c r="E272" s="30"/>
      <c r="F272" s="5" t="str">
        <f t="shared" si="4"/>
        <v/>
      </c>
    </row>
    <row r="273" spans="1:6" ht="15.8" customHeight="1">
      <c r="A273" s="10" t="s">
        <v>333</v>
      </c>
      <c r="B273" s="2" t="s">
        <v>88</v>
      </c>
      <c r="C273" s="34">
        <v>20000</v>
      </c>
      <c r="D273" s="18" t="s">
        <v>361</v>
      </c>
      <c r="E273" s="30"/>
      <c r="F273" s="5" t="str">
        <f t="shared" si="4"/>
        <v/>
      </c>
    </row>
    <row r="274" spans="1:6" ht="15.8" customHeight="1">
      <c r="A274" s="3" t="s">
        <v>231</v>
      </c>
      <c r="B274" s="1" t="s">
        <v>88</v>
      </c>
      <c r="C274" s="33">
        <v>6000</v>
      </c>
      <c r="D274" s="19">
        <v>8</v>
      </c>
      <c r="E274" s="30"/>
      <c r="F274" s="5" t="str">
        <f t="shared" si="4"/>
        <v/>
      </c>
    </row>
    <row r="275" spans="1:6" ht="15.8" customHeight="1">
      <c r="A275" s="3" t="s">
        <v>232</v>
      </c>
      <c r="B275" s="6" t="s">
        <v>88</v>
      </c>
      <c r="C275" s="33">
        <v>6000</v>
      </c>
      <c r="D275" s="19">
        <v>8</v>
      </c>
      <c r="E275" s="30"/>
      <c r="F275" s="5" t="str">
        <f t="shared" si="4"/>
        <v/>
      </c>
    </row>
    <row r="276" spans="1:6" ht="15.8" customHeight="1">
      <c r="A276" s="13" t="s">
        <v>98</v>
      </c>
      <c r="B276" s="6" t="s">
        <v>88</v>
      </c>
      <c r="C276" s="34">
        <v>10000</v>
      </c>
      <c r="D276" s="18" t="s">
        <v>361</v>
      </c>
      <c r="E276" s="30"/>
      <c r="F276" s="5" t="str">
        <f t="shared" si="4"/>
        <v/>
      </c>
    </row>
    <row r="277" spans="1:6" ht="15.8" customHeight="1">
      <c r="A277" s="3" t="s">
        <v>306</v>
      </c>
      <c r="B277" s="3" t="s">
        <v>88</v>
      </c>
      <c r="C277" s="33">
        <v>8000</v>
      </c>
      <c r="D277" s="18" t="s">
        <v>361</v>
      </c>
      <c r="E277" s="30"/>
      <c r="F277" s="5" t="str">
        <f t="shared" si="4"/>
        <v/>
      </c>
    </row>
    <row r="278" spans="1:6" s="7" customFormat="1" ht="15.8" customHeight="1">
      <c r="A278" s="13" t="s">
        <v>97</v>
      </c>
      <c r="B278" s="1" t="s">
        <v>88</v>
      </c>
      <c r="C278" s="33">
        <v>8000</v>
      </c>
      <c r="D278" s="18" t="s">
        <v>361</v>
      </c>
      <c r="E278" s="30"/>
      <c r="F278" s="5" t="str">
        <f t="shared" si="4"/>
        <v/>
      </c>
    </row>
    <row r="279" spans="1:6" ht="15.8" customHeight="1">
      <c r="A279" s="1" t="s">
        <v>342</v>
      </c>
      <c r="B279" s="1" t="s">
        <v>88</v>
      </c>
      <c r="C279" s="33">
        <v>10000</v>
      </c>
      <c r="D279" s="18" t="s">
        <v>361</v>
      </c>
      <c r="E279" s="30"/>
      <c r="F279" s="5" t="str">
        <f t="shared" si="4"/>
        <v/>
      </c>
    </row>
    <row r="280" spans="1:6" ht="15.8" customHeight="1">
      <c r="A280" s="1" t="s">
        <v>91</v>
      </c>
      <c r="B280" s="1" t="s">
        <v>88</v>
      </c>
      <c r="C280" s="33">
        <v>2200</v>
      </c>
      <c r="D280" s="18" t="s">
        <v>349</v>
      </c>
      <c r="E280" s="30"/>
      <c r="F280" s="5" t="str">
        <f t="shared" si="4"/>
        <v/>
      </c>
    </row>
    <row r="281" spans="1:6" ht="15.8" customHeight="1">
      <c r="A281" s="1" t="s">
        <v>90</v>
      </c>
      <c r="B281" s="1" t="s">
        <v>88</v>
      </c>
      <c r="C281" s="33">
        <v>2200</v>
      </c>
      <c r="D281" s="18" t="s">
        <v>349</v>
      </c>
      <c r="E281" s="30"/>
      <c r="F281" s="5" t="str">
        <f t="shared" si="4"/>
        <v/>
      </c>
    </row>
    <row r="282" spans="1:6" ht="15.8" customHeight="1">
      <c r="A282" s="3" t="s">
        <v>218</v>
      </c>
      <c r="B282" s="3" t="s">
        <v>88</v>
      </c>
      <c r="C282" s="33">
        <v>22000</v>
      </c>
      <c r="D282" s="18" t="s">
        <v>361</v>
      </c>
      <c r="E282" s="30"/>
      <c r="F282" s="5" t="str">
        <f t="shared" si="4"/>
        <v/>
      </c>
    </row>
    <row r="283" spans="1:6" ht="15.8" customHeight="1">
      <c r="A283" s="1" t="s">
        <v>92</v>
      </c>
      <c r="B283" s="1" t="s">
        <v>88</v>
      </c>
      <c r="C283" s="33">
        <v>2200</v>
      </c>
      <c r="D283" s="18" t="s">
        <v>349</v>
      </c>
      <c r="E283" s="30"/>
      <c r="F283" s="5" t="str">
        <f t="shared" si="4"/>
        <v/>
      </c>
    </row>
    <row r="284" spans="1:6" ht="15.8" customHeight="1">
      <c r="A284" s="1" t="s">
        <v>235</v>
      </c>
      <c r="B284" s="1" t="s">
        <v>88</v>
      </c>
      <c r="C284" s="34">
        <v>16000</v>
      </c>
      <c r="D284" s="19">
        <v>16</v>
      </c>
      <c r="E284" s="30"/>
      <c r="F284" s="5" t="str">
        <f t="shared" si="4"/>
        <v/>
      </c>
    </row>
    <row r="285" spans="1:6" ht="15.8" customHeight="1">
      <c r="A285" s="2" t="s">
        <v>252</v>
      </c>
      <c r="B285" s="2" t="s">
        <v>88</v>
      </c>
      <c r="C285" s="34">
        <v>10000</v>
      </c>
      <c r="D285" s="18" t="s">
        <v>361</v>
      </c>
      <c r="E285" s="30"/>
      <c r="F285" s="5" t="str">
        <f t="shared" si="4"/>
        <v/>
      </c>
    </row>
    <row r="286" spans="1:6" ht="15.8" customHeight="1">
      <c r="A286" s="3" t="s">
        <v>233</v>
      </c>
      <c r="B286" s="1" t="s">
        <v>88</v>
      </c>
      <c r="C286" s="33">
        <v>10000</v>
      </c>
      <c r="D286" s="19">
        <v>8</v>
      </c>
      <c r="E286" s="30"/>
      <c r="F286" s="5" t="str">
        <f t="shared" si="4"/>
        <v/>
      </c>
    </row>
    <row r="287" spans="1:6" ht="15.8" customHeight="1">
      <c r="A287" s="3" t="s">
        <v>183</v>
      </c>
      <c r="B287" s="3" t="s">
        <v>88</v>
      </c>
      <c r="C287" s="33">
        <v>9000</v>
      </c>
      <c r="D287" s="18" t="s">
        <v>361</v>
      </c>
      <c r="E287" s="30"/>
      <c r="F287" s="5" t="str">
        <f t="shared" si="4"/>
        <v/>
      </c>
    </row>
    <row r="288" spans="1:6" ht="15.8" customHeight="1">
      <c r="A288" s="3" t="s">
        <v>435</v>
      </c>
      <c r="B288" s="1" t="s">
        <v>88</v>
      </c>
      <c r="C288" s="33">
        <v>35000</v>
      </c>
      <c r="D288" s="19">
        <v>6</v>
      </c>
      <c r="E288" s="30"/>
      <c r="F288" s="5" t="str">
        <f t="shared" si="4"/>
        <v/>
      </c>
    </row>
    <row r="289" spans="1:6" ht="15.8" customHeight="1">
      <c r="A289" s="1" t="s">
        <v>281</v>
      </c>
      <c r="B289" s="1" t="s">
        <v>88</v>
      </c>
      <c r="C289" s="33">
        <v>24000</v>
      </c>
      <c r="D289" s="19">
        <v>18</v>
      </c>
      <c r="E289" s="30"/>
      <c r="F289" s="5" t="str">
        <f t="shared" si="4"/>
        <v/>
      </c>
    </row>
    <row r="290" spans="1:6" ht="15.8" customHeight="1">
      <c r="A290" s="13" t="s">
        <v>99</v>
      </c>
      <c r="B290" s="1" t="s">
        <v>88</v>
      </c>
      <c r="C290" s="33">
        <v>9000</v>
      </c>
      <c r="D290" s="18" t="s">
        <v>361</v>
      </c>
      <c r="E290" s="30"/>
      <c r="F290" s="5" t="str">
        <f t="shared" si="4"/>
        <v/>
      </c>
    </row>
    <row r="291" spans="1:6" ht="15.8" customHeight="1">
      <c r="A291" s="1" t="s">
        <v>284</v>
      </c>
      <c r="B291" s="1" t="s">
        <v>88</v>
      </c>
      <c r="C291" s="33">
        <v>9000</v>
      </c>
      <c r="D291" s="18" t="s">
        <v>361</v>
      </c>
      <c r="E291" s="30"/>
      <c r="F291" s="5" t="str">
        <f t="shared" si="4"/>
        <v/>
      </c>
    </row>
    <row r="292" spans="1:6" ht="15.8" customHeight="1">
      <c r="A292" s="3" t="s">
        <v>234</v>
      </c>
      <c r="B292" s="1" t="s">
        <v>88</v>
      </c>
      <c r="C292" s="33">
        <v>6000</v>
      </c>
      <c r="D292" s="19">
        <v>8</v>
      </c>
      <c r="E292" s="30"/>
      <c r="F292" s="5" t="str">
        <f t="shared" si="4"/>
        <v/>
      </c>
    </row>
    <row r="293" spans="1:6" ht="15.8" customHeight="1">
      <c r="A293" s="1" t="s">
        <v>89</v>
      </c>
      <c r="B293" s="1" t="s">
        <v>88</v>
      </c>
      <c r="C293" s="33">
        <v>2600</v>
      </c>
      <c r="D293" s="19">
        <v>1</v>
      </c>
      <c r="E293" s="30"/>
      <c r="F293" s="5" t="str">
        <f t="shared" si="4"/>
        <v/>
      </c>
    </row>
    <row r="294" spans="1:6" ht="15.8" customHeight="1">
      <c r="A294" s="3" t="s">
        <v>184</v>
      </c>
      <c r="B294" s="3" t="s">
        <v>88</v>
      </c>
      <c r="C294" s="34">
        <v>10000</v>
      </c>
      <c r="D294" s="18" t="s">
        <v>361</v>
      </c>
      <c r="E294" s="30"/>
      <c r="F294" s="5" t="str">
        <f t="shared" si="4"/>
        <v/>
      </c>
    </row>
    <row r="295" spans="1:6" ht="15.8" customHeight="1">
      <c r="A295" s="2" t="s">
        <v>100</v>
      </c>
      <c r="B295" s="2" t="s">
        <v>88</v>
      </c>
      <c r="C295" s="34">
        <v>4500</v>
      </c>
      <c r="D295" s="22">
        <v>6</v>
      </c>
      <c r="E295" s="30"/>
      <c r="F295" s="5" t="str">
        <f t="shared" si="4"/>
        <v/>
      </c>
    </row>
    <row r="296" spans="1:6" ht="15.8" customHeight="1">
      <c r="A296" s="1" t="s">
        <v>236</v>
      </c>
      <c r="B296" s="1" t="s">
        <v>88</v>
      </c>
      <c r="C296" s="33">
        <v>10000</v>
      </c>
      <c r="D296" s="19">
        <v>6</v>
      </c>
      <c r="E296" s="30"/>
      <c r="F296" s="5" t="str">
        <f t="shared" si="4"/>
        <v/>
      </c>
    </row>
    <row r="297" spans="1:6" ht="15.8" customHeight="1">
      <c r="A297" s="3" t="s">
        <v>230</v>
      </c>
      <c r="B297" s="1" t="s">
        <v>88</v>
      </c>
      <c r="C297" s="33">
        <v>45000</v>
      </c>
      <c r="D297" s="19">
        <v>6</v>
      </c>
      <c r="E297" s="30"/>
      <c r="F297" s="5" t="str">
        <f t="shared" si="4"/>
        <v/>
      </c>
    </row>
    <row r="298" spans="1:6" ht="15.8" customHeight="1">
      <c r="A298" s="3" t="s">
        <v>307</v>
      </c>
      <c r="B298" s="3" t="s">
        <v>88</v>
      </c>
      <c r="C298" s="33">
        <v>12000</v>
      </c>
      <c r="D298" s="18" t="s">
        <v>361</v>
      </c>
      <c r="E298" s="30"/>
      <c r="F298" s="5" t="str">
        <f t="shared" si="4"/>
        <v/>
      </c>
    </row>
    <row r="299" spans="1:6" ht="15.8" customHeight="1">
      <c r="A299" s="1" t="s">
        <v>101</v>
      </c>
      <c r="B299" s="1" t="s">
        <v>88</v>
      </c>
      <c r="C299" s="33">
        <v>12000</v>
      </c>
      <c r="D299" s="18" t="s">
        <v>361</v>
      </c>
      <c r="E299" s="30"/>
      <c r="F299" s="5" t="str">
        <f t="shared" si="4"/>
        <v/>
      </c>
    </row>
    <row r="300" spans="1:6" ht="15.8" customHeight="1">
      <c r="A300" s="1" t="s">
        <v>94</v>
      </c>
      <c r="B300" s="1" t="s">
        <v>88</v>
      </c>
      <c r="C300" s="33">
        <v>6000</v>
      </c>
      <c r="D300" s="19">
        <v>5</v>
      </c>
      <c r="E300" s="30"/>
      <c r="F300" s="5" t="str">
        <f t="shared" si="4"/>
        <v/>
      </c>
    </row>
    <row r="301" spans="1:6" s="7" customFormat="1" ht="15.8" customHeight="1">
      <c r="A301" s="2" t="s">
        <v>391</v>
      </c>
      <c r="B301" s="2" t="s">
        <v>88</v>
      </c>
      <c r="C301" s="34">
        <v>10000</v>
      </c>
      <c r="D301" s="22">
        <v>22</v>
      </c>
      <c r="E301" s="30"/>
      <c r="F301" s="5" t="str">
        <f t="shared" si="4"/>
        <v/>
      </c>
    </row>
    <row r="302" spans="1:6" s="7" customFormat="1" ht="15.8" customHeight="1">
      <c r="A302" s="2" t="s">
        <v>392</v>
      </c>
      <c r="B302" s="2" t="s">
        <v>88</v>
      </c>
      <c r="C302" s="34">
        <v>22000</v>
      </c>
      <c r="D302" s="22">
        <v>18</v>
      </c>
      <c r="E302" s="30"/>
      <c r="F302" s="5" t="str">
        <f t="shared" si="4"/>
        <v/>
      </c>
    </row>
    <row r="303" spans="1:6" ht="15.8" customHeight="1">
      <c r="A303" s="1" t="s">
        <v>420</v>
      </c>
      <c r="B303" s="1" t="s">
        <v>88</v>
      </c>
      <c r="C303" s="33">
        <v>15000</v>
      </c>
      <c r="D303" s="18" t="s">
        <v>361</v>
      </c>
      <c r="E303" s="30"/>
      <c r="F303" s="5" t="str">
        <f t="shared" si="4"/>
        <v/>
      </c>
    </row>
    <row r="304" spans="1:6" ht="15.8" customHeight="1">
      <c r="A304" s="1" t="s">
        <v>421</v>
      </c>
      <c r="B304" s="1" t="s">
        <v>88</v>
      </c>
      <c r="C304" s="33">
        <v>10000</v>
      </c>
      <c r="D304" s="18" t="s">
        <v>361</v>
      </c>
      <c r="E304" s="30"/>
      <c r="F304" s="5" t="str">
        <f t="shared" si="4"/>
        <v/>
      </c>
    </row>
    <row r="305" spans="1:6" s="7" customFormat="1" ht="15.8" customHeight="1">
      <c r="A305" s="2" t="s">
        <v>393</v>
      </c>
      <c r="B305" s="2" t="s">
        <v>88</v>
      </c>
      <c r="C305" s="34">
        <v>12000</v>
      </c>
      <c r="D305" s="20" t="s">
        <v>361</v>
      </c>
      <c r="E305" s="30"/>
      <c r="F305" s="5" t="str">
        <f t="shared" si="4"/>
        <v/>
      </c>
    </row>
    <row r="306" spans="1:6" s="7" customFormat="1" ht="15.8" customHeight="1">
      <c r="A306" s="2" t="s">
        <v>394</v>
      </c>
      <c r="B306" s="2" t="s">
        <v>88</v>
      </c>
      <c r="C306" s="34">
        <v>12000</v>
      </c>
      <c r="D306" s="20" t="s">
        <v>361</v>
      </c>
      <c r="E306" s="30"/>
      <c r="F306" s="5" t="str">
        <f t="shared" si="4"/>
        <v/>
      </c>
    </row>
    <row r="307" spans="1:6" ht="15.8" customHeight="1">
      <c r="A307" s="3" t="s">
        <v>179</v>
      </c>
      <c r="B307" s="3" t="s">
        <v>180</v>
      </c>
      <c r="C307" s="33">
        <v>16000</v>
      </c>
      <c r="D307" s="18" t="s">
        <v>361</v>
      </c>
      <c r="E307" s="30"/>
      <c r="F307" s="5" t="str">
        <f t="shared" si="4"/>
        <v/>
      </c>
    </row>
    <row r="308" spans="1:6" ht="15.8" customHeight="1">
      <c r="A308" s="3" t="s">
        <v>317</v>
      </c>
      <c r="B308" s="3" t="s">
        <v>180</v>
      </c>
      <c r="C308" s="33">
        <v>11000</v>
      </c>
      <c r="D308" s="18" t="s">
        <v>361</v>
      </c>
      <c r="E308" s="30"/>
      <c r="F308" s="5" t="str">
        <f t="shared" si="4"/>
        <v/>
      </c>
    </row>
    <row r="309" spans="1:6" ht="15.8" customHeight="1">
      <c r="A309" s="3" t="s">
        <v>308</v>
      </c>
      <c r="B309" s="3" t="s">
        <v>180</v>
      </c>
      <c r="C309" s="33">
        <v>14000</v>
      </c>
      <c r="D309" s="18" t="s">
        <v>361</v>
      </c>
      <c r="E309" s="30"/>
      <c r="F309" s="5" t="str">
        <f t="shared" si="4"/>
        <v/>
      </c>
    </row>
    <row r="310" spans="1:6" ht="15.8" customHeight="1">
      <c r="A310" s="1" t="s">
        <v>40</v>
      </c>
      <c r="B310" s="3" t="s">
        <v>180</v>
      </c>
      <c r="C310" s="33">
        <v>4200</v>
      </c>
      <c r="D310" s="18" t="s">
        <v>254</v>
      </c>
      <c r="E310" s="30"/>
      <c r="F310" s="5" t="str">
        <f t="shared" si="4"/>
        <v/>
      </c>
    </row>
    <row r="311" spans="1:6" s="7" customFormat="1" ht="15.8" customHeight="1">
      <c r="A311" s="2" t="s">
        <v>357</v>
      </c>
      <c r="B311" s="10" t="s">
        <v>180</v>
      </c>
      <c r="C311" s="34">
        <v>14000</v>
      </c>
      <c r="D311" s="18" t="s">
        <v>361</v>
      </c>
      <c r="E311" s="30"/>
      <c r="F311" s="5" t="str">
        <f t="shared" si="4"/>
        <v/>
      </c>
    </row>
    <row r="312" spans="1:6" ht="15.8" customHeight="1">
      <c r="A312" s="3" t="s">
        <v>309</v>
      </c>
      <c r="B312" s="3" t="s">
        <v>180</v>
      </c>
      <c r="C312" s="33">
        <v>14000</v>
      </c>
      <c r="D312" s="18" t="s">
        <v>361</v>
      </c>
      <c r="E312" s="30"/>
      <c r="F312" s="5" t="str">
        <f t="shared" si="4"/>
        <v/>
      </c>
    </row>
    <row r="313" spans="1:6" ht="15.8" customHeight="1">
      <c r="A313" s="3" t="s">
        <v>310</v>
      </c>
      <c r="B313" s="3" t="s">
        <v>180</v>
      </c>
      <c r="C313" s="33">
        <v>20000</v>
      </c>
      <c r="D313" s="18" t="s">
        <v>361</v>
      </c>
      <c r="E313" s="30"/>
      <c r="F313" s="5" t="str">
        <f t="shared" si="4"/>
        <v/>
      </c>
    </row>
    <row r="314" spans="1:6" ht="15.8" customHeight="1">
      <c r="A314" s="3" t="s">
        <v>311</v>
      </c>
      <c r="B314" s="3" t="s">
        <v>180</v>
      </c>
      <c r="C314" s="33">
        <v>22000</v>
      </c>
      <c r="D314" s="18" t="s">
        <v>361</v>
      </c>
      <c r="E314" s="30"/>
      <c r="F314" s="5" t="str">
        <f t="shared" si="4"/>
        <v/>
      </c>
    </row>
    <row r="315" spans="1:6" ht="15.8" customHeight="1">
      <c r="A315" s="10" t="s">
        <v>312</v>
      </c>
      <c r="B315" s="10" t="s">
        <v>180</v>
      </c>
      <c r="C315" s="33">
        <v>14000</v>
      </c>
      <c r="D315" s="18" t="s">
        <v>361</v>
      </c>
      <c r="E315" s="30"/>
      <c r="F315" s="5" t="str">
        <f t="shared" si="4"/>
        <v/>
      </c>
    </row>
    <row r="316" spans="1:6" ht="15.8" customHeight="1">
      <c r="A316" s="2" t="s">
        <v>242</v>
      </c>
      <c r="B316" s="2" t="s">
        <v>180</v>
      </c>
      <c r="C316" s="34">
        <v>5500</v>
      </c>
      <c r="D316" s="18" t="s">
        <v>361</v>
      </c>
      <c r="E316" s="30"/>
      <c r="F316" s="5" t="str">
        <f t="shared" si="4"/>
        <v/>
      </c>
    </row>
    <row r="317" spans="1:6" s="7" customFormat="1" ht="15.8" customHeight="1">
      <c r="A317" s="2" t="s">
        <v>43</v>
      </c>
      <c r="B317" s="2" t="s">
        <v>180</v>
      </c>
      <c r="C317" s="34">
        <v>5000</v>
      </c>
      <c r="D317" s="18" t="s">
        <v>361</v>
      </c>
      <c r="E317" s="30"/>
      <c r="F317" s="5" t="str">
        <f t="shared" si="4"/>
        <v/>
      </c>
    </row>
    <row r="318" spans="1:6" ht="15.8" customHeight="1">
      <c r="A318" s="3" t="s">
        <v>313</v>
      </c>
      <c r="B318" s="3" t="s">
        <v>180</v>
      </c>
      <c r="C318" s="33">
        <v>22000</v>
      </c>
      <c r="D318" s="18" t="s">
        <v>361</v>
      </c>
      <c r="E318" s="30"/>
      <c r="F318" s="5" t="str">
        <f t="shared" si="4"/>
        <v/>
      </c>
    </row>
    <row r="319" spans="1:6" ht="15.8" customHeight="1">
      <c r="A319" s="1" t="s">
        <v>51</v>
      </c>
      <c r="B319" s="1" t="s">
        <v>180</v>
      </c>
      <c r="C319" s="33">
        <v>5500</v>
      </c>
      <c r="D319" s="18" t="s">
        <v>254</v>
      </c>
      <c r="E319" s="30"/>
      <c r="F319" s="5" t="str">
        <f t="shared" si="4"/>
        <v/>
      </c>
    </row>
    <row r="320" spans="1:6" ht="15.8" customHeight="1">
      <c r="A320" s="3" t="s">
        <v>314</v>
      </c>
      <c r="B320" s="3" t="s">
        <v>180</v>
      </c>
      <c r="C320" s="33">
        <v>11000</v>
      </c>
      <c r="D320" s="18" t="s">
        <v>361</v>
      </c>
      <c r="E320" s="30"/>
      <c r="F320" s="5" t="str">
        <f t="shared" si="4"/>
        <v/>
      </c>
    </row>
    <row r="321" spans="1:6" ht="15.8" customHeight="1">
      <c r="A321" s="1" t="s">
        <v>41</v>
      </c>
      <c r="B321" s="1" t="s">
        <v>180</v>
      </c>
      <c r="C321" s="33">
        <v>4200</v>
      </c>
      <c r="D321" s="18" t="s">
        <v>254</v>
      </c>
      <c r="E321" s="30"/>
      <c r="F321" s="5" t="str">
        <f t="shared" si="4"/>
        <v/>
      </c>
    </row>
    <row r="322" spans="1:6" ht="15.8" customHeight="1">
      <c r="A322" s="3" t="s">
        <v>315</v>
      </c>
      <c r="B322" s="3" t="s">
        <v>180</v>
      </c>
      <c r="C322" s="33">
        <v>12000</v>
      </c>
      <c r="D322" s="18" t="s">
        <v>361</v>
      </c>
      <c r="E322" s="30"/>
      <c r="F322" s="5" t="str">
        <f t="shared" si="4"/>
        <v/>
      </c>
    </row>
    <row r="323" spans="1:6" ht="15.8" customHeight="1">
      <c r="A323" s="3" t="s">
        <v>195</v>
      </c>
      <c r="B323" s="3" t="s">
        <v>180</v>
      </c>
      <c r="C323" s="33">
        <v>20000</v>
      </c>
      <c r="D323" s="18" t="s">
        <v>361</v>
      </c>
      <c r="E323" s="30"/>
      <c r="F323" s="5" t="str">
        <f t="shared" ref="F323:F386" si="5">IF(E323="x",CONCATENATE(A323," ;"),"")</f>
        <v/>
      </c>
    </row>
    <row r="324" spans="1:6" ht="15.8" customHeight="1">
      <c r="A324" s="3" t="s">
        <v>316</v>
      </c>
      <c r="B324" s="3" t="s">
        <v>180</v>
      </c>
      <c r="C324" s="33">
        <v>14000</v>
      </c>
      <c r="D324" s="18" t="s">
        <v>361</v>
      </c>
      <c r="E324" s="30"/>
      <c r="F324" s="5" t="str">
        <f t="shared" si="5"/>
        <v/>
      </c>
    </row>
    <row r="325" spans="1:6" ht="15.8" customHeight="1">
      <c r="A325" s="3" t="s">
        <v>244</v>
      </c>
      <c r="B325" s="3" t="s">
        <v>180</v>
      </c>
      <c r="C325" s="33">
        <v>14000</v>
      </c>
      <c r="D325" s="18" t="s">
        <v>361</v>
      </c>
      <c r="E325" s="30"/>
      <c r="F325" s="5" t="str">
        <f t="shared" si="5"/>
        <v/>
      </c>
    </row>
    <row r="326" spans="1:6" ht="15.8" customHeight="1">
      <c r="A326" s="10" t="s">
        <v>188</v>
      </c>
      <c r="B326" s="10" t="s">
        <v>180</v>
      </c>
      <c r="C326" s="34">
        <v>10000</v>
      </c>
      <c r="D326" s="18" t="s">
        <v>361</v>
      </c>
      <c r="E326" s="30"/>
      <c r="F326" s="5" t="str">
        <f t="shared" si="5"/>
        <v/>
      </c>
    </row>
    <row r="327" spans="1:6" ht="15.8" customHeight="1">
      <c r="A327" s="2" t="s">
        <v>44</v>
      </c>
      <c r="B327" s="2" t="s">
        <v>180</v>
      </c>
      <c r="C327" s="34">
        <v>5000</v>
      </c>
      <c r="D327" s="18" t="s">
        <v>361</v>
      </c>
      <c r="E327" s="30"/>
      <c r="F327" s="5" t="str">
        <f t="shared" si="5"/>
        <v/>
      </c>
    </row>
    <row r="328" spans="1:6" ht="15.8" customHeight="1">
      <c r="A328" s="3" t="s">
        <v>203</v>
      </c>
      <c r="B328" s="3" t="s">
        <v>180</v>
      </c>
      <c r="C328" s="34">
        <v>10000</v>
      </c>
      <c r="D328" s="18" t="s">
        <v>361</v>
      </c>
      <c r="E328" s="30"/>
      <c r="F328" s="5" t="str">
        <f t="shared" si="5"/>
        <v/>
      </c>
    </row>
    <row r="329" spans="1:6" ht="15.8" customHeight="1">
      <c r="A329" s="3" t="s">
        <v>395</v>
      </c>
      <c r="B329" s="3" t="s">
        <v>180</v>
      </c>
      <c r="C329" s="34">
        <v>60000</v>
      </c>
      <c r="D329" s="21">
        <v>18</v>
      </c>
      <c r="E329" s="30"/>
      <c r="F329" s="5" t="str">
        <f t="shared" si="5"/>
        <v/>
      </c>
    </row>
    <row r="330" spans="1:6" ht="15.8" customHeight="1">
      <c r="A330" s="15" t="s">
        <v>396</v>
      </c>
      <c r="B330" s="3" t="s">
        <v>180</v>
      </c>
      <c r="C330" s="34">
        <v>70000</v>
      </c>
      <c r="D330" s="18" t="s">
        <v>405</v>
      </c>
      <c r="E330" s="30"/>
      <c r="F330" s="5" t="str">
        <f t="shared" si="5"/>
        <v/>
      </c>
    </row>
    <row r="331" spans="1:6" ht="15.8" customHeight="1">
      <c r="A331" s="3" t="s">
        <v>397</v>
      </c>
      <c r="B331" s="3" t="s">
        <v>180</v>
      </c>
      <c r="C331" s="34">
        <v>15000</v>
      </c>
      <c r="D331" s="18" t="s">
        <v>405</v>
      </c>
      <c r="E331" s="30"/>
      <c r="F331" s="5" t="str">
        <f t="shared" si="5"/>
        <v/>
      </c>
    </row>
    <row r="332" spans="1:6" ht="15.8" customHeight="1">
      <c r="A332" s="3" t="s">
        <v>193</v>
      </c>
      <c r="B332" s="3" t="s">
        <v>169</v>
      </c>
      <c r="C332" s="33">
        <v>11000</v>
      </c>
      <c r="D332" s="18" t="s">
        <v>361</v>
      </c>
      <c r="E332" s="30"/>
      <c r="F332" s="5" t="str">
        <f t="shared" si="5"/>
        <v/>
      </c>
    </row>
    <row r="333" spans="1:6" ht="15.8" customHeight="1">
      <c r="A333" s="1" t="s">
        <v>170</v>
      </c>
      <c r="B333" s="1" t="s">
        <v>169</v>
      </c>
      <c r="C333" s="33">
        <v>10000</v>
      </c>
      <c r="D333" s="19">
        <v>5</v>
      </c>
      <c r="E333" s="30"/>
      <c r="F333" s="5" t="str">
        <f t="shared" si="5"/>
        <v/>
      </c>
    </row>
    <row r="334" spans="1:6" ht="15.8" customHeight="1">
      <c r="A334" s="3" t="s">
        <v>303</v>
      </c>
      <c r="B334" s="3" t="s">
        <v>169</v>
      </c>
      <c r="C334" s="33">
        <v>17000</v>
      </c>
      <c r="D334" s="18" t="s">
        <v>361</v>
      </c>
      <c r="E334" s="30"/>
      <c r="F334" s="5" t="str">
        <f t="shared" si="5"/>
        <v/>
      </c>
    </row>
    <row r="335" spans="1:6" ht="15.8" customHeight="1">
      <c r="A335" s="3" t="s">
        <v>201</v>
      </c>
      <c r="B335" s="3" t="s">
        <v>169</v>
      </c>
      <c r="C335" s="33">
        <v>17000</v>
      </c>
      <c r="D335" s="18" t="s">
        <v>361</v>
      </c>
      <c r="E335" s="30"/>
      <c r="F335" s="5" t="str">
        <f t="shared" si="5"/>
        <v/>
      </c>
    </row>
    <row r="336" spans="1:6" s="7" customFormat="1" ht="15.8" customHeight="1">
      <c r="A336" s="1" t="s">
        <v>441</v>
      </c>
      <c r="B336" s="1" t="s">
        <v>169</v>
      </c>
      <c r="C336" s="33">
        <v>3000</v>
      </c>
      <c r="D336" s="18" t="s">
        <v>254</v>
      </c>
      <c r="E336" s="30"/>
      <c r="F336" s="5" t="str">
        <f t="shared" si="5"/>
        <v/>
      </c>
    </row>
    <row r="337" spans="1:6" s="7" customFormat="1" ht="15.8" customHeight="1">
      <c r="A337" s="3" t="s">
        <v>205</v>
      </c>
      <c r="B337" s="3" t="s">
        <v>169</v>
      </c>
      <c r="C337" s="33">
        <v>19000</v>
      </c>
      <c r="D337" s="18" t="s">
        <v>361</v>
      </c>
      <c r="E337" s="30"/>
      <c r="F337" s="5" t="str">
        <f t="shared" si="5"/>
        <v/>
      </c>
    </row>
    <row r="338" spans="1:6" ht="15.8" customHeight="1">
      <c r="A338" s="1" t="s">
        <v>144</v>
      </c>
      <c r="B338" s="1" t="s">
        <v>327</v>
      </c>
      <c r="C338" s="33">
        <v>4500</v>
      </c>
      <c r="D338" s="21">
        <v>6</v>
      </c>
      <c r="E338" s="30"/>
      <c r="F338" s="5" t="str">
        <f t="shared" si="5"/>
        <v/>
      </c>
    </row>
    <row r="339" spans="1:6" ht="15.8" customHeight="1">
      <c r="A339" s="1" t="s">
        <v>271</v>
      </c>
      <c r="B339" s="1" t="s">
        <v>327</v>
      </c>
      <c r="C339" s="33">
        <v>9000</v>
      </c>
      <c r="D339" s="21">
        <v>5</v>
      </c>
      <c r="E339" s="30"/>
      <c r="F339" s="5" t="str">
        <f t="shared" si="5"/>
        <v/>
      </c>
    </row>
    <row r="340" spans="1:6" ht="15.8" customHeight="1">
      <c r="A340" s="1" t="s">
        <v>272</v>
      </c>
      <c r="B340" s="1" t="s">
        <v>327</v>
      </c>
      <c r="C340" s="33">
        <v>9000</v>
      </c>
      <c r="D340" s="21">
        <v>5</v>
      </c>
      <c r="E340" s="30"/>
      <c r="F340" s="5" t="str">
        <f t="shared" si="5"/>
        <v/>
      </c>
    </row>
    <row r="341" spans="1:6" ht="15.8" customHeight="1">
      <c r="A341" s="1" t="s">
        <v>274</v>
      </c>
      <c r="B341" s="1" t="s">
        <v>327</v>
      </c>
      <c r="C341" s="33">
        <v>9000</v>
      </c>
      <c r="D341" s="21">
        <v>5</v>
      </c>
      <c r="E341" s="30"/>
      <c r="F341" s="5" t="str">
        <f t="shared" si="5"/>
        <v/>
      </c>
    </row>
    <row r="342" spans="1:6" ht="15.8" customHeight="1">
      <c r="A342" s="1" t="s">
        <v>344</v>
      </c>
      <c r="B342" s="1" t="s">
        <v>327</v>
      </c>
      <c r="C342" s="33">
        <v>17000</v>
      </c>
      <c r="D342" s="21">
        <v>5</v>
      </c>
      <c r="E342" s="30"/>
      <c r="F342" s="5" t="str">
        <f t="shared" si="5"/>
        <v/>
      </c>
    </row>
    <row r="343" spans="1:6" ht="15.8" customHeight="1">
      <c r="A343" s="1" t="s">
        <v>345</v>
      </c>
      <c r="B343" s="1" t="s">
        <v>327</v>
      </c>
      <c r="C343" s="33">
        <v>19000</v>
      </c>
      <c r="D343" s="21">
        <v>5</v>
      </c>
      <c r="E343" s="30"/>
      <c r="F343" s="5" t="str">
        <f t="shared" si="5"/>
        <v/>
      </c>
    </row>
    <row r="344" spans="1:6" ht="15.8" customHeight="1">
      <c r="A344" s="1" t="s">
        <v>273</v>
      </c>
      <c r="B344" s="1" t="s">
        <v>327</v>
      </c>
      <c r="C344" s="33">
        <v>9000</v>
      </c>
      <c r="D344" s="21">
        <v>5</v>
      </c>
      <c r="E344" s="30"/>
      <c r="F344" s="5" t="str">
        <f t="shared" si="5"/>
        <v/>
      </c>
    </row>
    <row r="345" spans="1:6" ht="15.8" customHeight="1">
      <c r="A345" s="1" t="s">
        <v>368</v>
      </c>
      <c r="B345" s="1" t="s">
        <v>327</v>
      </c>
      <c r="C345" s="33">
        <v>22000</v>
      </c>
      <c r="D345" s="21">
        <v>5</v>
      </c>
      <c r="E345" s="30"/>
      <c r="F345" s="5" t="str">
        <f t="shared" si="5"/>
        <v/>
      </c>
    </row>
    <row r="346" spans="1:6" ht="15.8" customHeight="1">
      <c r="A346" s="1" t="s">
        <v>352</v>
      </c>
      <c r="B346" s="1" t="s">
        <v>327</v>
      </c>
      <c r="C346" s="33">
        <v>32000</v>
      </c>
      <c r="D346" s="21">
        <v>5</v>
      </c>
      <c r="E346" s="30"/>
      <c r="F346" s="5" t="str">
        <f t="shared" si="5"/>
        <v/>
      </c>
    </row>
    <row r="347" spans="1:6" ht="15.8" customHeight="1">
      <c r="A347" s="1" t="s">
        <v>359</v>
      </c>
      <c r="B347" s="1" t="s">
        <v>327</v>
      </c>
      <c r="C347" s="33">
        <v>25000</v>
      </c>
      <c r="D347" s="21">
        <v>5</v>
      </c>
      <c r="E347" s="30"/>
      <c r="F347" s="5" t="str">
        <f t="shared" si="5"/>
        <v/>
      </c>
    </row>
    <row r="348" spans="1:6" ht="15.8" customHeight="1">
      <c r="A348" s="1" t="s">
        <v>425</v>
      </c>
      <c r="B348" s="1" t="s">
        <v>327</v>
      </c>
      <c r="C348" s="33">
        <v>2250</v>
      </c>
      <c r="D348" s="21">
        <v>5</v>
      </c>
      <c r="E348" s="30"/>
      <c r="F348" s="5" t="str">
        <f t="shared" si="5"/>
        <v/>
      </c>
    </row>
    <row r="349" spans="1:6" ht="15.8" customHeight="1">
      <c r="A349" s="3" t="s">
        <v>253</v>
      </c>
      <c r="B349" s="1" t="s">
        <v>327</v>
      </c>
      <c r="C349" s="33">
        <v>89900</v>
      </c>
      <c r="D349" s="21">
        <v>11</v>
      </c>
      <c r="E349" s="30"/>
      <c r="F349" s="5" t="str">
        <f t="shared" si="5"/>
        <v/>
      </c>
    </row>
    <row r="350" spans="1:6" s="7" customFormat="1" ht="15.8" customHeight="1">
      <c r="A350" s="3" t="s">
        <v>338</v>
      </c>
      <c r="B350" s="1" t="s">
        <v>327</v>
      </c>
      <c r="C350" s="33">
        <v>12000</v>
      </c>
      <c r="D350" s="18" t="s">
        <v>361</v>
      </c>
      <c r="E350" s="30"/>
      <c r="F350" s="5" t="str">
        <f t="shared" si="5"/>
        <v/>
      </c>
    </row>
    <row r="351" spans="1:6" ht="15.8" customHeight="1">
      <c r="A351" s="1" t="s">
        <v>263</v>
      </c>
      <c r="B351" s="1" t="s">
        <v>327</v>
      </c>
      <c r="C351" s="33">
        <v>18000</v>
      </c>
      <c r="D351" s="18" t="s">
        <v>361</v>
      </c>
      <c r="E351" s="30"/>
      <c r="F351" s="5" t="str">
        <f t="shared" si="5"/>
        <v/>
      </c>
    </row>
    <row r="352" spans="1:6" ht="15.8" customHeight="1">
      <c r="A352" s="3" t="s">
        <v>256</v>
      </c>
      <c r="B352" s="1" t="s">
        <v>327</v>
      </c>
      <c r="C352" s="33">
        <v>12000</v>
      </c>
      <c r="D352" s="18" t="s">
        <v>361</v>
      </c>
      <c r="E352" s="30"/>
      <c r="F352" s="5" t="str">
        <f t="shared" si="5"/>
        <v/>
      </c>
    </row>
    <row r="353" spans="1:6" ht="15.8" customHeight="1">
      <c r="A353" s="3" t="s">
        <v>257</v>
      </c>
      <c r="B353" s="1" t="s">
        <v>327</v>
      </c>
      <c r="C353" s="34">
        <v>40000</v>
      </c>
      <c r="D353" s="18" t="s">
        <v>361</v>
      </c>
      <c r="E353" s="30"/>
      <c r="F353" s="5" t="str">
        <f t="shared" si="5"/>
        <v/>
      </c>
    </row>
    <row r="354" spans="1:6" ht="15.8" customHeight="1">
      <c r="A354" s="3" t="s">
        <v>258</v>
      </c>
      <c r="B354" s="1" t="s">
        <v>327</v>
      </c>
      <c r="C354" s="33">
        <v>22000</v>
      </c>
      <c r="D354" s="18" t="s">
        <v>361</v>
      </c>
      <c r="E354" s="30"/>
      <c r="F354" s="5" t="str">
        <f t="shared" si="5"/>
        <v/>
      </c>
    </row>
    <row r="355" spans="1:6" ht="15.8" customHeight="1">
      <c r="A355" s="3" t="s">
        <v>337</v>
      </c>
      <c r="B355" s="1" t="s">
        <v>327</v>
      </c>
      <c r="C355" s="33">
        <v>18000</v>
      </c>
      <c r="D355" s="18" t="s">
        <v>361</v>
      </c>
      <c r="E355" s="30"/>
      <c r="F355" s="5" t="str">
        <f t="shared" si="5"/>
        <v/>
      </c>
    </row>
    <row r="356" spans="1:6" ht="15.8" customHeight="1">
      <c r="A356" s="3" t="s">
        <v>259</v>
      </c>
      <c r="B356" s="1" t="s">
        <v>327</v>
      </c>
      <c r="C356" s="33">
        <v>18000</v>
      </c>
      <c r="D356" s="18" t="s">
        <v>361</v>
      </c>
      <c r="E356" s="30"/>
      <c r="F356" s="5" t="str">
        <f t="shared" si="5"/>
        <v/>
      </c>
    </row>
    <row r="357" spans="1:6" ht="15.8" customHeight="1">
      <c r="A357" s="3" t="s">
        <v>264</v>
      </c>
      <c r="B357" s="1" t="s">
        <v>327</v>
      </c>
      <c r="C357" s="33">
        <v>18000</v>
      </c>
      <c r="D357" s="18" t="s">
        <v>361</v>
      </c>
      <c r="E357" s="30"/>
      <c r="F357" s="5" t="str">
        <f t="shared" si="5"/>
        <v/>
      </c>
    </row>
    <row r="358" spans="1:6" ht="15.8" customHeight="1">
      <c r="A358" s="3" t="s">
        <v>265</v>
      </c>
      <c r="B358" s="1" t="s">
        <v>327</v>
      </c>
      <c r="C358" s="33">
        <v>18000</v>
      </c>
      <c r="D358" s="18" t="s">
        <v>361</v>
      </c>
      <c r="E358" s="30"/>
      <c r="F358" s="5" t="str">
        <f t="shared" si="5"/>
        <v/>
      </c>
    </row>
    <row r="359" spans="1:6" ht="15.8" customHeight="1">
      <c r="A359" s="3" t="s">
        <v>261</v>
      </c>
      <c r="B359" s="1" t="s">
        <v>327</v>
      </c>
      <c r="C359" s="33">
        <v>22000</v>
      </c>
      <c r="D359" s="18" t="s">
        <v>361</v>
      </c>
      <c r="E359" s="30"/>
      <c r="F359" s="5" t="str">
        <f t="shared" si="5"/>
        <v/>
      </c>
    </row>
    <row r="360" spans="1:6" ht="15.8" customHeight="1">
      <c r="A360" s="3" t="s">
        <v>262</v>
      </c>
      <c r="B360" s="1" t="s">
        <v>327</v>
      </c>
      <c r="C360" s="33">
        <v>6000</v>
      </c>
      <c r="D360" s="18" t="s">
        <v>361</v>
      </c>
      <c r="E360" s="30"/>
      <c r="F360" s="5" t="str">
        <f t="shared" si="5"/>
        <v/>
      </c>
    </row>
    <row r="361" spans="1:6" ht="15.8" customHeight="1">
      <c r="A361" s="3" t="s">
        <v>260</v>
      </c>
      <c r="B361" s="1" t="s">
        <v>327</v>
      </c>
      <c r="C361" s="33">
        <v>6000</v>
      </c>
      <c r="D361" s="18" t="s">
        <v>361</v>
      </c>
      <c r="E361" s="30"/>
      <c r="F361" s="5" t="str">
        <f t="shared" si="5"/>
        <v/>
      </c>
    </row>
    <row r="362" spans="1:6" ht="15.8" customHeight="1">
      <c r="A362" s="3" t="s">
        <v>348</v>
      </c>
      <c r="B362" s="1" t="s">
        <v>327</v>
      </c>
      <c r="C362" s="33">
        <v>77000</v>
      </c>
      <c r="D362" s="21">
        <v>11</v>
      </c>
      <c r="E362" s="30"/>
      <c r="F362" s="5" t="str">
        <f t="shared" si="5"/>
        <v/>
      </c>
    </row>
    <row r="363" spans="1:6" ht="15.8" customHeight="1">
      <c r="A363" s="3" t="s">
        <v>347</v>
      </c>
      <c r="B363" s="1" t="s">
        <v>327</v>
      </c>
      <c r="C363" s="33">
        <v>48000</v>
      </c>
      <c r="D363" s="21">
        <v>11</v>
      </c>
      <c r="E363" s="30"/>
      <c r="F363" s="5" t="str">
        <f t="shared" si="5"/>
        <v/>
      </c>
    </row>
    <row r="364" spans="1:6" ht="15.8" customHeight="1">
      <c r="A364" s="3" t="s">
        <v>346</v>
      </c>
      <c r="B364" s="1" t="s">
        <v>327</v>
      </c>
      <c r="C364" s="33">
        <v>79000</v>
      </c>
      <c r="D364" s="21">
        <v>11</v>
      </c>
      <c r="E364" s="30"/>
      <c r="F364" s="5" t="str">
        <f t="shared" si="5"/>
        <v/>
      </c>
    </row>
    <row r="365" spans="1:6" ht="15.8" customHeight="1">
      <c r="A365" s="3" t="s">
        <v>192</v>
      </c>
      <c r="B365" s="1" t="s">
        <v>328</v>
      </c>
      <c r="C365" s="33">
        <v>14000</v>
      </c>
      <c r="D365" s="18" t="s">
        <v>361</v>
      </c>
      <c r="E365" s="30"/>
      <c r="F365" s="5" t="str">
        <f t="shared" si="5"/>
        <v/>
      </c>
    </row>
    <row r="366" spans="1:6" ht="15.8" customHeight="1">
      <c r="A366" s="1" t="s">
        <v>343</v>
      </c>
      <c r="B366" s="1" t="s">
        <v>328</v>
      </c>
      <c r="C366" s="38">
        <v>59000</v>
      </c>
      <c r="D366" s="21">
        <v>6</v>
      </c>
      <c r="E366" s="30"/>
      <c r="F366" s="5" t="str">
        <f t="shared" si="5"/>
        <v/>
      </c>
    </row>
    <row r="367" spans="1:6" ht="15.8" customHeight="1">
      <c r="A367" s="1" t="s">
        <v>329</v>
      </c>
      <c r="B367" s="1" t="s">
        <v>328</v>
      </c>
      <c r="C367" s="33">
        <v>79900</v>
      </c>
      <c r="D367" s="21">
        <v>11</v>
      </c>
      <c r="E367" s="30"/>
      <c r="F367" s="5" t="str">
        <f t="shared" si="5"/>
        <v/>
      </c>
    </row>
    <row r="368" spans="1:6" s="7" customFormat="1" ht="15.8" customHeight="1">
      <c r="A368" s="1" t="s">
        <v>341</v>
      </c>
      <c r="B368" s="1" t="s">
        <v>328</v>
      </c>
      <c r="C368" s="38">
        <v>35000</v>
      </c>
      <c r="D368" s="21">
        <v>5</v>
      </c>
      <c r="E368" s="30"/>
      <c r="F368" s="5" t="str">
        <f t="shared" si="5"/>
        <v/>
      </c>
    </row>
    <row r="369" spans="1:6" s="7" customFormat="1" ht="15.8" customHeight="1">
      <c r="A369" s="1" t="s">
        <v>120</v>
      </c>
      <c r="B369" s="1" t="s">
        <v>121</v>
      </c>
      <c r="C369" s="33">
        <v>1400</v>
      </c>
      <c r="D369" s="19">
        <v>1</v>
      </c>
      <c r="E369" s="30"/>
      <c r="F369" s="5" t="str">
        <f t="shared" si="5"/>
        <v/>
      </c>
    </row>
    <row r="370" spans="1:6" s="7" customFormat="1" ht="15.8" customHeight="1">
      <c r="A370" s="1" t="s">
        <v>129</v>
      </c>
      <c r="B370" s="1" t="s">
        <v>121</v>
      </c>
      <c r="C370" s="33">
        <v>550</v>
      </c>
      <c r="D370" s="19">
        <v>1</v>
      </c>
      <c r="E370" s="30"/>
      <c r="F370" s="5" t="str">
        <f t="shared" si="5"/>
        <v/>
      </c>
    </row>
    <row r="371" spans="1:6" s="7" customFormat="1" ht="15.8" customHeight="1">
      <c r="A371" s="1" t="s">
        <v>122</v>
      </c>
      <c r="B371" s="1" t="s">
        <v>121</v>
      </c>
      <c r="C371" s="33">
        <v>250</v>
      </c>
      <c r="D371" s="18" t="s">
        <v>254</v>
      </c>
      <c r="E371" s="30"/>
      <c r="F371" s="5" t="str">
        <f t="shared" si="5"/>
        <v/>
      </c>
    </row>
    <row r="372" spans="1:6" s="7" customFormat="1" ht="15.8" customHeight="1">
      <c r="A372" s="1" t="s">
        <v>133</v>
      </c>
      <c r="B372" s="1" t="s">
        <v>121</v>
      </c>
      <c r="C372" s="33">
        <v>250</v>
      </c>
      <c r="D372" s="18" t="s">
        <v>254</v>
      </c>
      <c r="E372" s="30"/>
      <c r="F372" s="5" t="str">
        <f t="shared" si="5"/>
        <v/>
      </c>
    </row>
    <row r="373" spans="1:6" s="7" customFormat="1" ht="15.8" customHeight="1">
      <c r="A373" s="1" t="s">
        <v>125</v>
      </c>
      <c r="B373" s="1" t="s">
        <v>121</v>
      </c>
      <c r="C373" s="33">
        <v>250</v>
      </c>
      <c r="D373" s="19">
        <v>1</v>
      </c>
      <c r="E373" s="30"/>
      <c r="F373" s="5" t="str">
        <f t="shared" si="5"/>
        <v/>
      </c>
    </row>
    <row r="374" spans="1:6" s="7" customFormat="1" ht="15.8" customHeight="1">
      <c r="A374" s="1" t="s">
        <v>136</v>
      </c>
      <c r="B374" s="1" t="s">
        <v>121</v>
      </c>
      <c r="C374" s="33">
        <v>250</v>
      </c>
      <c r="D374" s="19">
        <v>1</v>
      </c>
      <c r="E374" s="30"/>
      <c r="F374" s="5" t="str">
        <f t="shared" si="5"/>
        <v/>
      </c>
    </row>
    <row r="375" spans="1:6" s="7" customFormat="1" ht="15.8" customHeight="1">
      <c r="A375" s="1" t="s">
        <v>124</v>
      </c>
      <c r="B375" s="1" t="s">
        <v>121</v>
      </c>
      <c r="C375" s="33">
        <v>250</v>
      </c>
      <c r="D375" s="21">
        <v>1</v>
      </c>
      <c r="E375" s="30"/>
      <c r="F375" s="5" t="str">
        <f t="shared" si="5"/>
        <v/>
      </c>
    </row>
    <row r="376" spans="1:6" s="7" customFormat="1" ht="15.8" customHeight="1">
      <c r="A376" s="1" t="s">
        <v>135</v>
      </c>
      <c r="B376" s="1" t="s">
        <v>121</v>
      </c>
      <c r="C376" s="33">
        <v>250</v>
      </c>
      <c r="D376" s="21">
        <v>1</v>
      </c>
      <c r="E376" s="30"/>
      <c r="F376" s="5" t="str">
        <f t="shared" si="5"/>
        <v/>
      </c>
    </row>
    <row r="377" spans="1:6" ht="15.8" customHeight="1">
      <c r="A377" s="1" t="s">
        <v>128</v>
      </c>
      <c r="B377" s="1" t="s">
        <v>121</v>
      </c>
      <c r="C377" s="33">
        <v>250</v>
      </c>
      <c r="D377" s="19">
        <v>1</v>
      </c>
      <c r="E377" s="30"/>
      <c r="F377" s="5" t="str">
        <f t="shared" si="5"/>
        <v/>
      </c>
    </row>
    <row r="378" spans="1:6" ht="15.8" customHeight="1">
      <c r="A378" s="1" t="s">
        <v>139</v>
      </c>
      <c r="B378" s="1" t="s">
        <v>121</v>
      </c>
      <c r="C378" s="33">
        <v>250</v>
      </c>
      <c r="D378" s="19">
        <v>1</v>
      </c>
      <c r="E378" s="30"/>
      <c r="F378" s="5" t="str">
        <f t="shared" si="5"/>
        <v/>
      </c>
    </row>
    <row r="379" spans="1:6" ht="15.8" customHeight="1">
      <c r="A379" s="1" t="s">
        <v>292</v>
      </c>
      <c r="B379" s="1" t="s">
        <v>121</v>
      </c>
      <c r="C379" s="33">
        <v>250</v>
      </c>
      <c r="D379" s="19">
        <v>1</v>
      </c>
      <c r="E379" s="30"/>
      <c r="F379" s="5" t="str">
        <f t="shared" si="5"/>
        <v/>
      </c>
    </row>
    <row r="380" spans="1:6" ht="15.8" customHeight="1">
      <c r="A380" s="1" t="s">
        <v>293</v>
      </c>
      <c r="B380" s="1" t="s">
        <v>121</v>
      </c>
      <c r="C380" s="33">
        <v>250</v>
      </c>
      <c r="D380" s="19">
        <v>1</v>
      </c>
      <c r="E380" s="30"/>
      <c r="F380" s="5" t="str">
        <f t="shared" si="5"/>
        <v/>
      </c>
    </row>
    <row r="381" spans="1:6" s="7" customFormat="1" ht="15.8" customHeight="1">
      <c r="A381" s="1" t="s">
        <v>130</v>
      </c>
      <c r="B381" s="1" t="s">
        <v>121</v>
      </c>
      <c r="C381" s="33">
        <v>250</v>
      </c>
      <c r="D381" s="19">
        <v>1</v>
      </c>
      <c r="E381" s="30"/>
      <c r="F381" s="5" t="str">
        <f t="shared" si="5"/>
        <v/>
      </c>
    </row>
    <row r="382" spans="1:6" ht="15.8" customHeight="1">
      <c r="A382" s="1" t="s">
        <v>142</v>
      </c>
      <c r="B382" s="6" t="s">
        <v>121</v>
      </c>
      <c r="C382" s="33">
        <v>250</v>
      </c>
      <c r="D382" s="19">
        <v>1</v>
      </c>
      <c r="E382" s="30"/>
      <c r="F382" s="5" t="str">
        <f t="shared" si="5"/>
        <v/>
      </c>
    </row>
    <row r="383" spans="1:6" ht="15.8" customHeight="1">
      <c r="A383" s="1" t="s">
        <v>126</v>
      </c>
      <c r="B383" s="6" t="s">
        <v>121</v>
      </c>
      <c r="C383" s="33">
        <v>250</v>
      </c>
      <c r="D383" s="19">
        <v>1</v>
      </c>
      <c r="E383" s="30"/>
      <c r="F383" s="5" t="str">
        <f t="shared" si="5"/>
        <v/>
      </c>
    </row>
    <row r="384" spans="1:6" ht="15.8" customHeight="1">
      <c r="A384" s="1" t="s">
        <v>137</v>
      </c>
      <c r="B384" s="6" t="s">
        <v>121</v>
      </c>
      <c r="C384" s="33">
        <v>250</v>
      </c>
      <c r="D384" s="19">
        <v>1</v>
      </c>
      <c r="E384" s="30"/>
      <c r="F384" s="5" t="str">
        <f t="shared" si="5"/>
        <v/>
      </c>
    </row>
    <row r="385" spans="1:6" ht="15.8" customHeight="1">
      <c r="A385" s="1" t="s">
        <v>131</v>
      </c>
      <c r="B385" s="6" t="s">
        <v>121</v>
      </c>
      <c r="C385" s="33">
        <v>250</v>
      </c>
      <c r="D385" s="19">
        <v>1</v>
      </c>
      <c r="E385" s="30"/>
      <c r="F385" s="5" t="str">
        <f t="shared" si="5"/>
        <v/>
      </c>
    </row>
    <row r="386" spans="1:6" ht="15.8" customHeight="1">
      <c r="A386" s="1" t="s">
        <v>143</v>
      </c>
      <c r="B386" s="6" t="s">
        <v>121</v>
      </c>
      <c r="C386" s="33">
        <v>250</v>
      </c>
      <c r="D386" s="19">
        <v>1</v>
      </c>
      <c r="E386" s="30"/>
      <c r="F386" s="5" t="str">
        <f t="shared" si="5"/>
        <v/>
      </c>
    </row>
    <row r="387" spans="1:6" ht="15.8" customHeight="1">
      <c r="A387" s="1" t="s">
        <v>127</v>
      </c>
      <c r="B387" s="6" t="s">
        <v>121</v>
      </c>
      <c r="C387" s="33">
        <v>330</v>
      </c>
      <c r="D387" s="21">
        <v>1</v>
      </c>
      <c r="E387" s="30"/>
      <c r="F387" s="5" t="str">
        <f t="shared" ref="F387:F418" si="6">IF(E387="x",CONCATENATE(A387," ;"),"")</f>
        <v/>
      </c>
    </row>
    <row r="388" spans="1:6" ht="15.8" customHeight="1">
      <c r="A388" s="1" t="s">
        <v>138</v>
      </c>
      <c r="B388" s="6" t="s">
        <v>121</v>
      </c>
      <c r="C388" s="33">
        <v>330</v>
      </c>
      <c r="D388" s="21">
        <v>1</v>
      </c>
      <c r="E388" s="30"/>
      <c r="F388" s="5" t="str">
        <f t="shared" si="6"/>
        <v/>
      </c>
    </row>
    <row r="389" spans="1:6" ht="15.8" customHeight="1">
      <c r="A389" s="1" t="s">
        <v>140</v>
      </c>
      <c r="B389" s="6" t="s">
        <v>121</v>
      </c>
      <c r="C389" s="33">
        <v>250</v>
      </c>
      <c r="D389" s="19">
        <v>1</v>
      </c>
      <c r="E389" s="30"/>
      <c r="F389" s="5" t="str">
        <f t="shared" si="6"/>
        <v/>
      </c>
    </row>
    <row r="390" spans="1:6" ht="15.8" customHeight="1">
      <c r="A390" s="1" t="s">
        <v>123</v>
      </c>
      <c r="B390" s="6" t="s">
        <v>121</v>
      </c>
      <c r="C390" s="33">
        <v>1300</v>
      </c>
      <c r="D390" s="18" t="s">
        <v>254</v>
      </c>
      <c r="E390" s="30"/>
      <c r="F390" s="5" t="str">
        <f t="shared" si="6"/>
        <v/>
      </c>
    </row>
    <row r="391" spans="1:6" ht="15.8" customHeight="1">
      <c r="A391" s="1" t="s">
        <v>134</v>
      </c>
      <c r="B391" s="6" t="s">
        <v>121</v>
      </c>
      <c r="C391" s="33">
        <v>1300</v>
      </c>
      <c r="D391" s="18" t="s">
        <v>254</v>
      </c>
      <c r="E391" s="30"/>
      <c r="F391" s="5" t="str">
        <f t="shared" si="6"/>
        <v/>
      </c>
    </row>
    <row r="392" spans="1:6" ht="15.8" customHeight="1">
      <c r="A392" s="1" t="s">
        <v>132</v>
      </c>
      <c r="B392" s="6" t="s">
        <v>121</v>
      </c>
      <c r="C392" s="33">
        <v>250</v>
      </c>
      <c r="D392" s="19">
        <v>1</v>
      </c>
      <c r="E392" s="30"/>
      <c r="F392" s="5" t="str">
        <f t="shared" si="6"/>
        <v/>
      </c>
    </row>
    <row r="393" spans="1:6" ht="15.8" customHeight="1">
      <c r="A393" s="1" t="s">
        <v>141</v>
      </c>
      <c r="B393" s="6" t="s">
        <v>121</v>
      </c>
      <c r="C393" s="33">
        <v>250</v>
      </c>
      <c r="D393" s="19">
        <v>1</v>
      </c>
      <c r="E393" s="30"/>
      <c r="F393" s="5" t="str">
        <f t="shared" si="6"/>
        <v/>
      </c>
    </row>
    <row r="394" spans="1:6" s="7" customFormat="1" ht="15.8" customHeight="1">
      <c r="A394" s="2" t="s">
        <v>386</v>
      </c>
      <c r="B394" s="11" t="s">
        <v>121</v>
      </c>
      <c r="C394" s="34">
        <v>20000</v>
      </c>
      <c r="D394" s="22">
        <v>15</v>
      </c>
      <c r="E394" s="30"/>
      <c r="F394" s="5" t="str">
        <f t="shared" si="6"/>
        <v/>
      </c>
    </row>
    <row r="395" spans="1:6" ht="15.8" customHeight="1">
      <c r="A395" s="1" t="s">
        <v>398</v>
      </c>
      <c r="B395" s="6" t="s">
        <v>121</v>
      </c>
      <c r="C395" s="33">
        <v>28000</v>
      </c>
      <c r="D395" s="19">
        <v>18</v>
      </c>
      <c r="E395" s="30"/>
      <c r="F395" s="5" t="str">
        <f t="shared" si="6"/>
        <v/>
      </c>
    </row>
    <row r="396" spans="1:6" ht="15.8" customHeight="1">
      <c r="A396" s="1" t="s">
        <v>399</v>
      </c>
      <c r="B396" s="6" t="s">
        <v>121</v>
      </c>
      <c r="C396" s="33">
        <v>28000</v>
      </c>
      <c r="D396" s="19">
        <v>18</v>
      </c>
      <c r="E396" s="30"/>
      <c r="F396" s="5" t="str">
        <f t="shared" si="6"/>
        <v/>
      </c>
    </row>
    <row r="397" spans="1:6" ht="15.8" customHeight="1">
      <c r="A397" s="1" t="s">
        <v>289</v>
      </c>
      <c r="B397" s="6" t="s">
        <v>167</v>
      </c>
      <c r="C397" s="33">
        <v>100000</v>
      </c>
      <c r="D397" s="19">
        <v>16</v>
      </c>
      <c r="E397" s="30"/>
      <c r="F397" s="5" t="str">
        <f t="shared" si="6"/>
        <v/>
      </c>
    </row>
    <row r="398" spans="1:6" ht="15.8" customHeight="1">
      <c r="A398" s="1" t="s">
        <v>360</v>
      </c>
      <c r="B398" s="6" t="s">
        <v>167</v>
      </c>
      <c r="C398" s="33">
        <v>36000</v>
      </c>
      <c r="D398" s="19">
        <v>13</v>
      </c>
      <c r="E398" s="30"/>
      <c r="F398" s="5" t="str">
        <f t="shared" si="6"/>
        <v/>
      </c>
    </row>
    <row r="399" spans="1:6" ht="15.8" customHeight="1">
      <c r="A399" s="1" t="s">
        <v>358</v>
      </c>
      <c r="B399" s="6" t="s">
        <v>167</v>
      </c>
      <c r="C399" s="33">
        <v>30000</v>
      </c>
      <c r="D399" s="19">
        <v>13</v>
      </c>
      <c r="E399" s="30"/>
      <c r="F399" s="5" t="str">
        <f t="shared" si="6"/>
        <v/>
      </c>
    </row>
    <row r="400" spans="1:6" ht="15.8" customHeight="1">
      <c r="A400" s="1" t="s">
        <v>286</v>
      </c>
      <c r="B400" s="6" t="s">
        <v>167</v>
      </c>
      <c r="C400" s="34">
        <v>15000</v>
      </c>
      <c r="D400" s="19">
        <v>11</v>
      </c>
      <c r="E400" s="30"/>
      <c r="F400" s="5" t="str">
        <f t="shared" si="6"/>
        <v/>
      </c>
    </row>
    <row r="401" spans="1:6" ht="15.8" customHeight="1">
      <c r="A401" s="2" t="s">
        <v>213</v>
      </c>
      <c r="B401" s="6" t="s">
        <v>167</v>
      </c>
      <c r="C401" s="34">
        <v>15000</v>
      </c>
      <c r="D401" s="22">
        <v>11</v>
      </c>
      <c r="E401" s="30"/>
      <c r="F401" s="5" t="str">
        <f t="shared" si="6"/>
        <v/>
      </c>
    </row>
    <row r="402" spans="1:6" ht="15.8" customHeight="1">
      <c r="A402" s="1" t="s">
        <v>287</v>
      </c>
      <c r="B402" s="6" t="s">
        <v>167</v>
      </c>
      <c r="C402" s="34">
        <v>15000</v>
      </c>
      <c r="D402" s="19">
        <v>11</v>
      </c>
      <c r="E402" s="30"/>
      <c r="F402" s="5" t="str">
        <f t="shared" si="6"/>
        <v/>
      </c>
    </row>
    <row r="403" spans="1:6" ht="15.8" customHeight="1">
      <c r="A403" s="1" t="s">
        <v>168</v>
      </c>
      <c r="B403" s="1" t="s">
        <v>167</v>
      </c>
      <c r="C403" s="34">
        <v>15000</v>
      </c>
      <c r="D403" s="19">
        <v>11</v>
      </c>
      <c r="E403" s="30"/>
      <c r="F403" s="5" t="str">
        <f t="shared" si="6"/>
        <v/>
      </c>
    </row>
    <row r="404" spans="1:6" ht="15.8" customHeight="1">
      <c r="A404" s="1" t="s">
        <v>318</v>
      </c>
      <c r="B404" s="1" t="s">
        <v>167</v>
      </c>
      <c r="C404" s="34">
        <v>15000</v>
      </c>
      <c r="D404" s="19">
        <v>11</v>
      </c>
      <c r="E404" s="30"/>
      <c r="F404" s="5" t="str">
        <f t="shared" si="6"/>
        <v/>
      </c>
    </row>
    <row r="405" spans="1:6" s="7" customFormat="1" ht="15.8" customHeight="1">
      <c r="A405" s="2" t="s">
        <v>424</v>
      </c>
      <c r="B405" s="2" t="s">
        <v>167</v>
      </c>
      <c r="C405" s="34">
        <v>30000</v>
      </c>
      <c r="D405" s="22">
        <v>18</v>
      </c>
      <c r="E405" s="30"/>
      <c r="F405" s="5" t="str">
        <f t="shared" si="6"/>
        <v/>
      </c>
    </row>
    <row r="406" spans="1:6" s="7" customFormat="1" ht="15.8" customHeight="1">
      <c r="A406" s="2" t="s">
        <v>366</v>
      </c>
      <c r="B406" s="2" t="s">
        <v>167</v>
      </c>
      <c r="C406" s="34">
        <v>30000</v>
      </c>
      <c r="D406" s="22">
        <v>11</v>
      </c>
      <c r="E406" s="30"/>
      <c r="F406" s="5" t="str">
        <f t="shared" si="6"/>
        <v/>
      </c>
    </row>
    <row r="407" spans="1:6" s="7" customFormat="1" ht="15.8" customHeight="1">
      <c r="A407" s="2" t="s">
        <v>367</v>
      </c>
      <c r="B407" s="2" t="s">
        <v>167</v>
      </c>
      <c r="C407" s="34">
        <v>40000</v>
      </c>
      <c r="D407" s="22">
        <v>11</v>
      </c>
      <c r="E407" s="30"/>
      <c r="F407" s="5" t="str">
        <f t="shared" si="6"/>
        <v/>
      </c>
    </row>
    <row r="408" spans="1:6" ht="15.8" customHeight="1">
      <c r="A408" s="1" t="s">
        <v>290</v>
      </c>
      <c r="B408" s="1" t="s">
        <v>167</v>
      </c>
      <c r="C408" s="33">
        <v>40000</v>
      </c>
      <c r="D408" s="19">
        <v>11</v>
      </c>
      <c r="E408" s="30"/>
      <c r="F408" s="5" t="str">
        <f t="shared" si="6"/>
        <v/>
      </c>
    </row>
    <row r="409" spans="1:6" ht="15.8" customHeight="1">
      <c r="A409" s="1" t="s">
        <v>288</v>
      </c>
      <c r="B409" s="1" t="s">
        <v>167</v>
      </c>
      <c r="C409" s="33">
        <v>90000</v>
      </c>
      <c r="D409" s="19">
        <v>16</v>
      </c>
      <c r="E409" s="30"/>
      <c r="F409" s="5" t="str">
        <f t="shared" si="6"/>
        <v/>
      </c>
    </row>
    <row r="410" spans="1:6" s="7" customFormat="1" ht="15.8" customHeight="1">
      <c r="A410" s="2" t="s">
        <v>404</v>
      </c>
      <c r="B410" s="2" t="s">
        <v>167</v>
      </c>
      <c r="C410" s="34">
        <v>25000</v>
      </c>
      <c r="D410" s="22">
        <v>13</v>
      </c>
      <c r="E410" s="30"/>
      <c r="F410" s="5" t="str">
        <f t="shared" si="6"/>
        <v/>
      </c>
    </row>
    <row r="411" spans="1:6" ht="15.8" customHeight="1">
      <c r="A411" s="1" t="s">
        <v>410</v>
      </c>
      <c r="B411" s="1" t="s">
        <v>167</v>
      </c>
      <c r="C411" s="33">
        <v>25000</v>
      </c>
      <c r="D411" s="19">
        <v>13</v>
      </c>
      <c r="E411" s="30"/>
      <c r="F411" s="5" t="str">
        <f t="shared" si="6"/>
        <v/>
      </c>
    </row>
    <row r="412" spans="1:6" s="7" customFormat="1" ht="15.8" customHeight="1">
      <c r="A412" s="2" t="s">
        <v>428</v>
      </c>
      <c r="B412" s="2" t="s">
        <v>167</v>
      </c>
      <c r="C412" s="34">
        <v>65000</v>
      </c>
      <c r="D412" s="22">
        <v>21</v>
      </c>
      <c r="E412" s="30"/>
      <c r="F412" s="5" t="str">
        <f t="shared" si="6"/>
        <v/>
      </c>
    </row>
    <row r="413" spans="1:6" s="7" customFormat="1" ht="15.8" customHeight="1">
      <c r="A413" s="2" t="s">
        <v>427</v>
      </c>
      <c r="B413" s="2" t="s">
        <v>167</v>
      </c>
      <c r="C413" s="34">
        <v>55000</v>
      </c>
      <c r="D413" s="22">
        <v>15</v>
      </c>
      <c r="E413" s="30"/>
      <c r="F413" s="5" t="str">
        <f t="shared" si="6"/>
        <v/>
      </c>
    </row>
    <row r="414" spans="1:6" ht="15.8" customHeight="1">
      <c r="A414" s="1" t="s">
        <v>118</v>
      </c>
      <c r="B414" s="1" t="s">
        <v>119</v>
      </c>
      <c r="C414" s="33">
        <v>14000</v>
      </c>
      <c r="D414" s="21">
        <v>2</v>
      </c>
      <c r="E414" s="30"/>
      <c r="F414" s="5" t="str">
        <f t="shared" si="6"/>
        <v/>
      </c>
    </row>
    <row r="415" spans="1:6" ht="15.8" customHeight="1">
      <c r="B415" s="1"/>
      <c r="C415" s="33"/>
      <c r="D415" s="21"/>
      <c r="E415" s="42"/>
      <c r="F415" s="5" t="str">
        <f t="shared" si="6"/>
        <v/>
      </c>
    </row>
    <row r="416" spans="1:6" ht="15.8" customHeight="1">
      <c r="A416" s="5" t="s">
        <v>444</v>
      </c>
      <c r="B416" s="5" t="s">
        <v>445</v>
      </c>
      <c r="C416" s="33">
        <v>4000</v>
      </c>
      <c r="D416" s="21"/>
      <c r="E416" s="43"/>
      <c r="F416" s="5" t="str">
        <f t="shared" si="6"/>
        <v/>
      </c>
    </row>
    <row r="417" spans="1:6" ht="15.8" customHeight="1">
      <c r="A417" s="5" t="s">
        <v>444</v>
      </c>
      <c r="B417" s="5" t="s">
        <v>446</v>
      </c>
      <c r="C417" s="33">
        <v>6000</v>
      </c>
      <c r="D417" s="21"/>
      <c r="E417" s="43"/>
      <c r="F417" s="5" t="str">
        <f t="shared" si="6"/>
        <v/>
      </c>
    </row>
    <row r="418" spans="1:6" ht="15.8" customHeight="1">
      <c r="A418" s="27" t="s">
        <v>444</v>
      </c>
      <c r="B418" s="5" t="s">
        <v>447</v>
      </c>
      <c r="C418" s="33">
        <v>7000</v>
      </c>
      <c r="D418" s="21"/>
      <c r="E418" s="43"/>
      <c r="F418" s="5" t="str">
        <f t="shared" si="6"/>
        <v/>
      </c>
    </row>
    <row r="419" spans="1:6" ht="15.8" customHeight="1">
      <c r="C419" s="33"/>
      <c r="D419" s="21"/>
    </row>
    <row r="420" spans="1:6" ht="15.8" customHeight="1">
      <c r="A420" s="28" t="s">
        <v>450</v>
      </c>
      <c r="C420" s="33"/>
      <c r="D420" s="21"/>
    </row>
    <row r="421" spans="1:6" ht="15.8" customHeight="1">
      <c r="A421" s="1588" t="str">
        <f>F2&amp;F3&amp;F4&amp;F5&amp;F6&amp;F7&amp;F8&amp;F9&amp;F10&amp;F11&amp;F12&amp;F13&amp;F14&amp;F15&amp;F16&amp;F17&amp;F18&amp;F19&amp;F20&amp;F21&amp;F22&amp;F23&amp;F24&amp;F25&amp;F26&amp;F27&amp;F28&amp;F29&amp;F30&amp;F31&amp;F32&amp;F33&amp;F34&amp;F35&amp;F36&amp;F37&amp;F38&amp;F39&amp;F40&amp;F41&amp;F42&amp;F43&amp;F44&amp;F45&amp;F46&amp;F47&amp;F48&amp;F49&amp;F50&amp;F51&amp;F52&amp;F53&amp;F54&amp;F55&amp;F56&amp;F57&amp;F58&amp;F59&amp;F60&amp;F61&amp;F62&amp;F63&amp;F64&amp;F65&amp;F66&amp;F67&amp;F68&amp;F69&amp;F70&amp;F71&amp;F72&amp;F73&amp;F74&amp;F75&amp;F76&amp;F77&amp;F78&amp;F79&amp;F80&amp;F81&amp;F82&amp;F83&amp;F84&amp;F85&amp;F86&amp;F87&amp;F88&amp;F89&amp;F90&amp;F91&amp;F92&amp;F93&amp;F94&amp;F95&amp;F96&amp;F97&amp;F98&amp;F99&amp;F100&amp;F101&amp;F102&amp;F103&amp;F104&amp;F105&amp;F106&amp;F107&amp;F108&amp;F109&amp;F110&amp;F111&amp;F112&amp;F113&amp;F114&amp;F115&amp;F116&amp;F117&amp;F118&amp;F119&amp;F120&amp;F121&amp;F122&amp;F123&amp;F124&amp;F125&amp;F126&amp;F127&amp;F128&amp;F129&amp;F130&amp;F131&amp;F132&amp;F133&amp;F134&amp;F135&amp;F136&amp;F137&amp;F138&amp;F139&amp;F140&amp;F141&amp;F142&amp;F143&amp;F144&amp;F145&amp;F146&amp;F147&amp;F148&amp;F149&amp;F150&amp;F151&amp;F152&amp;F153&amp;F154&amp;F155&amp;F156&amp;F157&amp;F158&amp;F159&amp;F160&amp;F161&amp;F162&amp;F163&amp;F164&amp;F165&amp;F166&amp;F167&amp;F168&amp;F169&amp;F170&amp;F171&amp;F172&amp;F173&amp;F174&amp;F175&amp;F176&amp;F177&amp;F178&amp;F179&amp;F180&amp;F181&amp;F182&amp;F183&amp;F184&amp;F185&amp;F186&amp;F187&amp;F188&amp;F189&amp;F190&amp;F191&amp;F192&amp;F193&amp;F194&amp;F195&amp;F196&amp;F197&amp;F198&amp;F199&amp;F200&amp;F201&amp;F202&amp;F203&amp;F204&amp;F205&amp;F206&amp;F207&amp;F208&amp;F209&amp;F210&amp;F211&amp;F212&amp;F213&amp;F214&amp;F215&amp;F216&amp;F217&amp;F218&amp;F219&amp;F220&amp;F221&amp;F222&amp;F223&amp;F224&amp;F225&amp;F226&amp;F227&amp;F228&amp;F229&amp;F230&amp;F231&amp;F232&amp;F233&amp;F234&amp;F235&amp;F236&amp;F237&amp;F238&amp;F239&amp;F240&amp;F241&amp;F242&amp;F243&amp;F244&amp;F245&amp;F246&amp;F247&amp;F248&amp;F249&amp;F250&amp;F251&amp;F252&amp;F253&amp;F254&amp;F255&amp;F256&amp;F257&amp;F258&amp;F259&amp;F260&amp;F261&amp;F262&amp;F263&amp;F264&amp;F265&amp;F266&amp;F267&amp;F268&amp;F269&amp;F270&amp;F271&amp;F272&amp;F273&amp;F274&amp;F275&amp;F276&amp;F277&amp;F278&amp;F279&amp;F280&amp;F281&amp;F282&amp;F283&amp;F284&amp;F285&amp;F286&amp;F287&amp;F288&amp;F289&amp;F290&amp;F291&amp;F292&amp;F293&amp;F294&amp;F295&amp;F296&amp;F297&amp;F298&amp;F299&amp;F300&amp;F301&amp;F302&amp;F303&amp;F304&amp;F305&amp;F306&amp;F307&amp;F308&amp;F309&amp;F310&amp;F311&amp;F312&amp;F313&amp;F314&amp;F315&amp;F316&amp;F317&amp;F318&amp;F319&amp;F320&amp;F321&amp;F322&amp;F323&amp;F324&amp;F325&amp;F326&amp;F327&amp;F328&amp;F329&amp;F330&amp;F331&amp;F332&amp;F333&amp;F334&amp;F335&amp;F336&amp;F337&amp;F338&amp;F339&amp;F340&amp;F341&amp;F342&amp;F343&amp;F344&amp;F345&amp;F346&amp;F347&amp;F348&amp;F349&amp;F350&amp;F351&amp;F352&amp;F353&amp;F354&amp;F355&amp;F356&amp;F357&amp;F358&amp;F359&amp;F360&amp;F361&amp;F362&amp;F363&amp;F364&amp;F365&amp;F366&amp;F367&amp;F368&amp;F369&amp;F370&amp;F371&amp;F372&amp;F373&amp;F374&amp;F375&amp;F376&amp;F377&amp;F378&amp;F379&amp;F380&amp;F381&amp;F382&amp;F383&amp;F384&amp;F385&amp;F386&amp;F387&amp;F388&amp;F389&amp;F390&amp;F391&amp;F392&amp;F393&amp;F394&amp;F395&amp;F396&amp;F397&amp;F398&amp;F399&amp;F400&amp;F401&amp;F402&amp;F403&amp;F404&amp;F405&amp;F406&amp;F407&amp;F408&amp;F409&amp;F410&amp;F411&amp;F412&amp;F413&amp;F414&amp;F416&amp;F417&amp;F418</f>
        <v/>
      </c>
      <c r="B421" s="1588"/>
      <c r="C421" s="1588"/>
      <c r="D421" s="1588"/>
      <c r="E421" s="1588"/>
      <c r="F421" s="1588"/>
    </row>
    <row r="422" spans="1:6" ht="15.8" customHeight="1">
      <c r="A422" s="1588"/>
      <c r="B422" s="1588"/>
      <c r="C422" s="1588"/>
      <c r="D422" s="1588"/>
      <c r="E422" s="1588"/>
      <c r="F422" s="1588"/>
    </row>
    <row r="423" spans="1:6" ht="15.8" customHeight="1">
      <c r="A423" s="1588"/>
      <c r="B423" s="1588"/>
      <c r="C423" s="1588"/>
      <c r="D423" s="1588"/>
      <c r="E423" s="1588"/>
      <c r="F423" s="1588"/>
    </row>
    <row r="424" spans="1:6" ht="15.8" customHeight="1">
      <c r="A424" s="1588"/>
      <c r="B424" s="1588"/>
      <c r="C424" s="1588"/>
      <c r="D424" s="1588"/>
      <c r="E424" s="1588"/>
      <c r="F424" s="1588"/>
    </row>
    <row r="425" spans="1:6" ht="15.8" customHeight="1">
      <c r="A425" s="1588"/>
      <c r="B425" s="1588"/>
      <c r="C425" s="1588"/>
      <c r="D425" s="1588"/>
      <c r="E425" s="1588"/>
      <c r="F425" s="1588"/>
    </row>
    <row r="426" spans="1:6" ht="15.8" customHeight="1">
      <c r="A426" s="1588"/>
      <c r="B426" s="1588"/>
      <c r="C426" s="1588"/>
      <c r="D426" s="1588"/>
      <c r="E426" s="1588"/>
      <c r="F426" s="1588"/>
    </row>
    <row r="427" spans="1:6" ht="15.8" customHeight="1">
      <c r="A427" s="1588"/>
      <c r="B427" s="1588"/>
      <c r="C427" s="1588"/>
      <c r="D427" s="1588"/>
      <c r="E427" s="1588"/>
      <c r="F427" s="1588"/>
    </row>
    <row r="428" spans="1:6" ht="15.8" customHeight="1">
      <c r="A428" s="1588"/>
      <c r="B428" s="1588"/>
      <c r="C428" s="1588"/>
      <c r="D428" s="1588"/>
      <c r="E428" s="1588"/>
      <c r="F428" s="1588"/>
    </row>
    <row r="429" spans="1:6" ht="15.8" customHeight="1">
      <c r="A429" s="1588"/>
      <c r="B429" s="1588"/>
      <c r="C429" s="1588"/>
      <c r="D429" s="1588"/>
      <c r="E429" s="1588"/>
      <c r="F429" s="1588"/>
    </row>
    <row r="430" spans="1:6" ht="15.8" customHeight="1">
      <c r="C430" s="33"/>
      <c r="D430" s="21"/>
    </row>
    <row r="431" spans="1:6" ht="15.8" customHeight="1">
      <c r="C431" s="33"/>
      <c r="D431" s="21"/>
    </row>
    <row r="432" spans="1:6" ht="15.8" customHeight="1">
      <c r="B432" s="40" t="s">
        <v>451</v>
      </c>
      <c r="C432" s="41">
        <f ca="1">SUMIF(E2:E418,"x",C2)</f>
        <v>0</v>
      </c>
      <c r="D432" s="21"/>
    </row>
    <row r="433" spans="3:4" ht="15.8" customHeight="1">
      <c r="C433" s="33"/>
      <c r="D433" s="21"/>
    </row>
    <row r="434" spans="3:4" ht="15.8" customHeight="1">
      <c r="C434" s="33"/>
      <c r="D434" s="21"/>
    </row>
    <row r="435" spans="3:4" ht="15.8" customHeight="1">
      <c r="C435" s="33"/>
      <c r="D435" s="21"/>
    </row>
    <row r="436" spans="3:4" ht="15.8" customHeight="1">
      <c r="C436" s="33"/>
      <c r="D436" s="21"/>
    </row>
    <row r="437" spans="3:4" ht="15.8" customHeight="1">
      <c r="C437" s="33"/>
      <c r="D437" s="21"/>
    </row>
    <row r="438" spans="3:4" ht="15.8" customHeight="1">
      <c r="C438" s="33"/>
      <c r="D438" s="21"/>
    </row>
    <row r="439" spans="3:4" ht="15.8" customHeight="1">
      <c r="C439" s="33"/>
      <c r="D439" s="21"/>
    </row>
    <row r="440" spans="3:4" ht="15.8" customHeight="1">
      <c r="C440" s="33"/>
      <c r="D440" s="21"/>
    </row>
    <row r="441" spans="3:4" ht="15.8" customHeight="1">
      <c r="C441" s="33"/>
      <c r="D441" s="21"/>
    </row>
    <row r="442" spans="3:4" ht="15.8" customHeight="1">
      <c r="C442" s="33"/>
      <c r="D442" s="21"/>
    </row>
    <row r="443" spans="3:4" ht="15.8" customHeight="1">
      <c r="C443" s="33"/>
      <c r="D443" s="21"/>
    </row>
    <row r="444" spans="3:4" ht="15.8" customHeight="1">
      <c r="C444" s="33"/>
      <c r="D444" s="21"/>
    </row>
    <row r="445" spans="3:4" ht="15.8" customHeight="1">
      <c r="C445" s="33"/>
      <c r="D445" s="21"/>
    </row>
    <row r="446" spans="3:4" ht="15.8" customHeight="1">
      <c r="C446" s="33"/>
      <c r="D446" s="21"/>
    </row>
    <row r="447" spans="3:4" ht="15.8" customHeight="1">
      <c r="C447" s="33"/>
      <c r="D447" s="21"/>
    </row>
    <row r="448" spans="3:4" ht="15.8" customHeight="1">
      <c r="C448" s="33"/>
      <c r="D448" s="21"/>
    </row>
    <row r="449" spans="3:4" ht="15.8" customHeight="1">
      <c r="C449" s="33"/>
      <c r="D449" s="21"/>
    </row>
    <row r="450" spans="3:4" ht="15.8" customHeight="1">
      <c r="C450" s="33"/>
      <c r="D450" s="21"/>
    </row>
    <row r="451" spans="3:4" ht="15.8" customHeight="1">
      <c r="C451" s="33"/>
      <c r="D451" s="21"/>
    </row>
    <row r="452" spans="3:4" ht="15.8" customHeight="1">
      <c r="C452" s="33"/>
      <c r="D452" s="21"/>
    </row>
    <row r="453" spans="3:4" ht="15.8" customHeight="1">
      <c r="C453" s="33"/>
      <c r="D453" s="21"/>
    </row>
    <row r="454" spans="3:4" ht="15.8" customHeight="1">
      <c r="C454" s="33"/>
      <c r="D454" s="21"/>
    </row>
    <row r="455" spans="3:4" ht="15.8" customHeight="1">
      <c r="C455" s="33"/>
      <c r="D455" s="21"/>
    </row>
    <row r="456" spans="3:4" ht="15.8" customHeight="1">
      <c r="C456" s="33"/>
      <c r="D456" s="21"/>
    </row>
    <row r="457" spans="3:4" ht="15.8" customHeight="1">
      <c r="C457" s="33"/>
      <c r="D457" s="21"/>
    </row>
    <row r="458" spans="3:4" ht="15.8" customHeight="1">
      <c r="C458" s="33"/>
      <c r="D458" s="21"/>
    </row>
    <row r="459" spans="3:4" ht="15.8" customHeight="1">
      <c r="C459" s="33"/>
      <c r="D459" s="21"/>
    </row>
    <row r="460" spans="3:4" ht="15.8" customHeight="1">
      <c r="C460" s="33"/>
      <c r="D460" s="21"/>
    </row>
    <row r="461" spans="3:4" ht="15.8" customHeight="1">
      <c r="C461" s="33"/>
      <c r="D461" s="21"/>
    </row>
    <row r="462" spans="3:4" ht="15.8" customHeight="1">
      <c r="C462" s="33"/>
      <c r="D462" s="21"/>
    </row>
    <row r="463" spans="3:4" ht="15.8" customHeight="1">
      <c r="C463" s="33"/>
      <c r="D463" s="21"/>
    </row>
    <row r="464" spans="3:4" ht="15.8" customHeight="1">
      <c r="C464" s="33"/>
      <c r="D464" s="21"/>
    </row>
    <row r="465" spans="3:4" ht="15.8" customHeight="1">
      <c r="C465" s="33"/>
      <c r="D465" s="21"/>
    </row>
    <row r="466" spans="3:4" ht="15.8" customHeight="1">
      <c r="C466" s="33"/>
      <c r="D466" s="21"/>
    </row>
    <row r="467" spans="3:4" ht="15.8" customHeight="1">
      <c r="C467" s="33"/>
      <c r="D467" s="21"/>
    </row>
    <row r="468" spans="3:4" ht="15.8" customHeight="1">
      <c r="C468" s="33"/>
      <c r="D468" s="21"/>
    </row>
    <row r="469" spans="3:4" ht="15.8" customHeight="1">
      <c r="C469" s="33"/>
      <c r="D469" s="21"/>
    </row>
    <row r="470" spans="3:4" ht="15.8" customHeight="1">
      <c r="C470" s="33"/>
      <c r="D470" s="21"/>
    </row>
    <row r="471" spans="3:4" ht="15.8" customHeight="1">
      <c r="C471" s="33"/>
      <c r="D471" s="21"/>
    </row>
    <row r="472" spans="3:4" ht="15.8" customHeight="1">
      <c r="C472" s="33"/>
      <c r="D472" s="21"/>
    </row>
    <row r="473" spans="3:4" ht="15.8" customHeight="1">
      <c r="C473" s="33"/>
      <c r="D473" s="21"/>
    </row>
    <row r="474" spans="3:4" ht="15.8" customHeight="1">
      <c r="C474" s="33"/>
      <c r="D474" s="21"/>
    </row>
    <row r="475" spans="3:4" ht="15.8" customHeight="1">
      <c r="C475" s="33"/>
      <c r="D475" s="21"/>
    </row>
    <row r="476" spans="3:4" ht="15.8" customHeight="1">
      <c r="C476" s="33"/>
      <c r="D476" s="21"/>
    </row>
    <row r="477" spans="3:4" ht="15.8" customHeight="1">
      <c r="C477" s="33"/>
      <c r="D477" s="21"/>
    </row>
    <row r="478" spans="3:4" ht="15.8" customHeight="1">
      <c r="C478" s="33"/>
      <c r="D478" s="21"/>
    </row>
    <row r="479" spans="3:4" ht="15.8" customHeight="1">
      <c r="C479" s="33"/>
      <c r="D479" s="21"/>
    </row>
    <row r="480" spans="3:4" ht="15.8" customHeight="1">
      <c r="C480" s="33"/>
      <c r="D480" s="21"/>
    </row>
    <row r="481" spans="3:4" ht="15.8" customHeight="1">
      <c r="C481" s="33"/>
      <c r="D481" s="21"/>
    </row>
    <row r="482" spans="3:4" ht="15.8" customHeight="1">
      <c r="C482" s="33"/>
      <c r="D482" s="21"/>
    </row>
    <row r="483" spans="3:4" ht="15.8" customHeight="1">
      <c r="C483" s="33"/>
      <c r="D483" s="21"/>
    </row>
    <row r="484" spans="3:4" ht="15.8" customHeight="1">
      <c r="C484" s="33"/>
      <c r="D484" s="21"/>
    </row>
    <row r="485" spans="3:4" ht="15.8" customHeight="1">
      <c r="C485" s="33"/>
      <c r="D485" s="21"/>
    </row>
    <row r="486" spans="3:4" ht="15.8" customHeight="1">
      <c r="C486" s="33"/>
      <c r="D486" s="21"/>
    </row>
    <row r="487" spans="3:4" ht="15.8" customHeight="1">
      <c r="C487" s="33"/>
      <c r="D487" s="21"/>
    </row>
    <row r="488" spans="3:4" ht="15.8" customHeight="1">
      <c r="C488" s="33"/>
      <c r="D488" s="21"/>
    </row>
    <row r="489" spans="3:4" ht="15.8" customHeight="1">
      <c r="C489" s="33"/>
      <c r="D489" s="21"/>
    </row>
    <row r="490" spans="3:4" ht="15.8" customHeight="1">
      <c r="C490" s="33"/>
      <c r="D490" s="21"/>
    </row>
    <row r="491" spans="3:4" ht="15.8" customHeight="1">
      <c r="C491" s="33"/>
      <c r="D491" s="21"/>
    </row>
    <row r="492" spans="3:4" ht="15.8" customHeight="1">
      <c r="C492" s="33"/>
      <c r="D492" s="21"/>
    </row>
    <row r="493" spans="3:4" ht="15.8" customHeight="1">
      <c r="C493" s="33"/>
      <c r="D493" s="21"/>
    </row>
    <row r="494" spans="3:4" ht="15.8" customHeight="1">
      <c r="C494" s="33"/>
      <c r="D494" s="21"/>
    </row>
    <row r="495" spans="3:4" ht="15.8" customHeight="1">
      <c r="C495" s="33"/>
      <c r="D495" s="21"/>
    </row>
    <row r="496" spans="3:4" ht="15.8" customHeight="1">
      <c r="C496" s="33"/>
      <c r="D496" s="21"/>
    </row>
    <row r="497" spans="3:4" ht="15.8" customHeight="1">
      <c r="C497" s="33"/>
      <c r="D497" s="21"/>
    </row>
    <row r="498" spans="3:4" ht="15.8" customHeight="1">
      <c r="C498" s="33"/>
      <c r="D498" s="21"/>
    </row>
    <row r="499" spans="3:4" ht="15.8" customHeight="1">
      <c r="C499" s="33"/>
      <c r="D499" s="21"/>
    </row>
    <row r="500" spans="3:4" ht="15.8" customHeight="1">
      <c r="C500" s="33"/>
      <c r="D500" s="21"/>
    </row>
    <row r="501" spans="3:4" ht="15.8" customHeight="1">
      <c r="C501" s="33"/>
      <c r="D501" s="21"/>
    </row>
    <row r="502" spans="3:4" ht="15.8" customHeight="1">
      <c r="C502" s="33"/>
      <c r="D502" s="21"/>
    </row>
    <row r="503" spans="3:4" ht="15.8" customHeight="1">
      <c r="C503" s="33"/>
      <c r="D503" s="21"/>
    </row>
    <row r="504" spans="3:4" ht="15.8" customHeight="1">
      <c r="C504" s="33"/>
      <c r="D504" s="21"/>
    </row>
    <row r="505" spans="3:4" ht="15.8" customHeight="1">
      <c r="C505" s="33"/>
      <c r="D505" s="21"/>
    </row>
    <row r="506" spans="3:4" ht="15.8" customHeight="1">
      <c r="C506" s="33"/>
      <c r="D506" s="21"/>
    </row>
    <row r="507" spans="3:4" ht="15.8" customHeight="1">
      <c r="C507" s="33"/>
      <c r="D507" s="21"/>
    </row>
    <row r="508" spans="3:4" ht="15.8" customHeight="1">
      <c r="C508" s="33"/>
      <c r="D508" s="21"/>
    </row>
    <row r="509" spans="3:4" ht="15.8" customHeight="1">
      <c r="C509" s="33"/>
      <c r="D509" s="21"/>
    </row>
    <row r="510" spans="3:4" ht="15.8" customHeight="1">
      <c r="C510" s="33"/>
      <c r="D510" s="21"/>
    </row>
    <row r="511" spans="3:4" ht="15.8" customHeight="1">
      <c r="C511" s="33"/>
      <c r="D511" s="21"/>
    </row>
    <row r="512" spans="3:4" ht="15.8" customHeight="1">
      <c r="C512" s="33"/>
      <c r="D512" s="21"/>
    </row>
    <row r="513" spans="3:4" ht="15.8" customHeight="1">
      <c r="C513" s="33"/>
      <c r="D513" s="21"/>
    </row>
    <row r="514" spans="3:4" ht="15.8" customHeight="1">
      <c r="C514" s="33"/>
      <c r="D514" s="21"/>
    </row>
    <row r="515" spans="3:4" ht="15.8" customHeight="1">
      <c r="C515" s="33"/>
      <c r="D515" s="21"/>
    </row>
    <row r="516" spans="3:4" ht="15.8" customHeight="1">
      <c r="C516" s="33"/>
      <c r="D516" s="21"/>
    </row>
    <row r="517" spans="3:4" ht="15.8" customHeight="1">
      <c r="C517" s="33"/>
      <c r="D517" s="21"/>
    </row>
    <row r="518" spans="3:4" ht="15.8" customHeight="1">
      <c r="C518" s="33"/>
      <c r="D518" s="21"/>
    </row>
    <row r="519" spans="3:4" ht="15.8" customHeight="1">
      <c r="C519" s="33"/>
      <c r="D519" s="21"/>
    </row>
    <row r="520" spans="3:4" ht="15.8" customHeight="1">
      <c r="C520" s="33"/>
      <c r="D520" s="21"/>
    </row>
    <row r="521" spans="3:4" ht="15.8" customHeight="1">
      <c r="C521" s="33"/>
      <c r="D521" s="21"/>
    </row>
    <row r="522" spans="3:4" ht="15.8" customHeight="1">
      <c r="C522" s="33"/>
      <c r="D522" s="21"/>
    </row>
    <row r="523" spans="3:4" ht="15.8" customHeight="1">
      <c r="C523" s="33"/>
      <c r="D523" s="21"/>
    </row>
    <row r="524" spans="3:4" ht="15.8" customHeight="1">
      <c r="C524" s="33"/>
      <c r="D524" s="21"/>
    </row>
    <row r="525" spans="3:4" ht="15.8" customHeight="1">
      <c r="C525" s="33"/>
      <c r="D525" s="21"/>
    </row>
    <row r="526" spans="3:4" ht="15.8" customHeight="1">
      <c r="C526" s="33"/>
      <c r="D526" s="21"/>
    </row>
    <row r="527" spans="3:4" ht="15.8" customHeight="1">
      <c r="C527" s="33"/>
      <c r="D527" s="21"/>
    </row>
    <row r="528" spans="3:4" ht="15.8" customHeight="1">
      <c r="C528" s="33"/>
      <c r="D528" s="21"/>
    </row>
    <row r="529" spans="3:4" ht="15.8" customHeight="1">
      <c r="C529" s="33"/>
      <c r="D529" s="21"/>
    </row>
    <row r="530" spans="3:4" ht="15.8" customHeight="1">
      <c r="C530" s="33"/>
      <c r="D530" s="21"/>
    </row>
    <row r="531" spans="3:4" ht="15.8" customHeight="1">
      <c r="C531" s="33"/>
      <c r="D531" s="21"/>
    </row>
    <row r="532" spans="3:4" ht="15.8" customHeight="1">
      <c r="C532" s="33"/>
      <c r="D532" s="21"/>
    </row>
    <row r="533" spans="3:4" ht="15.8" customHeight="1">
      <c r="C533" s="33"/>
      <c r="D533" s="21"/>
    </row>
    <row r="534" spans="3:4" ht="15.8" customHeight="1">
      <c r="C534" s="33"/>
      <c r="D534" s="21"/>
    </row>
    <row r="535" spans="3:4" ht="15.8" customHeight="1">
      <c r="C535" s="33"/>
      <c r="D535" s="21"/>
    </row>
    <row r="536" spans="3:4" ht="15.8" customHeight="1">
      <c r="C536" s="33"/>
      <c r="D536" s="21"/>
    </row>
    <row r="537" spans="3:4" ht="15.8" customHeight="1">
      <c r="C537" s="33"/>
      <c r="D537" s="21"/>
    </row>
    <row r="538" spans="3:4" ht="15.8" customHeight="1">
      <c r="C538" s="33"/>
      <c r="D538" s="21"/>
    </row>
    <row r="539" spans="3:4" ht="15.8" customHeight="1">
      <c r="C539" s="33"/>
      <c r="D539" s="21"/>
    </row>
    <row r="540" spans="3:4" ht="15.8" customHeight="1">
      <c r="C540" s="33"/>
      <c r="D540" s="21"/>
    </row>
    <row r="541" spans="3:4" ht="15.8" customHeight="1">
      <c r="C541" s="33"/>
      <c r="D541" s="21"/>
    </row>
    <row r="542" spans="3:4" ht="15.8" customHeight="1">
      <c r="C542" s="33"/>
      <c r="D542" s="21"/>
    </row>
    <row r="543" spans="3:4" ht="15.8" customHeight="1">
      <c r="C543" s="33"/>
      <c r="D543" s="21"/>
    </row>
    <row r="544" spans="3:4" ht="15.8" customHeight="1">
      <c r="C544" s="33"/>
      <c r="D544" s="21"/>
    </row>
    <row r="545" spans="3:4" ht="15.8" customHeight="1">
      <c r="C545" s="33"/>
      <c r="D545" s="21"/>
    </row>
    <row r="546" spans="3:4" ht="15.8" customHeight="1">
      <c r="C546" s="33"/>
      <c r="D546" s="21"/>
    </row>
    <row r="547" spans="3:4" ht="15.8" customHeight="1">
      <c r="C547" s="33"/>
      <c r="D547" s="21"/>
    </row>
    <row r="548" spans="3:4" ht="15.8" customHeight="1">
      <c r="C548" s="33"/>
      <c r="D548" s="21"/>
    </row>
    <row r="549" spans="3:4" ht="15.8" customHeight="1">
      <c r="C549" s="33"/>
      <c r="D549" s="21"/>
    </row>
    <row r="550" spans="3:4" ht="15.8" customHeight="1">
      <c r="C550" s="33"/>
      <c r="D550" s="21"/>
    </row>
    <row r="551" spans="3:4" ht="15.8" customHeight="1">
      <c r="C551" s="33"/>
      <c r="D551" s="21"/>
    </row>
    <row r="552" spans="3:4" ht="15.8" customHeight="1">
      <c r="C552" s="33"/>
      <c r="D552" s="21"/>
    </row>
    <row r="553" spans="3:4" ht="15.8" customHeight="1">
      <c r="C553" s="33"/>
      <c r="D553" s="21"/>
    </row>
    <row r="554" spans="3:4" ht="15.8" customHeight="1">
      <c r="C554" s="33"/>
      <c r="D554" s="21"/>
    </row>
    <row r="555" spans="3:4" ht="15.8" customHeight="1">
      <c r="C555" s="33"/>
      <c r="D555" s="21"/>
    </row>
    <row r="556" spans="3:4" ht="15.8" customHeight="1">
      <c r="C556" s="33"/>
      <c r="D556" s="21"/>
    </row>
    <row r="557" spans="3:4" ht="15.8" customHeight="1">
      <c r="C557" s="33"/>
      <c r="D557" s="21"/>
    </row>
    <row r="558" spans="3:4" ht="15.8" customHeight="1">
      <c r="C558" s="33"/>
      <c r="D558" s="21"/>
    </row>
    <row r="559" spans="3:4" ht="15.8" customHeight="1">
      <c r="C559" s="33"/>
      <c r="D559" s="21"/>
    </row>
    <row r="560" spans="3:4" ht="15.8" customHeight="1">
      <c r="C560" s="33"/>
      <c r="D560" s="21"/>
    </row>
    <row r="561" spans="3:4" ht="15.8" customHeight="1">
      <c r="C561" s="33"/>
      <c r="D561" s="21"/>
    </row>
    <row r="562" spans="3:4" ht="15.8" customHeight="1">
      <c r="C562" s="33"/>
      <c r="D562" s="21"/>
    </row>
    <row r="563" spans="3:4" ht="15.8" customHeight="1">
      <c r="C563" s="33"/>
      <c r="D563" s="21"/>
    </row>
    <row r="564" spans="3:4" ht="15.8" customHeight="1">
      <c r="C564" s="33"/>
      <c r="D564" s="21"/>
    </row>
    <row r="565" spans="3:4" ht="15.8" customHeight="1">
      <c r="C565" s="33"/>
      <c r="D565" s="21"/>
    </row>
    <row r="566" spans="3:4" ht="15.8" customHeight="1">
      <c r="C566" s="33"/>
      <c r="D566" s="21"/>
    </row>
    <row r="567" spans="3:4" ht="15.8" customHeight="1">
      <c r="C567" s="33"/>
      <c r="D567" s="21"/>
    </row>
    <row r="568" spans="3:4" ht="15.8" customHeight="1">
      <c r="C568" s="33"/>
      <c r="D568" s="21"/>
    </row>
    <row r="569" spans="3:4" ht="15.8" customHeight="1">
      <c r="C569" s="33"/>
      <c r="D569" s="21"/>
    </row>
    <row r="570" spans="3:4" ht="15.8" customHeight="1">
      <c r="C570" s="33"/>
      <c r="D570" s="21"/>
    </row>
    <row r="571" spans="3:4" ht="15.8" customHeight="1">
      <c r="C571" s="33"/>
      <c r="D571" s="21"/>
    </row>
    <row r="572" spans="3:4" ht="15.8" customHeight="1">
      <c r="C572" s="33"/>
      <c r="D572" s="21"/>
    </row>
    <row r="573" spans="3:4" ht="15.8" customHeight="1">
      <c r="C573" s="33"/>
      <c r="D573" s="21"/>
    </row>
    <row r="574" spans="3:4" ht="15.8" customHeight="1">
      <c r="C574" s="33"/>
      <c r="D574" s="21"/>
    </row>
    <row r="575" spans="3:4" ht="15.8" customHeight="1">
      <c r="C575" s="33"/>
      <c r="D575" s="21"/>
    </row>
    <row r="576" spans="3:4" ht="15.8" customHeight="1">
      <c r="C576" s="33"/>
      <c r="D576" s="21"/>
    </row>
    <row r="577" spans="3:4" ht="15.8" customHeight="1">
      <c r="C577" s="33"/>
      <c r="D577" s="21"/>
    </row>
    <row r="578" spans="3:4" ht="15.8" customHeight="1">
      <c r="C578" s="33"/>
      <c r="D578" s="21"/>
    </row>
    <row r="579" spans="3:4" ht="15.8" customHeight="1">
      <c r="C579" s="33"/>
      <c r="D579" s="21"/>
    </row>
    <row r="580" spans="3:4" ht="15.8" customHeight="1">
      <c r="C580" s="33"/>
      <c r="D580" s="21"/>
    </row>
    <row r="581" spans="3:4" ht="15.8" customHeight="1">
      <c r="C581" s="33"/>
      <c r="D581" s="21"/>
    </row>
    <row r="582" spans="3:4" ht="15.8" customHeight="1">
      <c r="C582" s="33"/>
      <c r="D582" s="21"/>
    </row>
    <row r="583" spans="3:4" ht="15.8" customHeight="1">
      <c r="C583" s="33"/>
      <c r="D583" s="21"/>
    </row>
    <row r="584" spans="3:4" ht="15.8" customHeight="1">
      <c r="C584" s="33"/>
      <c r="D584" s="21"/>
    </row>
    <row r="585" spans="3:4" ht="15.8" customHeight="1">
      <c r="C585" s="33"/>
      <c r="D585" s="21"/>
    </row>
    <row r="586" spans="3:4" ht="15.8" customHeight="1">
      <c r="C586" s="33"/>
      <c r="D586" s="21"/>
    </row>
    <row r="587" spans="3:4" ht="15.8" customHeight="1">
      <c r="C587" s="33"/>
      <c r="D587" s="21"/>
    </row>
    <row r="588" spans="3:4" ht="15.8" customHeight="1">
      <c r="C588" s="33"/>
      <c r="D588" s="21"/>
    </row>
    <row r="589" spans="3:4" ht="15.8" customHeight="1">
      <c r="C589" s="33"/>
      <c r="D589" s="21"/>
    </row>
    <row r="590" spans="3:4" ht="15.8" customHeight="1">
      <c r="C590" s="33"/>
      <c r="D590" s="21"/>
    </row>
    <row r="591" spans="3:4" ht="15.8" customHeight="1">
      <c r="C591" s="33"/>
      <c r="D591" s="21"/>
    </row>
    <row r="592" spans="3:4" ht="15.8" customHeight="1">
      <c r="C592" s="33"/>
      <c r="D592" s="21"/>
    </row>
    <row r="593" spans="3:4" ht="15.8" customHeight="1">
      <c r="C593" s="33"/>
      <c r="D593" s="21"/>
    </row>
    <row r="594" spans="3:4" ht="15.8" customHeight="1">
      <c r="C594" s="33"/>
      <c r="D594" s="21"/>
    </row>
    <row r="595" spans="3:4" ht="15.8" customHeight="1">
      <c r="C595" s="33"/>
      <c r="D595" s="21"/>
    </row>
    <row r="596" spans="3:4" ht="15.8" customHeight="1">
      <c r="C596" s="33"/>
      <c r="D596" s="21"/>
    </row>
    <row r="597" spans="3:4" ht="15.8" customHeight="1">
      <c r="C597" s="33"/>
      <c r="D597" s="21"/>
    </row>
    <row r="598" spans="3:4" ht="15.8" customHeight="1">
      <c r="C598" s="33"/>
      <c r="D598" s="21"/>
    </row>
    <row r="599" spans="3:4" ht="15.8" customHeight="1">
      <c r="C599" s="33"/>
      <c r="D599" s="21"/>
    </row>
    <row r="600" spans="3:4" ht="15.8" customHeight="1">
      <c r="C600" s="33"/>
      <c r="D600" s="21"/>
    </row>
    <row r="601" spans="3:4" ht="15.8" customHeight="1">
      <c r="C601" s="33"/>
      <c r="D601" s="21"/>
    </row>
    <row r="602" spans="3:4" ht="15.8" customHeight="1">
      <c r="C602" s="33"/>
      <c r="D602" s="21"/>
    </row>
    <row r="603" spans="3:4" ht="15.8" customHeight="1">
      <c r="C603" s="33"/>
      <c r="D603" s="21"/>
    </row>
    <row r="604" spans="3:4" ht="15.8" customHeight="1">
      <c r="C604" s="33"/>
      <c r="D604" s="21"/>
    </row>
    <row r="605" spans="3:4" ht="15.8" customHeight="1">
      <c r="C605" s="33"/>
      <c r="D605" s="21"/>
    </row>
    <row r="606" spans="3:4" ht="15.8" customHeight="1">
      <c r="C606" s="33"/>
      <c r="D606" s="21"/>
    </row>
    <row r="607" spans="3:4" ht="15.8" customHeight="1">
      <c r="C607" s="33"/>
      <c r="D607" s="21"/>
    </row>
    <row r="608" spans="3:4" ht="15.8" customHeight="1">
      <c r="C608" s="33"/>
      <c r="D608" s="21"/>
    </row>
    <row r="609" spans="3:4" ht="15.8" customHeight="1">
      <c r="C609" s="33"/>
      <c r="D609" s="21"/>
    </row>
    <row r="610" spans="3:4" ht="15.8" customHeight="1">
      <c r="C610" s="33"/>
      <c r="D610" s="21"/>
    </row>
    <row r="611" spans="3:4" ht="15.8" customHeight="1">
      <c r="C611" s="33"/>
      <c r="D611" s="21"/>
    </row>
    <row r="612" spans="3:4" ht="15.8" customHeight="1">
      <c r="C612" s="33"/>
      <c r="D612" s="21"/>
    </row>
    <row r="613" spans="3:4" ht="15.8" customHeight="1">
      <c r="C613" s="33"/>
      <c r="D613" s="21"/>
    </row>
    <row r="614" spans="3:4" ht="15.8" customHeight="1">
      <c r="C614" s="33"/>
      <c r="D614" s="21"/>
    </row>
    <row r="615" spans="3:4" ht="15.8" customHeight="1">
      <c r="C615" s="33"/>
      <c r="D615" s="21"/>
    </row>
    <row r="616" spans="3:4" ht="15.8" customHeight="1">
      <c r="C616" s="33"/>
      <c r="D616" s="21"/>
    </row>
    <row r="617" spans="3:4" ht="15.8" customHeight="1">
      <c r="C617" s="33"/>
      <c r="D617" s="21"/>
    </row>
    <row r="618" spans="3:4" ht="15.8" customHeight="1">
      <c r="C618" s="33"/>
      <c r="D618" s="21"/>
    </row>
    <row r="619" spans="3:4" ht="15.8" customHeight="1">
      <c r="C619" s="33"/>
      <c r="D619" s="21"/>
    </row>
    <row r="620" spans="3:4" ht="15.8" customHeight="1">
      <c r="C620" s="33"/>
      <c r="D620" s="21"/>
    </row>
    <row r="621" spans="3:4" ht="15.8" customHeight="1">
      <c r="C621" s="33"/>
      <c r="D621" s="21"/>
    </row>
    <row r="622" spans="3:4" ht="15.8" customHeight="1">
      <c r="C622" s="33"/>
      <c r="D622" s="21"/>
    </row>
    <row r="623" spans="3:4" ht="15.8" customHeight="1">
      <c r="C623" s="33"/>
      <c r="D623" s="21"/>
    </row>
    <row r="624" spans="3:4" ht="15.8" customHeight="1">
      <c r="C624" s="33"/>
      <c r="D624" s="21"/>
    </row>
    <row r="625" spans="3:4" ht="15.8" customHeight="1">
      <c r="C625" s="33"/>
      <c r="D625" s="21"/>
    </row>
    <row r="626" spans="3:4" ht="15.8" customHeight="1">
      <c r="C626" s="33"/>
      <c r="D626" s="21"/>
    </row>
    <row r="627" spans="3:4" ht="15.8" customHeight="1">
      <c r="C627" s="33"/>
      <c r="D627" s="21"/>
    </row>
    <row r="628" spans="3:4" ht="15.8" customHeight="1">
      <c r="C628" s="33"/>
      <c r="D628" s="21"/>
    </row>
    <row r="629" spans="3:4" ht="15.8" customHeight="1">
      <c r="C629" s="33"/>
      <c r="D629" s="21"/>
    </row>
    <row r="630" spans="3:4" ht="15.8" customHeight="1">
      <c r="C630" s="33"/>
      <c r="D630" s="21"/>
    </row>
    <row r="631" spans="3:4" ht="15.8" customHeight="1">
      <c r="C631" s="33"/>
      <c r="D631" s="21"/>
    </row>
    <row r="632" spans="3:4" ht="15.8" customHeight="1">
      <c r="C632" s="33"/>
      <c r="D632" s="21"/>
    </row>
    <row r="633" spans="3:4" ht="15.8" customHeight="1">
      <c r="C633" s="33"/>
      <c r="D633" s="21"/>
    </row>
    <row r="634" spans="3:4" ht="15.8" customHeight="1">
      <c r="C634" s="33"/>
      <c r="D634" s="21"/>
    </row>
    <row r="635" spans="3:4" ht="15.8" customHeight="1">
      <c r="C635" s="33"/>
      <c r="D635" s="21"/>
    </row>
    <row r="636" spans="3:4" ht="15.8" customHeight="1">
      <c r="C636" s="33"/>
      <c r="D636" s="21"/>
    </row>
    <row r="637" spans="3:4" ht="15.8" customHeight="1">
      <c r="C637" s="33"/>
      <c r="D637" s="21"/>
    </row>
    <row r="638" spans="3:4" ht="15.8" customHeight="1">
      <c r="C638" s="33"/>
      <c r="D638" s="21"/>
    </row>
    <row r="639" spans="3:4" ht="15.8" customHeight="1">
      <c r="C639" s="33"/>
      <c r="D639" s="21"/>
    </row>
    <row r="640" spans="3:4" ht="15.8" customHeight="1">
      <c r="C640" s="33"/>
      <c r="D640" s="21"/>
    </row>
    <row r="641" spans="3:4" ht="15.8" customHeight="1">
      <c r="C641" s="33"/>
      <c r="D641" s="21"/>
    </row>
    <row r="642" spans="3:4" ht="15.8" customHeight="1">
      <c r="C642" s="33"/>
      <c r="D642" s="21"/>
    </row>
    <row r="643" spans="3:4" ht="15.8" customHeight="1">
      <c r="C643" s="33"/>
      <c r="D643" s="21"/>
    </row>
    <row r="644" spans="3:4" ht="15.8" customHeight="1">
      <c r="C644" s="33"/>
      <c r="D644" s="21"/>
    </row>
    <row r="645" spans="3:4" ht="15.8" customHeight="1">
      <c r="C645" s="33"/>
      <c r="D645" s="21"/>
    </row>
    <row r="646" spans="3:4" ht="15.8" customHeight="1">
      <c r="C646" s="33"/>
      <c r="D646" s="21"/>
    </row>
    <row r="647" spans="3:4" ht="15.8" customHeight="1">
      <c r="C647" s="33"/>
      <c r="D647" s="21"/>
    </row>
    <row r="648" spans="3:4" ht="15.8" customHeight="1">
      <c r="C648" s="33"/>
      <c r="D648" s="21"/>
    </row>
    <row r="649" spans="3:4" ht="15.8" customHeight="1">
      <c r="C649" s="33"/>
      <c r="D649" s="21"/>
    </row>
    <row r="650" spans="3:4" ht="15.8" customHeight="1">
      <c r="C650" s="33"/>
      <c r="D650" s="21"/>
    </row>
    <row r="651" spans="3:4" ht="15.8" customHeight="1">
      <c r="C651" s="33"/>
      <c r="D651" s="21"/>
    </row>
    <row r="652" spans="3:4" ht="15.8" customHeight="1">
      <c r="C652" s="33"/>
      <c r="D652" s="21"/>
    </row>
    <row r="653" spans="3:4" ht="15.8" customHeight="1">
      <c r="C653" s="33"/>
      <c r="D653" s="21"/>
    </row>
    <row r="654" spans="3:4" ht="15.8" customHeight="1">
      <c r="C654" s="33"/>
      <c r="D654" s="21"/>
    </row>
    <row r="655" spans="3:4" ht="15.8" customHeight="1">
      <c r="C655" s="33"/>
      <c r="D655" s="21"/>
    </row>
    <row r="656" spans="3:4" ht="15.8" customHeight="1">
      <c r="C656" s="33"/>
      <c r="D656" s="21"/>
    </row>
    <row r="657" spans="3:4" ht="15.8" customHeight="1">
      <c r="C657" s="33"/>
      <c r="D657" s="21"/>
    </row>
    <row r="658" spans="3:4" ht="15.8" customHeight="1">
      <c r="C658" s="33"/>
      <c r="D658" s="21"/>
    </row>
    <row r="659" spans="3:4" ht="15.8" customHeight="1">
      <c r="C659" s="33"/>
      <c r="D659" s="21"/>
    </row>
    <row r="660" spans="3:4" ht="15.8" customHeight="1">
      <c r="C660" s="33"/>
      <c r="D660" s="21"/>
    </row>
    <row r="661" spans="3:4" ht="15.8" customHeight="1">
      <c r="C661" s="33"/>
      <c r="D661" s="21"/>
    </row>
    <row r="662" spans="3:4" ht="15.8" customHeight="1">
      <c r="C662" s="33"/>
      <c r="D662" s="21"/>
    </row>
    <row r="663" spans="3:4" ht="15.8" customHeight="1">
      <c r="C663" s="33"/>
      <c r="D663" s="21"/>
    </row>
    <row r="664" spans="3:4" ht="15.8" customHeight="1">
      <c r="C664" s="33"/>
      <c r="D664" s="21"/>
    </row>
    <row r="665" spans="3:4" ht="15.8" customHeight="1">
      <c r="C665" s="33"/>
      <c r="D665" s="21"/>
    </row>
    <row r="666" spans="3:4" ht="15.8" customHeight="1">
      <c r="C666" s="33"/>
      <c r="D666" s="21"/>
    </row>
    <row r="667" spans="3:4" ht="15.8" customHeight="1">
      <c r="C667" s="33"/>
      <c r="D667" s="21"/>
    </row>
    <row r="668" spans="3:4" ht="15.8" customHeight="1">
      <c r="C668" s="33"/>
      <c r="D668" s="21"/>
    </row>
    <row r="669" spans="3:4" ht="15.8" customHeight="1">
      <c r="C669" s="33"/>
      <c r="D669" s="21"/>
    </row>
    <row r="670" spans="3:4" ht="15.8" customHeight="1">
      <c r="C670" s="33"/>
      <c r="D670" s="21"/>
    </row>
    <row r="671" spans="3:4" ht="15.8" customHeight="1">
      <c r="C671" s="33"/>
      <c r="D671" s="21"/>
    </row>
    <row r="672" spans="3:4" ht="15.8" customHeight="1">
      <c r="C672" s="33"/>
      <c r="D672" s="21"/>
    </row>
    <row r="673" spans="3:4" ht="15.8" customHeight="1">
      <c r="C673" s="33"/>
      <c r="D673" s="21"/>
    </row>
    <row r="674" spans="3:4" ht="15.8" customHeight="1">
      <c r="C674" s="33"/>
      <c r="D674" s="21"/>
    </row>
    <row r="675" spans="3:4" ht="15.8" customHeight="1">
      <c r="C675" s="33"/>
      <c r="D675" s="21"/>
    </row>
    <row r="676" spans="3:4" ht="15.8" customHeight="1">
      <c r="C676" s="33"/>
      <c r="D676" s="21"/>
    </row>
    <row r="677" spans="3:4" ht="15.8" customHeight="1">
      <c r="C677" s="33"/>
      <c r="D677" s="21"/>
    </row>
    <row r="678" spans="3:4" ht="15.8" customHeight="1">
      <c r="C678" s="33"/>
      <c r="D678" s="21"/>
    </row>
    <row r="679" spans="3:4" ht="15.8" customHeight="1">
      <c r="C679" s="33"/>
      <c r="D679" s="21"/>
    </row>
    <row r="680" spans="3:4" ht="15.8" customHeight="1">
      <c r="C680" s="33"/>
      <c r="D680" s="21"/>
    </row>
    <row r="681" spans="3:4" ht="15.8" customHeight="1">
      <c r="C681" s="33"/>
      <c r="D681" s="21"/>
    </row>
    <row r="682" spans="3:4" ht="15.8" customHeight="1">
      <c r="C682" s="33"/>
      <c r="D682" s="21"/>
    </row>
    <row r="683" spans="3:4" ht="15.8" customHeight="1">
      <c r="C683" s="33"/>
      <c r="D683" s="21"/>
    </row>
    <row r="684" spans="3:4" ht="15.8" customHeight="1">
      <c r="C684" s="33"/>
      <c r="D684" s="21"/>
    </row>
    <row r="685" spans="3:4" ht="15.8" customHeight="1">
      <c r="C685" s="33"/>
      <c r="D685" s="21"/>
    </row>
    <row r="686" spans="3:4" ht="15.8" customHeight="1">
      <c r="C686" s="33"/>
      <c r="D686" s="21"/>
    </row>
    <row r="687" spans="3:4" ht="15.8" customHeight="1">
      <c r="C687" s="33"/>
      <c r="D687" s="21"/>
    </row>
    <row r="688" spans="3:4" ht="15.8" customHeight="1">
      <c r="C688" s="33"/>
      <c r="D688" s="21"/>
    </row>
    <row r="689" spans="3:4" ht="15.8" customHeight="1">
      <c r="C689" s="33"/>
      <c r="D689" s="21"/>
    </row>
    <row r="690" spans="3:4" ht="15.8" customHeight="1">
      <c r="C690" s="33"/>
      <c r="D690" s="21"/>
    </row>
    <row r="691" spans="3:4" ht="15.8" customHeight="1">
      <c r="C691" s="33"/>
      <c r="D691" s="21"/>
    </row>
    <row r="692" spans="3:4" ht="15.8" customHeight="1">
      <c r="C692" s="33"/>
      <c r="D692" s="21"/>
    </row>
    <row r="693" spans="3:4" ht="15.8" customHeight="1">
      <c r="C693" s="33"/>
      <c r="D693" s="21"/>
    </row>
    <row r="694" spans="3:4" ht="15.8" customHeight="1">
      <c r="C694" s="33"/>
      <c r="D694" s="21"/>
    </row>
    <row r="695" spans="3:4" ht="15.8" customHeight="1">
      <c r="C695" s="33"/>
      <c r="D695" s="21"/>
    </row>
    <row r="696" spans="3:4" ht="15.8" customHeight="1">
      <c r="C696" s="33"/>
      <c r="D696" s="21"/>
    </row>
    <row r="697" spans="3:4" ht="15.8" customHeight="1">
      <c r="C697" s="33"/>
      <c r="D697" s="21"/>
    </row>
    <row r="698" spans="3:4" ht="15.8" customHeight="1">
      <c r="C698" s="33"/>
      <c r="D698" s="21"/>
    </row>
    <row r="699" spans="3:4" ht="15.8" customHeight="1">
      <c r="C699" s="33"/>
      <c r="D699" s="21"/>
    </row>
    <row r="700" spans="3:4" ht="15.8" customHeight="1">
      <c r="C700" s="33"/>
      <c r="D700" s="21"/>
    </row>
    <row r="701" spans="3:4" ht="15.8" customHeight="1">
      <c r="C701" s="33"/>
      <c r="D701" s="21"/>
    </row>
    <row r="702" spans="3:4" ht="15.8" customHeight="1">
      <c r="C702" s="33"/>
      <c r="D702" s="21"/>
    </row>
    <row r="703" spans="3:4" ht="15.8" customHeight="1">
      <c r="C703" s="33"/>
      <c r="D703" s="21"/>
    </row>
    <row r="704" spans="3:4" ht="15.8" customHeight="1">
      <c r="C704" s="33"/>
      <c r="D704" s="21"/>
    </row>
    <row r="705" spans="3:4" ht="15.8" customHeight="1">
      <c r="C705" s="33"/>
      <c r="D705" s="21"/>
    </row>
    <row r="706" spans="3:4" ht="15.8" customHeight="1">
      <c r="C706" s="33"/>
      <c r="D706" s="21"/>
    </row>
    <row r="707" spans="3:4" ht="15.8" customHeight="1">
      <c r="C707" s="33"/>
      <c r="D707" s="21"/>
    </row>
    <row r="708" spans="3:4" ht="15.8" customHeight="1">
      <c r="C708" s="33"/>
      <c r="D708" s="21"/>
    </row>
    <row r="709" spans="3:4" ht="15.8" customHeight="1">
      <c r="C709" s="33"/>
      <c r="D709" s="21"/>
    </row>
    <row r="710" spans="3:4" ht="15.8" customHeight="1">
      <c r="C710" s="33"/>
      <c r="D710" s="21"/>
    </row>
    <row r="711" spans="3:4" ht="15.8" customHeight="1">
      <c r="C711" s="33"/>
      <c r="D711" s="21"/>
    </row>
    <row r="712" spans="3:4" ht="15.8" customHeight="1">
      <c r="C712" s="33"/>
      <c r="D712" s="21"/>
    </row>
    <row r="713" spans="3:4" ht="15.8" customHeight="1">
      <c r="C713" s="33"/>
      <c r="D713" s="21"/>
    </row>
    <row r="714" spans="3:4" ht="15.8" customHeight="1">
      <c r="C714" s="33"/>
      <c r="D714" s="21"/>
    </row>
    <row r="715" spans="3:4" ht="15.8" customHeight="1">
      <c r="C715" s="33"/>
      <c r="D715" s="21"/>
    </row>
    <row r="716" spans="3:4" ht="15.8" customHeight="1">
      <c r="C716" s="33"/>
      <c r="D716" s="21"/>
    </row>
    <row r="717" spans="3:4" ht="15.8" customHeight="1">
      <c r="C717" s="33"/>
      <c r="D717" s="21"/>
    </row>
    <row r="718" spans="3:4" ht="15.8" customHeight="1">
      <c r="C718" s="33"/>
      <c r="D718" s="21"/>
    </row>
    <row r="719" spans="3:4" ht="15.8" customHeight="1">
      <c r="C719" s="33"/>
      <c r="D719" s="21"/>
    </row>
    <row r="720" spans="3:4" ht="15.8" customHeight="1">
      <c r="C720" s="33"/>
      <c r="D720" s="21"/>
    </row>
    <row r="721" spans="3:4" ht="15.8" customHeight="1">
      <c r="C721" s="33"/>
      <c r="D721" s="21"/>
    </row>
    <row r="722" spans="3:4" ht="15.8" customHeight="1">
      <c r="C722" s="33"/>
      <c r="D722" s="21"/>
    </row>
    <row r="723" spans="3:4" ht="15.8" customHeight="1">
      <c r="C723" s="33"/>
      <c r="D723" s="21"/>
    </row>
    <row r="724" spans="3:4" ht="15.8" customHeight="1">
      <c r="C724" s="33"/>
      <c r="D724" s="21"/>
    </row>
    <row r="725" spans="3:4" ht="15.8" customHeight="1">
      <c r="C725" s="33"/>
      <c r="D725" s="21"/>
    </row>
    <row r="726" spans="3:4" ht="15.8" customHeight="1">
      <c r="C726" s="33"/>
      <c r="D726" s="21"/>
    </row>
    <row r="727" spans="3:4" ht="15.8" customHeight="1">
      <c r="C727" s="33"/>
      <c r="D727" s="21"/>
    </row>
    <row r="728" spans="3:4" ht="15.8" customHeight="1">
      <c r="C728" s="33"/>
      <c r="D728" s="21"/>
    </row>
    <row r="729" spans="3:4" ht="15.8" customHeight="1">
      <c r="C729" s="33"/>
      <c r="D729" s="21"/>
    </row>
    <row r="730" spans="3:4" ht="15.8" customHeight="1">
      <c r="C730" s="33"/>
      <c r="D730" s="21"/>
    </row>
    <row r="731" spans="3:4" ht="15.8" customHeight="1">
      <c r="C731" s="33"/>
      <c r="D731" s="21"/>
    </row>
    <row r="732" spans="3:4" ht="15.8" customHeight="1">
      <c r="C732" s="33"/>
      <c r="D732" s="21"/>
    </row>
    <row r="733" spans="3:4" ht="15.8" customHeight="1">
      <c r="C733" s="33"/>
      <c r="D733" s="21"/>
    </row>
    <row r="734" spans="3:4" ht="15.8" customHeight="1">
      <c r="C734" s="33"/>
      <c r="D734" s="21"/>
    </row>
    <row r="735" spans="3:4" ht="15.8" customHeight="1">
      <c r="C735" s="33"/>
      <c r="D735" s="21"/>
    </row>
    <row r="736" spans="3:4" ht="15.8" customHeight="1">
      <c r="C736" s="33"/>
      <c r="D736" s="21"/>
    </row>
    <row r="737" spans="3:4" ht="15.8" customHeight="1">
      <c r="C737" s="33"/>
      <c r="D737" s="21"/>
    </row>
    <row r="738" spans="3:4" ht="15.8" customHeight="1">
      <c r="C738" s="33"/>
      <c r="D738" s="21"/>
    </row>
    <row r="739" spans="3:4" ht="15.8" customHeight="1">
      <c r="C739" s="33"/>
      <c r="D739" s="21"/>
    </row>
    <row r="740" spans="3:4" ht="15.8" customHeight="1">
      <c r="C740" s="33"/>
      <c r="D740" s="21"/>
    </row>
    <row r="741" spans="3:4" ht="15.8" customHeight="1">
      <c r="C741" s="33"/>
      <c r="D741" s="21"/>
    </row>
    <row r="742" spans="3:4" ht="15.8" customHeight="1">
      <c r="C742" s="33"/>
      <c r="D742" s="21"/>
    </row>
    <row r="743" spans="3:4" ht="15.8" customHeight="1">
      <c r="C743" s="33"/>
      <c r="D743" s="21"/>
    </row>
    <row r="744" spans="3:4" ht="15.8" customHeight="1">
      <c r="C744" s="33"/>
      <c r="D744" s="21"/>
    </row>
    <row r="745" spans="3:4" ht="15.8" customHeight="1">
      <c r="C745" s="33"/>
      <c r="D745" s="21"/>
    </row>
    <row r="746" spans="3:4" ht="15.8" customHeight="1">
      <c r="C746" s="33"/>
      <c r="D746" s="21"/>
    </row>
    <row r="747" spans="3:4" ht="15.8" customHeight="1">
      <c r="C747" s="33"/>
      <c r="D747" s="21"/>
    </row>
    <row r="748" spans="3:4" ht="15.8" customHeight="1">
      <c r="C748" s="33"/>
      <c r="D748" s="21"/>
    </row>
    <row r="749" spans="3:4" ht="15.8" customHeight="1">
      <c r="C749" s="33"/>
      <c r="D749" s="21"/>
    </row>
    <row r="750" spans="3:4" ht="15.8" customHeight="1">
      <c r="C750" s="33"/>
      <c r="D750" s="21"/>
    </row>
    <row r="751" spans="3:4" ht="15.8" customHeight="1">
      <c r="C751" s="33"/>
      <c r="D751" s="21"/>
    </row>
    <row r="752" spans="3:4" ht="15.8" customHeight="1">
      <c r="C752" s="33"/>
      <c r="D752" s="21"/>
    </row>
    <row r="753" spans="3:4" ht="15.8" customHeight="1">
      <c r="C753" s="33"/>
      <c r="D753" s="21"/>
    </row>
    <row r="754" spans="3:4" ht="15.8" customHeight="1">
      <c r="C754" s="33"/>
      <c r="D754" s="21"/>
    </row>
    <row r="755" spans="3:4" ht="15.8" customHeight="1">
      <c r="C755" s="33"/>
      <c r="D755" s="21"/>
    </row>
    <row r="756" spans="3:4" ht="15.8" customHeight="1">
      <c r="C756" s="33"/>
      <c r="D756" s="21"/>
    </row>
    <row r="757" spans="3:4" ht="15.8" customHeight="1">
      <c r="C757" s="33"/>
      <c r="D757" s="21"/>
    </row>
    <row r="758" spans="3:4" ht="15.8" customHeight="1">
      <c r="C758" s="33"/>
      <c r="D758" s="21"/>
    </row>
    <row r="759" spans="3:4" ht="15.8" customHeight="1">
      <c r="C759" s="33"/>
      <c r="D759" s="21"/>
    </row>
    <row r="760" spans="3:4" ht="15.8" customHeight="1">
      <c r="C760" s="33"/>
      <c r="D760" s="21"/>
    </row>
    <row r="761" spans="3:4" ht="15.8" customHeight="1">
      <c r="C761" s="33"/>
      <c r="D761" s="21"/>
    </row>
    <row r="762" spans="3:4" ht="15.8" customHeight="1">
      <c r="C762" s="33"/>
      <c r="D762" s="21"/>
    </row>
    <row r="763" spans="3:4" ht="15.8" customHeight="1">
      <c r="C763" s="33"/>
      <c r="D763" s="21"/>
    </row>
    <row r="764" spans="3:4" ht="15.8" customHeight="1">
      <c r="C764" s="33"/>
      <c r="D764" s="21"/>
    </row>
    <row r="765" spans="3:4" ht="15.8" customHeight="1">
      <c r="C765" s="33"/>
      <c r="D765" s="21"/>
    </row>
    <row r="766" spans="3:4" ht="15.8" customHeight="1">
      <c r="C766" s="33"/>
      <c r="D766" s="21"/>
    </row>
    <row r="767" spans="3:4" ht="15.8" customHeight="1">
      <c r="C767" s="33"/>
      <c r="D767" s="21"/>
    </row>
    <row r="768" spans="3:4" ht="15.8" customHeight="1">
      <c r="C768" s="33"/>
      <c r="D768" s="21"/>
    </row>
    <row r="769" spans="3:4" ht="15.8" customHeight="1">
      <c r="C769" s="33"/>
      <c r="D769" s="21"/>
    </row>
    <row r="770" spans="3:4" ht="15.8" customHeight="1">
      <c r="C770" s="33"/>
      <c r="D770" s="21"/>
    </row>
    <row r="771" spans="3:4" ht="15.8" customHeight="1">
      <c r="C771" s="33"/>
      <c r="D771" s="21"/>
    </row>
    <row r="772" spans="3:4" ht="15.8" customHeight="1">
      <c r="C772" s="33"/>
      <c r="D772" s="21"/>
    </row>
    <row r="773" spans="3:4" ht="15.8" customHeight="1">
      <c r="C773" s="33"/>
      <c r="D773" s="21"/>
    </row>
    <row r="774" spans="3:4" ht="15.8" customHeight="1">
      <c r="C774" s="33"/>
      <c r="D774" s="21"/>
    </row>
    <row r="775" spans="3:4" ht="15.8" customHeight="1">
      <c r="C775" s="33"/>
      <c r="D775" s="21"/>
    </row>
    <row r="776" spans="3:4" ht="15.8" customHeight="1">
      <c r="C776" s="33"/>
      <c r="D776" s="21"/>
    </row>
    <row r="777" spans="3:4" ht="15.8" customHeight="1">
      <c r="C777" s="33"/>
      <c r="D777" s="21"/>
    </row>
    <row r="778" spans="3:4" ht="15.8" customHeight="1">
      <c r="C778" s="33"/>
      <c r="D778" s="21"/>
    </row>
    <row r="779" spans="3:4" ht="15.8" customHeight="1">
      <c r="C779" s="33"/>
      <c r="D779" s="21"/>
    </row>
    <row r="780" spans="3:4" ht="15.8" customHeight="1">
      <c r="C780" s="33"/>
      <c r="D780" s="21"/>
    </row>
    <row r="781" spans="3:4" ht="15.8" customHeight="1">
      <c r="C781" s="33"/>
      <c r="D781" s="21"/>
    </row>
    <row r="782" spans="3:4" ht="15.8" customHeight="1">
      <c r="C782" s="33"/>
      <c r="D782" s="21"/>
    </row>
    <row r="783" spans="3:4" ht="15.8" customHeight="1">
      <c r="C783" s="33"/>
      <c r="D783" s="21"/>
    </row>
    <row r="784" spans="3:4" ht="15.8" customHeight="1">
      <c r="C784" s="33"/>
      <c r="D784" s="21"/>
    </row>
    <row r="785" spans="3:4" ht="15.8" customHeight="1">
      <c r="C785" s="33"/>
      <c r="D785" s="21"/>
    </row>
    <row r="786" spans="3:4" ht="15.8" customHeight="1">
      <c r="C786" s="33"/>
      <c r="D786" s="21"/>
    </row>
    <row r="787" spans="3:4" ht="15.8" customHeight="1">
      <c r="C787" s="33"/>
      <c r="D787" s="21"/>
    </row>
    <row r="788" spans="3:4" ht="15.8" customHeight="1">
      <c r="C788" s="33"/>
      <c r="D788" s="21"/>
    </row>
    <row r="789" spans="3:4" ht="15.8" customHeight="1">
      <c r="C789" s="33"/>
      <c r="D789" s="21"/>
    </row>
    <row r="790" spans="3:4" ht="15.8" customHeight="1">
      <c r="C790" s="33"/>
      <c r="D790" s="21"/>
    </row>
    <row r="791" spans="3:4" ht="15.8" customHeight="1">
      <c r="C791" s="33"/>
      <c r="D791" s="21"/>
    </row>
    <row r="792" spans="3:4" ht="15.8" customHeight="1">
      <c r="C792" s="33"/>
      <c r="D792" s="21"/>
    </row>
    <row r="793" spans="3:4" ht="15.8" customHeight="1">
      <c r="C793" s="33"/>
      <c r="D793" s="21"/>
    </row>
    <row r="794" spans="3:4" ht="15.8" customHeight="1">
      <c r="C794" s="33"/>
      <c r="D794" s="21"/>
    </row>
    <row r="795" spans="3:4" ht="15.8" customHeight="1">
      <c r="C795" s="33"/>
      <c r="D795" s="21"/>
    </row>
    <row r="796" spans="3:4" ht="15.8" customHeight="1">
      <c r="C796" s="33"/>
      <c r="D796" s="21"/>
    </row>
    <row r="797" spans="3:4" ht="15.8" customHeight="1">
      <c r="C797" s="33"/>
      <c r="D797" s="21"/>
    </row>
    <row r="798" spans="3:4" ht="15.8" customHeight="1">
      <c r="C798" s="33"/>
      <c r="D798" s="21"/>
    </row>
    <row r="799" spans="3:4" ht="15.8" customHeight="1">
      <c r="C799" s="33"/>
      <c r="D799" s="21"/>
    </row>
    <row r="800" spans="3:4" ht="15.8" customHeight="1">
      <c r="C800" s="33"/>
      <c r="D800" s="21"/>
    </row>
    <row r="801" spans="3:4" ht="15.8" customHeight="1">
      <c r="C801" s="33"/>
      <c r="D801" s="21"/>
    </row>
    <row r="802" spans="3:4" ht="15.8" customHeight="1">
      <c r="C802" s="33"/>
      <c r="D802" s="21"/>
    </row>
    <row r="803" spans="3:4" ht="15.8" customHeight="1">
      <c r="C803" s="33"/>
      <c r="D803" s="21"/>
    </row>
    <row r="804" spans="3:4" ht="15.8" customHeight="1">
      <c r="C804" s="33"/>
      <c r="D804" s="21"/>
    </row>
    <row r="805" spans="3:4" ht="15.8" customHeight="1">
      <c r="C805" s="33"/>
      <c r="D805" s="21"/>
    </row>
    <row r="806" spans="3:4" ht="15.8" customHeight="1">
      <c r="C806" s="33"/>
      <c r="D806" s="21"/>
    </row>
    <row r="807" spans="3:4" ht="15.8" customHeight="1">
      <c r="C807" s="33"/>
      <c r="D807" s="21"/>
    </row>
    <row r="808" spans="3:4" ht="15.8" customHeight="1">
      <c r="C808" s="33"/>
      <c r="D808" s="21"/>
    </row>
    <row r="809" spans="3:4" ht="15.8" customHeight="1">
      <c r="C809" s="33"/>
      <c r="D809" s="21"/>
    </row>
    <row r="810" spans="3:4" ht="15.8" customHeight="1">
      <c r="C810" s="33"/>
      <c r="D810" s="21"/>
    </row>
    <row r="811" spans="3:4" ht="15.8" customHeight="1">
      <c r="C811" s="33"/>
      <c r="D811" s="21"/>
    </row>
    <row r="812" spans="3:4" ht="15.8" customHeight="1">
      <c r="C812" s="33"/>
      <c r="D812" s="21"/>
    </row>
    <row r="813" spans="3:4" ht="15.8" customHeight="1">
      <c r="C813" s="33"/>
      <c r="D813" s="21"/>
    </row>
    <row r="814" spans="3:4" ht="15.8" customHeight="1">
      <c r="C814" s="33"/>
      <c r="D814" s="21"/>
    </row>
    <row r="815" spans="3:4" ht="15.8" customHeight="1">
      <c r="C815" s="33"/>
      <c r="D815" s="21"/>
    </row>
    <row r="816" spans="3:4" ht="15.8" customHeight="1">
      <c r="C816" s="33"/>
      <c r="D816" s="21"/>
    </row>
    <row r="817" spans="3:4" ht="15.8" customHeight="1">
      <c r="C817" s="33"/>
      <c r="D817" s="21"/>
    </row>
    <row r="818" spans="3:4" ht="15.8" customHeight="1">
      <c r="C818" s="33"/>
      <c r="D818" s="21"/>
    </row>
    <row r="819" spans="3:4" ht="15.8" customHeight="1">
      <c r="C819" s="33"/>
      <c r="D819" s="21"/>
    </row>
    <row r="820" spans="3:4" ht="15.8" customHeight="1">
      <c r="C820" s="33"/>
      <c r="D820" s="21"/>
    </row>
    <row r="821" spans="3:4" ht="15.8" customHeight="1">
      <c r="C821" s="33"/>
      <c r="D821" s="21"/>
    </row>
    <row r="822" spans="3:4" ht="15.8" customHeight="1">
      <c r="C822" s="33"/>
      <c r="D822" s="21"/>
    </row>
    <row r="823" spans="3:4" ht="15.8" customHeight="1">
      <c r="C823" s="33"/>
      <c r="D823" s="21"/>
    </row>
    <row r="824" spans="3:4" ht="15.8" customHeight="1">
      <c r="C824" s="33"/>
      <c r="D824" s="21"/>
    </row>
    <row r="825" spans="3:4" ht="15.8" customHeight="1">
      <c r="C825" s="33"/>
      <c r="D825" s="21"/>
    </row>
    <row r="826" spans="3:4" ht="15.8" customHeight="1">
      <c r="C826" s="33"/>
      <c r="D826" s="21"/>
    </row>
    <row r="827" spans="3:4" ht="15.8" customHeight="1">
      <c r="C827" s="33"/>
      <c r="D827" s="21"/>
    </row>
    <row r="828" spans="3:4" ht="15.8" customHeight="1">
      <c r="C828" s="33"/>
      <c r="D828" s="21"/>
    </row>
    <row r="829" spans="3:4" ht="15.8" customHeight="1">
      <c r="C829" s="33"/>
      <c r="D829" s="21"/>
    </row>
    <row r="830" spans="3:4" ht="15.8" customHeight="1">
      <c r="C830" s="33"/>
      <c r="D830" s="21"/>
    </row>
    <row r="831" spans="3:4" ht="15.8" customHeight="1">
      <c r="C831" s="33"/>
      <c r="D831" s="21"/>
    </row>
    <row r="832" spans="3:4" ht="15.8" customHeight="1">
      <c r="C832" s="33"/>
      <c r="D832" s="21"/>
    </row>
    <row r="833" spans="3:4" ht="15.8" customHeight="1">
      <c r="C833" s="33"/>
      <c r="D833" s="21"/>
    </row>
    <row r="834" spans="3:4" ht="15.8" customHeight="1">
      <c r="C834" s="33"/>
      <c r="D834" s="21"/>
    </row>
    <row r="835" spans="3:4" ht="15.8" customHeight="1">
      <c r="C835" s="33"/>
      <c r="D835" s="21"/>
    </row>
    <row r="836" spans="3:4" ht="15.8" customHeight="1">
      <c r="C836" s="33"/>
      <c r="D836" s="21"/>
    </row>
    <row r="837" spans="3:4" ht="15.8" customHeight="1">
      <c r="C837" s="33"/>
      <c r="D837" s="21"/>
    </row>
    <row r="838" spans="3:4" ht="15.8" customHeight="1">
      <c r="C838" s="33"/>
      <c r="D838" s="21"/>
    </row>
    <row r="839" spans="3:4" ht="15.8" customHeight="1">
      <c r="C839" s="33"/>
      <c r="D839" s="21"/>
    </row>
    <row r="840" spans="3:4" ht="15.8" customHeight="1">
      <c r="C840" s="33"/>
      <c r="D840" s="21"/>
    </row>
    <row r="841" spans="3:4" ht="15.8" customHeight="1">
      <c r="C841" s="33"/>
      <c r="D841" s="21"/>
    </row>
    <row r="842" spans="3:4" ht="15.8" customHeight="1">
      <c r="C842" s="33"/>
      <c r="D842" s="21"/>
    </row>
    <row r="843" spans="3:4" ht="15.8" customHeight="1">
      <c r="C843" s="33"/>
      <c r="D843" s="21"/>
    </row>
    <row r="844" spans="3:4" ht="15.8" customHeight="1">
      <c r="C844" s="33"/>
      <c r="D844" s="21"/>
    </row>
    <row r="845" spans="3:4" ht="15.8" customHeight="1">
      <c r="C845" s="33"/>
      <c r="D845" s="21"/>
    </row>
    <row r="846" spans="3:4" ht="15.8" customHeight="1">
      <c r="C846" s="33"/>
      <c r="D846" s="21"/>
    </row>
    <row r="847" spans="3:4" ht="15.8" customHeight="1">
      <c r="C847" s="33"/>
      <c r="D847" s="21"/>
    </row>
    <row r="848" spans="3:4" ht="15.8" customHeight="1">
      <c r="C848" s="33"/>
      <c r="D848" s="21"/>
    </row>
    <row r="849" spans="3:4" ht="15.8" customHeight="1">
      <c r="C849" s="33"/>
      <c r="D849" s="21"/>
    </row>
    <row r="850" spans="3:4" ht="15.8" customHeight="1">
      <c r="C850" s="33"/>
      <c r="D850" s="21"/>
    </row>
    <row r="851" spans="3:4" ht="15.8" customHeight="1">
      <c r="C851" s="33"/>
      <c r="D851" s="21"/>
    </row>
    <row r="852" spans="3:4" ht="15.8" customHeight="1">
      <c r="C852" s="33"/>
      <c r="D852" s="21"/>
    </row>
    <row r="853" spans="3:4" ht="15.8" customHeight="1">
      <c r="C853" s="33"/>
      <c r="D853" s="21"/>
    </row>
    <row r="854" spans="3:4" ht="15.8" customHeight="1">
      <c r="C854" s="33"/>
      <c r="D854" s="21"/>
    </row>
    <row r="855" spans="3:4" ht="15.8" customHeight="1">
      <c r="C855" s="33"/>
      <c r="D855" s="21"/>
    </row>
    <row r="856" spans="3:4" ht="15.8" customHeight="1">
      <c r="C856" s="33"/>
      <c r="D856" s="21"/>
    </row>
    <row r="857" spans="3:4" ht="15.8" customHeight="1">
      <c r="C857" s="33"/>
      <c r="D857" s="21"/>
    </row>
    <row r="858" spans="3:4" ht="15.8" customHeight="1">
      <c r="C858" s="33"/>
      <c r="D858" s="21"/>
    </row>
    <row r="859" spans="3:4" ht="15.8" customHeight="1">
      <c r="C859" s="33"/>
      <c r="D859" s="21"/>
    </row>
    <row r="860" spans="3:4" ht="15.8" customHeight="1">
      <c r="C860" s="33"/>
      <c r="D860" s="21"/>
    </row>
    <row r="861" spans="3:4" ht="15.8" customHeight="1">
      <c r="C861" s="33"/>
      <c r="D861" s="21"/>
    </row>
    <row r="862" spans="3:4" ht="15.8" customHeight="1">
      <c r="C862" s="33"/>
      <c r="D862" s="21"/>
    </row>
    <row r="863" spans="3:4" ht="15.8" customHeight="1">
      <c r="C863" s="33"/>
      <c r="D863" s="21"/>
    </row>
    <row r="864" spans="3:4" ht="15.8" customHeight="1">
      <c r="C864" s="33"/>
      <c r="D864" s="21"/>
    </row>
    <row r="865" spans="3:4" ht="15.8" customHeight="1">
      <c r="C865" s="33"/>
      <c r="D865" s="21"/>
    </row>
    <row r="866" spans="3:4" ht="15.8" customHeight="1">
      <c r="C866" s="33"/>
      <c r="D866" s="21"/>
    </row>
    <row r="867" spans="3:4" ht="15.8" customHeight="1">
      <c r="C867" s="33"/>
      <c r="D867" s="21"/>
    </row>
    <row r="868" spans="3:4" ht="15.8" customHeight="1">
      <c r="C868" s="33"/>
      <c r="D868" s="21"/>
    </row>
    <row r="869" spans="3:4" ht="15.8" customHeight="1">
      <c r="C869" s="33"/>
      <c r="D869" s="21"/>
    </row>
    <row r="870" spans="3:4" ht="15.8" customHeight="1">
      <c r="C870" s="33"/>
      <c r="D870" s="21"/>
    </row>
    <row r="871" spans="3:4" ht="15.8" customHeight="1">
      <c r="C871" s="33"/>
      <c r="D871" s="21"/>
    </row>
    <row r="872" spans="3:4" ht="15.8" customHeight="1">
      <c r="C872" s="33"/>
      <c r="D872" s="21"/>
    </row>
    <row r="873" spans="3:4" ht="15.8" customHeight="1">
      <c r="C873" s="33"/>
      <c r="D873" s="21"/>
    </row>
    <row r="874" spans="3:4" ht="15.8" customHeight="1">
      <c r="C874" s="33"/>
      <c r="D874" s="21"/>
    </row>
    <row r="875" spans="3:4" ht="15.8" customHeight="1">
      <c r="C875" s="33"/>
      <c r="D875" s="21"/>
    </row>
    <row r="876" spans="3:4" ht="15.8" customHeight="1">
      <c r="C876" s="33"/>
      <c r="D876" s="21"/>
    </row>
    <row r="877" spans="3:4" ht="15.8" customHeight="1">
      <c r="C877" s="33"/>
      <c r="D877" s="21"/>
    </row>
    <row r="878" spans="3:4" ht="15.8" customHeight="1">
      <c r="C878" s="33"/>
      <c r="D878" s="21"/>
    </row>
    <row r="879" spans="3:4" ht="15.8" customHeight="1">
      <c r="C879" s="33"/>
      <c r="D879" s="21"/>
    </row>
    <row r="880" spans="3:4" ht="15.8" customHeight="1">
      <c r="C880" s="33"/>
      <c r="D880" s="21"/>
    </row>
    <row r="881" spans="3:4" ht="15.8" customHeight="1">
      <c r="C881" s="33"/>
      <c r="D881" s="21"/>
    </row>
    <row r="882" spans="3:4" ht="15.8" customHeight="1">
      <c r="C882" s="33"/>
      <c r="D882" s="21"/>
    </row>
    <row r="883" spans="3:4" ht="15.8" customHeight="1">
      <c r="C883" s="33"/>
      <c r="D883" s="21"/>
    </row>
    <row r="884" spans="3:4" ht="15.8" customHeight="1">
      <c r="C884" s="33"/>
      <c r="D884" s="21"/>
    </row>
    <row r="885" spans="3:4" ht="15.8" customHeight="1">
      <c r="C885" s="33"/>
      <c r="D885" s="21"/>
    </row>
    <row r="886" spans="3:4" ht="15.8" customHeight="1">
      <c r="C886" s="33"/>
      <c r="D886" s="21"/>
    </row>
    <row r="887" spans="3:4" ht="15.8" customHeight="1">
      <c r="C887" s="33"/>
      <c r="D887" s="21"/>
    </row>
    <row r="888" spans="3:4" ht="15.8" customHeight="1">
      <c r="C888" s="33"/>
      <c r="D888" s="21"/>
    </row>
    <row r="889" spans="3:4" ht="15.8" customHeight="1">
      <c r="C889" s="33"/>
      <c r="D889" s="21"/>
    </row>
    <row r="890" spans="3:4" ht="15.8" customHeight="1">
      <c r="C890" s="33"/>
      <c r="D890" s="21"/>
    </row>
    <row r="891" spans="3:4" ht="15.8" customHeight="1">
      <c r="C891" s="33"/>
      <c r="D891" s="21"/>
    </row>
    <row r="892" spans="3:4" ht="15.8" customHeight="1">
      <c r="C892" s="33"/>
      <c r="D892" s="21"/>
    </row>
    <row r="893" spans="3:4" ht="15.8" customHeight="1">
      <c r="C893" s="33"/>
      <c r="D893" s="21"/>
    </row>
    <row r="894" spans="3:4" ht="15.8" customHeight="1">
      <c r="C894" s="33"/>
      <c r="D894" s="21"/>
    </row>
    <row r="895" spans="3:4" ht="15.8" customHeight="1">
      <c r="C895" s="33"/>
      <c r="D895" s="21"/>
    </row>
    <row r="896" spans="3:4" ht="15.8" customHeight="1">
      <c r="C896" s="33"/>
      <c r="D896" s="21"/>
    </row>
    <row r="897" spans="3:4" ht="15.8" customHeight="1">
      <c r="C897" s="33"/>
      <c r="D897" s="21"/>
    </row>
    <row r="898" spans="3:4" ht="15.8" customHeight="1">
      <c r="C898" s="33"/>
      <c r="D898" s="21"/>
    </row>
    <row r="899" spans="3:4" ht="15.8" customHeight="1">
      <c r="C899" s="33"/>
      <c r="D899" s="21"/>
    </row>
    <row r="900" spans="3:4" ht="15.8" customHeight="1">
      <c r="C900" s="33"/>
      <c r="D900" s="21"/>
    </row>
    <row r="901" spans="3:4" ht="15.8" customHeight="1">
      <c r="C901" s="33"/>
      <c r="D901" s="21"/>
    </row>
    <row r="902" spans="3:4" ht="15.8" customHeight="1">
      <c r="C902" s="33"/>
      <c r="D902" s="21"/>
    </row>
    <row r="903" spans="3:4" ht="15.8" customHeight="1">
      <c r="C903" s="33"/>
      <c r="D903" s="21"/>
    </row>
    <row r="904" spans="3:4" ht="15.8" customHeight="1">
      <c r="C904" s="33"/>
      <c r="D904" s="21"/>
    </row>
    <row r="905" spans="3:4" ht="15.8" customHeight="1">
      <c r="C905" s="33"/>
      <c r="D905" s="21"/>
    </row>
    <row r="906" spans="3:4" ht="15.8" customHeight="1">
      <c r="C906" s="33"/>
      <c r="D906" s="21"/>
    </row>
    <row r="907" spans="3:4" ht="15.8" customHeight="1">
      <c r="C907" s="33"/>
      <c r="D907" s="21"/>
    </row>
    <row r="908" spans="3:4" ht="15.8" customHeight="1">
      <c r="C908" s="33"/>
      <c r="D908" s="21"/>
    </row>
    <row r="909" spans="3:4" ht="15.8" customHeight="1">
      <c r="C909" s="33"/>
      <c r="D909" s="21"/>
    </row>
    <row r="910" spans="3:4" ht="15.8" customHeight="1">
      <c r="C910" s="33"/>
      <c r="D910" s="21"/>
    </row>
    <row r="911" spans="3:4" ht="15.8" customHeight="1">
      <c r="C911" s="33"/>
      <c r="D911" s="21"/>
    </row>
    <row r="912" spans="3:4" ht="15.8" customHeight="1">
      <c r="C912" s="33"/>
      <c r="D912" s="21"/>
    </row>
    <row r="913" spans="3:4" ht="15.8" customHeight="1">
      <c r="C913" s="33"/>
      <c r="D913" s="21"/>
    </row>
    <row r="914" spans="3:4" ht="15.8" customHeight="1">
      <c r="C914" s="33"/>
      <c r="D914" s="21"/>
    </row>
    <row r="915" spans="3:4" ht="15.8" customHeight="1">
      <c r="C915" s="33"/>
      <c r="D915" s="21"/>
    </row>
    <row r="916" spans="3:4" ht="15.8" customHeight="1">
      <c r="C916" s="33"/>
      <c r="D916" s="21"/>
    </row>
    <row r="917" spans="3:4" ht="15.8" customHeight="1">
      <c r="C917" s="33"/>
      <c r="D917" s="21"/>
    </row>
    <row r="918" spans="3:4" ht="15.8" customHeight="1">
      <c r="C918" s="33"/>
      <c r="D918" s="21"/>
    </row>
    <row r="919" spans="3:4" ht="15.8" customHeight="1">
      <c r="C919" s="33"/>
      <c r="D919" s="21"/>
    </row>
    <row r="920" spans="3:4" ht="15.8" customHeight="1">
      <c r="C920" s="33"/>
      <c r="D920" s="21"/>
    </row>
    <row r="921" spans="3:4" ht="15.8" customHeight="1">
      <c r="C921" s="33"/>
      <c r="D921" s="21"/>
    </row>
    <row r="922" spans="3:4" ht="15.8" customHeight="1">
      <c r="C922" s="33"/>
      <c r="D922" s="21"/>
    </row>
    <row r="923" spans="3:4" ht="15.8" customHeight="1">
      <c r="C923" s="33"/>
      <c r="D923" s="21"/>
    </row>
    <row r="924" spans="3:4" ht="15.8" customHeight="1">
      <c r="C924" s="33"/>
      <c r="D924" s="21"/>
    </row>
    <row r="925" spans="3:4" ht="15.8" customHeight="1">
      <c r="C925" s="33"/>
      <c r="D925" s="21"/>
    </row>
    <row r="926" spans="3:4" ht="15.8" customHeight="1">
      <c r="C926" s="33"/>
      <c r="D926" s="21"/>
    </row>
    <row r="927" spans="3:4" ht="15.8" customHeight="1">
      <c r="C927" s="33"/>
      <c r="D927" s="21"/>
    </row>
    <row r="928" spans="3:4" ht="15.8" customHeight="1">
      <c r="C928" s="33"/>
      <c r="D928" s="21"/>
    </row>
    <row r="929" spans="4:4" ht="13.6">
      <c r="D929" s="26"/>
    </row>
    <row r="930" spans="4:4" ht="13.6">
      <c r="D930" s="26"/>
    </row>
    <row r="931" spans="4:4" ht="13.6">
      <c r="D931" s="26"/>
    </row>
    <row r="932" spans="4:4" ht="13.6">
      <c r="D932" s="26"/>
    </row>
    <row r="933" spans="4:4" ht="13.6">
      <c r="D933" s="26"/>
    </row>
    <row r="934" spans="4:4" ht="13.6">
      <c r="D934" s="26"/>
    </row>
    <row r="935" spans="4:4" ht="13.6">
      <c r="D935" s="26"/>
    </row>
    <row r="936" spans="4:4" ht="13.6">
      <c r="D936" s="26"/>
    </row>
    <row r="937" spans="4:4" ht="13.6">
      <c r="D937" s="26"/>
    </row>
    <row r="938" spans="4:4" ht="13.6">
      <c r="D938" s="26"/>
    </row>
    <row r="939" spans="4:4" ht="13.6">
      <c r="D939" s="26"/>
    </row>
    <row r="940" spans="4:4" ht="13.6">
      <c r="D940" s="26"/>
    </row>
    <row r="941" spans="4:4" ht="13.6">
      <c r="D941" s="26"/>
    </row>
    <row r="942" spans="4:4" ht="13.6">
      <c r="D942" s="26"/>
    </row>
    <row r="943" spans="4:4" ht="13.6">
      <c r="D943" s="26"/>
    </row>
    <row r="944" spans="4:4" ht="13.6">
      <c r="D944" s="26"/>
    </row>
    <row r="945" spans="4:4" ht="13.6">
      <c r="D945" s="26"/>
    </row>
    <row r="946" spans="4:4" ht="13.6">
      <c r="D946" s="26"/>
    </row>
    <row r="947" spans="4:4" ht="13.6">
      <c r="D947" s="26"/>
    </row>
    <row r="948" spans="4:4" ht="13.6">
      <c r="D948" s="26"/>
    </row>
    <row r="949" spans="4:4" ht="13.6">
      <c r="D949" s="26"/>
    </row>
    <row r="950" spans="4:4" ht="13.6">
      <c r="D950" s="26"/>
    </row>
    <row r="951" spans="4:4" ht="13.6">
      <c r="D951" s="26"/>
    </row>
    <row r="952" spans="4:4" ht="13.6">
      <c r="D952" s="26"/>
    </row>
    <row r="953" spans="4:4" ht="13.6">
      <c r="D953" s="26"/>
    </row>
    <row r="954" spans="4:4" ht="13.6">
      <c r="D954" s="26"/>
    </row>
    <row r="955" spans="4:4" ht="13.6">
      <c r="D955" s="26"/>
    </row>
    <row r="956" spans="4:4" ht="13.6">
      <c r="D956" s="26"/>
    </row>
    <row r="957" spans="4:4" ht="13.6">
      <c r="D957" s="26"/>
    </row>
    <row r="958" spans="4:4" ht="13.6">
      <c r="D958" s="26"/>
    </row>
    <row r="959" spans="4:4" ht="13.6">
      <c r="D959" s="26"/>
    </row>
    <row r="960" spans="4:4" ht="13.6">
      <c r="D960" s="26"/>
    </row>
    <row r="961" spans="4:4" ht="13.6">
      <c r="D961" s="26"/>
    </row>
    <row r="962" spans="4:4" ht="13.6">
      <c r="D962" s="26"/>
    </row>
    <row r="963" spans="4:4" ht="13.6">
      <c r="D963" s="26"/>
    </row>
    <row r="964" spans="4:4" ht="13.6">
      <c r="D964" s="26"/>
    </row>
    <row r="965" spans="4:4" ht="13.6">
      <c r="D965" s="26"/>
    </row>
    <row r="966" spans="4:4" ht="13.6">
      <c r="D966" s="26"/>
    </row>
    <row r="967" spans="4:4" ht="13.6">
      <c r="D967" s="26"/>
    </row>
    <row r="968" spans="4:4" ht="13.6">
      <c r="D968" s="26"/>
    </row>
    <row r="969" spans="4:4" ht="13.6">
      <c r="D969" s="26"/>
    </row>
    <row r="970" spans="4:4" ht="13.6">
      <c r="D970" s="26"/>
    </row>
    <row r="971" spans="4:4" ht="13.6">
      <c r="D971" s="26"/>
    </row>
    <row r="972" spans="4:4" ht="13.6">
      <c r="D972" s="26"/>
    </row>
    <row r="973" spans="4:4" ht="13.6">
      <c r="D973" s="26"/>
    </row>
    <row r="974" spans="4:4" ht="13.6">
      <c r="D974" s="26"/>
    </row>
    <row r="975" spans="4:4" ht="13.6">
      <c r="D975" s="26"/>
    </row>
    <row r="976" spans="4:4" ht="13.6">
      <c r="D976" s="26"/>
    </row>
    <row r="977" spans="4:4" ht="13.6">
      <c r="D977" s="26"/>
    </row>
    <row r="978" spans="4:4" ht="13.6">
      <c r="D978" s="26"/>
    </row>
    <row r="979" spans="4:4" ht="13.6">
      <c r="D979" s="26"/>
    </row>
    <row r="980" spans="4:4" ht="13.6">
      <c r="D980" s="26"/>
    </row>
    <row r="981" spans="4:4" ht="13.6">
      <c r="D981" s="26"/>
    </row>
    <row r="982" spans="4:4" ht="13.6">
      <c r="D982" s="26"/>
    </row>
    <row r="983" spans="4:4" ht="13.6">
      <c r="D983" s="26"/>
    </row>
    <row r="984" spans="4:4" ht="13.6">
      <c r="D984" s="26"/>
    </row>
    <row r="985" spans="4:4" ht="13.6">
      <c r="D985" s="26"/>
    </row>
    <row r="986" spans="4:4" ht="13.6">
      <c r="D986" s="26"/>
    </row>
    <row r="987" spans="4:4" ht="13.6">
      <c r="D987" s="26"/>
    </row>
    <row r="988" spans="4:4" ht="13.6">
      <c r="D988" s="26"/>
    </row>
    <row r="989" spans="4:4" ht="13.6">
      <c r="D989" s="26"/>
    </row>
    <row r="990" spans="4:4" ht="13.6">
      <c r="D990" s="26"/>
    </row>
    <row r="991" spans="4:4" ht="13.6">
      <c r="D991" s="26"/>
    </row>
    <row r="992" spans="4:4" ht="13.6">
      <c r="D992" s="26"/>
    </row>
    <row r="993" spans="4:4" ht="13.6">
      <c r="D993" s="26"/>
    </row>
    <row r="994" spans="4:4" ht="13.6">
      <c r="D994" s="26"/>
    </row>
    <row r="995" spans="4:4" ht="13.6">
      <c r="D995" s="26"/>
    </row>
    <row r="996" spans="4:4" ht="13.6">
      <c r="D996" s="26"/>
    </row>
    <row r="997" spans="4:4" ht="13.6">
      <c r="D997" s="26"/>
    </row>
    <row r="998" spans="4:4" ht="13.6">
      <c r="D998" s="26"/>
    </row>
    <row r="999" spans="4:4" ht="13.6">
      <c r="D999" s="26"/>
    </row>
    <row r="1000" spans="4:4" ht="13.6">
      <c r="D1000" s="26"/>
    </row>
    <row r="1001" spans="4:4" ht="13.6">
      <c r="D1001" s="26"/>
    </row>
    <row r="1002" spans="4:4" ht="13.6">
      <c r="D1002" s="26"/>
    </row>
    <row r="1003" spans="4:4" ht="13.6">
      <c r="D1003" s="26"/>
    </row>
    <row r="1004" spans="4:4" ht="13.6">
      <c r="D1004" s="26"/>
    </row>
    <row r="1005" spans="4:4" ht="13.6">
      <c r="D1005" s="26"/>
    </row>
    <row r="1006" spans="4:4" ht="13.6">
      <c r="D1006" s="26"/>
    </row>
    <row r="1007" spans="4:4" ht="13.6">
      <c r="D1007" s="26"/>
    </row>
    <row r="1008" spans="4:4" ht="13.6">
      <c r="D1008" s="26"/>
    </row>
    <row r="1009" spans="4:4" ht="13.6">
      <c r="D1009" s="26"/>
    </row>
    <row r="1010" spans="4:4" ht="13.6">
      <c r="D1010" s="26"/>
    </row>
    <row r="1011" spans="4:4" ht="13.6">
      <c r="D1011" s="26"/>
    </row>
    <row r="1012" spans="4:4" ht="13.6">
      <c r="D1012" s="26"/>
    </row>
    <row r="1013" spans="4:4" ht="13.6">
      <c r="D1013" s="26"/>
    </row>
    <row r="1014" spans="4:4" ht="13.6">
      <c r="D1014" s="26"/>
    </row>
    <row r="1015" spans="4:4" ht="13.6">
      <c r="D1015" s="26"/>
    </row>
    <row r="1016" spans="4:4" ht="13.6">
      <c r="D1016" s="26"/>
    </row>
    <row r="1017" spans="4:4" ht="13.6">
      <c r="D1017" s="26"/>
    </row>
    <row r="1018" spans="4:4" ht="13.6">
      <c r="D1018" s="26"/>
    </row>
    <row r="1019" spans="4:4" ht="13.6">
      <c r="D1019" s="26"/>
    </row>
    <row r="1020" spans="4:4" ht="13.6">
      <c r="D1020" s="26"/>
    </row>
    <row r="1021" spans="4:4" ht="13.6">
      <c r="D1021" s="26"/>
    </row>
    <row r="1022" spans="4:4" ht="13.6">
      <c r="D1022" s="26"/>
    </row>
    <row r="1023" spans="4:4" ht="13.6">
      <c r="D1023" s="26"/>
    </row>
    <row r="1024" spans="4:4" ht="13.6">
      <c r="D1024" s="26"/>
    </row>
    <row r="1025" spans="4:4" ht="13.6">
      <c r="D1025" s="26"/>
    </row>
    <row r="1026" spans="4:4" ht="13.6">
      <c r="D1026" s="26"/>
    </row>
    <row r="1027" spans="4:4" ht="13.6">
      <c r="D1027" s="26"/>
    </row>
    <row r="1028" spans="4:4" ht="13.6">
      <c r="D1028" s="26"/>
    </row>
    <row r="1029" spans="4:4" ht="13.6">
      <c r="D1029" s="26"/>
    </row>
    <row r="1030" spans="4:4" ht="13.6">
      <c r="D1030" s="26"/>
    </row>
    <row r="1031" spans="4:4" ht="13.6">
      <c r="D1031" s="26"/>
    </row>
    <row r="1032" spans="4:4" ht="13.6">
      <c r="D1032" s="26"/>
    </row>
    <row r="1033" spans="4:4" ht="13.6">
      <c r="D1033" s="26"/>
    </row>
    <row r="1034" spans="4:4" ht="13.6">
      <c r="D1034" s="26"/>
    </row>
    <row r="1035" spans="4:4" ht="13.6">
      <c r="D1035" s="26"/>
    </row>
    <row r="1036" spans="4:4" ht="13.6">
      <c r="D1036" s="26"/>
    </row>
    <row r="1037" spans="4:4" ht="13.6">
      <c r="D1037" s="26"/>
    </row>
    <row r="1038" spans="4:4" ht="13.6">
      <c r="D1038" s="26"/>
    </row>
    <row r="1039" spans="4:4" ht="13.6">
      <c r="D1039" s="26"/>
    </row>
    <row r="1040" spans="4:4" ht="13.6">
      <c r="D1040" s="26"/>
    </row>
    <row r="1041" spans="4:4" ht="13.6">
      <c r="D1041" s="26"/>
    </row>
    <row r="1042" spans="4:4" ht="13.6">
      <c r="D1042" s="26"/>
    </row>
    <row r="1043" spans="4:4" ht="13.6">
      <c r="D1043" s="26"/>
    </row>
    <row r="1044" spans="4:4" ht="13.6">
      <c r="D1044" s="26"/>
    </row>
    <row r="1045" spans="4:4" ht="13.6">
      <c r="D1045" s="26"/>
    </row>
    <row r="1046" spans="4:4" ht="13.6">
      <c r="D1046" s="26"/>
    </row>
    <row r="1047" spans="4:4" ht="13.6">
      <c r="D1047" s="26"/>
    </row>
    <row r="1048" spans="4:4" ht="13.6">
      <c r="D1048" s="26"/>
    </row>
    <row r="1049" spans="4:4" ht="13.6">
      <c r="D1049" s="26"/>
    </row>
    <row r="1050" spans="4:4" ht="13.6">
      <c r="D1050" s="26"/>
    </row>
    <row r="1051" spans="4:4" ht="13.6">
      <c r="D1051" s="26"/>
    </row>
    <row r="1052" spans="4:4" ht="13.6">
      <c r="D1052" s="26"/>
    </row>
    <row r="1053" spans="4:4" ht="13.6">
      <c r="D1053" s="26"/>
    </row>
    <row r="1054" spans="4:4" ht="13.6">
      <c r="D1054" s="26"/>
    </row>
    <row r="1055" spans="4:4" ht="13.6">
      <c r="D1055" s="26"/>
    </row>
    <row r="1056" spans="4:4" ht="13.6">
      <c r="D1056" s="26"/>
    </row>
    <row r="1057" spans="4:4" ht="13.6">
      <c r="D1057" s="26"/>
    </row>
    <row r="1058" spans="4:4" ht="13.6">
      <c r="D1058" s="26"/>
    </row>
    <row r="1059" spans="4:4" ht="13.6">
      <c r="D1059" s="26"/>
    </row>
    <row r="1060" spans="4:4" ht="13.6">
      <c r="D1060" s="26"/>
    </row>
    <row r="1061" spans="4:4" ht="13.6">
      <c r="D1061" s="26"/>
    </row>
    <row r="1062" spans="4:4" ht="13.6">
      <c r="D1062" s="26"/>
    </row>
    <row r="1063" spans="4:4" ht="13.6">
      <c r="D1063" s="26"/>
    </row>
    <row r="1064" spans="4:4" ht="13.6">
      <c r="D1064" s="26"/>
    </row>
    <row r="1065" spans="4:4" ht="13.6">
      <c r="D1065" s="26"/>
    </row>
    <row r="1066" spans="4:4" ht="13.6">
      <c r="D1066" s="26"/>
    </row>
    <row r="1067" spans="4:4" ht="13.6">
      <c r="D1067" s="26"/>
    </row>
  </sheetData>
  <sortState xmlns:xlrd2="http://schemas.microsoft.com/office/spreadsheetml/2017/richdata2" ref="A2:D415">
    <sortCondition ref="A2:A415"/>
  </sortState>
  <customSheetViews>
    <customSheetView guid="{232BE10E-1E8B-40CB-AA23-F4CE7348D26E}" filter="1" showAutoFilter="1">
      <pageMargins left="0.7" right="0.7" top="0.75" bottom="0.75" header="0.3" footer="0.3"/>
      <autoFilter ref="A1:AH415" xr:uid="{D765A86A-38DB-4CF4-99C1-FED11F489753}">
        <filterColumn colId="4">
          <filters>
            <filter val="Molekuláris genetika"/>
            <filter val="Molekuláris mikrobiológia"/>
            <filter val="PCR+Mikrobiológia"/>
          </filters>
        </filterColumn>
        <filterColumn colId="5">
          <filters blank="1">
            <filter val="Budalabor"/>
            <filter val="nem kell/SOTE"/>
            <filter val="Pentacore"/>
            <filter val="Saját"/>
            <filter val="SOTE"/>
          </filters>
        </filterColumn>
      </autoFilter>
    </customSheetView>
  </customSheetViews>
  <mergeCells count="1">
    <mergeCell ref="A421:F429"/>
  </mergeCells>
  <phoneticPr fontId="6" type="noConversion"/>
  <printOptions gridLines="1"/>
  <pageMargins left="0.70866141732283472" right="0.70866141732283472" top="0.74803149606299213" bottom="0.74803149606299213" header="0" footer="0"/>
  <pageSetup paperSize="11" scale="50"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Munkalapok</vt:lpstr>
      </vt:variant>
      <vt:variant>
        <vt:i4>17</vt:i4>
      </vt:variant>
      <vt:variant>
        <vt:lpstr>Névvel ellátott tartományok</vt:lpstr>
      </vt:variant>
      <vt:variant>
        <vt:i4>19</vt:i4>
      </vt:variant>
    </vt:vector>
  </HeadingPairs>
  <TitlesOfParts>
    <vt:vector size="36" baseType="lpstr">
      <vt:lpstr>Összesítő lap</vt:lpstr>
      <vt:lpstr>Kémia</vt:lpstr>
      <vt:lpstr>Csomagok</vt:lpstr>
      <vt:lpstr>Tételek</vt:lpstr>
      <vt:lpstr>Páciensek</vt:lpstr>
      <vt:lpstr>allergia tételek</vt:lpstr>
      <vt:lpstr>Clinomics</vt:lpstr>
      <vt:lpstr>Csőtípusok</vt:lpstr>
      <vt:lpstr>Jelmagyarázat</vt:lpstr>
      <vt:lpstr>MEDICARE 2025.05.01</vt:lpstr>
      <vt:lpstr>Kapcsolat</vt:lpstr>
      <vt:lpstr>Legordulo</vt:lpstr>
      <vt:lpstr>Patológia</vt:lpstr>
      <vt:lpstr>Medicover</vt:lpstr>
      <vt:lpstr>Bianka</vt:lpstr>
      <vt:lpstr>Munka1</vt:lpstr>
      <vt:lpstr>Vizsgálatok</vt:lpstr>
      <vt:lpstr>Csövek</vt:lpstr>
      <vt:lpstr>Email</vt:lpstr>
      <vt:lpstr>Eszköz</vt:lpstr>
      <vt:lpstr>Lakcim</vt:lpstr>
      <vt:lpstr>Minta</vt:lpstr>
      <vt:lpstr>Mintavételi_eszközök</vt:lpstr>
      <vt:lpstr>Nem</vt:lpstr>
      <vt:lpstr>Név</vt:lpstr>
      <vt:lpstr>Clinomics!Nyomtatási_terület</vt:lpstr>
      <vt:lpstr>Kémia!Nyomtatási_terület</vt:lpstr>
      <vt:lpstr>Medicover!Nyomtatási_terület</vt:lpstr>
      <vt:lpstr>'Összesítő lap'!Nyomtatási_terület</vt:lpstr>
      <vt:lpstr>Vizsgálatok!Nyomtatási_terület</vt:lpstr>
      <vt:lpstr>Születési_idő</vt:lpstr>
      <vt:lpstr>TAJ</vt:lpstr>
      <vt:lpstr>Telefon</vt:lpstr>
      <vt:lpstr>Törvényes_képviselő_neve</vt:lpstr>
      <vt:lpstr>Utca</vt:lpstr>
      <vt:lpstr>Varos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Remete72</dc:creator>
  <cp:lastModifiedBy>Heni Lénárt</cp:lastModifiedBy>
  <cp:lastPrinted>2025-09-30T07:37:23Z</cp:lastPrinted>
  <dcterms:created xsi:type="dcterms:W3CDTF">2021-01-22T15:45:20Z</dcterms:created>
  <dcterms:modified xsi:type="dcterms:W3CDTF">2025-11-07T07:07:51Z</dcterms:modified>
</cp:coreProperties>
</file>